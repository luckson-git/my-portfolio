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7f029555d47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1a24571c9894c2b"/>
    <x:sheet xmlns:r="http://schemas.openxmlformats.org/officeDocument/2006/relationships" name="Cars" sheetId="2" r:id="R42d619f099714400"/>
    <x:sheet xmlns:r="http://schemas.openxmlformats.org/officeDocument/2006/relationships" name="Guide" sheetId="3" r:id="Rd84f1fd48dae48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0.0%"/>
    <x:numFmt numFmtId="203" formatCode="#,##0"/>
  </x:numFmts>
  <x:fonts count="10">
    <x:font>
      <x:sz val="11"/>
      <x:name val="Carlito"/>
    </x:font>
    <x:font>
      <x:sz val="11"/>
      <x:color rgb="FF243447"/>
      <x:name val="Arial"/>
    </x:font>
    <x:font>
      <x:b/>
      <x:sz val="20"/>
      <x:color rgb="FF20364D"/>
      <x:name val="Arial"/>
    </x:font>
    <x:font>
      <x:i/>
      <x:sz val="10"/>
      <x:color rgb="FF566576"/>
      <x:name val="Arial"/>
    </x:font>
    <x:font>
      <x:sz val="10"/>
      <x:color rgb="FF243447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  <x:font>
      <x:b/>
      <x:sz val="11"/>
      <x:color rgb="FF243447"/>
      <x:name val="Arial"/>
    </x:font>
    <x:font>
      <x:b/>
      <x:sz val="17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64D"/>
      </x:patternFill>
    </x:fill>
    <x:fill>
      <x:patternFill patternType="solid">
        <x:fgColor rgb="FFFFF1BD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4" fillId="0" borderId="0" xfId="0" applyNumberFormat="1" applyFont="1" applyFill="1" applyBorder="1"/>
    <x:xf numFmtId="200" fontId="5" fillId="0" borderId="0" xfId="0" applyNumberFormat="1" applyFont="1" applyFill="1" applyBorder="1"/>
    <x:xf numFmtId="201" fontId="4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203" fontId="9" fillId="0" borderId="0" xfId="0" applyNumberFormat="1" applyFont="1" applyFill="1" applyBorder="1"/>
    <x:xf numFmtId="201" fontId="9" fillId="0" borderId="0" xfId="0" applyNumberFormat="1" applyFont="1" applyFill="1" applyBorder="1"/>
    <x:xf numFmtId="202" fontId="9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150c8a8bc94acd" /><Relationship Type="http://schemas.openxmlformats.org/officeDocument/2006/relationships/theme" Target="/xl/theme/theme1.xml" Id="Rb5a30a1d4fa54e7b" /><Relationship Type="http://schemas.openxmlformats.org/officeDocument/2006/relationships/sharedStrings" Target="/xl/sharedStrings.xml" Id="Rcfafae1a71ea4aaa" /><Relationship Type="http://schemas.openxmlformats.org/officeDocument/2006/relationships/worksheet" Target="/xl/worksheets/sheet1.xml" Id="R41a24571c9894c2b" /><Relationship Type="http://schemas.openxmlformats.org/officeDocument/2006/relationships/worksheet" Target="/xl/worksheets/sheet2.xml" Id="R42d619f099714400" /><Relationship Type="http://schemas.openxmlformats.org/officeDocument/2006/relationships/worksheet" Target="/xl/worksheets/sheet3.xml" Id="Rd84f1fd48dae48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f268b295604210" /><Relationship Type="http://schemas.openxmlformats.org/officeDocument/2006/relationships/chart" Target="/xl/drawings/charts/chart2.xml" Id="Rc077f42384054e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Mean resale by model (lakh)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resale (lakh)</c:v>
          </c:tx>
          <c:spPr>
            <a:solidFill xmlns:a="http://schemas.openxmlformats.org/drawingml/2006/main">
              <a:srgbClr val="315B7D"/>
            </a:solidFill>
          </c:spPr>
          <c:cat>
            <c:strRef>
              <c:f>'Dashboard'!$A$11:$A$17</c:f>
              <c:strCache>
                <c:ptCount val="0"/>
              </c:strCache>
            </c:strRef>
          </c:cat>
          <c:val>
            <c:numRef>
              <c:f>'Dashboard'!$C$11:$C$17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Mean resale by vehicle year (lakh)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Mean resale (lakh)</c:v>
          </c:tx>
          <c:spPr>
            <a:solidFill xmlns:a="http://schemas.openxmlformats.org/drawingml/2006/main">
              <a:srgbClr val="315B7D"/>
            </a:solidFill>
          </c:spPr>
          <c:marker>
            <c:symbol val="none"/>
          </c:marker>
          <c:cat>
            <c:strRef>
              <c:f>'Dashboard'!$A$22:$A$28</c:f>
              <c:strCache>
                <c:ptCount val="0"/>
              </c:strCache>
            </c:strRef>
          </c:cat>
          <c:val>
            <c:numRef>
              <c:f>'Dashboard'!$C$22:$C$28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f268b295604210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13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77f42384054e6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rsTable" displayName="CarsTable" ref="A4:S3804" headerRowCount="1" totalsRowCount="0" totalsRowShown="0">
  <x:tableColumns count="19">
    <x:tableColumn id="1" name="car_id"/>
    <x:tableColumn id="2" name="brand"/>
    <x:tableColumn id="3" name="model"/>
    <x:tableColumn id="4" name="variant"/>
    <x:tableColumn id="5" name="fuel_type"/>
    <x:tableColumn id="6" name="transmission"/>
    <x:tableColumn id="7" name="body_type"/>
    <x:tableColumn id="8" name="engine_cc"/>
    <x:tableColumn id="9" name="power_bhp"/>
    <x:tableColumn id="10" name="mileage_kmpl"/>
    <x:tableColumn id="11" name="ex_showroom_price_lakh"/>
    <x:tableColumn id="12" name="year"/>
    <x:tableColumn id="13" name="kilometers_driven"/>
    <x:tableColumn id="14" name="owner_count"/>
    <x:tableColumn id="15" name="accident_history"/>
    <x:tableColumn id="16" name="resale_price_lakh"/>
    <x:tableColumn id="17" name="vehicle_age_years"/>
    <x:tableColumn id="18" name="price_gap_lakh"/>
    <x:tableColumn id="19" name="price_gap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eb3624ad09747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9f6ebba80848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3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32" customHeight="1">
      <x:c r="A1" s="2" t="str">
        <x:v>Tata car price analysis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3" t="str">
        <x:v>Explore resale prices and price gaps by model, fuel type and transmission.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 t="str">
        <x:v>Fuel type</x:v>
      </x:c>
      <x:c r="B4" s="19" t="str">
        <x:v>All</x:v>
      </x:c>
      <x:c r="C4" s="1" t="str">
        <x:v>Transmission</x:v>
      </x:c>
      <x:c r="D4" s="19" t="str">
        <x:v>All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4" customHeight="1">
      <x:c r="A6" s="18" t="str">
        <x:v>Vehicles</x:v>
      </x:c>
      <x:c r="B6" s="18" t="str">
        <x:v>Mean resale (lakh)</x:v>
      </x:c>
      <x:c r="C6" s="18" t="str">
        <x:v>Mean gap (%)</x:v>
      </x:c>
      <x:c r="D6" s="18" t="str">
        <x:v>Mean distance (km)</x:v>
      </x:c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23" t="n">
        <x:f>COUNTIFS('Cars'!$E$5:$E$3804,IF($B$4="All","*",$B$4),'Cars'!$F$5:$F$3804,IF($D$4="All","*",$D$4))</x:f>
        <x:v>3800</x:v>
      </x:c>
      <x:c r="B7" s="24" t="n">
        <x:f>IF(A7=0,"",SUMIFS('Cars'!$P$5:$P$3804,'Cars'!$E$5:$E$3804,IF($B$4="All","*",$B$4),'Cars'!$F$5:$F$3804,IF($D$4="All","*",$D$4))/A7)</x:f>
        <x:v>7.5807894736842</x:v>
      </x:c>
      <x:c r="C7" s="25" t="n">
        <x:f>IF(A7=0,"",SUMIFS('Cars'!$S$5:$S$3804,'Cars'!$E$5:$E$3804,IF($B$4="All","*",$B$4),'Cars'!$F$5:$F$3804,IF($D$4="All","*",$D$4))/A7)</x:f>
        <x:v>0.320887396308206</x:v>
      </x:c>
      <x:c r="D7" s="23" t="n">
        <x:f>IF(A7=0,"",SUMIFS('Cars'!$M$5:$M$3804,'Cars'!$E$5:$E$3804,IF($B$4="All","*",$B$4),'Cars'!$F$5:$F$3804,IF($D$4="All","*",$D$4))/A7)</x:f>
        <x:v>48849.49157894737</x:v>
      </x:c>
      <x:c r="E7" s="1"/>
      <x:c r="F7" s="1"/>
      <x:c r="G7" s="1"/>
      <x:c r="H7" s="1"/>
      <x:c r="I7" s="1"/>
      <x:c r="J7" s="1"/>
      <x:c r="K7" s="1"/>
      <x:c r="L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34" customHeight="1">
      <x:c r="A10" s="18" t="str">
        <x:v>Model</x:v>
      </x:c>
      <x:c r="B10" s="18" t="str">
        <x:v>Vehicles</x:v>
      </x:c>
      <x:c r="C10" s="18" t="str">
        <x:v>Mean resale (lakh)</x:v>
      </x:c>
      <x:c r="D10" s="18" t="str">
        <x:v>Mean gap (%)</x:v>
      </x:c>
      <x:c r="E10" s="1"/>
      <x:c r="F10" s="1"/>
      <x:c r="G10" s="1"/>
      <x:c r="H10" s="1"/>
      <x:c r="I10" s="1"/>
      <x:c r="J10" s="1"/>
      <x:c r="K10" s="1"/>
      <x:c r="L10" s="1"/>
    </x:row>
    <x:row r="11" ht="22" customHeight="1">
      <x:c r="A11" s="1" t="str">
        <x:v>Altroz</x:v>
      </x:c>
      <x:c r="B11" s="1" t="n">
        <x:f>COUNTIFS('Cars'!$E$5:$E$3804,IF($B$4="All","*",$B$4),'Cars'!$F$5:$F$3804,IF($D$4="All","*",$D$4),'Cars'!$C$5:$C$3804,A11)</x:f>
        <x:v>600</x:v>
      </x:c>
      <x:c r="C11" s="26" t="n">
        <x:f>IF(B11=0,"",SUMIFS('Cars'!$P$5:$P$3804,'Cars'!$E$5:$E$3804,IF($B$4="All","*",$B$4),'Cars'!$F$5:$F$3804,IF($D$4="All","*",$D$4),'Cars'!$C$5:$C$3804,A11)/B11)</x:f>
        <x:v>5.989100000000001</x:v>
      </x:c>
      <x:c r="D11" s="27" t="n">
        <x:f>IF(B11=0,"",SUMIFS('Cars'!$S$5:$S$3804,'Cars'!$E$5:$E$3804,IF($B$4="All","*",$B$4),'Cars'!$F$5:$F$3804,IF($D$4="All","*",$D$4),'Cars'!$C$5:$C$3804,A11)/B11)</x:f>
        <x:v>0.32220087719298257</x:v>
      </x:c>
      <x:c r="E11" s="1"/>
      <x:c r="F11" s="1"/>
      <x:c r="G11" s="1"/>
      <x:c r="H11" s="1"/>
      <x:c r="I11" s="1"/>
      <x:c r="J11" s="1"/>
      <x:c r="K11" s="1"/>
      <x:c r="L11" s="1"/>
    </x:row>
    <x:row r="12" ht="22" customHeight="1">
      <x:c r="A12" s="1" t="str">
        <x:v>Harrier</x:v>
      </x:c>
      <x:c r="B12" s="1" t="n">
        <x:f>COUNTIFS('Cars'!$E$5:$E$3804,IF($B$4="All","*",$B$4),'Cars'!$F$5:$F$3804,IF($D$4="All","*",$D$4),'Cars'!$C$5:$C$3804,A12)</x:f>
        <x:v>400</x:v>
      </x:c>
      <x:c r="C12" s="26" t="n">
        <x:f>IF(B12=0,"",SUMIFS('Cars'!$P$5:$P$3804,'Cars'!$E$5:$E$3804,IF($B$4="All","*",$B$4),'Cars'!$F$5:$F$3804,IF($D$4="All","*",$D$4),'Cars'!$C$5:$C$3804,A12)/B12)</x:f>
        <x:v>13.525200000000014</x:v>
      </x:c>
      <x:c r="D12" s="27" t="n">
        <x:f>IF(B12=0,"",SUMIFS('Cars'!$S$5:$S$3804,'Cars'!$E$5:$E$3804,IF($B$4="All","*",$B$4),'Cars'!$F$5:$F$3804,IF($D$4="All","*",$D$4),'Cars'!$C$5:$C$3804,A12)/B12)</x:f>
        <x:v>0.3074593750000001</x:v>
      </x:c>
      <x:c r="E12" s="1"/>
      <x:c r="F12" s="1"/>
      <x:c r="G12" s="1"/>
      <x:c r="H12" s="1"/>
      <x:c r="I12" s="1"/>
      <x:c r="J12" s="1"/>
      <x:c r="K12" s="1"/>
      <x:c r="L12" s="1"/>
    </x:row>
    <x:row r="13" ht="22" customHeight="1">
      <x:c r="A13" s="1" t="str">
        <x:v>Nexon</x:v>
      </x:c>
      <x:c r="B13" s="1" t="n">
        <x:f>COUNTIFS('Cars'!$E$5:$E$3804,IF($B$4="All","*",$B$4),'Cars'!$F$5:$F$3804,IF($D$4="All","*",$D$4),'Cars'!$C$5:$C$3804,A13)</x:f>
        <x:v>600</x:v>
      </x:c>
      <x:c r="C13" s="26" t="n">
        <x:f>IF(B13=0,"",SUMIFS('Cars'!$P$5:$P$3804,'Cars'!$E$5:$E$3804,IF($B$4="All","*",$B$4),'Cars'!$F$5:$F$3804,IF($D$4="All","*",$D$4),'Cars'!$C$5:$C$3804,A13)/B13)</x:f>
        <x:v>8.217166666666662</x:v>
      </x:c>
      <x:c r="D13" s="27" t="n">
        <x:f>IF(B13=0,"",SUMIFS('Cars'!$S$5:$S$3804,'Cars'!$E$5:$E$3804,IF($B$4="All","*",$B$4),'Cars'!$F$5:$F$3804,IF($D$4="All","*",$D$4),'Cars'!$C$5:$C$3804,A13)/B13)</x:f>
        <x:v>0.3090140714749836</x:v>
      </x:c>
      <x:c r="E13" s="1"/>
      <x:c r="F13" s="1"/>
      <x:c r="G13" s="1"/>
      <x:c r="H13" s="1"/>
      <x:c r="I13" s="1"/>
      <x:c r="J13" s="1"/>
      <x:c r="K13" s="1"/>
      <x:c r="L13" s="1"/>
    </x:row>
    <x:row r="14" ht="22" customHeight="1">
      <x:c r="A14" s="1" t="str">
        <x:v>Punch</x:v>
      </x:c>
      <x:c r="B14" s="1" t="n">
        <x:f>COUNTIFS('Cars'!$E$5:$E$3804,IF($B$4="All","*",$B$4),'Cars'!$F$5:$F$3804,IF($D$4="All","*",$D$4),'Cars'!$C$5:$C$3804,A14)</x:f>
        <x:v>600</x:v>
      </x:c>
      <x:c r="C14" s="26" t="n">
        <x:f>IF(B14=0,"",SUMIFS('Cars'!$P$5:$P$3804,'Cars'!$E$5:$E$3804,IF($B$4="All","*",$B$4),'Cars'!$F$5:$F$3804,IF($D$4="All","*",$D$4),'Cars'!$C$5:$C$3804,A14)/B14)</x:f>
        <x:v>5.6079166666666715</x:v>
      </x:c>
      <x:c r="D14" s="27" t="n">
        <x:f>IF(B14=0,"",SUMIFS('Cars'!$S$5:$S$3804,'Cars'!$E$5:$E$3804,IF($B$4="All","*",$B$4),'Cars'!$F$5:$F$3804,IF($D$4="All","*",$D$4),'Cars'!$C$5:$C$3804,A14)/B14)</x:f>
        <x:v>0.33517446969696973</x:v>
      </x:c>
      <x:c r="E14" s="1"/>
      <x:c r="F14" s="1"/>
      <x:c r="G14" s="1"/>
      <x:c r="H14" s="1"/>
      <x:c r="I14" s="1"/>
      <x:c r="J14" s="1"/>
      <x:c r="K14" s="1"/>
      <x:c r="L14" s="1"/>
    </x:row>
    <x:row r="15" ht="22" customHeight="1">
      <x:c r="A15" s="1" t="str">
        <x:v>Safari</x:v>
      </x:c>
      <x:c r="B15" s="1" t="n">
        <x:f>COUNTIFS('Cars'!$E$5:$E$3804,IF($B$4="All","*",$B$4),'Cars'!$F$5:$F$3804,IF($D$4="All","*",$D$4),'Cars'!$C$5:$C$3804,A15)</x:f>
        <x:v>400</x:v>
      </x:c>
      <x:c r="C15" s="26" t="n">
        <x:f>IF(B15=0,"",SUMIFS('Cars'!$P$5:$P$3804,'Cars'!$E$5:$E$3804,IF($B$4="All","*",$B$4),'Cars'!$F$5:$F$3804,IF($D$4="All","*",$D$4),'Cars'!$C$5:$C$3804,A15)/B15)</x:f>
        <x:v>15.074525000000003</x:v>
      </x:c>
      <x:c r="D15" s="27" t="n">
        <x:f>IF(B15=0,"",SUMIFS('Cars'!$S$5:$S$3804,'Cars'!$E$5:$E$3804,IF($B$4="All","*",$B$4),'Cars'!$F$5:$F$3804,IF($D$4="All","*",$D$4),'Cars'!$C$5:$C$3804,A15)/B15)</x:f>
        <x:v>0.2990095486111111</x:v>
      </x:c>
      <x:c r="E15" s="1"/>
      <x:c r="F15" s="1"/>
      <x:c r="G15" s="1"/>
      <x:c r="H15" s="1"/>
      <x:c r="I15" s="1"/>
      <x:c r="J15" s="1"/>
      <x:c r="K15" s="1"/>
      <x:c r="L15" s="1"/>
    </x:row>
    <x:row r="16" ht="22" customHeight="1">
      <x:c r="A16" s="1" t="str">
        <x:v>Tiago</x:v>
      </x:c>
      <x:c r="B16" s="1" t="n">
        <x:f>COUNTIFS('Cars'!$E$5:$E$3804,IF($B$4="All","*",$B$4),'Cars'!$F$5:$F$3804,IF($D$4="All","*",$D$4),'Cars'!$C$5:$C$3804,A16)</x:f>
        <x:v>800</x:v>
      </x:c>
      <x:c r="C16" s="26" t="n">
        <x:f>IF(B16=0,"",SUMIFS('Cars'!$P$5:$P$3804,'Cars'!$E$5:$E$3804,IF($B$4="All","*",$B$4),'Cars'!$F$5:$F$3804,IF($D$4="All","*",$D$4),'Cars'!$C$5:$C$3804,A16)/B16)</x:f>
        <x:v>4.365312500000003</x:v>
      </x:c>
      <x:c r="D16" s="27" t="n">
        <x:f>IF(B16=0,"",SUMIFS('Cars'!$S$5:$S$3804,'Cars'!$E$5:$E$3804,IF($B$4="All","*",$B$4),'Cars'!$F$5:$F$3804,IF($D$4="All","*",$D$4),'Cars'!$C$5:$C$3804,A16)/B16)</x:f>
        <x:v>0.33334396268291383</x:v>
      </x:c>
      <x:c r="E16" s="1"/>
      <x:c r="F16" s="1"/>
      <x:c r="G16" s="1"/>
      <x:c r="H16" s="1"/>
      <x:c r="I16" s="1"/>
      <x:c r="J16" s="1"/>
      <x:c r="K16" s="1"/>
      <x:c r="L16" s="1"/>
    </x:row>
    <x:row r="17" ht="22" customHeight="1">
      <x:c r="A17" s="1" t="str">
        <x:v>Tigor</x:v>
      </x:c>
      <x:c r="B17" s="1" t="n">
        <x:f>COUNTIFS('Cars'!$E$5:$E$3804,IF($B$4="All","*",$B$4),'Cars'!$F$5:$F$3804,IF($D$4="All","*",$D$4),'Cars'!$C$5:$C$3804,A17)</x:f>
        <x:v>400</x:v>
      </x:c>
      <x:c r="C17" s="26" t="n">
        <x:f>IF(B17=0,"",SUMIFS('Cars'!$P$5:$P$3804,'Cars'!$E$5:$E$3804,IF($B$4="All","*",$B$4),'Cars'!$F$5:$F$3804,IF($D$4="All","*",$D$4),'Cars'!$C$5:$C$3804,A17)/B17)</x:f>
        <x:v>4.965875000000002</x:v>
      </x:c>
      <x:c r="D17" s="27" t="n">
        <x:f>IF(B17=0,"",SUMIFS('Cars'!$S$5:$S$3804,'Cars'!$E$5:$E$3804,IF($B$4="All","*",$B$4),'Cars'!$F$5:$F$3804,IF($D$4="All","*",$D$4),'Cars'!$C$5:$C$3804,A17)/B17)</x:f>
        <x:v>0.3256892884036145</x:v>
      </x:c>
      <x:c r="E17" s="1"/>
      <x:c r="F17" s="1"/>
      <x:c r="G17" s="1"/>
      <x:c r="H17" s="1"/>
      <x:c r="I17" s="1"/>
      <x:c r="J17" s="1"/>
      <x:c r="K17" s="1"/>
      <x:c r="L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34" customHeight="1">
      <x:c r="A21" s="18" t="str">
        <x:v>Vehicle year</x:v>
      </x:c>
      <x:c r="B21" s="18" t="str">
        <x:v>Vehicles</x:v>
      </x:c>
      <x:c r="C21" s="18" t="str">
        <x:v>Mean resale (lakh)</x:v>
      </x:c>
      <x:c r="D21" s="18" t="str">
        <x:v>Mean distance (km)</x:v>
      </x:c>
      <x:c r="E21" s="1"/>
      <x:c r="F21" s="1"/>
      <x:c r="G21" s="1"/>
      <x:c r="H21" s="1"/>
      <x:c r="I21" s="1"/>
      <x:c r="J21" s="1"/>
      <x:c r="K21" s="1"/>
      <x:c r="L21" s="1"/>
    </x:row>
    <x:row r="22" ht="22" customHeight="1">
      <x:c r="A22" s="1" t="n">
        <x:v>2020</x:v>
      </x:c>
      <x:c r="B22" s="1" t="n">
        <x:f>COUNTIFS('Cars'!$E$5:$E$3804,IF($B$4="All","*",$B$4),'Cars'!$F$5:$F$3804,IF($D$4="All","*",$D$4),'Cars'!$L$5:$L$3804,A22)</x:f>
        <x:v>513</x:v>
      </x:c>
      <x:c r="C22" s="26" t="n">
        <x:f>IF(B22=0,"",SUMIFS('Cars'!$P$5:$P$3804,'Cars'!$E$5:$E$3804,IF($B$4="All","*",$B$4),'Cars'!$F$5:$F$3804,IF($D$4="All","*",$D$4),'Cars'!$L$5:$L$3804,A22)/B22)</x:f>
        <x:v>4.1538596491228095</x:v>
      </x:c>
      <x:c r="D22" s="28" t="n">
        <x:f>IF(B22=0,"",SUMIFS('Cars'!$M$5:$M$3804,'Cars'!$E$5:$E$3804,IF($B$4="All","*",$B$4),'Cars'!$F$5:$F$3804,IF($D$4="All","*",$D$4),'Cars'!$L$5:$L$3804,A22)/B22)</x:f>
        <x:v>92106.80701754386</x:v>
      </x:c>
      <x:c r="E22" s="1"/>
      <x:c r="F22" s="1"/>
      <x:c r="G22" s="1"/>
      <x:c r="H22" s="1"/>
      <x:c r="I22" s="1"/>
      <x:c r="J22" s="1"/>
      <x:c r="K22" s="1"/>
      <x:c r="L22" s="1"/>
    </x:row>
    <x:row r="23" ht="22" customHeight="1">
      <x:c r="A23" s="1" t="n">
        <x:v>2021</x:v>
      </x:c>
      <x:c r="B23" s="1" t="n">
        <x:f>COUNTIFS('Cars'!$E$5:$E$3804,IF($B$4="All","*",$B$4),'Cars'!$F$5:$F$3804,IF($D$4="All","*",$D$4),'Cars'!$L$5:$L$3804,A23)</x:f>
        <x:v>553</x:v>
      </x:c>
      <x:c r="C23" s="26" t="n">
        <x:f>IF(B23=0,"",SUMIFS('Cars'!$P$5:$P$3804,'Cars'!$E$5:$E$3804,IF($B$4="All","*",$B$4),'Cars'!$F$5:$F$3804,IF($D$4="All","*",$D$4),'Cars'!$L$5:$L$3804,A23)/B23)</x:f>
        <x:v>5.326582278481013</x:v>
      </x:c>
      <x:c r="D23" s="28" t="n">
        <x:f>IF(B23=0,"",SUMIFS('Cars'!$M$5:$M$3804,'Cars'!$E$5:$E$3804,IF($B$4="All","*",$B$4),'Cars'!$F$5:$F$3804,IF($D$4="All","*",$D$4),'Cars'!$L$5:$L$3804,A23)/B23)</x:f>
        <x:v>77891.84990958408</x:v>
      </x:c>
      <x:c r="E23" s="1"/>
      <x:c r="F23" s="1"/>
      <x:c r="G23" s="1"/>
      <x:c r="H23" s="1"/>
      <x:c r="I23" s="1"/>
      <x:c r="J23" s="1"/>
      <x:c r="K23" s="1"/>
      <x:c r="L23" s="1"/>
    </x:row>
    <x:row r="24" ht="22" customHeight="1">
      <x:c r="A24" s="1" t="n">
        <x:v>2022</x:v>
      </x:c>
      <x:c r="B24" s="1" t="n">
        <x:f>COUNTIFS('Cars'!$E$5:$E$3804,IF($B$4="All","*",$B$4),'Cars'!$F$5:$F$3804,IF($D$4="All","*",$D$4),'Cars'!$L$5:$L$3804,A24)</x:f>
        <x:v>548</x:v>
      </x:c>
      <x:c r="C24" s="26" t="n">
        <x:f>IF(B24=0,"",SUMIFS('Cars'!$P$5:$P$3804,'Cars'!$E$5:$E$3804,IF($B$4="All","*",$B$4),'Cars'!$F$5:$F$3804,IF($D$4="All","*",$D$4),'Cars'!$L$5:$L$3804,A24)/B24)</x:f>
        <x:v>6.439379562043796</x:v>
      </x:c>
      <x:c r="D24" s="28" t="n">
        <x:f>IF(B24=0,"",SUMIFS('Cars'!$M$5:$M$3804,'Cars'!$E$5:$E$3804,IF($B$4="All","*",$B$4),'Cars'!$F$5:$F$3804,IF($D$4="All","*",$D$4),'Cars'!$L$5:$L$3804,A24)/B24)</x:f>
        <x:v>62597.211678832115</x:v>
      </x:c>
      <x:c r="E24" s="1"/>
      <x:c r="F24" s="1"/>
      <x:c r="G24" s="1"/>
      <x:c r="H24" s="1"/>
      <x:c r="I24" s="1"/>
      <x:c r="J24" s="1"/>
      <x:c r="K24" s="1"/>
      <x:c r="L24" s="1"/>
    </x:row>
    <x:row r="25" ht="22" customHeight="1">
      <x:c r="A25" s="1" t="n">
        <x:v>2023</x:v>
      </x:c>
      <x:c r="B25" s="1" t="n">
        <x:f>COUNTIFS('Cars'!$E$5:$E$3804,IF($B$4="All","*",$B$4),'Cars'!$F$5:$F$3804,IF($D$4="All","*",$D$4),'Cars'!$L$5:$L$3804,A25)</x:f>
        <x:v>526</x:v>
      </x:c>
      <x:c r="C25" s="26" t="n">
        <x:f>IF(B25=0,"",SUMIFS('Cars'!$P$5:$P$3804,'Cars'!$E$5:$E$3804,IF($B$4="All","*",$B$4),'Cars'!$F$5:$F$3804,IF($D$4="All","*",$D$4),'Cars'!$L$5:$L$3804,A25)/B25)</x:f>
        <x:v>7.7021482889733885</x:v>
      </x:c>
      <x:c r="D25" s="28" t="n">
        <x:f>IF(B25=0,"",SUMIFS('Cars'!$M$5:$M$3804,'Cars'!$E$5:$E$3804,IF($B$4="All","*",$B$4),'Cars'!$F$5:$F$3804,IF($D$4="All","*",$D$4),'Cars'!$L$5:$L$3804,A25)/B25)</x:f>
        <x:v>49128.93536121673</x:v>
      </x:c>
      <x:c r="E25" s="1"/>
      <x:c r="F25" s="1"/>
      <x:c r="G25" s="1"/>
      <x:c r="H25" s="1"/>
      <x:c r="I25" s="1"/>
      <x:c r="J25" s="1"/>
      <x:c r="K25" s="1"/>
      <x:c r="L25" s="1"/>
    </x:row>
    <x:row r="26" ht="22" customHeight="1">
      <x:c r="A26" s="1" t="n">
        <x:v>2024</x:v>
      </x:c>
      <x:c r="B26" s="1" t="n">
        <x:f>COUNTIFS('Cars'!$E$5:$E$3804,IF($B$4="All","*",$B$4),'Cars'!$F$5:$F$3804,IF($D$4="All","*",$D$4),'Cars'!$L$5:$L$3804,A26)</x:f>
        <x:v>548</x:v>
      </x:c>
      <x:c r="C26" s="26" t="n">
        <x:f>IF(B26=0,"",SUMIFS('Cars'!$P$5:$P$3804,'Cars'!$E$5:$E$3804,IF($B$4="All","*",$B$4),'Cars'!$F$5:$F$3804,IF($D$4="All","*",$D$4),'Cars'!$L$5:$L$3804,A26)/B26)</x:f>
        <x:v>8.51197080291971</x:v>
      </x:c>
      <x:c r="D26" s="28" t="n">
        <x:f>IF(B26=0,"",SUMIFS('Cars'!$M$5:$M$3804,'Cars'!$E$5:$E$3804,IF($B$4="All","*",$B$4),'Cars'!$F$5:$F$3804,IF($D$4="All","*",$D$4),'Cars'!$L$5:$L$3804,A26)/B26)</x:f>
        <x:v>35410.859489051094</x:v>
      </x:c>
      <x:c r="E26" s="1"/>
      <x:c r="F26" s="1"/>
      <x:c r="G26" s="1"/>
      <x:c r="H26" s="1"/>
      <x:c r="I26" s="1"/>
      <x:c r="J26" s="1"/>
      <x:c r="K26" s="1"/>
      <x:c r="L26" s="1"/>
    </x:row>
    <x:row r="27" ht="22" customHeight="1">
      <x:c r="A27" s="1" t="n">
        <x:v>2025</x:v>
      </x:c>
      <x:c r="B27" s="1" t="n">
        <x:f>COUNTIFS('Cars'!$E$5:$E$3804,IF($B$4="All","*",$B$4),'Cars'!$F$5:$F$3804,IF($D$4="All","*",$D$4),'Cars'!$L$5:$L$3804,A27)</x:f>
        <x:v>568</x:v>
      </x:c>
      <x:c r="C27" s="26" t="n">
        <x:f>IF(B27=0,"",SUMIFS('Cars'!$P$5:$P$3804,'Cars'!$E$5:$E$3804,IF($B$4="All","*",$B$4),'Cars'!$F$5:$F$3804,IF($D$4="All","*",$D$4),'Cars'!$L$5:$L$3804,A27)/B27)</x:f>
        <x:v>9.929049295774657</x:v>
      </x:c>
      <x:c r="D27" s="28" t="n">
        <x:f>IF(B27=0,"",SUMIFS('Cars'!$M$5:$M$3804,'Cars'!$E$5:$E$3804,IF($B$4="All","*",$B$4),'Cars'!$F$5:$F$3804,IF($D$4="All","*",$D$4),'Cars'!$L$5:$L$3804,A27)/B27)</x:f>
        <x:v>20999.406690140844</x:v>
      </x:c>
      <x:c r="E27" s="1"/>
      <x:c r="F27" s="1"/>
      <x:c r="G27" s="1"/>
      <x:c r="H27" s="1"/>
      <x:c r="I27" s="1"/>
      <x:c r="J27" s="1"/>
      <x:c r="K27" s="1"/>
      <x:c r="L27" s="1"/>
    </x:row>
    <x:row r="28" ht="22" customHeight="1">
      <x:c r="A28" s="1" t="n">
        <x:v>2026</x:v>
      </x:c>
      <x:c r="B28" s="1" t="n">
        <x:f>COUNTIFS('Cars'!$E$5:$E$3804,IF($B$4="All","*",$B$4),'Cars'!$F$5:$F$3804,IF($D$4="All","*",$D$4),'Cars'!$L$5:$L$3804,A28)</x:f>
        <x:v>544</x:v>
      </x:c>
      <x:c r="C28" s="26" t="n">
        <x:f>IF(B28=0,"",SUMIFS('Cars'!$P$5:$P$3804,'Cars'!$E$5:$E$3804,IF($B$4="All","*",$B$4),'Cars'!$F$5:$F$3804,IF($D$4="All","*",$D$4),'Cars'!$L$5:$L$3804,A28)/B28)</x:f>
        <x:v>10.74650735294118</x:v>
      </x:c>
      <x:c r="D28" s="28" t="n">
        <x:f>IF(B28=0,"",SUMIFS('Cars'!$M$5:$M$3804,'Cars'!$E$5:$E$3804,IF($B$4="All","*",$B$4),'Cars'!$F$5:$F$3804,IF($D$4="All","*",$D$4),'Cars'!$L$5:$L$3804,A28)/B28)</x:f>
        <x:v>7031.575367647059</x:v>
      </x:c>
      <x:c r="E28" s="1"/>
      <x:c r="F28" s="1"/>
      <x:c r="G28" s="1"/>
      <x:c r="H28" s="1"/>
      <x:c r="I28" s="1"/>
      <x:c r="J28" s="1"/>
      <x:c r="K28" s="1"/>
      <x:c r="L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2" customHeight="1">
      <x:c r="A39" s="3" t="str">
        <x:v>Price gap is a depreciation proxy. No matching records return blank means. See Guide for definitions.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</x:sheetData>
  <x:dataValidations count="2">
    <x:dataValidation type="list" sqref="B4">
      <x:formula1>"All,Petrol,Diesel,CNG"</x:formula1>
    </x:dataValidation>
    <x:dataValidation type="list" sqref="D4">
      <x:formula1>"All,Manual,Automatic"</x:formula1>
    </x:dataValidation>
  </x:dataValidations>
  <x:pageMargins left="0.7" right="0.7" top="0.75" bottom="0.75" header="0.3" footer="0.3"/>
  <x:drawing xmlns:r="http://schemas.openxmlformats.org/officeDocument/2006/relationships" r:id="Raeb3624ad0974744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</x:cols>
  <x:sheetData>
    <x:row r="1" ht="32" customHeight="1">
      <x:c r="A1" s="2" t="str">
        <x:v>Car records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3" t="str">
        <x:v>Original 16 fields plus formula columns. Prices in lakh; 1 lakh = 100,000 source currency units.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4" customHeight="1">
      <x:c r="A4" s="15" t="str">
        <x:v>car_id</x:v>
      </x:c>
      <x:c r="B4" s="15" t="str">
        <x:v>brand</x:v>
      </x:c>
      <x:c r="C4" s="15" t="str">
        <x:v>model</x:v>
      </x:c>
      <x:c r="D4" s="15" t="str">
        <x:v>variant</x:v>
      </x:c>
      <x:c r="E4" s="15" t="str">
        <x:v>fuel_type</x:v>
      </x:c>
      <x:c r="F4" s="15" t="str">
        <x:v>transmission</x:v>
      </x:c>
      <x:c r="G4" s="15" t="str">
        <x:v>body_type</x:v>
      </x:c>
      <x:c r="H4" s="15" t="str">
        <x:v>engine_cc</x:v>
      </x:c>
      <x:c r="I4" s="15" t="str">
        <x:v>power_bhp</x:v>
      </x:c>
      <x:c r="J4" s="15" t="str">
        <x:v>mileage_kmpl</x:v>
      </x:c>
      <x:c r="K4" s="15" t="str">
        <x:v>ex_showroom_price_lakh</x:v>
      </x:c>
      <x:c r="L4" s="15" t="str">
        <x:v>year</x:v>
      </x:c>
      <x:c r="M4" s="15" t="str">
        <x:v>kilometers_driven</x:v>
      </x:c>
      <x:c r="N4" s="15" t="str">
        <x:v>owner_count</x:v>
      </x:c>
      <x:c r="O4" s="15" t="str">
        <x:v>accident_history</x:v>
      </x:c>
      <x:c r="P4" s="15" t="str">
        <x:v>resale_price_lakh</x:v>
      </x:c>
      <x:c r="Q4" s="15" t="str">
        <x:v>vehicle_age_years</x:v>
      </x:c>
      <x:c r="R4" s="15" t="str">
        <x:v>price_gap_lakh</x:v>
      </x:c>
      <x:c r="S4" s="15" t="str">
        <x:v>price_gap_pct</x:v>
      </x:c>
    </x:row>
    <x:row r="5" ht="22" customHeight="1">
      <x:c r="A5" s="6" t="n">
        <x:v>1</x:v>
      </x:c>
      <x:c r="B5" s="6" t="str">
        <x:v>Tata</x:v>
      </x:c>
      <x:c r="C5" s="6" t="str">
        <x:v>Tiago</x:v>
      </x:c>
      <x:c r="D5" s="6" t="str">
        <x:v>XE</x:v>
      </x:c>
      <x:c r="E5" s="6" t="str">
        <x:v>Petrol</x:v>
      </x:c>
      <x:c r="F5" s="6" t="str">
        <x:v>Manual</x:v>
      </x:c>
      <x:c r="G5" s="6" t="str">
        <x:v>Hatchback</x:v>
      </x:c>
      <x:c r="H5" s="6" t="n">
        <x:v>1199</x:v>
      </x:c>
      <x:c r="I5" s="6" t="n">
        <x:v>85</x:v>
      </x:c>
      <x:c r="J5" s="8" t="n">
        <x:v>20.1</x:v>
      </x:c>
      <x:c r="K5" s="8" t="n">
        <x:v>5.7</x:v>
      </x:c>
      <x:c r="L5" s="6" t="n">
        <x:v>2026</x:v>
      </x:c>
      <x:c r="M5" s="11" t="n">
        <x:v>4978</x:v>
      </x:c>
      <x:c r="N5" s="7" t="n">
        <x:v>2</x:v>
      </x:c>
      <x:c r="O5" s="7" t="n">
        <x:v>1</x:v>
      </x:c>
      <x:c r="P5" s="9" t="n">
        <x:v>4.48</x:v>
      </x:c>
      <x:c r="Q5" s="7" t="n">
        <x:f>'Guide'!$B$5-L5</x:f>
        <x:v>0</x:v>
      </x:c>
      <x:c r="R5" s="9" t="n">
        <x:f>K5-P5</x:f>
        <x:v>1.2199999999999998</x:v>
      </x:c>
      <x:c r="S5" s="10" t="n">
        <x:f>IF(K5&gt;0,R5/K5,"")</x:f>
        <x:v>0.2140350877192982</x:v>
      </x:c>
    </x:row>
    <x:row r="6" ht="22" customHeight="1">
      <x:c r="A6" s="6" t="n">
        <x:v>2</x:v>
      </x:c>
      <x:c r="B6" s="6" t="str">
        <x:v>Tata</x:v>
      </x:c>
      <x:c r="C6" s="6" t="str">
        <x:v>Tiago</x:v>
      </x:c>
      <x:c r="D6" s="6" t="str">
        <x:v>XE</x:v>
      </x:c>
      <x:c r="E6" s="6" t="str">
        <x:v>Petrol</x:v>
      </x:c>
      <x:c r="F6" s="6" t="str">
        <x:v>Manual</x:v>
      </x:c>
      <x:c r="G6" s="6" t="str">
        <x:v>Hatchback</x:v>
      </x:c>
      <x:c r="H6" s="6" t="n">
        <x:v>1199</x:v>
      </x:c>
      <x:c r="I6" s="6" t="n">
        <x:v>85</x:v>
      </x:c>
      <x:c r="J6" s="8" t="n">
        <x:v>20.1</x:v>
      </x:c>
      <x:c r="K6" s="8" t="n">
        <x:v>5.7</x:v>
      </x:c>
      <x:c r="L6" s="6" t="n">
        <x:v>2022</x:v>
      </x:c>
      <x:c r="M6" s="11" t="n">
        <x:v>84605</x:v>
      </x:c>
      <x:c r="N6" s="7" t="n">
        <x:v>2</x:v>
      </x:c>
      <x:c r="O6" s="7" t="n">
        <x:v>0</x:v>
      </x:c>
      <x:c r="P6" s="9" t="n">
        <x:v>3.18</x:v>
      </x:c>
      <x:c r="Q6" s="7" t="n">
        <x:f>'Guide'!$B$5-L6</x:f>
        <x:v>4</x:v>
      </x:c>
      <x:c r="R6" s="9" t="n">
        <x:f>K6-P6</x:f>
        <x:v>2.52</x:v>
      </x:c>
      <x:c r="S6" s="10" t="n">
        <x:f>IF(K6&gt;0,R6/K6,"")</x:f>
        <x:v>0.4421052631578947</x:v>
      </x:c>
    </x:row>
    <x:row r="7" ht="22" customHeight="1">
      <x:c r="A7" s="6" t="n">
        <x:v>3</x:v>
      </x:c>
      <x:c r="B7" s="6" t="str">
        <x:v>Tata</x:v>
      </x:c>
      <x:c r="C7" s="6" t="str">
        <x:v>Tiago</x:v>
      </x:c>
      <x:c r="D7" s="6" t="str">
        <x:v>XE</x:v>
      </x:c>
      <x:c r="E7" s="6" t="str">
        <x:v>Petrol</x:v>
      </x:c>
      <x:c r="F7" s="6" t="str">
        <x:v>Manual</x:v>
      </x:c>
      <x:c r="G7" s="6" t="str">
        <x:v>Hatchback</x:v>
      </x:c>
      <x:c r="H7" s="6" t="n">
        <x:v>1199</x:v>
      </x:c>
      <x:c r="I7" s="6" t="n">
        <x:v>85</x:v>
      </x:c>
      <x:c r="J7" s="8" t="n">
        <x:v>20.1</x:v>
      </x:c>
      <x:c r="K7" s="8" t="n">
        <x:v>5.7</x:v>
      </x:c>
      <x:c r="L7" s="6" t="n">
        <x:v>2023</x:v>
      </x:c>
      <x:c r="M7" s="11" t="n">
        <x:v>64915</x:v>
      </x:c>
      <x:c r="N7" s="7" t="n">
        <x:v>2</x:v>
      </x:c>
      <x:c r="O7" s="7" t="n">
        <x:v>0</x:v>
      </x:c>
      <x:c r="P7" s="9" t="n">
        <x:v>3.18</x:v>
      </x:c>
      <x:c r="Q7" s="7" t="n">
        <x:f>'Guide'!$B$5-L7</x:f>
        <x:v>3</x:v>
      </x:c>
      <x:c r="R7" s="9" t="n">
        <x:f>K7-P7</x:f>
        <x:v>2.52</x:v>
      </x:c>
      <x:c r="S7" s="10" t="n">
        <x:f>IF(K7&gt;0,R7/K7,"")</x:f>
        <x:v>0.4421052631578947</x:v>
      </x:c>
    </x:row>
    <x:row r="8" ht="22" customHeight="1">
      <x:c r="A8" s="6" t="n">
        <x:v>4</x:v>
      </x:c>
      <x:c r="B8" s="6" t="str">
        <x:v>Tata</x:v>
      </x:c>
      <x:c r="C8" s="6" t="str">
        <x:v>Tiago</x:v>
      </x:c>
      <x:c r="D8" s="6" t="str">
        <x:v>XE</x:v>
      </x:c>
      <x:c r="E8" s="6" t="str">
        <x:v>Petrol</x:v>
      </x:c>
      <x:c r="F8" s="6" t="str">
        <x:v>Manual</x:v>
      </x:c>
      <x:c r="G8" s="6" t="str">
        <x:v>Hatchback</x:v>
      </x:c>
      <x:c r="H8" s="6" t="n">
        <x:v>1199</x:v>
      </x:c>
      <x:c r="I8" s="6" t="n">
        <x:v>85</x:v>
      </x:c>
      <x:c r="J8" s="8" t="n">
        <x:v>20.1</x:v>
      </x:c>
      <x:c r="K8" s="8" t="n">
        <x:v>5.7</x:v>
      </x:c>
      <x:c r="L8" s="6" t="n">
        <x:v>2023</x:v>
      </x:c>
      <x:c r="M8" s="11" t="n">
        <x:v>43577</x:v>
      </x:c>
      <x:c r="N8" s="7" t="n">
        <x:v>1</x:v>
      </x:c>
      <x:c r="O8" s="7" t="n">
        <x:v>0</x:v>
      </x:c>
      <x:c r="P8" s="9" t="n">
        <x:v>4.06</x:v>
      </x:c>
      <x:c r="Q8" s="7" t="n">
        <x:f>'Guide'!$B$5-L8</x:f>
        <x:v>3</x:v>
      </x:c>
      <x:c r="R8" s="9" t="n">
        <x:f>K8-P8</x:f>
        <x:v>1.6400000000000006</x:v>
      </x:c>
      <x:c r="S8" s="10" t="n">
        <x:f>IF(K8&gt;0,R8/K8,"")</x:f>
        <x:v>0.28771929824561415</x:v>
      </x:c>
    </x:row>
    <x:row r="9" ht="22" customHeight="1">
      <x:c r="A9" s="6" t="n">
        <x:v>5</x:v>
      </x:c>
      <x:c r="B9" s="6" t="str">
        <x:v>Tata</x:v>
      </x:c>
      <x:c r="C9" s="6" t="str">
        <x:v>Tiago</x:v>
      </x:c>
      <x:c r="D9" s="6" t="str">
        <x:v>XE</x:v>
      </x:c>
      <x:c r="E9" s="6" t="str">
        <x:v>Petrol</x:v>
      </x:c>
      <x:c r="F9" s="6" t="str">
        <x:v>Manual</x:v>
      </x:c>
      <x:c r="G9" s="6" t="str">
        <x:v>Hatchback</x:v>
      </x:c>
      <x:c r="H9" s="6" t="n">
        <x:v>1199</x:v>
      </x:c>
      <x:c r="I9" s="6" t="n">
        <x:v>85</x:v>
      </x:c>
      <x:c r="J9" s="8" t="n">
        <x:v>20.1</x:v>
      </x:c>
      <x:c r="K9" s="8" t="n">
        <x:v>5.7</x:v>
      </x:c>
      <x:c r="L9" s="6" t="n">
        <x:v>2024</x:v>
      </x:c>
      <x:c r="M9" s="11" t="n">
        <x:v>40448</x:v>
      </x:c>
      <x:c r="N9" s="7" t="n">
        <x:v>3</x:v>
      </x:c>
      <x:c r="O9" s="7" t="n">
        <x:v>0</x:v>
      </x:c>
      <x:c r="P9" s="9" t="n">
        <x:v>3.43</x:v>
      </x:c>
      <x:c r="Q9" s="7" t="n">
        <x:f>'Guide'!$B$5-L9</x:f>
        <x:v>2</x:v>
      </x:c>
      <x:c r="R9" s="9" t="n">
        <x:f>K9-P9</x:f>
        <x:v>2.27</x:v>
      </x:c>
      <x:c r="S9" s="10" t="n">
        <x:f>IF(K9&gt;0,R9/K9,"")</x:f>
        <x:v>0.39824561403508774</x:v>
      </x:c>
    </x:row>
    <x:row r="10" ht="22" customHeight="1">
      <x:c r="A10" s="6" t="n">
        <x:v>6</x:v>
      </x:c>
      <x:c r="B10" s="6" t="str">
        <x:v>Tata</x:v>
      </x:c>
      <x:c r="C10" s="6" t="str">
        <x:v>Tiago</x:v>
      </x:c>
      <x:c r="D10" s="6" t="str">
        <x:v>XE</x:v>
      </x:c>
      <x:c r="E10" s="6" t="str">
        <x:v>Petrol</x:v>
      </x:c>
      <x:c r="F10" s="6" t="str">
        <x:v>Manual</x:v>
      </x:c>
      <x:c r="G10" s="6" t="str">
        <x:v>Hatchback</x:v>
      </x:c>
      <x:c r="H10" s="6" t="n">
        <x:v>1199</x:v>
      </x:c>
      <x:c r="I10" s="6" t="n">
        <x:v>85</x:v>
      </x:c>
      <x:c r="J10" s="8" t="n">
        <x:v>20.1</x:v>
      </x:c>
      <x:c r="K10" s="8" t="n">
        <x:v>5.7</x:v>
      </x:c>
      <x:c r="L10" s="6" t="n">
        <x:v>2023</x:v>
      </x:c>
      <x:c r="M10" s="11" t="n">
        <x:v>43675</x:v>
      </x:c>
      <x:c r="N10" s="7" t="n">
        <x:v>1</x:v>
      </x:c>
      <x:c r="O10" s="7" t="n">
        <x:v>0</x:v>
      </x:c>
      <x:c r="P10" s="9" t="n">
        <x:v>4.36</x:v>
      </x:c>
      <x:c r="Q10" s="7" t="n">
        <x:f>'Guide'!$B$5-L10</x:f>
        <x:v>3</x:v>
      </x:c>
      <x:c r="R10" s="9" t="n">
        <x:f>K10-P10</x:f>
        <x:v>1.3399999999999999</x:v>
      </x:c>
      <x:c r="S10" s="10" t="n">
        <x:f>IF(K10&gt;0,R10/K10,"")</x:f>
        <x:v>0.2350877192982456</x:v>
      </x:c>
    </x:row>
    <x:row r="11" ht="22" customHeight="1">
      <x:c r="A11" s="6" t="n">
        <x:v>7</x:v>
      </x:c>
      <x:c r="B11" s="6" t="str">
        <x:v>Tata</x:v>
      </x:c>
      <x:c r="C11" s="6" t="str">
        <x:v>Tiago</x:v>
      </x:c>
      <x:c r="D11" s="6" t="str">
        <x:v>XE</x:v>
      </x:c>
      <x:c r="E11" s="6" t="str">
        <x:v>Petrol</x:v>
      </x:c>
      <x:c r="F11" s="6" t="str">
        <x:v>Manual</x:v>
      </x:c>
      <x:c r="G11" s="6" t="str">
        <x:v>Hatchback</x:v>
      </x:c>
      <x:c r="H11" s="6" t="n">
        <x:v>1199</x:v>
      </x:c>
      <x:c r="I11" s="6" t="n">
        <x:v>85</x:v>
      </x:c>
      <x:c r="J11" s="8" t="n">
        <x:v>20.1</x:v>
      </x:c>
      <x:c r="K11" s="8" t="n">
        <x:v>5.7</x:v>
      </x:c>
      <x:c r="L11" s="6" t="n">
        <x:v>2023</x:v>
      </x:c>
      <x:c r="M11" s="11" t="n">
        <x:v>53770</x:v>
      </x:c>
      <x:c r="N11" s="7" t="n">
        <x:v>1</x:v>
      </x:c>
      <x:c r="O11" s="7" t="n">
        <x:v>0</x:v>
      </x:c>
      <x:c r="P11" s="9" t="n">
        <x:v>3.9</x:v>
      </x:c>
      <x:c r="Q11" s="7" t="n">
        <x:f>'Guide'!$B$5-L11</x:f>
        <x:v>3</x:v>
      </x:c>
      <x:c r="R11" s="9" t="n">
        <x:f>K11-P11</x:f>
        <x:v>1.8000000000000003</x:v>
      </x:c>
      <x:c r="S11" s="10" t="n">
        <x:f>IF(K11&gt;0,R11/K11,"")</x:f>
        <x:v>0.31578947368421056</x:v>
      </x:c>
    </x:row>
    <x:row r="12" ht="22" customHeight="1">
      <x:c r="A12" s="6" t="n">
        <x:v>8</x:v>
      </x:c>
      <x:c r="B12" s="6" t="str">
        <x:v>Tata</x:v>
      </x:c>
      <x:c r="C12" s="6" t="str">
        <x:v>Tiago</x:v>
      </x:c>
      <x:c r="D12" s="6" t="str">
        <x:v>XE</x:v>
      </x:c>
      <x:c r="E12" s="6" t="str">
        <x:v>Petrol</x:v>
      </x:c>
      <x:c r="F12" s="6" t="str">
        <x:v>Manual</x:v>
      </x:c>
      <x:c r="G12" s="6" t="str">
        <x:v>Hatchback</x:v>
      </x:c>
      <x:c r="H12" s="6" t="n">
        <x:v>1199</x:v>
      </x:c>
      <x:c r="I12" s="6" t="n">
        <x:v>85</x:v>
      </x:c>
      <x:c r="J12" s="8" t="n">
        <x:v>20.1</x:v>
      </x:c>
      <x:c r="K12" s="8" t="n">
        <x:v>5.7</x:v>
      </x:c>
      <x:c r="L12" s="6" t="n">
        <x:v>2023</x:v>
      </x:c>
      <x:c r="M12" s="11" t="n">
        <x:v>62430</x:v>
      </x:c>
      <x:c r="N12" s="7" t="n">
        <x:v>1</x:v>
      </x:c>
      <x:c r="O12" s="7" t="n">
        <x:v>0</x:v>
      </x:c>
      <x:c r="P12" s="9" t="n">
        <x:v>3.71</x:v>
      </x:c>
      <x:c r="Q12" s="7" t="n">
        <x:f>'Guide'!$B$5-L12</x:f>
        <x:v>3</x:v>
      </x:c>
      <x:c r="R12" s="9" t="n">
        <x:f>K12-P12</x:f>
        <x:v>1.9900000000000002</x:v>
      </x:c>
      <x:c r="S12" s="10" t="n">
        <x:f>IF(K12&gt;0,R12/K12,"")</x:f>
        <x:v>0.3491228070175439</x:v>
      </x:c>
    </x:row>
    <x:row r="13" ht="22" customHeight="1">
      <x:c r="A13" s="6" t="n">
        <x:v>9</x:v>
      </x:c>
      <x:c r="B13" s="6" t="str">
        <x:v>Tata</x:v>
      </x:c>
      <x:c r="C13" s="6" t="str">
        <x:v>Tiago</x:v>
      </x:c>
      <x:c r="D13" s="6" t="str">
        <x:v>XE</x:v>
      </x:c>
      <x:c r="E13" s="6" t="str">
        <x:v>Petrol</x:v>
      </x:c>
      <x:c r="F13" s="6" t="str">
        <x:v>Manual</x:v>
      </x:c>
      <x:c r="G13" s="6" t="str">
        <x:v>Hatchback</x:v>
      </x:c>
      <x:c r="H13" s="6" t="n">
        <x:v>1199</x:v>
      </x:c>
      <x:c r="I13" s="6" t="n">
        <x:v>85</x:v>
      </x:c>
      <x:c r="J13" s="8" t="n">
        <x:v>20.1</x:v>
      </x:c>
      <x:c r="K13" s="8" t="n">
        <x:v>5.7</x:v>
      </x:c>
      <x:c r="L13" s="6" t="n">
        <x:v>2025</x:v>
      </x:c>
      <x:c r="M13" s="11" t="n">
        <x:v>22996</x:v>
      </x:c>
      <x:c r="N13" s="7" t="n">
        <x:v>1</x:v>
      </x:c>
      <x:c r="O13" s="7" t="n">
        <x:v>0</x:v>
      </x:c>
      <x:c r="P13" s="9" t="n">
        <x:v>5.37</x:v>
      </x:c>
      <x:c r="Q13" s="7" t="n">
        <x:f>'Guide'!$B$5-L13</x:f>
        <x:v>1</x:v>
      </x:c>
      <x:c r="R13" s="9" t="n">
        <x:f>K13-P13</x:f>
        <x:v>0.33000000000000007</x:v>
      </x:c>
      <x:c r="S13" s="10" t="n">
        <x:f>IF(K13&gt;0,R13/K13,"")</x:f>
        <x:v>0.05789473684210528</x:v>
      </x:c>
    </x:row>
    <x:row r="14" ht="22" customHeight="1">
      <x:c r="A14" s="6" t="n">
        <x:v>10</x:v>
      </x:c>
      <x:c r="B14" s="6" t="str">
        <x:v>Tata</x:v>
      </x:c>
      <x:c r="C14" s="6" t="str">
        <x:v>Tiago</x:v>
      </x:c>
      <x:c r="D14" s="6" t="str">
        <x:v>XE</x:v>
      </x:c>
      <x:c r="E14" s="6" t="str">
        <x:v>Petrol</x:v>
      </x:c>
      <x:c r="F14" s="6" t="str">
        <x:v>Manual</x:v>
      </x:c>
      <x:c r="G14" s="6" t="str">
        <x:v>Hatchback</x:v>
      </x:c>
      <x:c r="H14" s="6" t="n">
        <x:v>1199</x:v>
      </x:c>
      <x:c r="I14" s="6" t="n">
        <x:v>85</x:v>
      </x:c>
      <x:c r="J14" s="8" t="n">
        <x:v>20.1</x:v>
      </x:c>
      <x:c r="K14" s="8" t="n">
        <x:v>5.7</x:v>
      </x:c>
      <x:c r="L14" s="6" t="n">
        <x:v>2025</x:v>
      </x:c>
      <x:c r="M14" s="11" t="n">
        <x:v>12613</x:v>
      </x:c>
      <x:c r="N14" s="7" t="n">
        <x:v>1</x:v>
      </x:c>
      <x:c r="O14" s="7" t="n">
        <x:v>0</x:v>
      </x:c>
      <x:c r="P14" s="9" t="n">
        <x:v>5.06</x:v>
      </x:c>
      <x:c r="Q14" s="7" t="n">
        <x:f>'Guide'!$B$5-L14</x:f>
        <x:v>1</x:v>
      </x:c>
      <x:c r="R14" s="9" t="n">
        <x:f>K14-P14</x:f>
        <x:v>0.6400000000000006</x:v>
      </x:c>
      <x:c r="S14" s="10" t="n">
        <x:f>IF(K14&gt;0,R14/K14,"")</x:f>
        <x:v>0.11228070175438606</x:v>
      </x:c>
    </x:row>
    <x:row r="15" ht="22" customHeight="1">
      <x:c r="A15" s="6" t="n">
        <x:v>11</x:v>
      </x:c>
      <x:c r="B15" s="6" t="str">
        <x:v>Tata</x:v>
      </x:c>
      <x:c r="C15" s="6" t="str">
        <x:v>Tiago</x:v>
      </x:c>
      <x:c r="D15" s="6" t="str">
        <x:v>XE</x:v>
      </x:c>
      <x:c r="E15" s="6" t="str">
        <x:v>Petrol</x:v>
      </x:c>
      <x:c r="F15" s="6" t="str">
        <x:v>Manual</x:v>
      </x:c>
      <x:c r="G15" s="6" t="str">
        <x:v>Hatchback</x:v>
      </x:c>
      <x:c r="H15" s="6" t="n">
        <x:v>1199</x:v>
      </x:c>
      <x:c r="I15" s="6" t="n">
        <x:v>85</x:v>
      </x:c>
      <x:c r="J15" s="8" t="n">
        <x:v>20.1</x:v>
      </x:c>
      <x:c r="K15" s="8" t="n">
        <x:v>5.7</x:v>
      </x:c>
      <x:c r="L15" s="6" t="n">
        <x:v>2024</x:v>
      </x:c>
      <x:c r="M15" s="11" t="n">
        <x:v>43619</x:v>
      </x:c>
      <x:c r="N15" s="7" t="n">
        <x:v>1</x:v>
      </x:c>
      <x:c r="O15" s="7" t="n">
        <x:v>0</x:v>
      </x:c>
      <x:c r="P15" s="9" t="n">
        <x:v>4.24</x:v>
      </x:c>
      <x:c r="Q15" s="7" t="n">
        <x:f>'Guide'!$B$5-L15</x:f>
        <x:v>2</x:v>
      </x:c>
      <x:c r="R15" s="9" t="n">
        <x:f>K15-P15</x:f>
        <x:v>1.46</x:v>
      </x:c>
      <x:c r="S15" s="10" t="n">
        <x:f>IF(K15&gt;0,R15/K15,"")</x:f>
        <x:v>0.25614035087719295</x:v>
      </x:c>
    </x:row>
    <x:row r="16" ht="22" customHeight="1">
      <x:c r="A16" s="6" t="n">
        <x:v>12</x:v>
      </x:c>
      <x:c r="B16" s="6" t="str">
        <x:v>Tata</x:v>
      </x:c>
      <x:c r="C16" s="6" t="str">
        <x:v>Tiago</x:v>
      </x:c>
      <x:c r="D16" s="6" t="str">
        <x:v>XE</x:v>
      </x:c>
      <x:c r="E16" s="6" t="str">
        <x:v>Petrol</x:v>
      </x:c>
      <x:c r="F16" s="6" t="str">
        <x:v>Manual</x:v>
      </x:c>
      <x:c r="G16" s="6" t="str">
        <x:v>Hatchback</x:v>
      </x:c>
      <x:c r="H16" s="6" t="n">
        <x:v>1199</x:v>
      </x:c>
      <x:c r="I16" s="6" t="n">
        <x:v>85</x:v>
      </x:c>
      <x:c r="J16" s="8" t="n">
        <x:v>20.1</x:v>
      </x:c>
      <x:c r="K16" s="8" t="n">
        <x:v>5.7</x:v>
      </x:c>
      <x:c r="L16" s="6" t="n">
        <x:v>2024</x:v>
      </x:c>
      <x:c r="M16" s="11" t="n">
        <x:v>49947</x:v>
      </x:c>
      <x:c r="N16" s="7" t="n">
        <x:v>1</x:v>
      </x:c>
      <x:c r="O16" s="7" t="n">
        <x:v>0</x:v>
      </x:c>
      <x:c r="P16" s="9" t="n">
        <x:v>4.63</x:v>
      </x:c>
      <x:c r="Q16" s="7" t="n">
        <x:f>'Guide'!$B$5-L16</x:f>
        <x:v>2</x:v>
      </x:c>
      <x:c r="R16" s="9" t="n">
        <x:f>K16-P16</x:f>
        <x:v>1.0700000000000003</x:v>
      </x:c>
      <x:c r="S16" s="10" t="n">
        <x:f>IF(K16&gt;0,R16/K16,"")</x:f>
        <x:v>0.1877192982456141</x:v>
      </x:c>
    </x:row>
    <x:row r="17" ht="22" customHeight="1">
      <x:c r="A17" s="6" t="n">
        <x:v>13</x:v>
      </x:c>
      <x:c r="B17" s="6" t="str">
        <x:v>Tata</x:v>
      </x:c>
      <x:c r="C17" s="6" t="str">
        <x:v>Tiago</x:v>
      </x:c>
      <x:c r="D17" s="6" t="str">
        <x:v>XE</x:v>
      </x:c>
      <x:c r="E17" s="6" t="str">
        <x:v>Petrol</x:v>
      </x:c>
      <x:c r="F17" s="6" t="str">
        <x:v>Manual</x:v>
      </x:c>
      <x:c r="G17" s="6" t="str">
        <x:v>Hatchback</x:v>
      </x:c>
      <x:c r="H17" s="6" t="n">
        <x:v>1199</x:v>
      </x:c>
      <x:c r="I17" s="6" t="n">
        <x:v>85</x:v>
      </x:c>
      <x:c r="J17" s="8" t="n">
        <x:v>20.1</x:v>
      </x:c>
      <x:c r="K17" s="8" t="n">
        <x:v>5.7</x:v>
      </x:c>
      <x:c r="L17" s="6" t="n">
        <x:v>2026</x:v>
      </x:c>
      <x:c r="M17" s="11" t="n">
        <x:v>4011</x:v>
      </x:c>
      <x:c r="N17" s="7" t="n">
        <x:v>1</x:v>
      </x:c>
      <x:c r="O17" s="7" t="n">
        <x:v>0</x:v>
      </x:c>
      <x:c r="P17" s="9" t="n">
        <x:v>5.63</x:v>
      </x:c>
      <x:c r="Q17" s="7" t="n">
        <x:f>'Guide'!$B$5-L17</x:f>
        <x:v>0</x:v>
      </x:c>
      <x:c r="R17" s="9" t="n">
        <x:f>K17-P17</x:f>
        <x:v>0.07000000000000028</x:v>
      </x:c>
      <x:c r="S17" s="10" t="n">
        <x:f>IF(K17&gt;0,R17/K17,"")</x:f>
        <x:v>0.012280701754386015</x:v>
      </x:c>
    </x:row>
    <x:row r="18" ht="22" customHeight="1">
      <x:c r="A18" s="6" t="n">
        <x:v>14</x:v>
      </x:c>
      <x:c r="B18" s="6" t="str">
        <x:v>Tata</x:v>
      </x:c>
      <x:c r="C18" s="6" t="str">
        <x:v>Tiago</x:v>
      </x:c>
      <x:c r="D18" s="6" t="str">
        <x:v>XE</x:v>
      </x:c>
      <x:c r="E18" s="6" t="str">
        <x:v>Petrol</x:v>
      </x:c>
      <x:c r="F18" s="6" t="str">
        <x:v>Manual</x:v>
      </x:c>
      <x:c r="G18" s="6" t="str">
        <x:v>Hatchback</x:v>
      </x:c>
      <x:c r="H18" s="6" t="n">
        <x:v>1199</x:v>
      </x:c>
      <x:c r="I18" s="6" t="n">
        <x:v>85</x:v>
      </x:c>
      <x:c r="J18" s="8" t="n">
        <x:v>20.1</x:v>
      </x:c>
      <x:c r="K18" s="8" t="n">
        <x:v>5.7</x:v>
      </x:c>
      <x:c r="L18" s="6" t="n">
        <x:v>2026</x:v>
      </x:c>
      <x:c r="M18" s="11" t="n">
        <x:v>4091</x:v>
      </x:c>
      <x:c r="N18" s="7" t="n">
        <x:v>1</x:v>
      </x:c>
      <x:c r="O18" s="7" t="n">
        <x:v>0</x:v>
      </x:c>
      <x:c r="P18" s="9" t="n">
        <x:v>5.91</x:v>
      </x:c>
      <x:c r="Q18" s="7" t="n">
        <x:f>'Guide'!$B$5-L18</x:f>
        <x:v>0</x:v>
      </x:c>
      <x:c r="R18" s="9" t="n">
        <x:f>K18-P18</x:f>
        <x:v>-0.20999999999999996</x:v>
      </x:c>
      <x:c r="S18" s="10" t="n">
        <x:f>IF(K18&gt;0,R18/K18,"")</x:f>
        <x:v>-0.036842105263157884</x:v>
      </x:c>
    </x:row>
    <x:row r="19" ht="22" customHeight="1">
      <x:c r="A19" s="6" t="n">
        <x:v>15</x:v>
      </x:c>
      <x:c r="B19" s="6" t="str">
        <x:v>Tata</x:v>
      </x:c>
      <x:c r="C19" s="6" t="str">
        <x:v>Tiago</x:v>
      </x:c>
      <x:c r="D19" s="6" t="str">
        <x:v>XE</x:v>
      </x:c>
      <x:c r="E19" s="6" t="str">
        <x:v>Petrol</x:v>
      </x:c>
      <x:c r="F19" s="6" t="str">
        <x:v>Manual</x:v>
      </x:c>
      <x:c r="G19" s="6" t="str">
        <x:v>Hatchback</x:v>
      </x:c>
      <x:c r="H19" s="6" t="n">
        <x:v>1199</x:v>
      </x:c>
      <x:c r="I19" s="6" t="n">
        <x:v>85</x:v>
      </x:c>
      <x:c r="J19" s="8" t="n">
        <x:v>20.1</x:v>
      </x:c>
      <x:c r="K19" s="8" t="n">
        <x:v>5.7</x:v>
      </x:c>
      <x:c r="L19" s="6" t="n">
        <x:v>2020</x:v>
      </x:c>
      <x:c r="M19" s="11" t="n">
        <x:v>55689</x:v>
      </x:c>
      <x:c r="N19" s="7" t="n">
        <x:v>1</x:v>
      </x:c>
      <x:c r="O19" s="7" t="n">
        <x:v>0</x:v>
      </x:c>
      <x:c r="P19" s="9" t="n">
        <x:v>2.43</x:v>
      </x:c>
      <x:c r="Q19" s="7" t="n">
        <x:f>'Guide'!$B$5-L19</x:f>
        <x:v>6</x:v>
      </x:c>
      <x:c r="R19" s="9" t="n">
        <x:f>K19-P19</x:f>
        <x:v>3.27</x:v>
      </x:c>
      <x:c r="S19" s="10" t="n">
        <x:f>IF(K19&gt;0,R19/K19,"")</x:f>
        <x:v>0.5736842105263158</x:v>
      </x:c>
    </x:row>
    <x:row r="20" ht="22" customHeight="1">
      <x:c r="A20" s="6" t="n">
        <x:v>16</x:v>
      </x:c>
      <x:c r="B20" s="6" t="str">
        <x:v>Tata</x:v>
      </x:c>
      <x:c r="C20" s="6" t="str">
        <x:v>Tiago</x:v>
      </x:c>
      <x:c r="D20" s="6" t="str">
        <x:v>XE</x:v>
      </x:c>
      <x:c r="E20" s="6" t="str">
        <x:v>Petrol</x:v>
      </x:c>
      <x:c r="F20" s="6" t="str">
        <x:v>Manual</x:v>
      </x:c>
      <x:c r="G20" s="6" t="str">
        <x:v>Hatchback</x:v>
      </x:c>
      <x:c r="H20" s="6" t="n">
        <x:v>1199</x:v>
      </x:c>
      <x:c r="I20" s="6" t="n">
        <x:v>85</x:v>
      </x:c>
      <x:c r="J20" s="8" t="n">
        <x:v>20.1</x:v>
      </x:c>
      <x:c r="K20" s="8" t="n">
        <x:v>5.7</x:v>
      </x:c>
      <x:c r="L20" s="6" t="n">
        <x:v>2025</x:v>
      </x:c>
      <x:c r="M20" s="11" t="n">
        <x:v>13229</x:v>
      </x:c>
      <x:c r="N20" s="7" t="n">
        <x:v>2</x:v>
      </x:c>
      <x:c r="O20" s="7" t="n">
        <x:v>0</x:v>
      </x:c>
      <x:c r="P20" s="9" t="n">
        <x:v>4.49</x:v>
      </x:c>
      <x:c r="Q20" s="7" t="n">
        <x:f>'Guide'!$B$5-L20</x:f>
        <x:v>1</x:v>
      </x:c>
      <x:c r="R20" s="9" t="n">
        <x:f>K20-P20</x:f>
        <x:v>1.21</x:v>
      </x:c>
      <x:c r="S20" s="10" t="n">
        <x:f>IF(K20&gt;0,R20/K20,"")</x:f>
        <x:v>0.21228070175438596</x:v>
      </x:c>
    </x:row>
    <x:row r="21" ht="22" customHeight="1">
      <x:c r="A21" s="6" t="n">
        <x:v>17</x:v>
      </x:c>
      <x:c r="B21" s="6" t="str">
        <x:v>Tata</x:v>
      </x:c>
      <x:c r="C21" s="6" t="str">
        <x:v>Tiago</x:v>
      </x:c>
      <x:c r="D21" s="6" t="str">
        <x:v>XE</x:v>
      </x:c>
      <x:c r="E21" s="6" t="str">
        <x:v>Petrol</x:v>
      </x:c>
      <x:c r="F21" s="6" t="str">
        <x:v>Manual</x:v>
      </x:c>
      <x:c r="G21" s="6" t="str">
        <x:v>Hatchback</x:v>
      </x:c>
      <x:c r="H21" s="6" t="n">
        <x:v>1199</x:v>
      </x:c>
      <x:c r="I21" s="6" t="n">
        <x:v>85</x:v>
      </x:c>
      <x:c r="J21" s="8" t="n">
        <x:v>20.1</x:v>
      </x:c>
      <x:c r="K21" s="8" t="n">
        <x:v>5.7</x:v>
      </x:c>
      <x:c r="L21" s="6" t="n">
        <x:v>2023</x:v>
      </x:c>
      <x:c r="M21" s="11" t="n">
        <x:v>33224</x:v>
      </x:c>
      <x:c r="N21" s="7" t="n">
        <x:v>1</x:v>
      </x:c>
      <x:c r="O21" s="7" t="n">
        <x:v>0</x:v>
      </x:c>
      <x:c r="P21" s="9" t="n">
        <x:v>4.45</x:v>
      </x:c>
      <x:c r="Q21" s="7" t="n">
        <x:f>'Guide'!$B$5-L21</x:f>
        <x:v>3</x:v>
      </x:c>
      <x:c r="R21" s="9" t="n">
        <x:f>K21-P21</x:f>
        <x:v>1.25</x:v>
      </x:c>
      <x:c r="S21" s="10" t="n">
        <x:f>IF(K21&gt;0,R21/K21,"")</x:f>
        <x:v>0.21929824561403508</x:v>
      </x:c>
    </x:row>
    <x:row r="22" ht="22" customHeight="1">
      <x:c r="A22" s="6" t="n">
        <x:v>18</x:v>
      </x:c>
      <x:c r="B22" s="6" t="str">
        <x:v>Tata</x:v>
      </x:c>
      <x:c r="C22" s="6" t="str">
        <x:v>Tiago</x:v>
      </x:c>
      <x:c r="D22" s="6" t="str">
        <x:v>XE</x:v>
      </x:c>
      <x:c r="E22" s="6" t="str">
        <x:v>Petrol</x:v>
      </x:c>
      <x:c r="F22" s="6" t="str">
        <x:v>Manual</x:v>
      </x:c>
      <x:c r="G22" s="6" t="str">
        <x:v>Hatchback</x:v>
      </x:c>
      <x:c r="H22" s="6" t="n">
        <x:v>1199</x:v>
      </x:c>
      <x:c r="I22" s="6" t="n">
        <x:v>85</x:v>
      </x:c>
      <x:c r="J22" s="8" t="n">
        <x:v>20.1</x:v>
      </x:c>
      <x:c r="K22" s="8" t="n">
        <x:v>5.7</x:v>
      </x:c>
      <x:c r="L22" s="6" t="n">
        <x:v>2024</x:v>
      </x:c>
      <x:c r="M22" s="11" t="n">
        <x:v>49434</x:v>
      </x:c>
      <x:c r="N22" s="7" t="n">
        <x:v>1</x:v>
      </x:c>
      <x:c r="O22" s="7" t="n">
        <x:v>0</x:v>
      </x:c>
      <x:c r="P22" s="9" t="n">
        <x:v>4.52</x:v>
      </x:c>
      <x:c r="Q22" s="7" t="n">
        <x:f>'Guide'!$B$5-L22</x:f>
        <x:v>2</x:v>
      </x:c>
      <x:c r="R22" s="9" t="n">
        <x:f>K22-P22</x:f>
        <x:v>1.1800000000000006</x:v>
      </x:c>
      <x:c r="S22" s="10" t="n">
        <x:f>IF(K22&gt;0,R22/K22,"")</x:f>
        <x:v>0.2070175438596492</x:v>
      </x:c>
    </x:row>
    <x:row r="23" ht="22" customHeight="1">
      <x:c r="A23" s="6" t="n">
        <x:v>19</x:v>
      </x:c>
      <x:c r="B23" s="6" t="str">
        <x:v>Tata</x:v>
      </x:c>
      <x:c r="C23" s="6" t="str">
        <x:v>Tiago</x:v>
      </x:c>
      <x:c r="D23" s="6" t="str">
        <x:v>XE</x:v>
      </x:c>
      <x:c r="E23" s="6" t="str">
        <x:v>Petrol</x:v>
      </x:c>
      <x:c r="F23" s="6" t="str">
        <x:v>Manual</x:v>
      </x:c>
      <x:c r="G23" s="6" t="str">
        <x:v>Hatchback</x:v>
      </x:c>
      <x:c r="H23" s="6" t="n">
        <x:v>1199</x:v>
      </x:c>
      <x:c r="I23" s="6" t="n">
        <x:v>85</x:v>
      </x:c>
      <x:c r="J23" s="8" t="n">
        <x:v>20.1</x:v>
      </x:c>
      <x:c r="K23" s="8" t="n">
        <x:v>5.7</x:v>
      </x:c>
      <x:c r="L23" s="6" t="n">
        <x:v>2021</x:v>
      </x:c>
      <x:c r="M23" s="11" t="n">
        <x:v>77516</x:v>
      </x:c>
      <x:c r="N23" s="7" t="n">
        <x:v>1</x:v>
      </x:c>
      <x:c r="O23" s="7" t="n">
        <x:v>0</x:v>
      </x:c>
      <x:c r="P23" s="9" t="n">
        <x:v>2.66</x:v>
      </x:c>
      <x:c r="Q23" s="7" t="n">
        <x:f>'Guide'!$B$5-L23</x:f>
        <x:v>5</x:v>
      </x:c>
      <x:c r="R23" s="9" t="n">
        <x:f>K23-P23</x:f>
        <x:v>3.04</x:v>
      </x:c>
      <x:c r="S23" s="10" t="n">
        <x:f>IF(K23&gt;0,R23/K23,"")</x:f>
        <x:v>0.5333333333333333</x:v>
      </x:c>
    </x:row>
    <x:row r="24" ht="22" customHeight="1">
      <x:c r="A24" s="6" t="n">
        <x:v>20</x:v>
      </x:c>
      <x:c r="B24" s="6" t="str">
        <x:v>Tata</x:v>
      </x:c>
      <x:c r="C24" s="6" t="str">
        <x:v>Tiago</x:v>
      </x:c>
      <x:c r="D24" s="6" t="str">
        <x:v>XE</x:v>
      </x:c>
      <x:c r="E24" s="6" t="str">
        <x:v>Petrol</x:v>
      </x:c>
      <x:c r="F24" s="6" t="str">
        <x:v>Manual</x:v>
      </x:c>
      <x:c r="G24" s="6" t="str">
        <x:v>Hatchback</x:v>
      </x:c>
      <x:c r="H24" s="6" t="n">
        <x:v>1199</x:v>
      </x:c>
      <x:c r="I24" s="6" t="n">
        <x:v>85</x:v>
      </x:c>
      <x:c r="J24" s="8" t="n">
        <x:v>20.1</x:v>
      </x:c>
      <x:c r="K24" s="8" t="n">
        <x:v>5.7</x:v>
      </x:c>
      <x:c r="L24" s="6" t="n">
        <x:v>2020</x:v>
      </x:c>
      <x:c r="M24" s="11" t="n">
        <x:v>118372</x:v>
      </x:c>
      <x:c r="N24" s="7" t="n">
        <x:v>1</x:v>
      </x:c>
      <x:c r="O24" s="7" t="n">
        <x:v>0</x:v>
      </x:c>
      <x:c r="P24" s="9" t="n">
        <x:v>2.32</x:v>
      </x:c>
      <x:c r="Q24" s="7" t="n">
        <x:f>'Guide'!$B$5-L24</x:f>
        <x:v>6</x:v>
      </x:c>
      <x:c r="R24" s="9" t="n">
        <x:f>K24-P24</x:f>
        <x:v>3.3800000000000003</x:v>
      </x:c>
      <x:c r="S24" s="10" t="n">
        <x:f>IF(K24&gt;0,R24/K24,"")</x:f>
        <x:v>0.5929824561403509</x:v>
      </x:c>
    </x:row>
    <x:row r="25" ht="22" customHeight="1">
      <x:c r="A25" s="6" t="n">
        <x:v>21</x:v>
      </x:c>
      <x:c r="B25" s="6" t="str">
        <x:v>Tata</x:v>
      </x:c>
      <x:c r="C25" s="6" t="str">
        <x:v>Tiago</x:v>
      </x:c>
      <x:c r="D25" s="6" t="str">
        <x:v>XE</x:v>
      </x:c>
      <x:c r="E25" s="6" t="str">
        <x:v>Petrol</x:v>
      </x:c>
      <x:c r="F25" s="6" t="str">
        <x:v>Manual</x:v>
      </x:c>
      <x:c r="G25" s="6" t="str">
        <x:v>Hatchback</x:v>
      </x:c>
      <x:c r="H25" s="6" t="n">
        <x:v>1199</x:v>
      </x:c>
      <x:c r="I25" s="6" t="n">
        <x:v>85</x:v>
      </x:c>
      <x:c r="J25" s="8" t="n">
        <x:v>20.1</x:v>
      </x:c>
      <x:c r="K25" s="8" t="n">
        <x:v>5.7</x:v>
      </x:c>
      <x:c r="L25" s="6" t="n">
        <x:v>2025</x:v>
      </x:c>
      <x:c r="M25" s="11" t="n">
        <x:v>18436</x:v>
      </x:c>
      <x:c r="N25" s="7" t="n">
        <x:v>2</x:v>
      </x:c>
      <x:c r="O25" s="7" t="n">
        <x:v>0</x:v>
      </x:c>
      <x:c r="P25" s="9" t="n">
        <x:v>4.82</x:v>
      </x:c>
      <x:c r="Q25" s="7" t="n">
        <x:f>'Guide'!$B$5-L25</x:f>
        <x:v>1</x:v>
      </x:c>
      <x:c r="R25" s="9" t="n">
        <x:f>K25-P25</x:f>
        <x:v>0.8799999999999999</x:v>
      </x:c>
      <x:c r="S25" s="10" t="n">
        <x:f>IF(K25&gt;0,R25/K25,"")</x:f>
        <x:v>0.15438596491228068</x:v>
      </x:c>
    </x:row>
    <x:row r="26" ht="22" customHeight="1">
      <x:c r="A26" s="6" t="n">
        <x:v>22</x:v>
      </x:c>
      <x:c r="B26" s="6" t="str">
        <x:v>Tata</x:v>
      </x:c>
      <x:c r="C26" s="6" t="str">
        <x:v>Tiago</x:v>
      </x:c>
      <x:c r="D26" s="6" t="str">
        <x:v>XE</x:v>
      </x:c>
      <x:c r="E26" s="6" t="str">
        <x:v>Petrol</x:v>
      </x:c>
      <x:c r="F26" s="6" t="str">
        <x:v>Manual</x:v>
      </x:c>
      <x:c r="G26" s="6" t="str">
        <x:v>Hatchback</x:v>
      </x:c>
      <x:c r="H26" s="6" t="n">
        <x:v>1199</x:v>
      </x:c>
      <x:c r="I26" s="6" t="n">
        <x:v>85</x:v>
      </x:c>
      <x:c r="J26" s="8" t="n">
        <x:v>20.1</x:v>
      </x:c>
      <x:c r="K26" s="8" t="n">
        <x:v>5.7</x:v>
      </x:c>
      <x:c r="L26" s="6" t="n">
        <x:v>2022</x:v>
      </x:c>
      <x:c r="M26" s="11" t="n">
        <x:v>56425</x:v>
      </x:c>
      <x:c r="N26" s="7" t="n">
        <x:v>1</x:v>
      </x:c>
      <x:c r="O26" s="7" t="n">
        <x:v>0</x:v>
      </x:c>
      <x:c r="P26" s="9" t="n">
        <x:v>3.23</x:v>
      </x:c>
      <x:c r="Q26" s="7" t="n">
        <x:f>'Guide'!$B$5-L26</x:f>
        <x:v>4</x:v>
      </x:c>
      <x:c r="R26" s="9" t="n">
        <x:f>K26-P26</x:f>
        <x:v>2.47</x:v>
      </x:c>
      <x:c r="S26" s="10" t="n">
        <x:f>IF(K26&gt;0,R26/K26,"")</x:f>
        <x:v>0.43333333333333335</x:v>
      </x:c>
    </x:row>
    <x:row r="27" ht="22" customHeight="1">
      <x:c r="A27" s="6" t="n">
        <x:v>23</x:v>
      </x:c>
      <x:c r="B27" s="6" t="str">
        <x:v>Tata</x:v>
      </x:c>
      <x:c r="C27" s="6" t="str">
        <x:v>Tiago</x:v>
      </x:c>
      <x:c r="D27" s="6" t="str">
        <x:v>XE</x:v>
      </x:c>
      <x:c r="E27" s="6" t="str">
        <x:v>Petrol</x:v>
      </x:c>
      <x:c r="F27" s="6" t="str">
        <x:v>Manual</x:v>
      </x:c>
      <x:c r="G27" s="6" t="str">
        <x:v>Hatchback</x:v>
      </x:c>
      <x:c r="H27" s="6" t="n">
        <x:v>1199</x:v>
      </x:c>
      <x:c r="I27" s="6" t="n">
        <x:v>85</x:v>
      </x:c>
      <x:c r="J27" s="8" t="n">
        <x:v>20.1</x:v>
      </x:c>
      <x:c r="K27" s="8" t="n">
        <x:v>5.7</x:v>
      </x:c>
      <x:c r="L27" s="6" t="n">
        <x:v>2021</x:v>
      </x:c>
      <x:c r="M27" s="11" t="n">
        <x:v>71361</x:v>
      </x:c>
      <x:c r="N27" s="7" t="n">
        <x:v>1</x:v>
      </x:c>
      <x:c r="O27" s="7" t="n">
        <x:v>0</x:v>
      </x:c>
      <x:c r="P27" s="9" t="n">
        <x:v>2.54</x:v>
      </x:c>
      <x:c r="Q27" s="7" t="n">
        <x:f>'Guide'!$B$5-L27</x:f>
        <x:v>5</x:v>
      </x:c>
      <x:c r="R27" s="9" t="n">
        <x:f>K27-P27</x:f>
        <x:v>3.16</x:v>
      </x:c>
      <x:c r="S27" s="10" t="n">
        <x:f>IF(K27&gt;0,R27/K27,"")</x:f>
        <x:v>0.5543859649122808</x:v>
      </x:c>
    </x:row>
    <x:row r="28" ht="22" customHeight="1">
      <x:c r="A28" s="6" t="n">
        <x:v>24</x:v>
      </x:c>
      <x:c r="B28" s="6" t="str">
        <x:v>Tata</x:v>
      </x:c>
      <x:c r="C28" s="6" t="str">
        <x:v>Tiago</x:v>
      </x:c>
      <x:c r="D28" s="6" t="str">
        <x:v>XE</x:v>
      </x:c>
      <x:c r="E28" s="6" t="str">
        <x:v>Petrol</x:v>
      </x:c>
      <x:c r="F28" s="6" t="str">
        <x:v>Manual</x:v>
      </x:c>
      <x:c r="G28" s="6" t="str">
        <x:v>Hatchback</x:v>
      </x:c>
      <x:c r="H28" s="6" t="n">
        <x:v>1199</x:v>
      </x:c>
      <x:c r="I28" s="6" t="n">
        <x:v>85</x:v>
      </x:c>
      <x:c r="J28" s="8" t="n">
        <x:v>20.1</x:v>
      </x:c>
      <x:c r="K28" s="8" t="n">
        <x:v>5.7</x:v>
      </x:c>
      <x:c r="L28" s="6" t="n">
        <x:v>2026</x:v>
      </x:c>
      <x:c r="M28" s="11" t="n">
        <x:v>4460</x:v>
      </x:c>
      <x:c r="N28" s="7" t="n">
        <x:v>1</x:v>
      </x:c>
      <x:c r="O28" s="7" t="n">
        <x:v>0</x:v>
      </x:c>
      <x:c r="P28" s="9" t="n">
        <x:v>5.73</x:v>
      </x:c>
      <x:c r="Q28" s="7" t="n">
        <x:f>'Guide'!$B$5-L28</x:f>
        <x:v>0</x:v>
      </x:c>
      <x:c r="R28" s="9" t="n">
        <x:f>K28-P28</x:f>
        <x:v>-0.03000000000000025</x:v>
      </x:c>
      <x:c r="S28" s="10" t="n">
        <x:f>IF(K28&gt;0,R28/K28,"")</x:f>
        <x:v>-0.005263157894736885</x:v>
      </x:c>
    </x:row>
    <x:row r="29" ht="22" customHeight="1">
      <x:c r="A29" s="6" t="n">
        <x:v>25</x:v>
      </x:c>
      <x:c r="B29" s="6" t="str">
        <x:v>Tata</x:v>
      </x:c>
      <x:c r="C29" s="6" t="str">
        <x:v>Tiago</x:v>
      </x:c>
      <x:c r="D29" s="6" t="str">
        <x:v>XE</x:v>
      </x:c>
      <x:c r="E29" s="6" t="str">
        <x:v>Petrol</x:v>
      </x:c>
      <x:c r="F29" s="6" t="str">
        <x:v>Manual</x:v>
      </x:c>
      <x:c r="G29" s="6" t="str">
        <x:v>Hatchback</x:v>
      </x:c>
      <x:c r="H29" s="6" t="n">
        <x:v>1199</x:v>
      </x:c>
      <x:c r="I29" s="6" t="n">
        <x:v>85</x:v>
      </x:c>
      <x:c r="J29" s="8" t="n">
        <x:v>20.1</x:v>
      </x:c>
      <x:c r="K29" s="8" t="n">
        <x:v>5.7</x:v>
      </x:c>
      <x:c r="L29" s="6" t="n">
        <x:v>2021</x:v>
      </x:c>
      <x:c r="M29" s="11" t="n">
        <x:v>99497</x:v>
      </x:c>
      <x:c r="N29" s="7" t="n">
        <x:v>2</x:v>
      </x:c>
      <x:c r="O29" s="7" t="n">
        <x:v>0</x:v>
      </x:c>
      <x:c r="P29" s="9" t="n">
        <x:v>2.37</x:v>
      </x:c>
      <x:c r="Q29" s="7" t="n">
        <x:f>'Guide'!$B$5-L29</x:f>
        <x:v>5</x:v>
      </x:c>
      <x:c r="R29" s="9" t="n">
        <x:f>K29-P29</x:f>
        <x:v>3.33</x:v>
      </x:c>
      <x:c r="S29" s="10" t="n">
        <x:f>IF(K29&gt;0,R29/K29,"")</x:f>
        <x:v>0.5842105263157895</x:v>
      </x:c>
    </x:row>
    <x:row r="30" ht="22" customHeight="1">
      <x:c r="A30" s="6" t="n">
        <x:v>26</x:v>
      </x:c>
      <x:c r="B30" s="6" t="str">
        <x:v>Tata</x:v>
      </x:c>
      <x:c r="C30" s="6" t="str">
        <x:v>Tiago</x:v>
      </x:c>
      <x:c r="D30" s="6" t="str">
        <x:v>XE</x:v>
      </x:c>
      <x:c r="E30" s="6" t="str">
        <x:v>Petrol</x:v>
      </x:c>
      <x:c r="F30" s="6" t="str">
        <x:v>Manual</x:v>
      </x:c>
      <x:c r="G30" s="6" t="str">
        <x:v>Hatchback</x:v>
      </x:c>
      <x:c r="H30" s="6" t="n">
        <x:v>1199</x:v>
      </x:c>
      <x:c r="I30" s="6" t="n">
        <x:v>85</x:v>
      </x:c>
      <x:c r="J30" s="8" t="n">
        <x:v>20.1</x:v>
      </x:c>
      <x:c r="K30" s="8" t="n">
        <x:v>5.7</x:v>
      </x:c>
      <x:c r="L30" s="6" t="n">
        <x:v>2023</x:v>
      </x:c>
      <x:c r="M30" s="11" t="n">
        <x:v>55666</x:v>
      </x:c>
      <x:c r="N30" s="7" t="n">
        <x:v>1</x:v>
      </x:c>
      <x:c r="O30" s="7" t="n">
        <x:v>0</x:v>
      </x:c>
      <x:c r="P30" s="9" t="n">
        <x:v>4.06</x:v>
      </x:c>
      <x:c r="Q30" s="7" t="n">
        <x:f>'Guide'!$B$5-L30</x:f>
        <x:v>3</x:v>
      </x:c>
      <x:c r="R30" s="9" t="n">
        <x:f>K30-P30</x:f>
        <x:v>1.6400000000000006</x:v>
      </x:c>
      <x:c r="S30" s="10" t="n">
        <x:f>IF(K30&gt;0,R30/K30,"")</x:f>
        <x:v>0.28771929824561415</x:v>
      </x:c>
    </x:row>
    <x:row r="31" ht="22" customHeight="1">
      <x:c r="A31" s="6" t="n">
        <x:v>27</x:v>
      </x:c>
      <x:c r="B31" s="6" t="str">
        <x:v>Tata</x:v>
      </x:c>
      <x:c r="C31" s="6" t="str">
        <x:v>Tiago</x:v>
      </x:c>
      <x:c r="D31" s="6" t="str">
        <x:v>XE</x:v>
      </x:c>
      <x:c r="E31" s="6" t="str">
        <x:v>Petrol</x:v>
      </x:c>
      <x:c r="F31" s="6" t="str">
        <x:v>Manual</x:v>
      </x:c>
      <x:c r="G31" s="6" t="str">
        <x:v>Hatchback</x:v>
      </x:c>
      <x:c r="H31" s="6" t="n">
        <x:v>1199</x:v>
      </x:c>
      <x:c r="I31" s="6" t="n">
        <x:v>85</x:v>
      </x:c>
      <x:c r="J31" s="8" t="n">
        <x:v>20.1</x:v>
      </x:c>
      <x:c r="K31" s="8" t="n">
        <x:v>5.7</x:v>
      </x:c>
      <x:c r="L31" s="6" t="n">
        <x:v>2021</x:v>
      </x:c>
      <x:c r="M31" s="11" t="n">
        <x:v>82298</x:v>
      </x:c>
      <x:c r="N31" s="7" t="n">
        <x:v>1</x:v>
      </x:c>
      <x:c r="O31" s="7" t="n">
        <x:v>0</x:v>
      </x:c>
      <x:c r="P31" s="9" t="n">
        <x:v>2.53</x:v>
      </x:c>
      <x:c r="Q31" s="7" t="n">
        <x:f>'Guide'!$B$5-L31</x:f>
        <x:v>5</x:v>
      </x:c>
      <x:c r="R31" s="9" t="n">
        <x:f>K31-P31</x:f>
        <x:v>3.1700000000000004</x:v>
      </x:c>
      <x:c r="S31" s="10" t="n">
        <x:f>IF(K31&gt;0,R31/K31,"")</x:f>
        <x:v>0.556140350877193</x:v>
      </x:c>
    </x:row>
    <x:row r="32" ht="22" customHeight="1">
      <x:c r="A32" s="6" t="n">
        <x:v>28</x:v>
      </x:c>
      <x:c r="B32" s="6" t="str">
        <x:v>Tata</x:v>
      </x:c>
      <x:c r="C32" s="6" t="str">
        <x:v>Tiago</x:v>
      </x:c>
      <x:c r="D32" s="6" t="str">
        <x:v>XE</x:v>
      </x:c>
      <x:c r="E32" s="6" t="str">
        <x:v>Petrol</x:v>
      </x:c>
      <x:c r="F32" s="6" t="str">
        <x:v>Manual</x:v>
      </x:c>
      <x:c r="G32" s="6" t="str">
        <x:v>Hatchback</x:v>
      </x:c>
      <x:c r="H32" s="6" t="n">
        <x:v>1199</x:v>
      </x:c>
      <x:c r="I32" s="6" t="n">
        <x:v>85</x:v>
      </x:c>
      <x:c r="J32" s="8" t="n">
        <x:v>20.1</x:v>
      </x:c>
      <x:c r="K32" s="8" t="n">
        <x:v>5.7</x:v>
      </x:c>
      <x:c r="L32" s="6" t="n">
        <x:v>2021</x:v>
      </x:c>
      <x:c r="M32" s="11" t="n">
        <x:v>104831</x:v>
      </x:c>
      <x:c r="N32" s="7" t="n">
        <x:v>2</x:v>
      </x:c>
      <x:c r="O32" s="7" t="n">
        <x:v>0</x:v>
      </x:c>
      <x:c r="P32" s="9" t="n">
        <x:v>2.6</x:v>
      </x:c>
      <x:c r="Q32" s="7" t="n">
        <x:f>'Guide'!$B$5-L32</x:f>
        <x:v>5</x:v>
      </x:c>
      <x:c r="R32" s="9" t="n">
        <x:f>K32-P32</x:f>
        <x:v>3.1</x:v>
      </x:c>
      <x:c r="S32" s="10" t="n">
        <x:f>IF(K32&gt;0,R32/K32,"")</x:f>
        <x:v>0.543859649122807</x:v>
      </x:c>
    </x:row>
    <x:row r="33" ht="22" customHeight="1">
      <x:c r="A33" s="6" t="n">
        <x:v>29</x:v>
      </x:c>
      <x:c r="B33" s="6" t="str">
        <x:v>Tata</x:v>
      </x:c>
      <x:c r="C33" s="6" t="str">
        <x:v>Tiago</x:v>
      </x:c>
      <x:c r="D33" s="6" t="str">
        <x:v>XE</x:v>
      </x:c>
      <x:c r="E33" s="6" t="str">
        <x:v>Petrol</x:v>
      </x:c>
      <x:c r="F33" s="6" t="str">
        <x:v>Manual</x:v>
      </x:c>
      <x:c r="G33" s="6" t="str">
        <x:v>Hatchback</x:v>
      </x:c>
      <x:c r="H33" s="6" t="n">
        <x:v>1199</x:v>
      </x:c>
      <x:c r="I33" s="6" t="n">
        <x:v>85</x:v>
      </x:c>
      <x:c r="J33" s="8" t="n">
        <x:v>20.1</x:v>
      </x:c>
      <x:c r="K33" s="8" t="n">
        <x:v>5.7</x:v>
      </x:c>
      <x:c r="L33" s="6" t="n">
        <x:v>2023</x:v>
      </x:c>
      <x:c r="M33" s="11" t="n">
        <x:v>47577</x:v>
      </x:c>
      <x:c r="N33" s="7" t="n">
        <x:v>2</x:v>
      </x:c>
      <x:c r="O33" s="7" t="n">
        <x:v>0</x:v>
      </x:c>
      <x:c r="P33" s="9" t="n">
        <x:v>3.97</x:v>
      </x:c>
      <x:c r="Q33" s="7" t="n">
        <x:f>'Guide'!$B$5-L33</x:f>
        <x:v>3</x:v>
      </x:c>
      <x:c r="R33" s="9" t="n">
        <x:f>K33-P33</x:f>
        <x:v>1.73</x:v>
      </x:c>
      <x:c r="S33" s="10" t="n">
        <x:f>IF(K33&gt;0,R33/K33,"")</x:f>
        <x:v>0.30350877192982456</x:v>
      </x:c>
    </x:row>
    <x:row r="34" ht="22" customHeight="1">
      <x:c r="A34" s="6" t="n">
        <x:v>30</x:v>
      </x:c>
      <x:c r="B34" s="6" t="str">
        <x:v>Tata</x:v>
      </x:c>
      <x:c r="C34" s="6" t="str">
        <x:v>Tiago</x:v>
      </x:c>
      <x:c r="D34" s="6" t="str">
        <x:v>XE</x:v>
      </x:c>
      <x:c r="E34" s="6" t="str">
        <x:v>Petrol</x:v>
      </x:c>
      <x:c r="F34" s="6" t="str">
        <x:v>Manual</x:v>
      </x:c>
      <x:c r="G34" s="6" t="str">
        <x:v>Hatchback</x:v>
      </x:c>
      <x:c r="H34" s="6" t="n">
        <x:v>1199</x:v>
      </x:c>
      <x:c r="I34" s="6" t="n">
        <x:v>85</x:v>
      </x:c>
      <x:c r="J34" s="8" t="n">
        <x:v>20.1</x:v>
      </x:c>
      <x:c r="K34" s="8" t="n">
        <x:v>5.7</x:v>
      </x:c>
      <x:c r="L34" s="6" t="n">
        <x:v>2021</x:v>
      </x:c>
      <x:c r="M34" s="11" t="n">
        <x:v>58558</x:v>
      </x:c>
      <x:c r="N34" s="7" t="n">
        <x:v>1</x:v>
      </x:c>
      <x:c r="O34" s="7" t="n">
        <x:v>0</x:v>
      </x:c>
      <x:c r="P34" s="9" t="n">
        <x:v>2.77</x:v>
      </x:c>
      <x:c r="Q34" s="7" t="n">
        <x:f>'Guide'!$B$5-L34</x:f>
        <x:v>5</x:v>
      </x:c>
      <x:c r="R34" s="9" t="n">
        <x:f>K34-P34</x:f>
        <x:v>2.93</x:v>
      </x:c>
      <x:c r="S34" s="10" t="n">
        <x:f>IF(K34&gt;0,R34/K34,"")</x:f>
        <x:v>0.5140350877192983</x:v>
      </x:c>
    </x:row>
    <x:row r="35" ht="22" customHeight="1">
      <x:c r="A35" s="6" t="n">
        <x:v>31</x:v>
      </x:c>
      <x:c r="B35" s="6" t="str">
        <x:v>Tata</x:v>
      </x:c>
      <x:c r="C35" s="6" t="str">
        <x:v>Tiago</x:v>
      </x:c>
      <x:c r="D35" s="6" t="str">
        <x:v>XE</x:v>
      </x:c>
      <x:c r="E35" s="6" t="str">
        <x:v>Petrol</x:v>
      </x:c>
      <x:c r="F35" s="6" t="str">
        <x:v>Manual</x:v>
      </x:c>
      <x:c r="G35" s="6" t="str">
        <x:v>Hatchback</x:v>
      </x:c>
      <x:c r="H35" s="6" t="n">
        <x:v>1199</x:v>
      </x:c>
      <x:c r="I35" s="6" t="n">
        <x:v>85</x:v>
      </x:c>
      <x:c r="J35" s="8" t="n">
        <x:v>20.1</x:v>
      </x:c>
      <x:c r="K35" s="8" t="n">
        <x:v>5.7</x:v>
      </x:c>
      <x:c r="L35" s="6" t="n">
        <x:v>2021</x:v>
      </x:c>
      <x:c r="M35" s="11" t="n">
        <x:v>75175</x:v>
      </x:c>
      <x:c r="N35" s="7" t="n">
        <x:v>1</x:v>
      </x:c>
      <x:c r="O35" s="7" t="n">
        <x:v>0</x:v>
      </x:c>
      <x:c r="P35" s="9" t="n">
        <x:v>3.22</x:v>
      </x:c>
      <x:c r="Q35" s="7" t="n">
        <x:f>'Guide'!$B$5-L35</x:f>
        <x:v>5</x:v>
      </x:c>
      <x:c r="R35" s="9" t="n">
        <x:f>K35-P35</x:f>
        <x:v>2.48</x:v>
      </x:c>
      <x:c r="S35" s="10" t="n">
        <x:f>IF(K35&gt;0,R35/K35,"")</x:f>
        <x:v>0.4350877192982456</x:v>
      </x:c>
    </x:row>
    <x:row r="36" ht="22" customHeight="1">
      <x:c r="A36" s="6" t="n">
        <x:v>32</x:v>
      </x:c>
      <x:c r="B36" s="6" t="str">
        <x:v>Tata</x:v>
      </x:c>
      <x:c r="C36" s="6" t="str">
        <x:v>Tiago</x:v>
      </x:c>
      <x:c r="D36" s="6" t="str">
        <x:v>XE</x:v>
      </x:c>
      <x:c r="E36" s="6" t="str">
        <x:v>Petrol</x:v>
      </x:c>
      <x:c r="F36" s="6" t="str">
        <x:v>Manual</x:v>
      </x:c>
      <x:c r="G36" s="6" t="str">
        <x:v>Hatchback</x:v>
      </x:c>
      <x:c r="H36" s="6" t="n">
        <x:v>1199</x:v>
      </x:c>
      <x:c r="I36" s="6" t="n">
        <x:v>85</x:v>
      </x:c>
      <x:c r="J36" s="8" t="n">
        <x:v>20.1</x:v>
      </x:c>
      <x:c r="K36" s="8" t="n">
        <x:v>5.7</x:v>
      </x:c>
      <x:c r="L36" s="6" t="n">
        <x:v>2024</x:v>
      </x:c>
      <x:c r="M36" s="11" t="n">
        <x:v>44879</x:v>
      </x:c>
      <x:c r="N36" s="7" t="n">
        <x:v>1</x:v>
      </x:c>
      <x:c r="O36" s="7" t="n">
        <x:v>0</x:v>
      </x:c>
      <x:c r="P36" s="9" t="n">
        <x:v>4.36</x:v>
      </x:c>
      <x:c r="Q36" s="7" t="n">
        <x:f>'Guide'!$B$5-L36</x:f>
        <x:v>2</x:v>
      </x:c>
      <x:c r="R36" s="9" t="n">
        <x:f>K36-P36</x:f>
        <x:v>1.3399999999999999</x:v>
      </x:c>
      <x:c r="S36" s="10" t="n">
        <x:f>IF(K36&gt;0,R36/K36,"")</x:f>
        <x:v>0.2350877192982456</x:v>
      </x:c>
    </x:row>
    <x:row r="37" ht="22" customHeight="1">
      <x:c r="A37" s="6" t="n">
        <x:v>33</x:v>
      </x:c>
      <x:c r="B37" s="6" t="str">
        <x:v>Tata</x:v>
      </x:c>
      <x:c r="C37" s="6" t="str">
        <x:v>Tiago</x:v>
      </x:c>
      <x:c r="D37" s="6" t="str">
        <x:v>XE</x:v>
      </x:c>
      <x:c r="E37" s="6" t="str">
        <x:v>Petrol</x:v>
      </x:c>
      <x:c r="F37" s="6" t="str">
        <x:v>Manual</x:v>
      </x:c>
      <x:c r="G37" s="6" t="str">
        <x:v>Hatchback</x:v>
      </x:c>
      <x:c r="H37" s="6" t="n">
        <x:v>1199</x:v>
      </x:c>
      <x:c r="I37" s="6" t="n">
        <x:v>85</x:v>
      </x:c>
      <x:c r="J37" s="8" t="n">
        <x:v>20.1</x:v>
      </x:c>
      <x:c r="K37" s="8" t="n">
        <x:v>5.7</x:v>
      </x:c>
      <x:c r="L37" s="6" t="n">
        <x:v>2020</x:v>
      </x:c>
      <x:c r="M37" s="11" t="n">
        <x:v>116667</x:v>
      </x:c>
      <x:c r="N37" s="7" t="n">
        <x:v>1</x:v>
      </x:c>
      <x:c r="O37" s="7" t="n">
        <x:v>1</x:v>
      </x:c>
      <x:c r="P37" s="9" t="n">
        <x:v>1.5</x:v>
      </x:c>
      <x:c r="Q37" s="7" t="n">
        <x:f>'Guide'!$B$5-L37</x:f>
        <x:v>6</x:v>
      </x:c>
      <x:c r="R37" s="9" t="n">
        <x:f>K37-P37</x:f>
        <x:v>4.2</x:v>
      </x:c>
      <x:c r="S37" s="10" t="n">
        <x:f>IF(K37&gt;0,R37/K37,"")</x:f>
        <x:v>0.7368421052631579</x:v>
      </x:c>
    </x:row>
    <x:row r="38" ht="22" customHeight="1">
      <x:c r="A38" s="6" t="n">
        <x:v>34</x:v>
      </x:c>
      <x:c r="B38" s="6" t="str">
        <x:v>Tata</x:v>
      </x:c>
      <x:c r="C38" s="6" t="str">
        <x:v>Tiago</x:v>
      </x:c>
      <x:c r="D38" s="6" t="str">
        <x:v>XE</x:v>
      </x:c>
      <x:c r="E38" s="6" t="str">
        <x:v>Petrol</x:v>
      </x:c>
      <x:c r="F38" s="6" t="str">
        <x:v>Manual</x:v>
      </x:c>
      <x:c r="G38" s="6" t="str">
        <x:v>Hatchback</x:v>
      </x:c>
      <x:c r="H38" s="6" t="n">
        <x:v>1199</x:v>
      </x:c>
      <x:c r="I38" s="6" t="n">
        <x:v>85</x:v>
      </x:c>
      <x:c r="J38" s="8" t="n">
        <x:v>20.1</x:v>
      </x:c>
      <x:c r="K38" s="8" t="n">
        <x:v>5.7</x:v>
      </x:c>
      <x:c r="L38" s="6" t="n">
        <x:v>2026</x:v>
      </x:c>
      <x:c r="M38" s="11" t="n">
        <x:v>6576</x:v>
      </x:c>
      <x:c r="N38" s="7" t="n">
        <x:v>1</x:v>
      </x:c>
      <x:c r="O38" s="7" t="n">
        <x:v>0</x:v>
      </x:c>
      <x:c r="P38" s="9" t="n">
        <x:v>5.27</x:v>
      </x:c>
      <x:c r="Q38" s="7" t="n">
        <x:f>'Guide'!$B$5-L38</x:f>
        <x:v>0</x:v>
      </x:c>
      <x:c r="R38" s="9" t="n">
        <x:f>K38-P38</x:f>
        <x:v>0.4300000000000006</x:v>
      </x:c>
      <x:c r="S38" s="10" t="n">
        <x:f>IF(K38&gt;0,R38/K38,"")</x:f>
        <x:v>0.07543859649122818</x:v>
      </x:c>
    </x:row>
    <x:row r="39" ht="22" customHeight="1">
      <x:c r="A39" s="6" t="n">
        <x:v>35</x:v>
      </x:c>
      <x:c r="B39" s="6" t="str">
        <x:v>Tata</x:v>
      </x:c>
      <x:c r="C39" s="6" t="str">
        <x:v>Tiago</x:v>
      </x:c>
      <x:c r="D39" s="6" t="str">
        <x:v>XE</x:v>
      </x:c>
      <x:c r="E39" s="6" t="str">
        <x:v>Petrol</x:v>
      </x:c>
      <x:c r="F39" s="6" t="str">
        <x:v>Manual</x:v>
      </x:c>
      <x:c r="G39" s="6" t="str">
        <x:v>Hatchback</x:v>
      </x:c>
      <x:c r="H39" s="6" t="n">
        <x:v>1199</x:v>
      </x:c>
      <x:c r="I39" s="6" t="n">
        <x:v>85</x:v>
      </x:c>
      <x:c r="J39" s="8" t="n">
        <x:v>20.1</x:v>
      </x:c>
      <x:c r="K39" s="8" t="n">
        <x:v>5.7</x:v>
      </x:c>
      <x:c r="L39" s="6" t="n">
        <x:v>2021</x:v>
      </x:c>
      <x:c r="M39" s="11" t="n">
        <x:v>54964</x:v>
      </x:c>
      <x:c r="N39" s="7" t="n">
        <x:v>1</x:v>
      </x:c>
      <x:c r="O39" s="7" t="n">
        <x:v>0</x:v>
      </x:c>
      <x:c r="P39" s="9" t="n">
        <x:v>2.82</x:v>
      </x:c>
      <x:c r="Q39" s="7" t="n">
        <x:f>'Guide'!$B$5-L39</x:f>
        <x:v>5</x:v>
      </x:c>
      <x:c r="R39" s="9" t="n">
        <x:f>K39-P39</x:f>
        <x:v>2.8800000000000003</x:v>
      </x:c>
      <x:c r="S39" s="10" t="n">
        <x:f>IF(K39&gt;0,R39/K39,"")</x:f>
        <x:v>0.5052631578947369</x:v>
      </x:c>
    </x:row>
    <x:row r="40" ht="22" customHeight="1">
      <x:c r="A40" s="6" t="n">
        <x:v>36</x:v>
      </x:c>
      <x:c r="B40" s="6" t="str">
        <x:v>Tata</x:v>
      </x:c>
      <x:c r="C40" s="6" t="str">
        <x:v>Tiago</x:v>
      </x:c>
      <x:c r="D40" s="6" t="str">
        <x:v>XE</x:v>
      </x:c>
      <x:c r="E40" s="6" t="str">
        <x:v>Petrol</x:v>
      </x:c>
      <x:c r="F40" s="6" t="str">
        <x:v>Manual</x:v>
      </x:c>
      <x:c r="G40" s="6" t="str">
        <x:v>Hatchback</x:v>
      </x:c>
      <x:c r="H40" s="6" t="n">
        <x:v>1199</x:v>
      </x:c>
      <x:c r="I40" s="6" t="n">
        <x:v>85</x:v>
      </x:c>
      <x:c r="J40" s="8" t="n">
        <x:v>20.1</x:v>
      </x:c>
      <x:c r="K40" s="8" t="n">
        <x:v>5.7</x:v>
      </x:c>
      <x:c r="L40" s="6" t="n">
        <x:v>2020</x:v>
      </x:c>
      <x:c r="M40" s="11" t="n">
        <x:v>116093</x:v>
      </x:c>
      <x:c r="N40" s="7" t="n">
        <x:v>1</x:v>
      </x:c>
      <x:c r="O40" s="7" t="n">
        <x:v>0</x:v>
      </x:c>
      <x:c r="P40" s="9" t="n">
        <x:v>2.22</x:v>
      </x:c>
      <x:c r="Q40" s="7" t="n">
        <x:f>'Guide'!$B$5-L40</x:f>
        <x:v>6</x:v>
      </x:c>
      <x:c r="R40" s="9" t="n">
        <x:f>K40-P40</x:f>
        <x:v>3.48</x:v>
      </x:c>
      <x:c r="S40" s="10" t="n">
        <x:f>IF(K40&gt;0,R40/K40,"")</x:f>
        <x:v>0.6105263157894737</x:v>
      </x:c>
    </x:row>
    <x:row r="41" ht="22" customHeight="1">
      <x:c r="A41" s="6" t="n">
        <x:v>37</x:v>
      </x:c>
      <x:c r="B41" s="6" t="str">
        <x:v>Tata</x:v>
      </x:c>
      <x:c r="C41" s="6" t="str">
        <x:v>Tiago</x:v>
      </x:c>
      <x:c r="D41" s="6" t="str">
        <x:v>XE</x:v>
      </x:c>
      <x:c r="E41" s="6" t="str">
        <x:v>Petrol</x:v>
      </x:c>
      <x:c r="F41" s="6" t="str">
        <x:v>Manual</x:v>
      </x:c>
      <x:c r="G41" s="6" t="str">
        <x:v>Hatchback</x:v>
      </x:c>
      <x:c r="H41" s="6" t="n">
        <x:v>1199</x:v>
      </x:c>
      <x:c r="I41" s="6" t="n">
        <x:v>85</x:v>
      </x:c>
      <x:c r="J41" s="8" t="n">
        <x:v>20.1</x:v>
      </x:c>
      <x:c r="K41" s="8" t="n">
        <x:v>5.7</x:v>
      </x:c>
      <x:c r="L41" s="6" t="n">
        <x:v>2026</x:v>
      </x:c>
      <x:c r="M41" s="11" t="n">
        <x:v>6845</x:v>
      </x:c>
      <x:c r="N41" s="7" t="n">
        <x:v>1</x:v>
      </x:c>
      <x:c r="O41" s="7" t="n">
        <x:v>0</x:v>
      </x:c>
      <x:c r="P41" s="9" t="n">
        <x:v>5.79</x:v>
      </x:c>
      <x:c r="Q41" s="7" t="n">
        <x:f>'Guide'!$B$5-L41</x:f>
        <x:v>0</x:v>
      </x:c>
      <x:c r="R41" s="9" t="n">
        <x:f>K41-P41</x:f>
        <x:v>-0.08999999999999986</x:v>
      </x:c>
      <x:c r="S41" s="10" t="n">
        <x:f>IF(K41&gt;0,R41/K41,"")</x:f>
        <x:v>-0.015789473684210503</x:v>
      </x:c>
    </x:row>
    <x:row r="42" ht="22" customHeight="1">
      <x:c r="A42" s="6" t="n">
        <x:v>38</x:v>
      </x:c>
      <x:c r="B42" s="6" t="str">
        <x:v>Tata</x:v>
      </x:c>
      <x:c r="C42" s="6" t="str">
        <x:v>Tiago</x:v>
      </x:c>
      <x:c r="D42" s="6" t="str">
        <x:v>XE</x:v>
      </x:c>
      <x:c r="E42" s="6" t="str">
        <x:v>Petrol</x:v>
      </x:c>
      <x:c r="F42" s="6" t="str">
        <x:v>Manual</x:v>
      </x:c>
      <x:c r="G42" s="6" t="str">
        <x:v>Hatchback</x:v>
      </x:c>
      <x:c r="H42" s="6" t="n">
        <x:v>1199</x:v>
      </x:c>
      <x:c r="I42" s="6" t="n">
        <x:v>85</x:v>
      </x:c>
      <x:c r="J42" s="8" t="n">
        <x:v>20.1</x:v>
      </x:c>
      <x:c r="K42" s="8" t="n">
        <x:v>5.7</x:v>
      </x:c>
      <x:c r="L42" s="6" t="n">
        <x:v>2024</x:v>
      </x:c>
      <x:c r="M42" s="11" t="n">
        <x:v>48537</x:v>
      </x:c>
      <x:c r="N42" s="7" t="n">
        <x:v>1</x:v>
      </x:c>
      <x:c r="O42" s="7" t="n">
        <x:v>0</x:v>
      </x:c>
      <x:c r="P42" s="9" t="n">
        <x:v>4.58</x:v>
      </x:c>
      <x:c r="Q42" s="7" t="n">
        <x:f>'Guide'!$B$5-L42</x:f>
        <x:v>2</x:v>
      </x:c>
      <x:c r="R42" s="9" t="n">
        <x:f>K42-P42</x:f>
        <x:v>1.12</x:v>
      </x:c>
      <x:c r="S42" s="10" t="n">
        <x:f>IF(K42&gt;0,R42/K42,"")</x:f>
        <x:v>0.19649122807017544</x:v>
      </x:c>
    </x:row>
    <x:row r="43" ht="22" customHeight="1">
      <x:c r="A43" s="6" t="n">
        <x:v>39</x:v>
      </x:c>
      <x:c r="B43" s="6" t="str">
        <x:v>Tata</x:v>
      </x:c>
      <x:c r="C43" s="6" t="str">
        <x:v>Tiago</x:v>
      </x:c>
      <x:c r="D43" s="6" t="str">
        <x:v>XE</x:v>
      </x:c>
      <x:c r="E43" s="6" t="str">
        <x:v>Petrol</x:v>
      </x:c>
      <x:c r="F43" s="6" t="str">
        <x:v>Manual</x:v>
      </x:c>
      <x:c r="G43" s="6" t="str">
        <x:v>Hatchback</x:v>
      </x:c>
      <x:c r="H43" s="6" t="n">
        <x:v>1199</x:v>
      </x:c>
      <x:c r="I43" s="6" t="n">
        <x:v>85</x:v>
      </x:c>
      <x:c r="J43" s="8" t="n">
        <x:v>20.1</x:v>
      </x:c>
      <x:c r="K43" s="8" t="n">
        <x:v>5.7</x:v>
      </x:c>
      <x:c r="L43" s="6" t="n">
        <x:v>2026</x:v>
      </x:c>
      <x:c r="M43" s="11" t="n">
        <x:v>7026</x:v>
      </x:c>
      <x:c r="N43" s="7" t="n">
        <x:v>1</x:v>
      </x:c>
      <x:c r="O43" s="7" t="n">
        <x:v>0</x:v>
      </x:c>
      <x:c r="P43" s="9" t="n">
        <x:v>5.73</x:v>
      </x:c>
      <x:c r="Q43" s="7" t="n">
        <x:f>'Guide'!$B$5-L43</x:f>
        <x:v>0</x:v>
      </x:c>
      <x:c r="R43" s="9" t="n">
        <x:f>K43-P43</x:f>
        <x:v>-0.03000000000000025</x:v>
      </x:c>
      <x:c r="S43" s="10" t="n">
        <x:f>IF(K43&gt;0,R43/K43,"")</x:f>
        <x:v>-0.005263157894736885</x:v>
      </x:c>
    </x:row>
    <x:row r="44" ht="22" customHeight="1">
      <x:c r="A44" s="6" t="n">
        <x:v>40</x:v>
      </x:c>
      <x:c r="B44" s="6" t="str">
        <x:v>Tata</x:v>
      </x:c>
      <x:c r="C44" s="6" t="str">
        <x:v>Tiago</x:v>
      </x:c>
      <x:c r="D44" s="6" t="str">
        <x:v>XE</x:v>
      </x:c>
      <x:c r="E44" s="6" t="str">
        <x:v>Petrol</x:v>
      </x:c>
      <x:c r="F44" s="6" t="str">
        <x:v>Manual</x:v>
      </x:c>
      <x:c r="G44" s="6" t="str">
        <x:v>Hatchback</x:v>
      </x:c>
      <x:c r="H44" s="6" t="n">
        <x:v>1199</x:v>
      </x:c>
      <x:c r="I44" s="6" t="n">
        <x:v>85</x:v>
      </x:c>
      <x:c r="J44" s="8" t="n">
        <x:v>20.1</x:v>
      </x:c>
      <x:c r="K44" s="8" t="n">
        <x:v>5.7</x:v>
      </x:c>
      <x:c r="L44" s="6" t="n">
        <x:v>2022</x:v>
      </x:c>
      <x:c r="M44" s="11" t="n">
        <x:v>59817</x:v>
      </x:c>
      <x:c r="N44" s="7" t="n">
        <x:v>2</x:v>
      </x:c>
      <x:c r="O44" s="7" t="n">
        <x:v>0</x:v>
      </x:c>
      <x:c r="P44" s="9" t="n">
        <x:v>3.01</x:v>
      </x:c>
      <x:c r="Q44" s="7" t="n">
        <x:f>'Guide'!$B$5-L44</x:f>
        <x:v>4</x:v>
      </x:c>
      <x:c r="R44" s="9" t="n">
        <x:f>K44-P44</x:f>
        <x:v>2.6900000000000004</x:v>
      </x:c>
      <x:c r="S44" s="10" t="n">
        <x:f>IF(K44&gt;0,R44/K44,"")</x:f>
        <x:v>0.4719298245614036</x:v>
      </x:c>
    </x:row>
    <x:row r="45" ht="22" customHeight="1">
      <x:c r="A45" s="6" t="n">
        <x:v>41</x:v>
      </x:c>
      <x:c r="B45" s="6" t="str">
        <x:v>Tata</x:v>
      </x:c>
      <x:c r="C45" s="6" t="str">
        <x:v>Tiago</x:v>
      </x:c>
      <x:c r="D45" s="6" t="str">
        <x:v>XE</x:v>
      </x:c>
      <x:c r="E45" s="6" t="str">
        <x:v>Petrol</x:v>
      </x:c>
      <x:c r="F45" s="6" t="str">
        <x:v>Manual</x:v>
      </x:c>
      <x:c r="G45" s="6" t="str">
        <x:v>Hatchback</x:v>
      </x:c>
      <x:c r="H45" s="6" t="n">
        <x:v>1199</x:v>
      </x:c>
      <x:c r="I45" s="6" t="n">
        <x:v>85</x:v>
      </x:c>
      <x:c r="J45" s="8" t="n">
        <x:v>20.1</x:v>
      </x:c>
      <x:c r="K45" s="8" t="n">
        <x:v>5.7</x:v>
      </x:c>
      <x:c r="L45" s="6" t="n">
        <x:v>2023</x:v>
      </x:c>
      <x:c r="M45" s="11" t="n">
        <x:v>43778</x:v>
      </x:c>
      <x:c r="N45" s="7" t="n">
        <x:v>1</x:v>
      </x:c>
      <x:c r="O45" s="7" t="n">
        <x:v>0</x:v>
      </x:c>
      <x:c r="P45" s="9" t="n">
        <x:v>3.67</x:v>
      </x:c>
      <x:c r="Q45" s="7" t="n">
        <x:f>'Guide'!$B$5-L45</x:f>
        <x:v>3</x:v>
      </x:c>
      <x:c r="R45" s="9" t="n">
        <x:f>K45-P45</x:f>
        <x:v>2.0300000000000002</x:v>
      </x:c>
      <x:c r="S45" s="10" t="n">
        <x:f>IF(K45&gt;0,R45/K45,"")</x:f>
        <x:v>0.35614035087719303</x:v>
      </x:c>
    </x:row>
    <x:row r="46">
      <x:c r="A46" s="7" t="n">
        <x:v>42</x:v>
      </x:c>
      <x:c r="B46" s="7" t="str">
        <x:v>Tata</x:v>
      </x:c>
      <x:c r="C46" s="7" t="str">
        <x:v>Tiago</x:v>
      </x:c>
      <x:c r="D46" s="7" t="str">
        <x:v>XE</x:v>
      </x:c>
      <x:c r="E46" s="7" t="str">
        <x:v>Petrol</x:v>
      </x:c>
      <x:c r="F46" s="7" t="str">
        <x:v>Manual</x:v>
      </x:c>
      <x:c r="G46" s="7" t="str">
        <x:v>Hatchback</x:v>
      </x:c>
      <x:c r="H46" s="7" t="n">
        <x:v>1199</x:v>
      </x:c>
      <x:c r="I46" s="7" t="n">
        <x:v>85</x:v>
      </x:c>
      <x:c r="J46" s="9" t="n">
        <x:v>20.1</x:v>
      </x:c>
      <x:c r="K46" s="9" t="n">
        <x:v>5.7</x:v>
      </x:c>
      <x:c r="L46" s="7" t="n">
        <x:v>2021</x:v>
      </x:c>
      <x:c r="M46" s="11" t="n">
        <x:v>60801</x:v>
      </x:c>
      <x:c r="N46" s="7" t="n">
        <x:v>2</x:v>
      </x:c>
      <x:c r="O46" s="7" t="n">
        <x:v>1</x:v>
      </x:c>
      <x:c r="P46" s="9" t="n">
        <x:v>1.5</x:v>
      </x:c>
      <x:c r="Q46" s="7" t="n">
        <x:f>'Guide'!$B$5-L46</x:f>
        <x:v>5</x:v>
      </x:c>
      <x:c r="R46" s="9" t="n">
        <x:f>K46-P46</x:f>
        <x:v>4.2</x:v>
      </x:c>
      <x:c r="S46" s="10" t="n">
        <x:f>IF(K46&gt;0,R46/K46,"")</x:f>
        <x:v>0.7368421052631579</x:v>
      </x:c>
    </x:row>
    <x:row r="47">
      <x:c r="A47" s="7" t="n">
        <x:v>43</x:v>
      </x:c>
      <x:c r="B47" s="7" t="str">
        <x:v>Tata</x:v>
      </x:c>
      <x:c r="C47" s="7" t="str">
        <x:v>Tiago</x:v>
      </x:c>
      <x:c r="D47" s="7" t="str">
        <x:v>XE</x:v>
      </x:c>
      <x:c r="E47" s="7" t="str">
        <x:v>Petrol</x:v>
      </x:c>
      <x:c r="F47" s="7" t="str">
        <x:v>Manual</x:v>
      </x:c>
      <x:c r="G47" s="7" t="str">
        <x:v>Hatchback</x:v>
      </x:c>
      <x:c r="H47" s="7" t="n">
        <x:v>1199</x:v>
      </x:c>
      <x:c r="I47" s="7" t="n">
        <x:v>85</x:v>
      </x:c>
      <x:c r="J47" s="9" t="n">
        <x:v>20.1</x:v>
      </x:c>
      <x:c r="K47" s="9" t="n">
        <x:v>5.7</x:v>
      </x:c>
      <x:c r="L47" s="7" t="n">
        <x:v>2024</x:v>
      </x:c>
      <x:c r="M47" s="11" t="n">
        <x:v>45018</x:v>
      </x:c>
      <x:c r="N47" s="7" t="n">
        <x:v>1</x:v>
      </x:c>
      <x:c r="O47" s="7" t="n">
        <x:v>0</x:v>
      </x:c>
      <x:c r="P47" s="9" t="n">
        <x:v>4.29</x:v>
      </x:c>
      <x:c r="Q47" s="7" t="n">
        <x:f>'Guide'!$B$5-L47</x:f>
        <x:v>2</x:v>
      </x:c>
      <x:c r="R47" s="9" t="n">
        <x:f>K47-P47</x:f>
        <x:v>1.4100000000000001</x:v>
      </x:c>
      <x:c r="S47" s="10" t="n">
        <x:f>IF(K47&gt;0,R47/K47,"")</x:f>
        <x:v>0.2473684210526316</x:v>
      </x:c>
    </x:row>
    <x:row r="48">
      <x:c r="A48" s="7" t="n">
        <x:v>44</x:v>
      </x:c>
      <x:c r="B48" s="7" t="str">
        <x:v>Tata</x:v>
      </x:c>
      <x:c r="C48" s="7" t="str">
        <x:v>Tiago</x:v>
      </x:c>
      <x:c r="D48" s="7" t="str">
        <x:v>XE</x:v>
      </x:c>
      <x:c r="E48" s="7" t="str">
        <x:v>Petrol</x:v>
      </x:c>
      <x:c r="F48" s="7" t="str">
        <x:v>Manual</x:v>
      </x:c>
      <x:c r="G48" s="7" t="str">
        <x:v>Hatchback</x:v>
      </x:c>
      <x:c r="H48" s="7" t="n">
        <x:v>1199</x:v>
      </x:c>
      <x:c r="I48" s="7" t="n">
        <x:v>85</x:v>
      </x:c>
      <x:c r="J48" s="9" t="n">
        <x:v>20.1</x:v>
      </x:c>
      <x:c r="K48" s="9" t="n">
        <x:v>5.7</x:v>
      </x:c>
      <x:c r="L48" s="7" t="n">
        <x:v>2022</x:v>
      </x:c>
      <x:c r="M48" s="11" t="n">
        <x:v>60583</x:v>
      </x:c>
      <x:c r="N48" s="7" t="n">
        <x:v>2</x:v>
      </x:c>
      <x:c r="O48" s="7" t="n">
        <x:v>0</x:v>
      </x:c>
      <x:c r="P48" s="9" t="n">
        <x:v>3.08</x:v>
      </x:c>
      <x:c r="Q48" s="7" t="n">
        <x:f>'Guide'!$B$5-L48</x:f>
        <x:v>4</x:v>
      </x:c>
      <x:c r="R48" s="9" t="n">
        <x:f>K48-P48</x:f>
        <x:v>2.62</x:v>
      </x:c>
      <x:c r="S48" s="10" t="n">
        <x:f>IF(K48&gt;0,R48/K48,"")</x:f>
        <x:v>0.45964912280701753</x:v>
      </x:c>
    </x:row>
    <x:row r="49">
      <x:c r="A49" s="7" t="n">
        <x:v>45</x:v>
      </x:c>
      <x:c r="B49" s="7" t="str">
        <x:v>Tata</x:v>
      </x:c>
      <x:c r="C49" s="7" t="str">
        <x:v>Tiago</x:v>
      </x:c>
      <x:c r="D49" s="7" t="str">
        <x:v>XE</x:v>
      </x:c>
      <x:c r="E49" s="7" t="str">
        <x:v>Petrol</x:v>
      </x:c>
      <x:c r="F49" s="7" t="str">
        <x:v>Manual</x:v>
      </x:c>
      <x:c r="G49" s="7" t="str">
        <x:v>Hatchback</x:v>
      </x:c>
      <x:c r="H49" s="7" t="n">
        <x:v>1199</x:v>
      </x:c>
      <x:c r="I49" s="7" t="n">
        <x:v>85</x:v>
      </x:c>
      <x:c r="J49" s="9" t="n">
        <x:v>20.1</x:v>
      </x:c>
      <x:c r="K49" s="9" t="n">
        <x:v>5.7</x:v>
      </x:c>
      <x:c r="L49" s="7" t="n">
        <x:v>2023</x:v>
      </x:c>
      <x:c r="M49" s="11" t="n">
        <x:v>51559</x:v>
      </x:c>
      <x:c r="N49" s="7" t="n">
        <x:v>1</x:v>
      </x:c>
      <x:c r="O49" s="7" t="n">
        <x:v>0</x:v>
      </x:c>
      <x:c r="P49" s="9" t="n">
        <x:v>3.92</x:v>
      </x:c>
      <x:c r="Q49" s="7" t="n">
        <x:f>'Guide'!$B$5-L49</x:f>
        <x:v>3</x:v>
      </x:c>
      <x:c r="R49" s="9" t="n">
        <x:f>K49-P49</x:f>
        <x:v>1.7800000000000002</x:v>
      </x:c>
      <x:c r="S49" s="10" t="n">
        <x:f>IF(K49&gt;0,R49/K49,"")</x:f>
        <x:v>0.312280701754386</x:v>
      </x:c>
    </x:row>
    <x:row r="50">
      <x:c r="A50" s="7" t="n">
        <x:v>46</x:v>
      </x:c>
      <x:c r="B50" s="7" t="str">
        <x:v>Tata</x:v>
      </x:c>
      <x:c r="C50" s="7" t="str">
        <x:v>Tiago</x:v>
      </x:c>
      <x:c r="D50" s="7" t="str">
        <x:v>XE</x:v>
      </x:c>
      <x:c r="E50" s="7" t="str">
        <x:v>Petrol</x:v>
      </x:c>
      <x:c r="F50" s="7" t="str">
        <x:v>Manual</x:v>
      </x:c>
      <x:c r="G50" s="7" t="str">
        <x:v>Hatchback</x:v>
      </x:c>
      <x:c r="H50" s="7" t="n">
        <x:v>1199</x:v>
      </x:c>
      <x:c r="I50" s="7" t="n">
        <x:v>85</x:v>
      </x:c>
      <x:c r="J50" s="9" t="n">
        <x:v>20.1</x:v>
      </x:c>
      <x:c r="K50" s="9" t="n">
        <x:v>5.7</x:v>
      </x:c>
      <x:c r="L50" s="7" t="n">
        <x:v>2023</x:v>
      </x:c>
      <x:c r="M50" s="11" t="n">
        <x:v>49649</x:v>
      </x:c>
      <x:c r="N50" s="7" t="n">
        <x:v>1</x:v>
      </x:c>
      <x:c r="O50" s="7" t="n">
        <x:v>0</x:v>
      </x:c>
      <x:c r="P50" s="9" t="n">
        <x:v>4.09</x:v>
      </x:c>
      <x:c r="Q50" s="7" t="n">
        <x:f>'Guide'!$B$5-L50</x:f>
        <x:v>3</x:v>
      </x:c>
      <x:c r="R50" s="9" t="n">
        <x:f>K50-P50</x:f>
        <x:v>1.6100000000000003</x:v>
      </x:c>
      <x:c r="S50" s="10" t="n">
        <x:f>IF(K50&gt;0,R50/K50,"")</x:f>
        <x:v>0.28245614035087724</x:v>
      </x:c>
    </x:row>
    <x:row r="51">
      <x:c r="A51" s="7" t="n">
        <x:v>47</x:v>
      </x:c>
      <x:c r="B51" s="7" t="str">
        <x:v>Tata</x:v>
      </x:c>
      <x:c r="C51" s="7" t="str">
        <x:v>Tiago</x:v>
      </x:c>
      <x:c r="D51" s="7" t="str">
        <x:v>XE</x:v>
      </x:c>
      <x:c r="E51" s="7" t="str">
        <x:v>Petrol</x:v>
      </x:c>
      <x:c r="F51" s="7" t="str">
        <x:v>Manual</x:v>
      </x:c>
      <x:c r="G51" s="7" t="str">
        <x:v>Hatchback</x:v>
      </x:c>
      <x:c r="H51" s="7" t="n">
        <x:v>1199</x:v>
      </x:c>
      <x:c r="I51" s="7" t="n">
        <x:v>85</x:v>
      </x:c>
      <x:c r="J51" s="9" t="n">
        <x:v>20.1</x:v>
      </x:c>
      <x:c r="K51" s="9" t="n">
        <x:v>5.7</x:v>
      </x:c>
      <x:c r="L51" s="7" t="n">
        <x:v>2022</x:v>
      </x:c>
      <x:c r="M51" s="11" t="n">
        <x:v>74831</x:v>
      </x:c>
      <x:c r="N51" s="7" t="n">
        <x:v>1</x:v>
      </x:c>
      <x:c r="O51" s="7" t="n">
        <x:v>0</x:v>
      </x:c>
      <x:c r="P51" s="9" t="n">
        <x:v>3.38</x:v>
      </x:c>
      <x:c r="Q51" s="7" t="n">
        <x:f>'Guide'!$B$5-L51</x:f>
        <x:v>4</x:v>
      </x:c>
      <x:c r="R51" s="9" t="n">
        <x:f>K51-P51</x:f>
        <x:v>2.3200000000000003</x:v>
      </x:c>
      <x:c r="S51" s="10" t="n">
        <x:f>IF(K51&gt;0,R51/K51,"")</x:f>
        <x:v>0.40701754385964917</x:v>
      </x:c>
    </x:row>
    <x:row r="52">
      <x:c r="A52" s="7" t="n">
        <x:v>48</x:v>
      </x:c>
      <x:c r="B52" s="7" t="str">
        <x:v>Tata</x:v>
      </x:c>
      <x:c r="C52" s="7" t="str">
        <x:v>Tiago</x:v>
      </x:c>
      <x:c r="D52" s="7" t="str">
        <x:v>XE</x:v>
      </x:c>
      <x:c r="E52" s="7" t="str">
        <x:v>Petrol</x:v>
      </x:c>
      <x:c r="F52" s="7" t="str">
        <x:v>Manual</x:v>
      </x:c>
      <x:c r="G52" s="7" t="str">
        <x:v>Hatchback</x:v>
      </x:c>
      <x:c r="H52" s="7" t="n">
        <x:v>1199</x:v>
      </x:c>
      <x:c r="I52" s="7" t="n">
        <x:v>85</x:v>
      </x:c>
      <x:c r="J52" s="9" t="n">
        <x:v>20.1</x:v>
      </x:c>
      <x:c r="K52" s="9" t="n">
        <x:v>5.7</x:v>
      </x:c>
      <x:c r="L52" s="7" t="n">
        <x:v>2025</x:v>
      </x:c>
      <x:c r="M52" s="11" t="n">
        <x:v>12967</x:v>
      </x:c>
      <x:c r="N52" s="7" t="n">
        <x:v>3</x:v>
      </x:c>
      <x:c r="O52" s="7" t="n">
        <x:v>0</x:v>
      </x:c>
      <x:c r="P52" s="9" t="n">
        <x:v>4.37</x:v>
      </x:c>
      <x:c r="Q52" s="7" t="n">
        <x:f>'Guide'!$B$5-L52</x:f>
        <x:v>1</x:v>
      </x:c>
      <x:c r="R52" s="9" t="n">
        <x:f>K52-P52</x:f>
        <x:v>1.33</x:v>
      </x:c>
      <x:c r="S52" s="10" t="n">
        <x:f>IF(K52&gt;0,R52/K52,"")</x:f>
        <x:v>0.23333333333333334</x:v>
      </x:c>
    </x:row>
    <x:row r="53">
      <x:c r="A53" s="7" t="n">
        <x:v>49</x:v>
      </x:c>
      <x:c r="B53" s="7" t="str">
        <x:v>Tata</x:v>
      </x:c>
      <x:c r="C53" s="7" t="str">
        <x:v>Tiago</x:v>
      </x:c>
      <x:c r="D53" s="7" t="str">
        <x:v>XE</x:v>
      </x:c>
      <x:c r="E53" s="7" t="str">
        <x:v>Petrol</x:v>
      </x:c>
      <x:c r="F53" s="7" t="str">
        <x:v>Manual</x:v>
      </x:c>
      <x:c r="G53" s="7" t="str">
        <x:v>Hatchback</x:v>
      </x:c>
      <x:c r="H53" s="7" t="n">
        <x:v>1199</x:v>
      </x:c>
      <x:c r="I53" s="7" t="n">
        <x:v>85</x:v>
      </x:c>
      <x:c r="J53" s="9" t="n">
        <x:v>20.1</x:v>
      </x:c>
      <x:c r="K53" s="9" t="n">
        <x:v>5.7</x:v>
      </x:c>
      <x:c r="L53" s="7" t="n">
        <x:v>2023</x:v>
      </x:c>
      <x:c r="M53" s="11" t="n">
        <x:v>35589</x:v>
      </x:c>
      <x:c r="N53" s="7" t="n">
        <x:v>1</x:v>
      </x:c>
      <x:c r="O53" s="7" t="n">
        <x:v>0</x:v>
      </x:c>
      <x:c r="P53" s="9" t="n">
        <x:v>3.9</x:v>
      </x:c>
      <x:c r="Q53" s="7" t="n">
        <x:f>'Guide'!$B$5-L53</x:f>
        <x:v>3</x:v>
      </x:c>
      <x:c r="R53" s="9" t="n">
        <x:f>K53-P53</x:f>
        <x:v>1.8000000000000003</x:v>
      </x:c>
      <x:c r="S53" s="10" t="n">
        <x:f>IF(K53&gt;0,R53/K53,"")</x:f>
        <x:v>0.31578947368421056</x:v>
      </x:c>
    </x:row>
    <x:row r="54">
      <x:c r="A54" s="7" t="n">
        <x:v>50</x:v>
      </x:c>
      <x:c r="B54" s="7" t="str">
        <x:v>Tata</x:v>
      </x:c>
      <x:c r="C54" s="7" t="str">
        <x:v>Tiago</x:v>
      </x:c>
      <x:c r="D54" s="7" t="str">
        <x:v>XE</x:v>
      </x:c>
      <x:c r="E54" s="7" t="str">
        <x:v>Petrol</x:v>
      </x:c>
      <x:c r="F54" s="7" t="str">
        <x:v>Manual</x:v>
      </x:c>
      <x:c r="G54" s="7" t="str">
        <x:v>Hatchback</x:v>
      </x:c>
      <x:c r="H54" s="7" t="n">
        <x:v>1199</x:v>
      </x:c>
      <x:c r="I54" s="7" t="n">
        <x:v>85</x:v>
      </x:c>
      <x:c r="J54" s="9" t="n">
        <x:v>20.1</x:v>
      </x:c>
      <x:c r="K54" s="9" t="n">
        <x:v>5.7</x:v>
      </x:c>
      <x:c r="L54" s="7" t="n">
        <x:v>2026</x:v>
      </x:c>
      <x:c r="M54" s="11" t="n">
        <x:v>6759</x:v>
      </x:c>
      <x:c r="N54" s="7" t="n">
        <x:v>2</x:v>
      </x:c>
      <x:c r="O54" s="7" t="n">
        <x:v>0</x:v>
      </x:c>
      <x:c r="P54" s="9" t="n">
        <x:v>4.95</x:v>
      </x:c>
      <x:c r="Q54" s="7" t="n">
        <x:f>'Guide'!$B$5-L54</x:f>
        <x:v>0</x:v>
      </x:c>
      <x:c r="R54" s="9" t="n">
        <x:f>K54-P54</x:f>
        <x:v>0.75</x:v>
      </x:c>
      <x:c r="S54" s="10" t="n">
        <x:f>IF(K54&gt;0,R54/K54,"")</x:f>
        <x:v>0.13157894736842105</x:v>
      </x:c>
    </x:row>
    <x:row r="55">
      <x:c r="A55" s="7" t="n">
        <x:v>51</x:v>
      </x:c>
      <x:c r="B55" s="7" t="str">
        <x:v>Tata</x:v>
      </x:c>
      <x:c r="C55" s="7" t="str">
        <x:v>Tiago</x:v>
      </x:c>
      <x:c r="D55" s="7" t="str">
        <x:v>XE</x:v>
      </x:c>
      <x:c r="E55" s="7" t="str">
        <x:v>Petrol</x:v>
      </x:c>
      <x:c r="F55" s="7" t="str">
        <x:v>Manual</x:v>
      </x:c>
      <x:c r="G55" s="7" t="str">
        <x:v>Hatchback</x:v>
      </x:c>
      <x:c r="H55" s="7" t="n">
        <x:v>1199</x:v>
      </x:c>
      <x:c r="I55" s="7" t="n">
        <x:v>85</x:v>
      </x:c>
      <x:c r="J55" s="9" t="n">
        <x:v>20.1</x:v>
      </x:c>
      <x:c r="K55" s="9" t="n">
        <x:v>5.7</x:v>
      </x:c>
      <x:c r="L55" s="7" t="n">
        <x:v>2026</x:v>
      </x:c>
      <x:c r="M55" s="11" t="n">
        <x:v>4063</x:v>
      </x:c>
      <x:c r="N55" s="7" t="n">
        <x:v>1</x:v>
      </x:c>
      <x:c r="O55" s="7" t="n">
        <x:v>0</x:v>
      </x:c>
      <x:c r="P55" s="9" t="n">
        <x:v>5.33</x:v>
      </x:c>
      <x:c r="Q55" s="7" t="n">
        <x:f>'Guide'!$B$5-L55</x:f>
        <x:v>0</x:v>
      </x:c>
      <x:c r="R55" s="9" t="n">
        <x:f>K55-P55</x:f>
        <x:v>0.3700000000000001</x:v>
      </x:c>
      <x:c r="S55" s="10" t="n">
        <x:f>IF(K55&gt;0,R55/K55,"")</x:f>
        <x:v>0.06491228070175441</x:v>
      </x:c>
    </x:row>
    <x:row r="56">
      <x:c r="A56" s="7" t="n">
        <x:v>52</x:v>
      </x:c>
      <x:c r="B56" s="7" t="str">
        <x:v>Tata</x:v>
      </x:c>
      <x:c r="C56" s="7" t="str">
        <x:v>Tiago</x:v>
      </x:c>
      <x:c r="D56" s="7" t="str">
        <x:v>XE</x:v>
      </x:c>
      <x:c r="E56" s="7" t="str">
        <x:v>Petrol</x:v>
      </x:c>
      <x:c r="F56" s="7" t="str">
        <x:v>Manual</x:v>
      </x:c>
      <x:c r="G56" s="7" t="str">
        <x:v>Hatchback</x:v>
      </x:c>
      <x:c r="H56" s="7" t="n">
        <x:v>1199</x:v>
      </x:c>
      <x:c r="I56" s="7" t="n">
        <x:v>85</x:v>
      </x:c>
      <x:c r="J56" s="9" t="n">
        <x:v>20.1</x:v>
      </x:c>
      <x:c r="K56" s="9" t="n">
        <x:v>5.7</x:v>
      </x:c>
      <x:c r="L56" s="7" t="n">
        <x:v>2021</x:v>
      </x:c>
      <x:c r="M56" s="11" t="n">
        <x:v>98254</x:v>
      </x:c>
      <x:c r="N56" s="7" t="n">
        <x:v>1</x:v>
      </x:c>
      <x:c r="O56" s="7" t="n">
        <x:v>0</x:v>
      </x:c>
      <x:c r="P56" s="9" t="n">
        <x:v>2.79</x:v>
      </x:c>
      <x:c r="Q56" s="7" t="n">
        <x:f>'Guide'!$B$5-L56</x:f>
        <x:v>5</x:v>
      </x:c>
      <x:c r="R56" s="9" t="n">
        <x:f>K56-P56</x:f>
        <x:v>2.91</x:v>
      </x:c>
      <x:c r="S56" s="10" t="n">
        <x:f>IF(K56&gt;0,R56/K56,"")</x:f>
        <x:v>0.5105263157894737</x:v>
      </x:c>
    </x:row>
    <x:row r="57">
      <x:c r="A57" s="7" t="n">
        <x:v>53</x:v>
      </x:c>
      <x:c r="B57" s="7" t="str">
        <x:v>Tata</x:v>
      </x:c>
      <x:c r="C57" s="7" t="str">
        <x:v>Tiago</x:v>
      </x:c>
      <x:c r="D57" s="7" t="str">
        <x:v>XE</x:v>
      </x:c>
      <x:c r="E57" s="7" t="str">
        <x:v>Petrol</x:v>
      </x:c>
      <x:c r="F57" s="7" t="str">
        <x:v>Manual</x:v>
      </x:c>
      <x:c r="G57" s="7" t="str">
        <x:v>Hatchback</x:v>
      </x:c>
      <x:c r="H57" s="7" t="n">
        <x:v>1199</x:v>
      </x:c>
      <x:c r="I57" s="7" t="n">
        <x:v>85</x:v>
      </x:c>
      <x:c r="J57" s="9" t="n">
        <x:v>20.1</x:v>
      </x:c>
      <x:c r="K57" s="9" t="n">
        <x:v>5.7</x:v>
      </x:c>
      <x:c r="L57" s="7" t="n">
        <x:v>2022</x:v>
      </x:c>
      <x:c r="M57" s="11" t="n">
        <x:v>53653</x:v>
      </x:c>
      <x:c r="N57" s="7" t="n">
        <x:v>1</x:v>
      </x:c>
      <x:c r="O57" s="7" t="n">
        <x:v>0</x:v>
      </x:c>
      <x:c r="P57" s="9" t="n">
        <x:v>3.72</x:v>
      </x:c>
      <x:c r="Q57" s="7" t="n">
        <x:f>'Guide'!$B$5-L57</x:f>
        <x:v>4</x:v>
      </x:c>
      <x:c r="R57" s="9" t="n">
        <x:f>K57-P57</x:f>
        <x:v>1.98</x:v>
      </x:c>
      <x:c r="S57" s="10" t="n">
        <x:f>IF(K57&gt;0,R57/K57,"")</x:f>
        <x:v>0.34736842105263155</x:v>
      </x:c>
    </x:row>
    <x:row r="58">
      <x:c r="A58" s="7" t="n">
        <x:v>54</x:v>
      </x:c>
      <x:c r="B58" s="7" t="str">
        <x:v>Tata</x:v>
      </x:c>
      <x:c r="C58" s="7" t="str">
        <x:v>Tiago</x:v>
      </x:c>
      <x:c r="D58" s="7" t="str">
        <x:v>XE</x:v>
      </x:c>
      <x:c r="E58" s="7" t="str">
        <x:v>Petrol</x:v>
      </x:c>
      <x:c r="F58" s="7" t="str">
        <x:v>Manual</x:v>
      </x:c>
      <x:c r="G58" s="7" t="str">
        <x:v>Hatchback</x:v>
      </x:c>
      <x:c r="H58" s="7" t="n">
        <x:v>1199</x:v>
      </x:c>
      <x:c r="I58" s="7" t="n">
        <x:v>85</x:v>
      </x:c>
      <x:c r="J58" s="9" t="n">
        <x:v>20.1</x:v>
      </x:c>
      <x:c r="K58" s="9" t="n">
        <x:v>5.7</x:v>
      </x:c>
      <x:c r="L58" s="7" t="n">
        <x:v>2023</x:v>
      </x:c>
      <x:c r="M58" s="11" t="n">
        <x:v>54287</x:v>
      </x:c>
      <x:c r="N58" s="7" t="n">
        <x:v>1</x:v>
      </x:c>
      <x:c r="O58" s="7" t="n">
        <x:v>0</x:v>
      </x:c>
      <x:c r="P58" s="9" t="n">
        <x:v>3.8</x:v>
      </x:c>
      <x:c r="Q58" s="7" t="n">
        <x:f>'Guide'!$B$5-L58</x:f>
        <x:v>3</x:v>
      </x:c>
      <x:c r="R58" s="9" t="n">
        <x:f>K58-P58</x:f>
        <x:v>1.9000000000000004</x:v>
      </x:c>
      <x:c r="S58" s="10" t="n">
        <x:f>IF(K58&gt;0,R58/K58,"")</x:f>
        <x:v>0.33333333333333337</x:v>
      </x:c>
    </x:row>
    <x:row r="59">
      <x:c r="A59" s="7" t="n">
        <x:v>55</x:v>
      </x:c>
      <x:c r="B59" s="7" t="str">
        <x:v>Tata</x:v>
      </x:c>
      <x:c r="C59" s="7" t="str">
        <x:v>Tiago</x:v>
      </x:c>
      <x:c r="D59" s="7" t="str">
        <x:v>XE</x:v>
      </x:c>
      <x:c r="E59" s="7" t="str">
        <x:v>Petrol</x:v>
      </x:c>
      <x:c r="F59" s="7" t="str">
        <x:v>Manual</x:v>
      </x:c>
      <x:c r="G59" s="7" t="str">
        <x:v>Hatchback</x:v>
      </x:c>
      <x:c r="H59" s="7" t="n">
        <x:v>1199</x:v>
      </x:c>
      <x:c r="I59" s="7" t="n">
        <x:v>85</x:v>
      </x:c>
      <x:c r="J59" s="9" t="n">
        <x:v>20.1</x:v>
      </x:c>
      <x:c r="K59" s="9" t="n">
        <x:v>5.7</x:v>
      </x:c>
      <x:c r="L59" s="7" t="n">
        <x:v>2020</x:v>
      </x:c>
      <x:c r="M59" s="11" t="n">
        <x:v>127334</x:v>
      </x:c>
      <x:c r="N59" s="7" t="n">
        <x:v>3</x:v>
      </x:c>
      <x:c r="O59" s="7" t="n">
        <x:v>0</x:v>
      </x:c>
      <x:c r="P59" s="9" t="n">
        <x:v>1.53</x:v>
      </x:c>
      <x:c r="Q59" s="7" t="n">
        <x:f>'Guide'!$B$5-L59</x:f>
        <x:v>6</x:v>
      </x:c>
      <x:c r="R59" s="9" t="n">
        <x:f>K59-P59</x:f>
        <x:v>4.17</x:v>
      </x:c>
      <x:c r="S59" s="10" t="n">
        <x:f>IF(K59&gt;0,R59/K59,"")</x:f>
        <x:v>0.731578947368421</x:v>
      </x:c>
    </x:row>
    <x:row r="60">
      <x:c r="A60" s="7" t="n">
        <x:v>56</x:v>
      </x:c>
      <x:c r="B60" s="7" t="str">
        <x:v>Tata</x:v>
      </x:c>
      <x:c r="C60" s="7" t="str">
        <x:v>Tiago</x:v>
      </x:c>
      <x:c r="D60" s="7" t="str">
        <x:v>XE</x:v>
      </x:c>
      <x:c r="E60" s="7" t="str">
        <x:v>Petrol</x:v>
      </x:c>
      <x:c r="F60" s="7" t="str">
        <x:v>Manual</x:v>
      </x:c>
      <x:c r="G60" s="7" t="str">
        <x:v>Hatchback</x:v>
      </x:c>
      <x:c r="H60" s="7" t="n">
        <x:v>1199</x:v>
      </x:c>
      <x:c r="I60" s="7" t="n">
        <x:v>85</x:v>
      </x:c>
      <x:c r="J60" s="9" t="n">
        <x:v>20.1</x:v>
      </x:c>
      <x:c r="K60" s="9" t="n">
        <x:v>5.7</x:v>
      </x:c>
      <x:c r="L60" s="7" t="n">
        <x:v>2020</x:v>
      </x:c>
      <x:c r="M60" s="11" t="n">
        <x:v>95455</x:v>
      </x:c>
      <x:c r="N60" s="7" t="n">
        <x:v>2</x:v>
      </x:c>
      <x:c r="O60" s="7" t="n">
        <x:v>0</x:v>
      </x:c>
      <x:c r="P60" s="9" t="n">
        <x:v>1.62</x:v>
      </x:c>
      <x:c r="Q60" s="7" t="n">
        <x:f>'Guide'!$B$5-L60</x:f>
        <x:v>6</x:v>
      </x:c>
      <x:c r="R60" s="9" t="n">
        <x:f>K60-P60</x:f>
        <x:v>4.08</x:v>
      </x:c>
      <x:c r="S60" s="10" t="n">
        <x:f>IF(K60&gt;0,R60/K60,"")</x:f>
        <x:v>0.7157894736842105</x:v>
      </x:c>
    </x:row>
    <x:row r="61">
      <x:c r="A61" s="7" t="n">
        <x:v>57</x:v>
      </x:c>
      <x:c r="B61" s="7" t="str">
        <x:v>Tata</x:v>
      </x:c>
      <x:c r="C61" s="7" t="str">
        <x:v>Tiago</x:v>
      </x:c>
      <x:c r="D61" s="7" t="str">
        <x:v>XE</x:v>
      </x:c>
      <x:c r="E61" s="7" t="str">
        <x:v>Petrol</x:v>
      </x:c>
      <x:c r="F61" s="7" t="str">
        <x:v>Manual</x:v>
      </x:c>
      <x:c r="G61" s="7" t="str">
        <x:v>Hatchback</x:v>
      </x:c>
      <x:c r="H61" s="7" t="n">
        <x:v>1199</x:v>
      </x:c>
      <x:c r="I61" s="7" t="n">
        <x:v>85</x:v>
      </x:c>
      <x:c r="J61" s="9" t="n">
        <x:v>20.1</x:v>
      </x:c>
      <x:c r="K61" s="9" t="n">
        <x:v>5.7</x:v>
      </x:c>
      <x:c r="L61" s="7" t="n">
        <x:v>2026</x:v>
      </x:c>
      <x:c r="M61" s="11" t="n">
        <x:v>6301</x:v>
      </x:c>
      <x:c r="N61" s="7" t="n">
        <x:v>1</x:v>
      </x:c>
      <x:c r="O61" s="7" t="n">
        <x:v>0</x:v>
      </x:c>
      <x:c r="P61" s="9" t="n">
        <x:v>5.39</x:v>
      </x:c>
      <x:c r="Q61" s="7" t="n">
        <x:f>'Guide'!$B$5-L61</x:f>
        <x:v>0</x:v>
      </x:c>
      <x:c r="R61" s="9" t="n">
        <x:f>K61-P61</x:f>
        <x:v>0.3100000000000005</x:v>
      </x:c>
      <x:c r="S61" s="10" t="n">
        <x:f>IF(K61&gt;0,R61/K61,"")</x:f>
        <x:v>0.05438596491228079</x:v>
      </x:c>
    </x:row>
    <x:row r="62">
      <x:c r="A62" s="7" t="n">
        <x:v>58</x:v>
      </x:c>
      <x:c r="B62" s="7" t="str">
        <x:v>Tata</x:v>
      </x:c>
      <x:c r="C62" s="7" t="str">
        <x:v>Tiago</x:v>
      </x:c>
      <x:c r="D62" s="7" t="str">
        <x:v>XE</x:v>
      </x:c>
      <x:c r="E62" s="7" t="str">
        <x:v>Petrol</x:v>
      </x:c>
      <x:c r="F62" s="7" t="str">
        <x:v>Manual</x:v>
      </x:c>
      <x:c r="G62" s="7" t="str">
        <x:v>Hatchback</x:v>
      </x:c>
      <x:c r="H62" s="7" t="n">
        <x:v>1199</x:v>
      </x:c>
      <x:c r="I62" s="7" t="n">
        <x:v>85</x:v>
      </x:c>
      <x:c r="J62" s="9" t="n">
        <x:v>20.1</x:v>
      </x:c>
      <x:c r="K62" s="9" t="n">
        <x:v>5.7</x:v>
      </x:c>
      <x:c r="L62" s="7" t="n">
        <x:v>2023</x:v>
      </x:c>
      <x:c r="M62" s="11" t="n">
        <x:v>55592</x:v>
      </x:c>
      <x:c r="N62" s="7" t="n">
        <x:v>2</x:v>
      </x:c>
      <x:c r="O62" s="7" t="n">
        <x:v>0</x:v>
      </x:c>
      <x:c r="P62" s="9" t="n">
        <x:v>3.76</x:v>
      </x:c>
      <x:c r="Q62" s="7" t="n">
        <x:f>'Guide'!$B$5-L62</x:f>
        <x:v>3</x:v>
      </x:c>
      <x:c r="R62" s="9" t="n">
        <x:f>K62-P62</x:f>
        <x:v>1.9400000000000004</x:v>
      </x:c>
      <x:c r="S62" s="10" t="n">
        <x:f>IF(K62&gt;0,R62/K62,"")</x:f>
        <x:v>0.3403508771929825</x:v>
      </x:c>
    </x:row>
    <x:row r="63">
      <x:c r="A63" s="7" t="n">
        <x:v>59</x:v>
      </x:c>
      <x:c r="B63" s="7" t="str">
        <x:v>Tata</x:v>
      </x:c>
      <x:c r="C63" s="7" t="str">
        <x:v>Tiago</x:v>
      </x:c>
      <x:c r="D63" s="7" t="str">
        <x:v>XE</x:v>
      </x:c>
      <x:c r="E63" s="7" t="str">
        <x:v>Petrol</x:v>
      </x:c>
      <x:c r="F63" s="7" t="str">
        <x:v>Manual</x:v>
      </x:c>
      <x:c r="G63" s="7" t="str">
        <x:v>Hatchback</x:v>
      </x:c>
      <x:c r="H63" s="7" t="n">
        <x:v>1199</x:v>
      </x:c>
      <x:c r="I63" s="7" t="n">
        <x:v>85</x:v>
      </x:c>
      <x:c r="J63" s="9" t="n">
        <x:v>20.1</x:v>
      </x:c>
      <x:c r="K63" s="9" t="n">
        <x:v>5.7</x:v>
      </x:c>
      <x:c r="L63" s="7" t="n">
        <x:v>2024</x:v>
      </x:c>
      <x:c r="M63" s="11" t="n">
        <x:v>27112</x:v>
      </x:c>
      <x:c r="N63" s="7" t="n">
        <x:v>1</x:v>
      </x:c>
      <x:c r="O63" s="7" t="n">
        <x:v>0</x:v>
      </x:c>
      <x:c r="P63" s="9" t="n">
        <x:v>4.35</x:v>
      </x:c>
      <x:c r="Q63" s="7" t="n">
        <x:f>'Guide'!$B$5-L63</x:f>
        <x:v>2</x:v>
      </x:c>
      <x:c r="R63" s="9" t="n">
        <x:f>K63-P63</x:f>
        <x:v>1.3500000000000005</x:v>
      </x:c>
      <x:c r="S63" s="10" t="n">
        <x:f>IF(K63&gt;0,R63/K63,"")</x:f>
        <x:v>0.236842105263158</x:v>
      </x:c>
    </x:row>
    <x:row r="64">
      <x:c r="A64" s="7" t="n">
        <x:v>60</x:v>
      </x:c>
      <x:c r="B64" s="7" t="str">
        <x:v>Tata</x:v>
      </x:c>
      <x:c r="C64" s="7" t="str">
        <x:v>Tiago</x:v>
      </x:c>
      <x:c r="D64" s="7" t="str">
        <x:v>XE</x:v>
      </x:c>
      <x:c r="E64" s="7" t="str">
        <x:v>Petrol</x:v>
      </x:c>
      <x:c r="F64" s="7" t="str">
        <x:v>Manual</x:v>
      </x:c>
      <x:c r="G64" s="7" t="str">
        <x:v>Hatchback</x:v>
      </x:c>
      <x:c r="H64" s="7" t="n">
        <x:v>1199</x:v>
      </x:c>
      <x:c r="I64" s="7" t="n">
        <x:v>85</x:v>
      </x:c>
      <x:c r="J64" s="9" t="n">
        <x:v>20.1</x:v>
      </x:c>
      <x:c r="K64" s="9" t="n">
        <x:v>5.7</x:v>
      </x:c>
      <x:c r="L64" s="7" t="n">
        <x:v>2025</x:v>
      </x:c>
      <x:c r="M64" s="11" t="n">
        <x:v>24861</x:v>
      </x:c>
      <x:c r="N64" s="7" t="n">
        <x:v>1</x:v>
      </x:c>
      <x:c r="O64" s="7" t="n">
        <x:v>0</x:v>
      </x:c>
      <x:c r="P64" s="9" t="n">
        <x:v>4.94</x:v>
      </x:c>
      <x:c r="Q64" s="7" t="n">
        <x:f>'Guide'!$B$5-L64</x:f>
        <x:v>1</x:v>
      </x:c>
      <x:c r="R64" s="9" t="n">
        <x:f>K64-P64</x:f>
        <x:v>0.7599999999999998</x:v>
      </x:c>
      <x:c r="S64" s="10" t="n">
        <x:f>IF(K64&gt;0,R64/K64,"")</x:f>
        <x:v>0.1333333333333333</x:v>
      </x:c>
    </x:row>
    <x:row r="65">
      <x:c r="A65" s="7" t="n">
        <x:v>61</x:v>
      </x:c>
      <x:c r="B65" s="7" t="str">
        <x:v>Tata</x:v>
      </x:c>
      <x:c r="C65" s="7" t="str">
        <x:v>Tiago</x:v>
      </x:c>
      <x:c r="D65" s="7" t="str">
        <x:v>XE</x:v>
      </x:c>
      <x:c r="E65" s="7" t="str">
        <x:v>Petrol</x:v>
      </x:c>
      <x:c r="F65" s="7" t="str">
        <x:v>Manual</x:v>
      </x:c>
      <x:c r="G65" s="7" t="str">
        <x:v>Hatchback</x:v>
      </x:c>
      <x:c r="H65" s="7" t="n">
        <x:v>1199</x:v>
      </x:c>
      <x:c r="I65" s="7" t="n">
        <x:v>85</x:v>
      </x:c>
      <x:c r="J65" s="9" t="n">
        <x:v>20.1</x:v>
      </x:c>
      <x:c r="K65" s="9" t="n">
        <x:v>5.7</x:v>
      </x:c>
      <x:c r="L65" s="7" t="n">
        <x:v>2020</x:v>
      </x:c>
      <x:c r="M65" s="11" t="n">
        <x:v>66274</x:v>
      </x:c>
      <x:c r="N65" s="7" t="n">
        <x:v>1</x:v>
      </x:c>
      <x:c r="O65" s="7" t="n">
        <x:v>0</x:v>
      </x:c>
      <x:c r="P65" s="9" t="n">
        <x:v>2.14</x:v>
      </x:c>
      <x:c r="Q65" s="7" t="n">
        <x:f>'Guide'!$B$5-L65</x:f>
        <x:v>6</x:v>
      </x:c>
      <x:c r="R65" s="9" t="n">
        <x:f>K65-P65</x:f>
        <x:v>3.56</x:v>
      </x:c>
      <x:c r="S65" s="10" t="n">
        <x:f>IF(K65&gt;0,R65/K65,"")</x:f>
        <x:v>0.6245614035087719</x:v>
      </x:c>
    </x:row>
    <x:row r="66">
      <x:c r="A66" s="7" t="n">
        <x:v>62</x:v>
      </x:c>
      <x:c r="B66" s="7" t="str">
        <x:v>Tata</x:v>
      </x:c>
      <x:c r="C66" s="7" t="str">
        <x:v>Tiago</x:v>
      </x:c>
      <x:c r="D66" s="7" t="str">
        <x:v>XE</x:v>
      </x:c>
      <x:c r="E66" s="7" t="str">
        <x:v>Petrol</x:v>
      </x:c>
      <x:c r="F66" s="7" t="str">
        <x:v>Manual</x:v>
      </x:c>
      <x:c r="G66" s="7" t="str">
        <x:v>Hatchback</x:v>
      </x:c>
      <x:c r="H66" s="7" t="n">
        <x:v>1199</x:v>
      </x:c>
      <x:c r="I66" s="7" t="n">
        <x:v>85</x:v>
      </x:c>
      <x:c r="J66" s="9" t="n">
        <x:v>20.1</x:v>
      </x:c>
      <x:c r="K66" s="9" t="n">
        <x:v>5.7</x:v>
      </x:c>
      <x:c r="L66" s="7" t="n">
        <x:v>2025</x:v>
      </x:c>
      <x:c r="M66" s="11" t="n">
        <x:v>20616</x:v>
      </x:c>
      <x:c r="N66" s="7" t="n">
        <x:v>1</x:v>
      </x:c>
      <x:c r="O66" s="7" t="n">
        <x:v>0</x:v>
      </x:c>
      <x:c r="P66" s="9" t="n">
        <x:v>5.27</x:v>
      </x:c>
      <x:c r="Q66" s="7" t="n">
        <x:f>'Guide'!$B$5-L66</x:f>
        <x:v>1</x:v>
      </x:c>
      <x:c r="R66" s="9" t="n">
        <x:f>K66-P66</x:f>
        <x:v>0.4300000000000006</x:v>
      </x:c>
      <x:c r="S66" s="10" t="n">
        <x:f>IF(K66&gt;0,R66/K66,"")</x:f>
        <x:v>0.07543859649122818</x:v>
      </x:c>
    </x:row>
    <x:row r="67">
      <x:c r="A67" s="7" t="n">
        <x:v>63</x:v>
      </x:c>
      <x:c r="B67" s="7" t="str">
        <x:v>Tata</x:v>
      </x:c>
      <x:c r="C67" s="7" t="str">
        <x:v>Tiago</x:v>
      </x:c>
      <x:c r="D67" s="7" t="str">
        <x:v>XE</x:v>
      </x:c>
      <x:c r="E67" s="7" t="str">
        <x:v>Petrol</x:v>
      </x:c>
      <x:c r="F67" s="7" t="str">
        <x:v>Manual</x:v>
      </x:c>
      <x:c r="G67" s="7" t="str">
        <x:v>Hatchback</x:v>
      </x:c>
      <x:c r="H67" s="7" t="n">
        <x:v>1199</x:v>
      </x:c>
      <x:c r="I67" s="7" t="n">
        <x:v>85</x:v>
      </x:c>
      <x:c r="J67" s="9" t="n">
        <x:v>20.1</x:v>
      </x:c>
      <x:c r="K67" s="9" t="n">
        <x:v>5.7</x:v>
      </x:c>
      <x:c r="L67" s="7" t="n">
        <x:v>2026</x:v>
      </x:c>
      <x:c r="M67" s="11" t="n">
        <x:v>5687</x:v>
      </x:c>
      <x:c r="N67" s="7" t="n">
        <x:v>1</x:v>
      </x:c>
      <x:c r="O67" s="7" t="n">
        <x:v>1</x:v>
      </x:c>
      <x:c r="P67" s="9" t="n">
        <x:v>5.03</x:v>
      </x:c>
      <x:c r="Q67" s="7" t="n">
        <x:f>'Guide'!$B$5-L67</x:f>
        <x:v>0</x:v>
      </x:c>
      <x:c r="R67" s="9" t="n">
        <x:f>K67-P67</x:f>
        <x:v>0.6699999999999999</x:v>
      </x:c>
      <x:c r="S67" s="10" t="n">
        <x:f>IF(K67&gt;0,R67/K67,"")</x:f>
        <x:v>0.1175438596491228</x:v>
      </x:c>
    </x:row>
    <x:row r="68">
      <x:c r="A68" s="7" t="n">
        <x:v>64</x:v>
      </x:c>
      <x:c r="B68" s="7" t="str">
        <x:v>Tata</x:v>
      </x:c>
      <x:c r="C68" s="7" t="str">
        <x:v>Tiago</x:v>
      </x:c>
      <x:c r="D68" s="7" t="str">
        <x:v>XE</x:v>
      </x:c>
      <x:c r="E68" s="7" t="str">
        <x:v>Petrol</x:v>
      </x:c>
      <x:c r="F68" s="7" t="str">
        <x:v>Manual</x:v>
      </x:c>
      <x:c r="G68" s="7" t="str">
        <x:v>Hatchback</x:v>
      </x:c>
      <x:c r="H68" s="7" t="n">
        <x:v>1199</x:v>
      </x:c>
      <x:c r="I68" s="7" t="n">
        <x:v>85</x:v>
      </x:c>
      <x:c r="J68" s="9" t="n">
        <x:v>20.1</x:v>
      </x:c>
      <x:c r="K68" s="9" t="n">
        <x:v>5.7</x:v>
      </x:c>
      <x:c r="L68" s="7" t="n">
        <x:v>2024</x:v>
      </x:c>
      <x:c r="M68" s="11" t="n">
        <x:v>20401</x:v>
      </x:c>
      <x:c r="N68" s="7" t="n">
        <x:v>1</x:v>
      </x:c>
      <x:c r="O68" s="7" t="n">
        <x:v>0</x:v>
      </x:c>
      <x:c r="P68" s="9" t="n">
        <x:v>4.47</x:v>
      </x:c>
      <x:c r="Q68" s="7" t="n">
        <x:f>'Guide'!$B$5-L68</x:f>
        <x:v>2</x:v>
      </x:c>
      <x:c r="R68" s="9" t="n">
        <x:f>K68-P68</x:f>
        <x:v>1.2300000000000004</x:v>
      </x:c>
      <x:c r="S68" s="10" t="n">
        <x:f>IF(K68&gt;0,R68/K68,"")</x:f>
        <x:v>0.2157894736842106</x:v>
      </x:c>
    </x:row>
    <x:row r="69">
      <x:c r="A69" s="7" t="n">
        <x:v>65</x:v>
      </x:c>
      <x:c r="B69" s="7" t="str">
        <x:v>Tata</x:v>
      </x:c>
      <x:c r="C69" s="7" t="str">
        <x:v>Tiago</x:v>
      </x:c>
      <x:c r="D69" s="7" t="str">
        <x:v>XE</x:v>
      </x:c>
      <x:c r="E69" s="7" t="str">
        <x:v>Petrol</x:v>
      </x:c>
      <x:c r="F69" s="7" t="str">
        <x:v>Manual</x:v>
      </x:c>
      <x:c r="G69" s="7" t="str">
        <x:v>Hatchback</x:v>
      </x:c>
      <x:c r="H69" s="7" t="n">
        <x:v>1199</x:v>
      </x:c>
      <x:c r="I69" s="7" t="n">
        <x:v>85</x:v>
      </x:c>
      <x:c r="J69" s="9" t="n">
        <x:v>20.1</x:v>
      </x:c>
      <x:c r="K69" s="9" t="n">
        <x:v>5.7</x:v>
      </x:c>
      <x:c r="L69" s="7" t="n">
        <x:v>2025</x:v>
      </x:c>
      <x:c r="M69" s="11" t="n">
        <x:v>16774</x:v>
      </x:c>
      <x:c r="N69" s="7" t="n">
        <x:v>1</x:v>
      </x:c>
      <x:c r="O69" s="7" t="n">
        <x:v>0</x:v>
      </x:c>
      <x:c r="P69" s="9" t="n">
        <x:v>5.33</x:v>
      </x:c>
      <x:c r="Q69" s="7" t="n">
        <x:f>'Guide'!$B$5-L69</x:f>
        <x:v>1</x:v>
      </x:c>
      <x:c r="R69" s="9" t="n">
        <x:f>K69-P69</x:f>
        <x:v>0.3700000000000001</x:v>
      </x:c>
      <x:c r="S69" s="10" t="n">
        <x:f>IF(K69&gt;0,R69/K69,"")</x:f>
        <x:v>0.06491228070175441</x:v>
      </x:c>
    </x:row>
    <x:row r="70">
      <x:c r="A70" s="7" t="n">
        <x:v>66</x:v>
      </x:c>
      <x:c r="B70" s="7" t="str">
        <x:v>Tata</x:v>
      </x:c>
      <x:c r="C70" s="7" t="str">
        <x:v>Tiago</x:v>
      </x:c>
      <x:c r="D70" s="7" t="str">
        <x:v>XE</x:v>
      </x:c>
      <x:c r="E70" s="7" t="str">
        <x:v>Petrol</x:v>
      </x:c>
      <x:c r="F70" s="7" t="str">
        <x:v>Manual</x:v>
      </x:c>
      <x:c r="G70" s="7" t="str">
        <x:v>Hatchback</x:v>
      </x:c>
      <x:c r="H70" s="7" t="n">
        <x:v>1199</x:v>
      </x:c>
      <x:c r="I70" s="7" t="n">
        <x:v>85</x:v>
      </x:c>
      <x:c r="J70" s="9" t="n">
        <x:v>20.1</x:v>
      </x:c>
      <x:c r="K70" s="9" t="n">
        <x:v>5.7</x:v>
      </x:c>
      <x:c r="L70" s="7" t="n">
        <x:v>2021</x:v>
      </x:c>
      <x:c r="M70" s="11" t="n">
        <x:v>84746</x:v>
      </x:c>
      <x:c r="N70" s="7" t="n">
        <x:v>1</x:v>
      </x:c>
      <x:c r="O70" s="7" t="n">
        <x:v>0</x:v>
      </x:c>
      <x:c r="P70" s="9" t="n">
        <x:v>2.57</x:v>
      </x:c>
      <x:c r="Q70" s="7" t="n">
        <x:f>'Guide'!$B$5-L70</x:f>
        <x:v>5</x:v>
      </x:c>
      <x:c r="R70" s="9" t="n">
        <x:f>K70-P70</x:f>
        <x:v>3.1300000000000003</x:v>
      </x:c>
      <x:c r="S70" s="10" t="n">
        <x:f>IF(K70&gt;0,R70/K70,"")</x:f>
        <x:v>0.5491228070175439</x:v>
      </x:c>
    </x:row>
    <x:row r="71">
      <x:c r="A71" s="7" t="n">
        <x:v>67</x:v>
      </x:c>
      <x:c r="B71" s="7" t="str">
        <x:v>Tata</x:v>
      </x:c>
      <x:c r="C71" s="7" t="str">
        <x:v>Tiago</x:v>
      </x:c>
      <x:c r="D71" s="7" t="str">
        <x:v>XE</x:v>
      </x:c>
      <x:c r="E71" s="7" t="str">
        <x:v>Petrol</x:v>
      </x:c>
      <x:c r="F71" s="7" t="str">
        <x:v>Manual</x:v>
      </x:c>
      <x:c r="G71" s="7" t="str">
        <x:v>Hatchback</x:v>
      </x:c>
      <x:c r="H71" s="7" t="n">
        <x:v>1199</x:v>
      </x:c>
      <x:c r="I71" s="7" t="n">
        <x:v>85</x:v>
      </x:c>
      <x:c r="J71" s="9" t="n">
        <x:v>20.1</x:v>
      </x:c>
      <x:c r="K71" s="9" t="n">
        <x:v>5.7</x:v>
      </x:c>
      <x:c r="L71" s="7" t="n">
        <x:v>2025</x:v>
      </x:c>
      <x:c r="M71" s="11" t="n">
        <x:v>27722</x:v>
      </x:c>
      <x:c r="N71" s="7" t="n">
        <x:v>1</x:v>
      </x:c>
      <x:c r="O71" s="7" t="n">
        <x:v>0</x:v>
      </x:c>
      <x:c r="P71" s="9" t="n">
        <x:v>5.17</x:v>
      </x:c>
      <x:c r="Q71" s="7" t="n">
        <x:f>'Guide'!$B$5-L71</x:f>
        <x:v>1</x:v>
      </x:c>
      <x:c r="R71" s="9" t="n">
        <x:f>K71-P71</x:f>
        <x:v>0.5300000000000002</x:v>
      </x:c>
      <x:c r="S71" s="10" t="n">
        <x:f>IF(K71&gt;0,R71/K71,"")</x:f>
        <x:v>0.09298245614035092</x:v>
      </x:c>
    </x:row>
    <x:row r="72">
      <x:c r="A72" s="7" t="n">
        <x:v>68</x:v>
      </x:c>
      <x:c r="B72" s="7" t="str">
        <x:v>Tata</x:v>
      </x:c>
      <x:c r="C72" s="7" t="str">
        <x:v>Tiago</x:v>
      </x:c>
      <x:c r="D72" s="7" t="str">
        <x:v>XE</x:v>
      </x:c>
      <x:c r="E72" s="7" t="str">
        <x:v>Petrol</x:v>
      </x:c>
      <x:c r="F72" s="7" t="str">
        <x:v>Manual</x:v>
      </x:c>
      <x:c r="G72" s="7" t="str">
        <x:v>Hatchback</x:v>
      </x:c>
      <x:c r="H72" s="7" t="n">
        <x:v>1199</x:v>
      </x:c>
      <x:c r="I72" s="7" t="n">
        <x:v>85</x:v>
      </x:c>
      <x:c r="J72" s="9" t="n">
        <x:v>20.1</x:v>
      </x:c>
      <x:c r="K72" s="9" t="n">
        <x:v>5.7</x:v>
      </x:c>
      <x:c r="L72" s="7" t="n">
        <x:v>2022</x:v>
      </x:c>
      <x:c r="M72" s="11" t="n">
        <x:v>84081</x:v>
      </x:c>
      <x:c r="N72" s="7" t="n">
        <x:v>1</x:v>
      </x:c>
      <x:c r="O72" s="7" t="n">
        <x:v>0</x:v>
      </x:c>
      <x:c r="P72" s="9" t="n">
        <x:v>3.41</x:v>
      </x:c>
      <x:c r="Q72" s="7" t="n">
        <x:f>'Guide'!$B$5-L72</x:f>
        <x:v>4</x:v>
      </x:c>
      <x:c r="R72" s="9" t="n">
        <x:f>K72-P72</x:f>
        <x:v>2.29</x:v>
      </x:c>
      <x:c r="S72" s="10" t="n">
        <x:f>IF(K72&gt;0,R72/K72,"")</x:f>
        <x:v>0.40175438596491225</x:v>
      </x:c>
    </x:row>
    <x:row r="73">
      <x:c r="A73" s="7" t="n">
        <x:v>69</x:v>
      </x:c>
      <x:c r="B73" s="7" t="str">
        <x:v>Tata</x:v>
      </x:c>
      <x:c r="C73" s="7" t="str">
        <x:v>Tiago</x:v>
      </x:c>
      <x:c r="D73" s="7" t="str">
        <x:v>XE</x:v>
      </x:c>
      <x:c r="E73" s="7" t="str">
        <x:v>Petrol</x:v>
      </x:c>
      <x:c r="F73" s="7" t="str">
        <x:v>Manual</x:v>
      </x:c>
      <x:c r="G73" s="7" t="str">
        <x:v>Hatchback</x:v>
      </x:c>
      <x:c r="H73" s="7" t="n">
        <x:v>1199</x:v>
      </x:c>
      <x:c r="I73" s="7" t="n">
        <x:v>85</x:v>
      </x:c>
      <x:c r="J73" s="9" t="n">
        <x:v>20.1</x:v>
      </x:c>
      <x:c r="K73" s="9" t="n">
        <x:v>5.7</x:v>
      </x:c>
      <x:c r="L73" s="7" t="n">
        <x:v>2024</x:v>
      </x:c>
      <x:c r="M73" s="11" t="n">
        <x:v>36264</x:v>
      </x:c>
      <x:c r="N73" s="7" t="n">
        <x:v>2</x:v>
      </x:c>
      <x:c r="O73" s="7" t="n">
        <x:v>0</x:v>
      </x:c>
      <x:c r="P73" s="9" t="n">
        <x:v>4.47</x:v>
      </x:c>
      <x:c r="Q73" s="7" t="n">
        <x:f>'Guide'!$B$5-L73</x:f>
        <x:v>2</x:v>
      </x:c>
      <x:c r="R73" s="9" t="n">
        <x:f>K73-P73</x:f>
        <x:v>1.2300000000000004</x:v>
      </x:c>
      <x:c r="S73" s="10" t="n">
        <x:f>IF(K73&gt;0,R73/K73,"")</x:f>
        <x:v>0.2157894736842106</x:v>
      </x:c>
    </x:row>
    <x:row r="74">
      <x:c r="A74" s="7" t="n">
        <x:v>70</x:v>
      </x:c>
      <x:c r="B74" s="7" t="str">
        <x:v>Tata</x:v>
      </x:c>
      <x:c r="C74" s="7" t="str">
        <x:v>Tiago</x:v>
      </x:c>
      <x:c r="D74" s="7" t="str">
        <x:v>XE</x:v>
      </x:c>
      <x:c r="E74" s="7" t="str">
        <x:v>Petrol</x:v>
      </x:c>
      <x:c r="F74" s="7" t="str">
        <x:v>Manual</x:v>
      </x:c>
      <x:c r="G74" s="7" t="str">
        <x:v>Hatchback</x:v>
      </x:c>
      <x:c r="H74" s="7" t="n">
        <x:v>1199</x:v>
      </x:c>
      <x:c r="I74" s="7" t="n">
        <x:v>85</x:v>
      </x:c>
      <x:c r="J74" s="9" t="n">
        <x:v>20.1</x:v>
      </x:c>
      <x:c r="K74" s="9" t="n">
        <x:v>5.7</x:v>
      </x:c>
      <x:c r="L74" s="7" t="n">
        <x:v>2021</x:v>
      </x:c>
      <x:c r="M74" s="11" t="n">
        <x:v>65485</x:v>
      </x:c>
      <x:c r="N74" s="7" t="n">
        <x:v>1</x:v>
      </x:c>
      <x:c r="O74" s="7" t="n">
        <x:v>0</x:v>
      </x:c>
      <x:c r="P74" s="9" t="n">
        <x:v>3.3</x:v>
      </x:c>
      <x:c r="Q74" s="7" t="n">
        <x:f>'Guide'!$B$5-L74</x:f>
        <x:v>5</x:v>
      </x:c>
      <x:c r="R74" s="9" t="n">
        <x:f>K74-P74</x:f>
        <x:v>2.4000000000000004</x:v>
      </x:c>
      <x:c r="S74" s="10" t="n">
        <x:f>IF(K74&gt;0,R74/K74,"")</x:f>
        <x:v>0.4210526315789474</x:v>
      </x:c>
    </x:row>
    <x:row r="75">
      <x:c r="A75" s="7" t="n">
        <x:v>71</x:v>
      </x:c>
      <x:c r="B75" s="7" t="str">
        <x:v>Tata</x:v>
      </x:c>
      <x:c r="C75" s="7" t="str">
        <x:v>Tiago</x:v>
      </x:c>
      <x:c r="D75" s="7" t="str">
        <x:v>XE</x:v>
      </x:c>
      <x:c r="E75" s="7" t="str">
        <x:v>Petrol</x:v>
      </x:c>
      <x:c r="F75" s="7" t="str">
        <x:v>Manual</x:v>
      </x:c>
      <x:c r="G75" s="7" t="str">
        <x:v>Hatchback</x:v>
      </x:c>
      <x:c r="H75" s="7" t="n">
        <x:v>1199</x:v>
      </x:c>
      <x:c r="I75" s="7" t="n">
        <x:v>85</x:v>
      </x:c>
      <x:c r="J75" s="9" t="n">
        <x:v>20.1</x:v>
      </x:c>
      <x:c r="K75" s="9" t="n">
        <x:v>5.7</x:v>
      </x:c>
      <x:c r="L75" s="7" t="n">
        <x:v>2020</x:v>
      </x:c>
      <x:c r="M75" s="11" t="n">
        <x:v>82070</x:v>
      </x:c>
      <x:c r="N75" s="7" t="n">
        <x:v>1</x:v>
      </x:c>
      <x:c r="O75" s="7" t="n">
        <x:v>0</x:v>
      </x:c>
      <x:c r="P75" s="9" t="n">
        <x:v>2.16</x:v>
      </x:c>
      <x:c r="Q75" s="7" t="n">
        <x:f>'Guide'!$B$5-L75</x:f>
        <x:v>6</x:v>
      </x:c>
      <x:c r="R75" s="9" t="n">
        <x:f>K75-P75</x:f>
        <x:v>3.54</x:v>
      </x:c>
      <x:c r="S75" s="10" t="n">
        <x:f>IF(K75&gt;0,R75/K75,"")</x:f>
        <x:v>0.6210526315789473</x:v>
      </x:c>
    </x:row>
    <x:row r="76">
      <x:c r="A76" s="7" t="n">
        <x:v>72</x:v>
      </x:c>
      <x:c r="B76" s="7" t="str">
        <x:v>Tata</x:v>
      </x:c>
      <x:c r="C76" s="7" t="str">
        <x:v>Tiago</x:v>
      </x:c>
      <x:c r="D76" s="7" t="str">
        <x:v>XE</x:v>
      </x:c>
      <x:c r="E76" s="7" t="str">
        <x:v>Petrol</x:v>
      </x:c>
      <x:c r="F76" s="7" t="str">
        <x:v>Manual</x:v>
      </x:c>
      <x:c r="G76" s="7" t="str">
        <x:v>Hatchback</x:v>
      </x:c>
      <x:c r="H76" s="7" t="n">
        <x:v>1199</x:v>
      </x:c>
      <x:c r="I76" s="7" t="n">
        <x:v>85</x:v>
      </x:c>
      <x:c r="J76" s="9" t="n">
        <x:v>20.1</x:v>
      </x:c>
      <x:c r="K76" s="9" t="n">
        <x:v>5.7</x:v>
      </x:c>
      <x:c r="L76" s="7" t="n">
        <x:v>2023</x:v>
      </x:c>
      <x:c r="M76" s="11" t="n">
        <x:v>62571</x:v>
      </x:c>
      <x:c r="N76" s="7" t="n">
        <x:v>1</x:v>
      </x:c>
      <x:c r="O76" s="7" t="n">
        <x:v>0</x:v>
      </x:c>
      <x:c r="P76" s="9" t="n">
        <x:v>4.09</x:v>
      </x:c>
      <x:c r="Q76" s="7" t="n">
        <x:f>'Guide'!$B$5-L76</x:f>
        <x:v>3</x:v>
      </x:c>
      <x:c r="R76" s="9" t="n">
        <x:f>K76-P76</x:f>
        <x:v>1.6100000000000003</x:v>
      </x:c>
      <x:c r="S76" s="10" t="n">
        <x:f>IF(K76&gt;0,R76/K76,"")</x:f>
        <x:v>0.28245614035087724</x:v>
      </x:c>
    </x:row>
    <x:row r="77">
      <x:c r="A77" s="7" t="n">
        <x:v>73</x:v>
      </x:c>
      <x:c r="B77" s="7" t="str">
        <x:v>Tata</x:v>
      </x:c>
      <x:c r="C77" s="7" t="str">
        <x:v>Tiago</x:v>
      </x:c>
      <x:c r="D77" s="7" t="str">
        <x:v>XE</x:v>
      </x:c>
      <x:c r="E77" s="7" t="str">
        <x:v>Petrol</x:v>
      </x:c>
      <x:c r="F77" s="7" t="str">
        <x:v>Manual</x:v>
      </x:c>
      <x:c r="G77" s="7" t="str">
        <x:v>Hatchback</x:v>
      </x:c>
      <x:c r="H77" s="7" t="n">
        <x:v>1199</x:v>
      </x:c>
      <x:c r="I77" s="7" t="n">
        <x:v>85</x:v>
      </x:c>
      <x:c r="J77" s="9" t="n">
        <x:v>20.1</x:v>
      </x:c>
      <x:c r="K77" s="9" t="n">
        <x:v>5.7</x:v>
      </x:c>
      <x:c r="L77" s="7" t="n">
        <x:v>2026</x:v>
      </x:c>
      <x:c r="M77" s="11" t="n">
        <x:v>7241</x:v>
      </x:c>
      <x:c r="N77" s="7" t="n">
        <x:v>1</x:v>
      </x:c>
      <x:c r="O77" s="7" t="n">
        <x:v>0</x:v>
      </x:c>
      <x:c r="P77" s="9" t="n">
        <x:v>5.54</x:v>
      </x:c>
      <x:c r="Q77" s="7" t="n">
        <x:f>'Guide'!$B$5-L77</x:f>
        <x:v>0</x:v>
      </x:c>
      <x:c r="R77" s="9" t="n">
        <x:f>K77-P77</x:f>
        <x:v>0.16000000000000014</x:v>
      </x:c>
      <x:c r="S77" s="10" t="n">
        <x:f>IF(K77&gt;0,R77/K77,"")</x:f>
        <x:v>0.028070175438596516</x:v>
      </x:c>
    </x:row>
    <x:row r="78">
      <x:c r="A78" s="7" t="n">
        <x:v>74</x:v>
      </x:c>
      <x:c r="B78" s="7" t="str">
        <x:v>Tata</x:v>
      </x:c>
      <x:c r="C78" s="7" t="str">
        <x:v>Tiago</x:v>
      </x:c>
      <x:c r="D78" s="7" t="str">
        <x:v>XE</x:v>
      </x:c>
      <x:c r="E78" s="7" t="str">
        <x:v>Petrol</x:v>
      </x:c>
      <x:c r="F78" s="7" t="str">
        <x:v>Manual</x:v>
      </x:c>
      <x:c r="G78" s="7" t="str">
        <x:v>Hatchback</x:v>
      </x:c>
      <x:c r="H78" s="7" t="n">
        <x:v>1199</x:v>
      </x:c>
      <x:c r="I78" s="7" t="n">
        <x:v>85</x:v>
      </x:c>
      <x:c r="J78" s="9" t="n">
        <x:v>20.1</x:v>
      </x:c>
      <x:c r="K78" s="9" t="n">
        <x:v>5.7</x:v>
      </x:c>
      <x:c r="L78" s="7" t="n">
        <x:v>2023</x:v>
      </x:c>
      <x:c r="M78" s="11" t="n">
        <x:v>44117</x:v>
      </x:c>
      <x:c r="N78" s="7" t="n">
        <x:v>2</x:v>
      </x:c>
      <x:c r="O78" s="7" t="n">
        <x:v>0</x:v>
      </x:c>
      <x:c r="P78" s="9" t="n">
        <x:v>3.84</x:v>
      </x:c>
      <x:c r="Q78" s="7" t="n">
        <x:f>'Guide'!$B$5-L78</x:f>
        <x:v>3</x:v>
      </x:c>
      <x:c r="R78" s="9" t="n">
        <x:f>K78-P78</x:f>
        <x:v>1.8600000000000003</x:v>
      </x:c>
      <x:c r="S78" s="10" t="n">
        <x:f>IF(K78&gt;0,R78/K78,"")</x:f>
        <x:v>0.3263157894736843</x:v>
      </x:c>
    </x:row>
    <x:row r="79">
      <x:c r="A79" s="7" t="n">
        <x:v>75</x:v>
      </x:c>
      <x:c r="B79" s="7" t="str">
        <x:v>Tata</x:v>
      </x:c>
      <x:c r="C79" s="7" t="str">
        <x:v>Tiago</x:v>
      </x:c>
      <x:c r="D79" s="7" t="str">
        <x:v>XE</x:v>
      </x:c>
      <x:c r="E79" s="7" t="str">
        <x:v>Petrol</x:v>
      </x:c>
      <x:c r="F79" s="7" t="str">
        <x:v>Manual</x:v>
      </x:c>
      <x:c r="G79" s="7" t="str">
        <x:v>Hatchback</x:v>
      </x:c>
      <x:c r="H79" s="7" t="n">
        <x:v>1199</x:v>
      </x:c>
      <x:c r="I79" s="7" t="n">
        <x:v>85</x:v>
      </x:c>
      <x:c r="J79" s="9" t="n">
        <x:v>20.1</x:v>
      </x:c>
      <x:c r="K79" s="9" t="n">
        <x:v>5.7</x:v>
      </x:c>
      <x:c r="L79" s="7" t="n">
        <x:v>2022</x:v>
      </x:c>
      <x:c r="M79" s="11" t="n">
        <x:v>54341</x:v>
      </x:c>
      <x:c r="N79" s="7" t="n">
        <x:v>1</x:v>
      </x:c>
      <x:c r="O79" s="7" t="n">
        <x:v>0</x:v>
      </x:c>
      <x:c r="P79" s="9" t="n">
        <x:v>3.8</x:v>
      </x:c>
      <x:c r="Q79" s="7" t="n">
        <x:f>'Guide'!$B$5-L79</x:f>
        <x:v>4</x:v>
      </x:c>
      <x:c r="R79" s="9" t="n">
        <x:f>K79-P79</x:f>
        <x:v>1.9000000000000004</x:v>
      </x:c>
      <x:c r="S79" s="10" t="n">
        <x:f>IF(K79&gt;0,R79/K79,"")</x:f>
        <x:v>0.33333333333333337</x:v>
      </x:c>
    </x:row>
    <x:row r="80">
      <x:c r="A80" s="7" t="n">
        <x:v>76</x:v>
      </x:c>
      <x:c r="B80" s="7" t="str">
        <x:v>Tata</x:v>
      </x:c>
      <x:c r="C80" s="7" t="str">
        <x:v>Tiago</x:v>
      </x:c>
      <x:c r="D80" s="7" t="str">
        <x:v>XE</x:v>
      </x:c>
      <x:c r="E80" s="7" t="str">
        <x:v>Petrol</x:v>
      </x:c>
      <x:c r="F80" s="7" t="str">
        <x:v>Manual</x:v>
      </x:c>
      <x:c r="G80" s="7" t="str">
        <x:v>Hatchback</x:v>
      </x:c>
      <x:c r="H80" s="7" t="n">
        <x:v>1199</x:v>
      </x:c>
      <x:c r="I80" s="7" t="n">
        <x:v>85</x:v>
      </x:c>
      <x:c r="J80" s="9" t="n">
        <x:v>20.1</x:v>
      </x:c>
      <x:c r="K80" s="9" t="n">
        <x:v>5.7</x:v>
      </x:c>
      <x:c r="L80" s="7" t="n">
        <x:v>2025</x:v>
      </x:c>
      <x:c r="M80" s="11" t="n">
        <x:v>13465</x:v>
      </x:c>
      <x:c r="N80" s="7" t="n">
        <x:v>2</x:v>
      </x:c>
      <x:c r="O80" s="7" t="n">
        <x:v>0</x:v>
      </x:c>
      <x:c r="P80" s="9" t="n">
        <x:v>4.97</x:v>
      </x:c>
      <x:c r="Q80" s="7" t="n">
        <x:f>'Guide'!$B$5-L80</x:f>
        <x:v>1</x:v>
      </x:c>
      <x:c r="R80" s="9" t="n">
        <x:f>K80-P80</x:f>
        <x:v>0.7300000000000004</x:v>
      </x:c>
      <x:c r="S80" s="10" t="n">
        <x:f>IF(K80&gt;0,R80/K80,"")</x:f>
        <x:v>0.12807017543859656</x:v>
      </x:c>
    </x:row>
    <x:row r="81">
      <x:c r="A81" s="7" t="n">
        <x:v>77</x:v>
      </x:c>
      <x:c r="B81" s="7" t="str">
        <x:v>Tata</x:v>
      </x:c>
      <x:c r="C81" s="7" t="str">
        <x:v>Tiago</x:v>
      </x:c>
      <x:c r="D81" s="7" t="str">
        <x:v>XE</x:v>
      </x:c>
      <x:c r="E81" s="7" t="str">
        <x:v>Petrol</x:v>
      </x:c>
      <x:c r="F81" s="7" t="str">
        <x:v>Manual</x:v>
      </x:c>
      <x:c r="G81" s="7" t="str">
        <x:v>Hatchback</x:v>
      </x:c>
      <x:c r="H81" s="7" t="n">
        <x:v>1199</x:v>
      </x:c>
      <x:c r="I81" s="7" t="n">
        <x:v>85</x:v>
      </x:c>
      <x:c r="J81" s="9" t="n">
        <x:v>20.1</x:v>
      </x:c>
      <x:c r="K81" s="9" t="n">
        <x:v>5.7</x:v>
      </x:c>
      <x:c r="L81" s="7" t="n">
        <x:v>2023</x:v>
      </x:c>
      <x:c r="M81" s="11" t="n">
        <x:v>34714</x:v>
      </x:c>
      <x:c r="N81" s="7" t="n">
        <x:v>1</x:v>
      </x:c>
      <x:c r="O81" s="7" t="n">
        <x:v>0</x:v>
      </x:c>
      <x:c r="P81" s="9" t="n">
        <x:v>4.06</x:v>
      </x:c>
      <x:c r="Q81" s="7" t="n">
        <x:f>'Guide'!$B$5-L81</x:f>
        <x:v>3</x:v>
      </x:c>
      <x:c r="R81" s="9" t="n">
        <x:f>K81-P81</x:f>
        <x:v>1.6400000000000006</x:v>
      </x:c>
      <x:c r="S81" s="10" t="n">
        <x:f>IF(K81&gt;0,R81/K81,"")</x:f>
        <x:v>0.28771929824561415</x:v>
      </x:c>
    </x:row>
    <x:row r="82">
      <x:c r="A82" s="7" t="n">
        <x:v>78</x:v>
      </x:c>
      <x:c r="B82" s="7" t="str">
        <x:v>Tata</x:v>
      </x:c>
      <x:c r="C82" s="7" t="str">
        <x:v>Tiago</x:v>
      </x:c>
      <x:c r="D82" s="7" t="str">
        <x:v>XE</x:v>
      </x:c>
      <x:c r="E82" s="7" t="str">
        <x:v>Petrol</x:v>
      </x:c>
      <x:c r="F82" s="7" t="str">
        <x:v>Manual</x:v>
      </x:c>
      <x:c r="G82" s="7" t="str">
        <x:v>Hatchback</x:v>
      </x:c>
      <x:c r="H82" s="7" t="n">
        <x:v>1199</x:v>
      </x:c>
      <x:c r="I82" s="7" t="n">
        <x:v>85</x:v>
      </x:c>
      <x:c r="J82" s="9" t="n">
        <x:v>20.1</x:v>
      </x:c>
      <x:c r="K82" s="9" t="n">
        <x:v>5.7</x:v>
      </x:c>
      <x:c r="L82" s="7" t="n">
        <x:v>2021</x:v>
      </x:c>
      <x:c r="M82" s="11" t="n">
        <x:v>47262</x:v>
      </x:c>
      <x:c r="N82" s="7" t="n">
        <x:v>1</x:v>
      </x:c>
      <x:c r="O82" s="7" t="n">
        <x:v>0</x:v>
      </x:c>
      <x:c r="P82" s="9" t="n">
        <x:v>3.38</x:v>
      </x:c>
      <x:c r="Q82" s="7" t="n">
        <x:f>'Guide'!$B$5-L82</x:f>
        <x:v>5</x:v>
      </x:c>
      <x:c r="R82" s="9" t="n">
        <x:f>K82-P82</x:f>
        <x:v>2.3200000000000003</x:v>
      </x:c>
      <x:c r="S82" s="10" t="n">
        <x:f>IF(K82&gt;0,R82/K82,"")</x:f>
        <x:v>0.40701754385964917</x:v>
      </x:c>
    </x:row>
    <x:row r="83">
      <x:c r="A83" s="7" t="n">
        <x:v>79</x:v>
      </x:c>
      <x:c r="B83" s="7" t="str">
        <x:v>Tata</x:v>
      </x:c>
      <x:c r="C83" s="7" t="str">
        <x:v>Tiago</x:v>
      </x:c>
      <x:c r="D83" s="7" t="str">
        <x:v>XE</x:v>
      </x:c>
      <x:c r="E83" s="7" t="str">
        <x:v>Petrol</x:v>
      </x:c>
      <x:c r="F83" s="7" t="str">
        <x:v>Manual</x:v>
      </x:c>
      <x:c r="G83" s="7" t="str">
        <x:v>Hatchback</x:v>
      </x:c>
      <x:c r="H83" s="7" t="n">
        <x:v>1199</x:v>
      </x:c>
      <x:c r="I83" s="7" t="n">
        <x:v>85</x:v>
      </x:c>
      <x:c r="J83" s="9" t="n">
        <x:v>20.1</x:v>
      </x:c>
      <x:c r="K83" s="9" t="n">
        <x:v>5.7</x:v>
      </x:c>
      <x:c r="L83" s="7" t="n">
        <x:v>2021</x:v>
      </x:c>
      <x:c r="M83" s="11" t="n">
        <x:v>62951</x:v>
      </x:c>
      <x:c r="N83" s="7" t="n">
        <x:v>1</x:v>
      </x:c>
      <x:c r="O83" s="7" t="n">
        <x:v>1</x:v>
      </x:c>
      <x:c r="P83" s="9" t="n">
        <x:v>2.1</x:v>
      </x:c>
      <x:c r="Q83" s="7" t="n">
        <x:f>'Guide'!$B$5-L83</x:f>
        <x:v>5</x:v>
      </x:c>
      <x:c r="R83" s="9" t="n">
        <x:f>K83-P83</x:f>
        <x:v>3.6</x:v>
      </x:c>
      <x:c r="S83" s="10" t="n">
        <x:f>IF(K83&gt;0,R83/K83,"")</x:f>
        <x:v>0.631578947368421</x:v>
      </x:c>
    </x:row>
    <x:row r="84">
      <x:c r="A84" s="7" t="n">
        <x:v>80</x:v>
      </x:c>
      <x:c r="B84" s="7" t="str">
        <x:v>Tata</x:v>
      </x:c>
      <x:c r="C84" s="7" t="str">
        <x:v>Tiago</x:v>
      </x:c>
      <x:c r="D84" s="7" t="str">
        <x:v>XE</x:v>
      </x:c>
      <x:c r="E84" s="7" t="str">
        <x:v>Petrol</x:v>
      </x:c>
      <x:c r="F84" s="7" t="str">
        <x:v>Manual</x:v>
      </x:c>
      <x:c r="G84" s="7" t="str">
        <x:v>Hatchback</x:v>
      </x:c>
      <x:c r="H84" s="7" t="n">
        <x:v>1199</x:v>
      </x:c>
      <x:c r="I84" s="7" t="n">
        <x:v>85</x:v>
      </x:c>
      <x:c r="J84" s="9" t="n">
        <x:v>20.1</x:v>
      </x:c>
      <x:c r="K84" s="9" t="n">
        <x:v>5.7</x:v>
      </x:c>
      <x:c r="L84" s="7" t="n">
        <x:v>2023</x:v>
      </x:c>
      <x:c r="M84" s="11" t="n">
        <x:v>28695</x:v>
      </x:c>
      <x:c r="N84" s="7" t="n">
        <x:v>1</x:v>
      </x:c>
      <x:c r="O84" s="7" t="n">
        <x:v>0</x:v>
      </x:c>
      <x:c r="P84" s="9" t="n">
        <x:v>3.77</x:v>
      </x:c>
      <x:c r="Q84" s="7" t="n">
        <x:f>'Guide'!$B$5-L84</x:f>
        <x:v>3</x:v>
      </x:c>
      <x:c r="R84" s="9" t="n">
        <x:f>K84-P84</x:f>
        <x:v>1.9300000000000002</x:v>
      </x:c>
      <x:c r="S84" s="10" t="n">
        <x:f>IF(K84&gt;0,R84/K84,"")</x:f>
        <x:v>0.3385964912280702</x:v>
      </x:c>
    </x:row>
    <x:row r="85">
      <x:c r="A85" s="7" t="n">
        <x:v>81</x:v>
      </x:c>
      <x:c r="B85" s="7" t="str">
        <x:v>Tata</x:v>
      </x:c>
      <x:c r="C85" s="7" t="str">
        <x:v>Tiago</x:v>
      </x:c>
      <x:c r="D85" s="7" t="str">
        <x:v>XE</x:v>
      </x:c>
      <x:c r="E85" s="7" t="str">
        <x:v>Petrol</x:v>
      </x:c>
      <x:c r="F85" s="7" t="str">
        <x:v>Manual</x:v>
      </x:c>
      <x:c r="G85" s="7" t="str">
        <x:v>Hatchback</x:v>
      </x:c>
      <x:c r="H85" s="7" t="n">
        <x:v>1199</x:v>
      </x:c>
      <x:c r="I85" s="7" t="n">
        <x:v>85</x:v>
      </x:c>
      <x:c r="J85" s="9" t="n">
        <x:v>20.1</x:v>
      </x:c>
      <x:c r="K85" s="9" t="n">
        <x:v>5.7</x:v>
      </x:c>
      <x:c r="L85" s="7" t="n">
        <x:v>2023</x:v>
      </x:c>
      <x:c r="M85" s="11" t="n">
        <x:v>42364</x:v>
      </x:c>
      <x:c r="N85" s="7" t="n">
        <x:v>1</x:v>
      </x:c>
      <x:c r="O85" s="7" t="n">
        <x:v>0</x:v>
      </x:c>
      <x:c r="P85" s="9" t="n">
        <x:v>3.78</x:v>
      </x:c>
      <x:c r="Q85" s="7" t="n">
        <x:f>'Guide'!$B$5-L85</x:f>
        <x:v>3</x:v>
      </x:c>
      <x:c r="R85" s="9" t="n">
        <x:f>K85-P85</x:f>
        <x:v>1.9200000000000004</x:v>
      </x:c>
      <x:c r="S85" s="10" t="n">
        <x:f>IF(K85&gt;0,R85/K85,"")</x:f>
        <x:v>0.33684210526315794</x:v>
      </x:c>
    </x:row>
    <x:row r="86">
      <x:c r="A86" s="7" t="n">
        <x:v>82</x:v>
      </x:c>
      <x:c r="B86" s="7" t="str">
        <x:v>Tata</x:v>
      </x:c>
      <x:c r="C86" s="7" t="str">
        <x:v>Tiago</x:v>
      </x:c>
      <x:c r="D86" s="7" t="str">
        <x:v>XE</x:v>
      </x:c>
      <x:c r="E86" s="7" t="str">
        <x:v>Petrol</x:v>
      </x:c>
      <x:c r="F86" s="7" t="str">
        <x:v>Manual</x:v>
      </x:c>
      <x:c r="G86" s="7" t="str">
        <x:v>Hatchback</x:v>
      </x:c>
      <x:c r="H86" s="7" t="n">
        <x:v>1199</x:v>
      </x:c>
      <x:c r="I86" s="7" t="n">
        <x:v>85</x:v>
      </x:c>
      <x:c r="J86" s="9" t="n">
        <x:v>20.1</x:v>
      </x:c>
      <x:c r="K86" s="9" t="n">
        <x:v>5.7</x:v>
      </x:c>
      <x:c r="L86" s="7" t="n">
        <x:v>2022</x:v>
      </x:c>
      <x:c r="M86" s="11" t="n">
        <x:v>43971</x:v>
      </x:c>
      <x:c r="N86" s="7" t="n">
        <x:v>1</x:v>
      </x:c>
      <x:c r="O86" s="7" t="n">
        <x:v>0</x:v>
      </x:c>
      <x:c r="P86" s="9" t="n">
        <x:v>3.78</x:v>
      </x:c>
      <x:c r="Q86" s="7" t="n">
        <x:f>'Guide'!$B$5-L86</x:f>
        <x:v>4</x:v>
      </x:c>
      <x:c r="R86" s="9" t="n">
        <x:f>K86-P86</x:f>
        <x:v>1.9200000000000004</x:v>
      </x:c>
      <x:c r="S86" s="10" t="n">
        <x:f>IF(K86&gt;0,R86/K86,"")</x:f>
        <x:v>0.33684210526315794</x:v>
      </x:c>
    </x:row>
    <x:row r="87">
      <x:c r="A87" s="7" t="n">
        <x:v>83</x:v>
      </x:c>
      <x:c r="B87" s="7" t="str">
        <x:v>Tata</x:v>
      </x:c>
      <x:c r="C87" s="7" t="str">
        <x:v>Tiago</x:v>
      </x:c>
      <x:c r="D87" s="7" t="str">
        <x:v>XE</x:v>
      </x:c>
      <x:c r="E87" s="7" t="str">
        <x:v>Petrol</x:v>
      </x:c>
      <x:c r="F87" s="7" t="str">
        <x:v>Manual</x:v>
      </x:c>
      <x:c r="G87" s="7" t="str">
        <x:v>Hatchback</x:v>
      </x:c>
      <x:c r="H87" s="7" t="n">
        <x:v>1199</x:v>
      </x:c>
      <x:c r="I87" s="7" t="n">
        <x:v>85</x:v>
      </x:c>
      <x:c r="J87" s="9" t="n">
        <x:v>20.1</x:v>
      </x:c>
      <x:c r="K87" s="9" t="n">
        <x:v>5.7</x:v>
      </x:c>
      <x:c r="L87" s="7" t="n">
        <x:v>2026</x:v>
      </x:c>
      <x:c r="M87" s="11" t="n">
        <x:v>5120</x:v>
      </x:c>
      <x:c r="N87" s="7" t="n">
        <x:v>1</x:v>
      </x:c>
      <x:c r="O87" s="7" t="n">
        <x:v>0</x:v>
      </x:c>
      <x:c r="P87" s="9" t="n">
        <x:v>5.69</x:v>
      </x:c>
      <x:c r="Q87" s="7" t="n">
        <x:f>'Guide'!$B$5-L87</x:f>
        <x:v>0</x:v>
      </x:c>
      <x:c r="R87" s="9" t="n">
        <x:f>K87-P87</x:f>
        <x:v>0.009999999999999787</x:v>
      </x:c>
      <x:c r="S87" s="10" t="n">
        <x:f>IF(K87&gt;0,R87/K87,"")</x:f>
        <x:v>0.0017543859649122432</x:v>
      </x:c>
    </x:row>
    <x:row r="88">
      <x:c r="A88" s="7" t="n">
        <x:v>84</x:v>
      </x:c>
      <x:c r="B88" s="7" t="str">
        <x:v>Tata</x:v>
      </x:c>
      <x:c r="C88" s="7" t="str">
        <x:v>Tiago</x:v>
      </x:c>
      <x:c r="D88" s="7" t="str">
        <x:v>XE</x:v>
      </x:c>
      <x:c r="E88" s="7" t="str">
        <x:v>Petrol</x:v>
      </x:c>
      <x:c r="F88" s="7" t="str">
        <x:v>Manual</x:v>
      </x:c>
      <x:c r="G88" s="7" t="str">
        <x:v>Hatchback</x:v>
      </x:c>
      <x:c r="H88" s="7" t="n">
        <x:v>1199</x:v>
      </x:c>
      <x:c r="I88" s="7" t="n">
        <x:v>85</x:v>
      </x:c>
      <x:c r="J88" s="9" t="n">
        <x:v>20.1</x:v>
      </x:c>
      <x:c r="K88" s="9" t="n">
        <x:v>5.7</x:v>
      </x:c>
      <x:c r="L88" s="7" t="n">
        <x:v>2021</x:v>
      </x:c>
      <x:c r="M88" s="11" t="n">
        <x:v>92806</x:v>
      </x:c>
      <x:c r="N88" s="7" t="n">
        <x:v>1</x:v>
      </x:c>
      <x:c r="O88" s="7" t="n">
        <x:v>0</x:v>
      </x:c>
      <x:c r="P88" s="9" t="n">
        <x:v>3.05</x:v>
      </x:c>
      <x:c r="Q88" s="7" t="n">
        <x:f>'Guide'!$B$5-L88</x:f>
        <x:v>5</x:v>
      </x:c>
      <x:c r="R88" s="9" t="n">
        <x:f>K88-P88</x:f>
        <x:v>2.6500000000000004</x:v>
      </x:c>
      <x:c r="S88" s="10" t="n">
        <x:f>IF(K88&gt;0,R88/K88,"")</x:f>
        <x:v>0.46491228070175444</x:v>
      </x:c>
    </x:row>
    <x:row r="89">
      <x:c r="A89" s="7" t="n">
        <x:v>85</x:v>
      </x:c>
      <x:c r="B89" s="7" t="str">
        <x:v>Tata</x:v>
      </x:c>
      <x:c r="C89" s="7" t="str">
        <x:v>Tiago</x:v>
      </x:c>
      <x:c r="D89" s="7" t="str">
        <x:v>XE</x:v>
      </x:c>
      <x:c r="E89" s="7" t="str">
        <x:v>Petrol</x:v>
      </x:c>
      <x:c r="F89" s="7" t="str">
        <x:v>Manual</x:v>
      </x:c>
      <x:c r="G89" s="7" t="str">
        <x:v>Hatchback</x:v>
      </x:c>
      <x:c r="H89" s="7" t="n">
        <x:v>1199</x:v>
      </x:c>
      <x:c r="I89" s="7" t="n">
        <x:v>85</x:v>
      </x:c>
      <x:c r="J89" s="9" t="n">
        <x:v>20.1</x:v>
      </x:c>
      <x:c r="K89" s="9" t="n">
        <x:v>5.7</x:v>
      </x:c>
      <x:c r="L89" s="7" t="n">
        <x:v>2022</x:v>
      </x:c>
      <x:c r="M89" s="11" t="n">
        <x:v>68340</x:v>
      </x:c>
      <x:c r="N89" s="7" t="n">
        <x:v>1</x:v>
      </x:c>
      <x:c r="O89" s="7" t="n">
        <x:v>0</x:v>
      </x:c>
      <x:c r="P89" s="9" t="n">
        <x:v>3.49</x:v>
      </x:c>
      <x:c r="Q89" s="7" t="n">
        <x:f>'Guide'!$B$5-L89</x:f>
        <x:v>4</x:v>
      </x:c>
      <x:c r="R89" s="9" t="n">
        <x:f>K89-P89</x:f>
        <x:v>2.21</x:v>
      </x:c>
      <x:c r="S89" s="10" t="n">
        <x:f>IF(K89&gt;0,R89/K89,"")</x:f>
        <x:v>0.387719298245614</x:v>
      </x:c>
    </x:row>
    <x:row r="90">
      <x:c r="A90" s="7" t="n">
        <x:v>86</x:v>
      </x:c>
      <x:c r="B90" s="7" t="str">
        <x:v>Tata</x:v>
      </x:c>
      <x:c r="C90" s="7" t="str">
        <x:v>Tiago</x:v>
      </x:c>
      <x:c r="D90" s="7" t="str">
        <x:v>XE</x:v>
      </x:c>
      <x:c r="E90" s="7" t="str">
        <x:v>Petrol</x:v>
      </x:c>
      <x:c r="F90" s="7" t="str">
        <x:v>Manual</x:v>
      </x:c>
      <x:c r="G90" s="7" t="str">
        <x:v>Hatchback</x:v>
      </x:c>
      <x:c r="H90" s="7" t="n">
        <x:v>1199</x:v>
      </x:c>
      <x:c r="I90" s="7" t="n">
        <x:v>85</x:v>
      </x:c>
      <x:c r="J90" s="9" t="n">
        <x:v>20.1</x:v>
      </x:c>
      <x:c r="K90" s="9" t="n">
        <x:v>5.7</x:v>
      </x:c>
      <x:c r="L90" s="7" t="n">
        <x:v>2026</x:v>
      </x:c>
      <x:c r="M90" s="11" t="n">
        <x:v>5801</x:v>
      </x:c>
      <x:c r="N90" s="7" t="n">
        <x:v>2</x:v>
      </x:c>
      <x:c r="O90" s="7" t="n">
        <x:v>1</x:v>
      </x:c>
      <x:c r="P90" s="9" t="n">
        <x:v>4.08</x:v>
      </x:c>
      <x:c r="Q90" s="7" t="n">
        <x:f>'Guide'!$B$5-L90</x:f>
        <x:v>0</x:v>
      </x:c>
      <x:c r="R90" s="9" t="n">
        <x:f>K90-P90</x:f>
        <x:v>1.62</x:v>
      </x:c>
      <x:c r="S90" s="10" t="n">
        <x:f>IF(K90&gt;0,R90/K90,"")</x:f>
        <x:v>0.28421052631578947</x:v>
      </x:c>
    </x:row>
    <x:row r="91">
      <x:c r="A91" s="7" t="n">
        <x:v>87</x:v>
      </x:c>
      <x:c r="B91" s="7" t="str">
        <x:v>Tata</x:v>
      </x:c>
      <x:c r="C91" s="7" t="str">
        <x:v>Tiago</x:v>
      </x:c>
      <x:c r="D91" s="7" t="str">
        <x:v>XE</x:v>
      </x:c>
      <x:c r="E91" s="7" t="str">
        <x:v>Petrol</x:v>
      </x:c>
      <x:c r="F91" s="7" t="str">
        <x:v>Manual</x:v>
      </x:c>
      <x:c r="G91" s="7" t="str">
        <x:v>Hatchback</x:v>
      </x:c>
      <x:c r="H91" s="7" t="n">
        <x:v>1199</x:v>
      </x:c>
      <x:c r="I91" s="7" t="n">
        <x:v>85</x:v>
      </x:c>
      <x:c r="J91" s="9" t="n">
        <x:v>20.1</x:v>
      </x:c>
      <x:c r="K91" s="9" t="n">
        <x:v>5.7</x:v>
      </x:c>
      <x:c r="L91" s="7" t="n">
        <x:v>2025</x:v>
      </x:c>
      <x:c r="M91" s="11" t="n">
        <x:v>19440</x:v>
      </x:c>
      <x:c r="N91" s="7" t="n">
        <x:v>2</x:v>
      </x:c>
      <x:c r="O91" s="7" t="n">
        <x:v>0</x:v>
      </x:c>
      <x:c r="P91" s="9" t="n">
        <x:v>4.89</x:v>
      </x:c>
      <x:c r="Q91" s="7" t="n">
        <x:f>'Guide'!$B$5-L91</x:f>
        <x:v>1</x:v>
      </x:c>
      <x:c r="R91" s="9" t="n">
        <x:f>K91-P91</x:f>
        <x:v>0.8100000000000005</x:v>
      </x:c>
      <x:c r="S91" s="10" t="n">
        <x:f>IF(K91&gt;0,R91/K91,"")</x:f>
        <x:v>0.14210526315789482</x:v>
      </x:c>
    </x:row>
    <x:row r="92">
      <x:c r="A92" s="7" t="n">
        <x:v>88</x:v>
      </x:c>
      <x:c r="B92" s="7" t="str">
        <x:v>Tata</x:v>
      </x:c>
      <x:c r="C92" s="7" t="str">
        <x:v>Tiago</x:v>
      </x:c>
      <x:c r="D92" s="7" t="str">
        <x:v>XE</x:v>
      </x:c>
      <x:c r="E92" s="7" t="str">
        <x:v>Petrol</x:v>
      </x:c>
      <x:c r="F92" s="7" t="str">
        <x:v>Manual</x:v>
      </x:c>
      <x:c r="G92" s="7" t="str">
        <x:v>Hatchback</x:v>
      </x:c>
      <x:c r="H92" s="7" t="n">
        <x:v>1199</x:v>
      </x:c>
      <x:c r="I92" s="7" t="n">
        <x:v>85</x:v>
      </x:c>
      <x:c r="J92" s="9" t="n">
        <x:v>20.1</x:v>
      </x:c>
      <x:c r="K92" s="9" t="n">
        <x:v>5.7</x:v>
      </x:c>
      <x:c r="L92" s="7" t="n">
        <x:v>2020</x:v>
      </x:c>
      <x:c r="M92" s="11" t="n">
        <x:v>125384</x:v>
      </x:c>
      <x:c r="N92" s="7" t="n">
        <x:v>1</x:v>
      </x:c>
      <x:c r="O92" s="7" t="n">
        <x:v>0</x:v>
      </x:c>
      <x:c r="P92" s="9" t="n">
        <x:v>2.09</x:v>
      </x:c>
      <x:c r="Q92" s="7" t="n">
        <x:f>'Guide'!$B$5-L92</x:f>
        <x:v>6</x:v>
      </x:c>
      <x:c r="R92" s="9" t="n">
        <x:f>K92-P92</x:f>
        <x:v>3.6100000000000003</x:v>
      </x:c>
      <x:c r="S92" s="10" t="n">
        <x:f>IF(K92&gt;0,R92/K92,"")</x:f>
        <x:v>0.6333333333333334</x:v>
      </x:c>
    </x:row>
    <x:row r="93">
      <x:c r="A93" s="7" t="n">
        <x:v>89</x:v>
      </x:c>
      <x:c r="B93" s="7" t="str">
        <x:v>Tata</x:v>
      </x:c>
      <x:c r="C93" s="7" t="str">
        <x:v>Tiago</x:v>
      </x:c>
      <x:c r="D93" s="7" t="str">
        <x:v>XE</x:v>
      </x:c>
      <x:c r="E93" s="7" t="str">
        <x:v>Petrol</x:v>
      </x:c>
      <x:c r="F93" s="7" t="str">
        <x:v>Manual</x:v>
      </x:c>
      <x:c r="G93" s="7" t="str">
        <x:v>Hatchback</x:v>
      </x:c>
      <x:c r="H93" s="7" t="n">
        <x:v>1199</x:v>
      </x:c>
      <x:c r="I93" s="7" t="n">
        <x:v>85</x:v>
      </x:c>
      <x:c r="J93" s="9" t="n">
        <x:v>20.1</x:v>
      </x:c>
      <x:c r="K93" s="9" t="n">
        <x:v>5.7</x:v>
      </x:c>
      <x:c r="L93" s="7" t="n">
        <x:v>2024</x:v>
      </x:c>
      <x:c r="M93" s="11" t="n">
        <x:v>37453</x:v>
      </x:c>
      <x:c r="N93" s="7" t="n">
        <x:v>1</x:v>
      </x:c>
      <x:c r="O93" s="7" t="n">
        <x:v>0</x:v>
      </x:c>
      <x:c r="P93" s="9" t="n">
        <x:v>4.36</x:v>
      </x:c>
      <x:c r="Q93" s="7" t="n">
        <x:f>'Guide'!$B$5-L93</x:f>
        <x:v>2</x:v>
      </x:c>
      <x:c r="R93" s="9" t="n">
        <x:f>K93-P93</x:f>
        <x:v>1.3399999999999999</x:v>
      </x:c>
      <x:c r="S93" s="10" t="n">
        <x:f>IF(K93&gt;0,R93/K93,"")</x:f>
        <x:v>0.2350877192982456</x:v>
      </x:c>
    </x:row>
    <x:row r="94">
      <x:c r="A94" s="7" t="n">
        <x:v>90</x:v>
      </x:c>
      <x:c r="B94" s="7" t="str">
        <x:v>Tata</x:v>
      </x:c>
      <x:c r="C94" s="7" t="str">
        <x:v>Tiago</x:v>
      </x:c>
      <x:c r="D94" s="7" t="str">
        <x:v>XE</x:v>
      </x:c>
      <x:c r="E94" s="7" t="str">
        <x:v>Petrol</x:v>
      </x:c>
      <x:c r="F94" s="7" t="str">
        <x:v>Manual</x:v>
      </x:c>
      <x:c r="G94" s="7" t="str">
        <x:v>Hatchback</x:v>
      </x:c>
      <x:c r="H94" s="7" t="n">
        <x:v>1199</x:v>
      </x:c>
      <x:c r="I94" s="7" t="n">
        <x:v>85</x:v>
      </x:c>
      <x:c r="J94" s="9" t="n">
        <x:v>20.1</x:v>
      </x:c>
      <x:c r="K94" s="9" t="n">
        <x:v>5.7</x:v>
      </x:c>
      <x:c r="L94" s="7" t="n">
        <x:v>2024</x:v>
      </x:c>
      <x:c r="M94" s="11" t="n">
        <x:v>23329</x:v>
      </x:c>
      <x:c r="N94" s="7" t="n">
        <x:v>2</x:v>
      </x:c>
      <x:c r="O94" s="7" t="n">
        <x:v>0</x:v>
      </x:c>
      <x:c r="P94" s="9" t="n">
        <x:v>4.06</x:v>
      </x:c>
      <x:c r="Q94" s="7" t="n">
        <x:f>'Guide'!$B$5-L94</x:f>
        <x:v>2</x:v>
      </x:c>
      <x:c r="R94" s="9" t="n">
        <x:f>K94-P94</x:f>
        <x:v>1.6400000000000006</x:v>
      </x:c>
      <x:c r="S94" s="10" t="n">
        <x:f>IF(K94&gt;0,R94/K94,"")</x:f>
        <x:v>0.28771929824561415</x:v>
      </x:c>
    </x:row>
    <x:row r="95">
      <x:c r="A95" s="7" t="n">
        <x:v>91</x:v>
      </x:c>
      <x:c r="B95" s="7" t="str">
        <x:v>Tata</x:v>
      </x:c>
      <x:c r="C95" s="7" t="str">
        <x:v>Tiago</x:v>
      </x:c>
      <x:c r="D95" s="7" t="str">
        <x:v>XE</x:v>
      </x:c>
      <x:c r="E95" s="7" t="str">
        <x:v>Petrol</x:v>
      </x:c>
      <x:c r="F95" s="7" t="str">
        <x:v>Manual</x:v>
      </x:c>
      <x:c r="G95" s="7" t="str">
        <x:v>Hatchback</x:v>
      </x:c>
      <x:c r="H95" s="7" t="n">
        <x:v>1199</x:v>
      </x:c>
      <x:c r="I95" s="7" t="n">
        <x:v>85</x:v>
      </x:c>
      <x:c r="J95" s="9" t="n">
        <x:v>20.1</x:v>
      </x:c>
      <x:c r="K95" s="9" t="n">
        <x:v>5.7</x:v>
      </x:c>
      <x:c r="L95" s="7" t="n">
        <x:v>2025</x:v>
      </x:c>
      <x:c r="M95" s="11" t="n">
        <x:v>20835</x:v>
      </x:c>
      <x:c r="N95" s="7" t="n">
        <x:v>2</x:v>
      </x:c>
      <x:c r="O95" s="7" t="n">
        <x:v>0</x:v>
      </x:c>
      <x:c r="P95" s="9" t="n">
        <x:v>5.02</x:v>
      </x:c>
      <x:c r="Q95" s="7" t="n">
        <x:f>'Guide'!$B$5-L95</x:f>
        <x:v>1</x:v>
      </x:c>
      <x:c r="R95" s="9" t="n">
        <x:f>K95-P95</x:f>
        <x:v>0.6800000000000006</x:v>
      </x:c>
      <x:c r="S95" s="10" t="n">
        <x:f>IF(K95&gt;0,R95/K95,"")</x:f>
        <x:v>0.1192982456140352</x:v>
      </x:c>
    </x:row>
    <x:row r="96">
      <x:c r="A96" s="7" t="n">
        <x:v>92</x:v>
      </x:c>
      <x:c r="B96" s="7" t="str">
        <x:v>Tata</x:v>
      </x:c>
      <x:c r="C96" s="7" t="str">
        <x:v>Tiago</x:v>
      </x:c>
      <x:c r="D96" s="7" t="str">
        <x:v>XE</x:v>
      </x:c>
      <x:c r="E96" s="7" t="str">
        <x:v>Petrol</x:v>
      </x:c>
      <x:c r="F96" s="7" t="str">
        <x:v>Manual</x:v>
      </x:c>
      <x:c r="G96" s="7" t="str">
        <x:v>Hatchback</x:v>
      </x:c>
      <x:c r="H96" s="7" t="n">
        <x:v>1199</x:v>
      </x:c>
      <x:c r="I96" s="7" t="n">
        <x:v>85</x:v>
      </x:c>
      <x:c r="J96" s="9" t="n">
        <x:v>20.1</x:v>
      </x:c>
      <x:c r="K96" s="9" t="n">
        <x:v>5.7</x:v>
      </x:c>
      <x:c r="L96" s="7" t="n">
        <x:v>2020</x:v>
      </x:c>
      <x:c r="M96" s="11" t="n">
        <x:v>79060</x:v>
      </x:c>
      <x:c r="N96" s="7" t="n">
        <x:v>1</x:v>
      </x:c>
      <x:c r="O96" s="7" t="n">
        <x:v>0</x:v>
      </x:c>
      <x:c r="P96" s="9" t="n">
        <x:v>2.43</x:v>
      </x:c>
      <x:c r="Q96" s="7" t="n">
        <x:f>'Guide'!$B$5-L96</x:f>
        <x:v>6</x:v>
      </x:c>
      <x:c r="R96" s="9" t="n">
        <x:f>K96-P96</x:f>
        <x:v>3.27</x:v>
      </x:c>
      <x:c r="S96" s="10" t="n">
        <x:f>IF(K96&gt;0,R96/K96,"")</x:f>
        <x:v>0.5736842105263158</x:v>
      </x:c>
    </x:row>
    <x:row r="97">
      <x:c r="A97" s="7" t="n">
        <x:v>93</x:v>
      </x:c>
      <x:c r="B97" s="7" t="str">
        <x:v>Tata</x:v>
      </x:c>
      <x:c r="C97" s="7" t="str">
        <x:v>Tiago</x:v>
      </x:c>
      <x:c r="D97" s="7" t="str">
        <x:v>XE</x:v>
      </x:c>
      <x:c r="E97" s="7" t="str">
        <x:v>Petrol</x:v>
      </x:c>
      <x:c r="F97" s="7" t="str">
        <x:v>Manual</x:v>
      </x:c>
      <x:c r="G97" s="7" t="str">
        <x:v>Hatchback</x:v>
      </x:c>
      <x:c r="H97" s="7" t="n">
        <x:v>1199</x:v>
      </x:c>
      <x:c r="I97" s="7" t="n">
        <x:v>85</x:v>
      </x:c>
      <x:c r="J97" s="9" t="n">
        <x:v>20.1</x:v>
      </x:c>
      <x:c r="K97" s="9" t="n">
        <x:v>5.7</x:v>
      </x:c>
      <x:c r="L97" s="7" t="n">
        <x:v>2023</x:v>
      </x:c>
      <x:c r="M97" s="11" t="n">
        <x:v>41001</x:v>
      </x:c>
      <x:c r="N97" s="7" t="n">
        <x:v>1</x:v>
      </x:c>
      <x:c r="O97" s="7" t="n">
        <x:v>0</x:v>
      </x:c>
      <x:c r="P97" s="9" t="n">
        <x:v>4.21</x:v>
      </x:c>
      <x:c r="Q97" s="7" t="n">
        <x:f>'Guide'!$B$5-L97</x:f>
        <x:v>3</x:v>
      </x:c>
      <x:c r="R97" s="9" t="n">
        <x:f>K97-P97</x:f>
        <x:v>1.4900000000000002</x:v>
      </x:c>
      <x:c r="S97" s="10" t="n">
        <x:f>IF(K97&gt;0,R97/K97,"")</x:f>
        <x:v>0.26140350877192986</x:v>
      </x:c>
    </x:row>
    <x:row r="98">
      <x:c r="A98" s="7" t="n">
        <x:v>94</x:v>
      </x:c>
      <x:c r="B98" s="7" t="str">
        <x:v>Tata</x:v>
      </x:c>
      <x:c r="C98" s="7" t="str">
        <x:v>Tiago</x:v>
      </x:c>
      <x:c r="D98" s="7" t="str">
        <x:v>XE</x:v>
      </x:c>
      <x:c r="E98" s="7" t="str">
        <x:v>Petrol</x:v>
      </x:c>
      <x:c r="F98" s="7" t="str">
        <x:v>Manual</x:v>
      </x:c>
      <x:c r="G98" s="7" t="str">
        <x:v>Hatchback</x:v>
      </x:c>
      <x:c r="H98" s="7" t="n">
        <x:v>1199</x:v>
      </x:c>
      <x:c r="I98" s="7" t="n">
        <x:v>85</x:v>
      </x:c>
      <x:c r="J98" s="9" t="n">
        <x:v>20.1</x:v>
      </x:c>
      <x:c r="K98" s="9" t="n">
        <x:v>5.7</x:v>
      </x:c>
      <x:c r="L98" s="7" t="n">
        <x:v>2021</x:v>
      </x:c>
      <x:c r="M98" s="11" t="n">
        <x:v>62006</x:v>
      </x:c>
      <x:c r="N98" s="7" t="n">
        <x:v>1</x:v>
      </x:c>
      <x:c r="O98" s="7" t="n">
        <x:v>0</x:v>
      </x:c>
      <x:c r="P98" s="9" t="n">
        <x:v>3.16</x:v>
      </x:c>
      <x:c r="Q98" s="7" t="n">
        <x:f>'Guide'!$B$5-L98</x:f>
        <x:v>5</x:v>
      </x:c>
      <x:c r="R98" s="9" t="n">
        <x:f>K98-P98</x:f>
        <x:v>2.54</x:v>
      </x:c>
      <x:c r="S98" s="10" t="n">
        <x:f>IF(K98&gt;0,R98/K98,"")</x:f>
        <x:v>0.4456140350877193</x:v>
      </x:c>
    </x:row>
    <x:row r="99">
      <x:c r="A99" s="7" t="n">
        <x:v>95</x:v>
      </x:c>
      <x:c r="B99" s="7" t="str">
        <x:v>Tata</x:v>
      </x:c>
      <x:c r="C99" s="7" t="str">
        <x:v>Tiago</x:v>
      </x:c>
      <x:c r="D99" s="7" t="str">
        <x:v>XE</x:v>
      </x:c>
      <x:c r="E99" s="7" t="str">
        <x:v>Petrol</x:v>
      </x:c>
      <x:c r="F99" s="7" t="str">
        <x:v>Manual</x:v>
      </x:c>
      <x:c r="G99" s="7" t="str">
        <x:v>Hatchback</x:v>
      </x:c>
      <x:c r="H99" s="7" t="n">
        <x:v>1199</x:v>
      </x:c>
      <x:c r="I99" s="7" t="n">
        <x:v>85</x:v>
      </x:c>
      <x:c r="J99" s="9" t="n">
        <x:v>20.1</x:v>
      </x:c>
      <x:c r="K99" s="9" t="n">
        <x:v>5.7</x:v>
      </x:c>
      <x:c r="L99" s="7" t="n">
        <x:v>2025</x:v>
      </x:c>
      <x:c r="M99" s="11" t="n">
        <x:v>29705</x:v>
      </x:c>
      <x:c r="N99" s="7" t="n">
        <x:v>1</x:v>
      </x:c>
      <x:c r="O99" s="7" t="n">
        <x:v>0</x:v>
      </x:c>
      <x:c r="P99" s="9" t="n">
        <x:v>5.27</x:v>
      </x:c>
      <x:c r="Q99" s="7" t="n">
        <x:f>'Guide'!$B$5-L99</x:f>
        <x:v>1</x:v>
      </x:c>
      <x:c r="R99" s="9" t="n">
        <x:f>K99-P99</x:f>
        <x:v>0.4300000000000006</x:v>
      </x:c>
      <x:c r="S99" s="10" t="n">
        <x:f>IF(K99&gt;0,R99/K99,"")</x:f>
        <x:v>0.07543859649122818</x:v>
      </x:c>
    </x:row>
    <x:row r="100">
      <x:c r="A100" s="7" t="n">
        <x:v>96</x:v>
      </x:c>
      <x:c r="B100" s="7" t="str">
        <x:v>Tata</x:v>
      </x:c>
      <x:c r="C100" s="7" t="str">
        <x:v>Tiago</x:v>
      </x:c>
      <x:c r="D100" s="7" t="str">
        <x:v>XE</x:v>
      </x:c>
      <x:c r="E100" s="7" t="str">
        <x:v>Petrol</x:v>
      </x:c>
      <x:c r="F100" s="7" t="str">
        <x:v>Manual</x:v>
      </x:c>
      <x:c r="G100" s="7" t="str">
        <x:v>Hatchback</x:v>
      </x:c>
      <x:c r="H100" s="7" t="n">
        <x:v>1199</x:v>
      </x:c>
      <x:c r="I100" s="7" t="n">
        <x:v>85</x:v>
      </x:c>
      <x:c r="J100" s="9" t="n">
        <x:v>20.1</x:v>
      </x:c>
      <x:c r="K100" s="9" t="n">
        <x:v>5.7</x:v>
      </x:c>
      <x:c r="L100" s="7" t="n">
        <x:v>2020</x:v>
      </x:c>
      <x:c r="M100" s="11" t="n">
        <x:v>126298</x:v>
      </x:c>
      <x:c r="N100" s="7" t="n">
        <x:v>2</x:v>
      </x:c>
      <x:c r="O100" s="7" t="n">
        <x:v>1</x:v>
      </x:c>
      <x:c r="P100" s="9" t="n">
        <x:v>1.5</x:v>
      </x:c>
      <x:c r="Q100" s="7" t="n">
        <x:f>'Guide'!$B$5-L100</x:f>
        <x:v>6</x:v>
      </x:c>
      <x:c r="R100" s="9" t="n">
        <x:f>K100-P100</x:f>
        <x:v>4.2</x:v>
      </x:c>
      <x:c r="S100" s="10" t="n">
        <x:f>IF(K100&gt;0,R100/K100,"")</x:f>
        <x:v>0.7368421052631579</x:v>
      </x:c>
    </x:row>
    <x:row r="101">
      <x:c r="A101" s="7" t="n">
        <x:v>97</x:v>
      </x:c>
      <x:c r="B101" s="7" t="str">
        <x:v>Tata</x:v>
      </x:c>
      <x:c r="C101" s="7" t="str">
        <x:v>Tiago</x:v>
      </x:c>
      <x:c r="D101" s="7" t="str">
        <x:v>XE</x:v>
      </x:c>
      <x:c r="E101" s="7" t="str">
        <x:v>Petrol</x:v>
      </x:c>
      <x:c r="F101" s="7" t="str">
        <x:v>Manual</x:v>
      </x:c>
      <x:c r="G101" s="7" t="str">
        <x:v>Hatchback</x:v>
      </x:c>
      <x:c r="H101" s="7" t="n">
        <x:v>1199</x:v>
      </x:c>
      <x:c r="I101" s="7" t="n">
        <x:v>85</x:v>
      </x:c>
      <x:c r="J101" s="9" t="n">
        <x:v>20.1</x:v>
      </x:c>
      <x:c r="K101" s="9" t="n">
        <x:v>5.7</x:v>
      </x:c>
      <x:c r="L101" s="7" t="n">
        <x:v>2023</x:v>
      </x:c>
      <x:c r="M101" s="11" t="n">
        <x:v>49692</x:v>
      </x:c>
      <x:c r="N101" s="7" t="n">
        <x:v>1</x:v>
      </x:c>
      <x:c r="O101" s="7" t="n">
        <x:v>0</x:v>
      </x:c>
      <x:c r="P101" s="9" t="n">
        <x:v>4.23</x:v>
      </x:c>
      <x:c r="Q101" s="7" t="n">
        <x:f>'Guide'!$B$5-L101</x:f>
        <x:v>3</x:v>
      </x:c>
      <x:c r="R101" s="9" t="n">
        <x:f>K101-P101</x:f>
        <x:v>1.4699999999999998</x:v>
      </x:c>
      <x:c r="S101" s="10" t="n">
        <x:f>IF(K101&gt;0,R101/K101,"")</x:f>
        <x:v>0.25789473684210523</x:v>
      </x:c>
    </x:row>
    <x:row r="102">
      <x:c r="A102" s="7" t="n">
        <x:v>98</x:v>
      </x:c>
      <x:c r="B102" s="7" t="str">
        <x:v>Tata</x:v>
      </x:c>
      <x:c r="C102" s="7" t="str">
        <x:v>Tiago</x:v>
      </x:c>
      <x:c r="D102" s="7" t="str">
        <x:v>XE</x:v>
      </x:c>
      <x:c r="E102" s="7" t="str">
        <x:v>Petrol</x:v>
      </x:c>
      <x:c r="F102" s="7" t="str">
        <x:v>Manual</x:v>
      </x:c>
      <x:c r="G102" s="7" t="str">
        <x:v>Hatchback</x:v>
      </x:c>
      <x:c r="H102" s="7" t="n">
        <x:v>1199</x:v>
      </x:c>
      <x:c r="I102" s="7" t="n">
        <x:v>85</x:v>
      </x:c>
      <x:c r="J102" s="9" t="n">
        <x:v>20.1</x:v>
      </x:c>
      <x:c r="K102" s="9" t="n">
        <x:v>5.7</x:v>
      </x:c>
      <x:c r="L102" s="7" t="n">
        <x:v>2026</x:v>
      </x:c>
      <x:c r="M102" s="11" t="n">
        <x:v>5059</x:v>
      </x:c>
      <x:c r="N102" s="7" t="n">
        <x:v>1</x:v>
      </x:c>
      <x:c r="O102" s="7" t="n">
        <x:v>0</x:v>
      </x:c>
      <x:c r="P102" s="9" t="n">
        <x:v>5.27</x:v>
      </x:c>
      <x:c r="Q102" s="7" t="n">
        <x:f>'Guide'!$B$5-L102</x:f>
        <x:v>0</x:v>
      </x:c>
      <x:c r="R102" s="9" t="n">
        <x:f>K102-P102</x:f>
        <x:v>0.4300000000000006</x:v>
      </x:c>
      <x:c r="S102" s="10" t="n">
        <x:f>IF(K102&gt;0,R102/K102,"")</x:f>
        <x:v>0.07543859649122818</x:v>
      </x:c>
    </x:row>
    <x:row r="103">
      <x:c r="A103" s="7" t="n">
        <x:v>99</x:v>
      </x:c>
      <x:c r="B103" s="7" t="str">
        <x:v>Tata</x:v>
      </x:c>
      <x:c r="C103" s="7" t="str">
        <x:v>Tiago</x:v>
      </x:c>
      <x:c r="D103" s="7" t="str">
        <x:v>XE</x:v>
      </x:c>
      <x:c r="E103" s="7" t="str">
        <x:v>Petrol</x:v>
      </x:c>
      <x:c r="F103" s="7" t="str">
        <x:v>Manual</x:v>
      </x:c>
      <x:c r="G103" s="7" t="str">
        <x:v>Hatchback</x:v>
      </x:c>
      <x:c r="H103" s="7" t="n">
        <x:v>1199</x:v>
      </x:c>
      <x:c r="I103" s="7" t="n">
        <x:v>85</x:v>
      </x:c>
      <x:c r="J103" s="9" t="n">
        <x:v>20.1</x:v>
      </x:c>
      <x:c r="K103" s="9" t="n">
        <x:v>5.7</x:v>
      </x:c>
      <x:c r="L103" s="7" t="n">
        <x:v>2022</x:v>
      </x:c>
      <x:c r="M103" s="11" t="n">
        <x:v>36184</x:v>
      </x:c>
      <x:c r="N103" s="7" t="n">
        <x:v>2</x:v>
      </x:c>
      <x:c r="O103" s="7" t="n">
        <x:v>0</x:v>
      </x:c>
      <x:c r="P103" s="9" t="n">
        <x:v>3.53</x:v>
      </x:c>
      <x:c r="Q103" s="7" t="n">
        <x:f>'Guide'!$B$5-L103</x:f>
        <x:v>4</x:v>
      </x:c>
      <x:c r="R103" s="9" t="n">
        <x:f>K103-P103</x:f>
        <x:v>2.1700000000000004</x:v>
      </x:c>
      <x:c r="S103" s="10" t="n">
        <x:f>IF(K103&gt;0,R103/K103,"")</x:f>
        <x:v>0.380701754385965</x:v>
      </x:c>
    </x:row>
    <x:row r="104">
      <x:c r="A104" s="7" t="n">
        <x:v>100</x:v>
      </x:c>
      <x:c r="B104" s="7" t="str">
        <x:v>Tata</x:v>
      </x:c>
      <x:c r="C104" s="7" t="str">
        <x:v>Tiago</x:v>
      </x:c>
      <x:c r="D104" s="7" t="str">
        <x:v>XE</x:v>
      </x:c>
      <x:c r="E104" s="7" t="str">
        <x:v>Petrol</x:v>
      </x:c>
      <x:c r="F104" s="7" t="str">
        <x:v>Manual</x:v>
      </x:c>
      <x:c r="G104" s="7" t="str">
        <x:v>Hatchback</x:v>
      </x:c>
      <x:c r="H104" s="7" t="n">
        <x:v>1199</x:v>
      </x:c>
      <x:c r="I104" s="7" t="n">
        <x:v>85</x:v>
      </x:c>
      <x:c r="J104" s="9" t="n">
        <x:v>20.1</x:v>
      </x:c>
      <x:c r="K104" s="9" t="n">
        <x:v>5.7</x:v>
      </x:c>
      <x:c r="L104" s="7" t="n">
        <x:v>2025</x:v>
      </x:c>
      <x:c r="M104" s="11" t="n">
        <x:v>28443</x:v>
      </x:c>
      <x:c r="N104" s="7" t="n">
        <x:v>1</x:v>
      </x:c>
      <x:c r="O104" s="7" t="n">
        <x:v>0</x:v>
      </x:c>
      <x:c r="P104" s="9" t="n">
        <x:v>4.82</x:v>
      </x:c>
      <x:c r="Q104" s="7" t="n">
        <x:f>'Guide'!$B$5-L104</x:f>
        <x:v>1</x:v>
      </x:c>
      <x:c r="R104" s="9" t="n">
        <x:f>K104-P104</x:f>
        <x:v>0.8799999999999999</x:v>
      </x:c>
      <x:c r="S104" s="10" t="n">
        <x:f>IF(K104&gt;0,R104/K104,"")</x:f>
        <x:v>0.15438596491228068</x:v>
      </x:c>
    </x:row>
    <x:row r="105">
      <x:c r="A105" s="7" t="n">
        <x:v>101</x:v>
      </x:c>
      <x:c r="B105" s="7" t="str">
        <x:v>Tata</x:v>
      </x:c>
      <x:c r="C105" s="7" t="str">
        <x:v>Tiago</x:v>
      </x:c>
      <x:c r="D105" s="7" t="str">
        <x:v>XE</x:v>
      </x:c>
      <x:c r="E105" s="7" t="str">
        <x:v>Petrol</x:v>
      </x:c>
      <x:c r="F105" s="7" t="str">
        <x:v>Manual</x:v>
      </x:c>
      <x:c r="G105" s="7" t="str">
        <x:v>Hatchback</x:v>
      </x:c>
      <x:c r="H105" s="7" t="n">
        <x:v>1199</x:v>
      </x:c>
      <x:c r="I105" s="7" t="n">
        <x:v>85</x:v>
      </x:c>
      <x:c r="J105" s="9" t="n">
        <x:v>20.1</x:v>
      </x:c>
      <x:c r="K105" s="9" t="n">
        <x:v>5.7</x:v>
      </x:c>
      <x:c r="L105" s="7" t="n">
        <x:v>2022</x:v>
      </x:c>
      <x:c r="M105" s="11" t="n">
        <x:v>72546</x:v>
      </x:c>
      <x:c r="N105" s="7" t="n">
        <x:v>3</x:v>
      </x:c>
      <x:c r="O105" s="7" t="n">
        <x:v>0</x:v>
      </x:c>
      <x:c r="P105" s="9" t="n">
        <x:v>2.31</x:v>
      </x:c>
      <x:c r="Q105" s="7" t="n">
        <x:f>'Guide'!$B$5-L105</x:f>
        <x:v>4</x:v>
      </x:c>
      <x:c r="R105" s="9" t="n">
        <x:f>K105-P105</x:f>
        <x:v>3.39</x:v>
      </x:c>
      <x:c r="S105" s="10" t="n">
        <x:f>IF(K105&gt;0,R105/K105,"")</x:f>
        <x:v>0.5947368421052631</x:v>
      </x:c>
    </x:row>
    <x:row r="106">
      <x:c r="A106" s="7" t="n">
        <x:v>102</x:v>
      </x:c>
      <x:c r="B106" s="7" t="str">
        <x:v>Tata</x:v>
      </x:c>
      <x:c r="C106" s="7" t="str">
        <x:v>Tiago</x:v>
      </x:c>
      <x:c r="D106" s="7" t="str">
        <x:v>XE</x:v>
      </x:c>
      <x:c r="E106" s="7" t="str">
        <x:v>Petrol</x:v>
      </x:c>
      <x:c r="F106" s="7" t="str">
        <x:v>Manual</x:v>
      </x:c>
      <x:c r="G106" s="7" t="str">
        <x:v>Hatchback</x:v>
      </x:c>
      <x:c r="H106" s="7" t="n">
        <x:v>1199</x:v>
      </x:c>
      <x:c r="I106" s="7" t="n">
        <x:v>85</x:v>
      </x:c>
      <x:c r="J106" s="9" t="n">
        <x:v>20.1</x:v>
      </x:c>
      <x:c r="K106" s="9" t="n">
        <x:v>5.7</x:v>
      </x:c>
      <x:c r="L106" s="7" t="n">
        <x:v>2026</x:v>
      </x:c>
      <x:c r="M106" s="11" t="n">
        <x:v>7499</x:v>
      </x:c>
      <x:c r="N106" s="7" t="n">
        <x:v>1</x:v>
      </x:c>
      <x:c r="O106" s="7" t="n">
        <x:v>0</x:v>
      </x:c>
      <x:c r="P106" s="9" t="n">
        <x:v>5.79</x:v>
      </x:c>
      <x:c r="Q106" s="7" t="n">
        <x:f>'Guide'!$B$5-L106</x:f>
        <x:v>0</x:v>
      </x:c>
      <x:c r="R106" s="9" t="n">
        <x:f>K106-P106</x:f>
        <x:v>-0.08999999999999986</x:v>
      </x:c>
      <x:c r="S106" s="10" t="n">
        <x:f>IF(K106&gt;0,R106/K106,"")</x:f>
        <x:v>-0.015789473684210503</x:v>
      </x:c>
    </x:row>
    <x:row r="107">
      <x:c r="A107" s="7" t="n">
        <x:v>103</x:v>
      </x:c>
      <x:c r="B107" s="7" t="str">
        <x:v>Tata</x:v>
      </x:c>
      <x:c r="C107" s="7" t="str">
        <x:v>Tiago</x:v>
      </x:c>
      <x:c r="D107" s="7" t="str">
        <x:v>XE</x:v>
      </x:c>
      <x:c r="E107" s="7" t="str">
        <x:v>Petrol</x:v>
      </x:c>
      <x:c r="F107" s="7" t="str">
        <x:v>Manual</x:v>
      </x:c>
      <x:c r="G107" s="7" t="str">
        <x:v>Hatchback</x:v>
      </x:c>
      <x:c r="H107" s="7" t="n">
        <x:v>1199</x:v>
      </x:c>
      <x:c r="I107" s="7" t="n">
        <x:v>85</x:v>
      </x:c>
      <x:c r="J107" s="9" t="n">
        <x:v>20.1</x:v>
      </x:c>
      <x:c r="K107" s="9" t="n">
        <x:v>5.7</x:v>
      </x:c>
      <x:c r="L107" s="7" t="n">
        <x:v>2023</x:v>
      </x:c>
      <x:c r="M107" s="11" t="n">
        <x:v>52440</x:v>
      </x:c>
      <x:c r="N107" s="7" t="n">
        <x:v>1</x:v>
      </x:c>
      <x:c r="O107" s="7" t="n">
        <x:v>0</x:v>
      </x:c>
      <x:c r="P107" s="9" t="n">
        <x:v>4.37</x:v>
      </x:c>
      <x:c r="Q107" s="7" t="n">
        <x:f>'Guide'!$B$5-L107</x:f>
        <x:v>3</x:v>
      </x:c>
      <x:c r="R107" s="9" t="n">
        <x:f>K107-P107</x:f>
        <x:v>1.33</x:v>
      </x:c>
      <x:c r="S107" s="10" t="n">
        <x:f>IF(K107&gt;0,R107/K107,"")</x:f>
        <x:v>0.23333333333333334</x:v>
      </x:c>
    </x:row>
    <x:row r="108">
      <x:c r="A108" s="7" t="n">
        <x:v>104</x:v>
      </x:c>
      <x:c r="B108" s="7" t="str">
        <x:v>Tata</x:v>
      </x:c>
      <x:c r="C108" s="7" t="str">
        <x:v>Tiago</x:v>
      </x:c>
      <x:c r="D108" s="7" t="str">
        <x:v>XE</x:v>
      </x:c>
      <x:c r="E108" s="7" t="str">
        <x:v>Petrol</x:v>
      </x:c>
      <x:c r="F108" s="7" t="str">
        <x:v>Manual</x:v>
      </x:c>
      <x:c r="G108" s="7" t="str">
        <x:v>Hatchback</x:v>
      </x:c>
      <x:c r="H108" s="7" t="n">
        <x:v>1199</x:v>
      </x:c>
      <x:c r="I108" s="7" t="n">
        <x:v>85</x:v>
      </x:c>
      <x:c r="J108" s="9" t="n">
        <x:v>20.1</x:v>
      </x:c>
      <x:c r="K108" s="9" t="n">
        <x:v>5.7</x:v>
      </x:c>
      <x:c r="L108" s="7" t="n">
        <x:v>2022</x:v>
      </x:c>
      <x:c r="M108" s="11" t="n">
        <x:v>77862</x:v>
      </x:c>
      <x:c r="N108" s="7" t="n">
        <x:v>3</x:v>
      </x:c>
      <x:c r="O108" s="7" t="n">
        <x:v>0</x:v>
      </x:c>
      <x:c r="P108" s="9" t="n">
        <x:v>2.27</x:v>
      </x:c>
      <x:c r="Q108" s="7" t="n">
        <x:f>'Guide'!$B$5-L108</x:f>
        <x:v>4</x:v>
      </x:c>
      <x:c r="R108" s="9" t="n">
        <x:f>K108-P108</x:f>
        <x:v>3.43</x:v>
      </x:c>
      <x:c r="S108" s="10" t="n">
        <x:f>IF(K108&gt;0,R108/K108,"")</x:f>
        <x:v>0.6017543859649123</x:v>
      </x:c>
    </x:row>
    <x:row r="109">
      <x:c r="A109" s="7" t="n">
        <x:v>105</x:v>
      </x:c>
      <x:c r="B109" s="7" t="str">
        <x:v>Tata</x:v>
      </x:c>
      <x:c r="C109" s="7" t="str">
        <x:v>Tiago</x:v>
      </x:c>
      <x:c r="D109" s="7" t="str">
        <x:v>XE</x:v>
      </x:c>
      <x:c r="E109" s="7" t="str">
        <x:v>Petrol</x:v>
      </x:c>
      <x:c r="F109" s="7" t="str">
        <x:v>Manual</x:v>
      </x:c>
      <x:c r="G109" s="7" t="str">
        <x:v>Hatchback</x:v>
      </x:c>
      <x:c r="H109" s="7" t="n">
        <x:v>1199</x:v>
      </x:c>
      <x:c r="I109" s="7" t="n">
        <x:v>85</x:v>
      </x:c>
      <x:c r="J109" s="9" t="n">
        <x:v>20.1</x:v>
      </x:c>
      <x:c r="K109" s="9" t="n">
        <x:v>5.7</x:v>
      </x:c>
      <x:c r="L109" s="7" t="n">
        <x:v>2026</x:v>
      </x:c>
      <x:c r="M109" s="11" t="n">
        <x:v>5625</x:v>
      </x:c>
      <x:c r="N109" s="7" t="n">
        <x:v>2</x:v>
      </x:c>
      <x:c r="O109" s="7" t="n">
        <x:v>0</x:v>
      </x:c>
      <x:c r="P109" s="9" t="n">
        <x:v>5.54</x:v>
      </x:c>
      <x:c r="Q109" s="7" t="n">
        <x:f>'Guide'!$B$5-L109</x:f>
        <x:v>0</x:v>
      </x:c>
      <x:c r="R109" s="9" t="n">
        <x:f>K109-P109</x:f>
        <x:v>0.16000000000000014</x:v>
      </x:c>
      <x:c r="S109" s="10" t="n">
        <x:f>IF(K109&gt;0,R109/K109,"")</x:f>
        <x:v>0.028070175438596516</x:v>
      </x:c>
    </x:row>
    <x:row r="110">
      <x:c r="A110" s="7" t="n">
        <x:v>106</x:v>
      </x:c>
      <x:c r="B110" s="7" t="str">
        <x:v>Tata</x:v>
      </x:c>
      <x:c r="C110" s="7" t="str">
        <x:v>Tiago</x:v>
      </x:c>
      <x:c r="D110" s="7" t="str">
        <x:v>XE</x:v>
      </x:c>
      <x:c r="E110" s="7" t="str">
        <x:v>Petrol</x:v>
      </x:c>
      <x:c r="F110" s="7" t="str">
        <x:v>Manual</x:v>
      </x:c>
      <x:c r="G110" s="7" t="str">
        <x:v>Hatchback</x:v>
      </x:c>
      <x:c r="H110" s="7" t="n">
        <x:v>1199</x:v>
      </x:c>
      <x:c r="I110" s="7" t="n">
        <x:v>85</x:v>
      </x:c>
      <x:c r="J110" s="9" t="n">
        <x:v>20.1</x:v>
      </x:c>
      <x:c r="K110" s="9" t="n">
        <x:v>5.7</x:v>
      </x:c>
      <x:c r="L110" s="7" t="n">
        <x:v>2020</x:v>
      </x:c>
      <x:c r="M110" s="11" t="n">
        <x:v>104656</x:v>
      </x:c>
      <x:c r="N110" s="7" t="n">
        <x:v>1</x:v>
      </x:c>
      <x:c r="O110" s="7" t="n">
        <x:v>0</x:v>
      </x:c>
      <x:c r="P110" s="9" t="n">
        <x:v>2.19</x:v>
      </x:c>
      <x:c r="Q110" s="7" t="n">
        <x:f>'Guide'!$B$5-L110</x:f>
        <x:v>6</x:v>
      </x:c>
      <x:c r="R110" s="9" t="n">
        <x:f>K110-P110</x:f>
        <x:v>3.5100000000000002</x:v>
      </x:c>
      <x:c r="S110" s="10" t="n">
        <x:f>IF(K110&gt;0,R110/K110,"")</x:f>
        <x:v>0.6157894736842106</x:v>
      </x:c>
    </x:row>
    <x:row r="111">
      <x:c r="A111" s="7" t="n">
        <x:v>107</x:v>
      </x:c>
      <x:c r="B111" s="7" t="str">
        <x:v>Tata</x:v>
      </x:c>
      <x:c r="C111" s="7" t="str">
        <x:v>Tiago</x:v>
      </x:c>
      <x:c r="D111" s="7" t="str">
        <x:v>XE</x:v>
      </x:c>
      <x:c r="E111" s="7" t="str">
        <x:v>Petrol</x:v>
      </x:c>
      <x:c r="F111" s="7" t="str">
        <x:v>Manual</x:v>
      </x:c>
      <x:c r="G111" s="7" t="str">
        <x:v>Hatchback</x:v>
      </x:c>
      <x:c r="H111" s="7" t="n">
        <x:v>1199</x:v>
      </x:c>
      <x:c r="I111" s="7" t="n">
        <x:v>85</x:v>
      </x:c>
      <x:c r="J111" s="9" t="n">
        <x:v>20.1</x:v>
      </x:c>
      <x:c r="K111" s="9" t="n">
        <x:v>5.7</x:v>
      </x:c>
      <x:c r="L111" s="7" t="n">
        <x:v>2024</x:v>
      </x:c>
      <x:c r="M111" s="11" t="n">
        <x:v>26167</x:v>
      </x:c>
      <x:c r="N111" s="7" t="n">
        <x:v>1</x:v>
      </x:c>
      <x:c r="O111" s="7" t="n">
        <x:v>0</x:v>
      </x:c>
      <x:c r="P111" s="9" t="n">
        <x:v>4.31</x:v>
      </x:c>
      <x:c r="Q111" s="7" t="n">
        <x:f>'Guide'!$B$5-L111</x:f>
        <x:v>2</x:v>
      </x:c>
      <x:c r="R111" s="9" t="n">
        <x:f>K111-P111</x:f>
        <x:v>1.3900000000000006</x:v>
      </x:c>
      <x:c r="S111" s="10" t="n">
        <x:f>IF(K111&gt;0,R111/K111,"")</x:f>
        <x:v>0.2438596491228071</x:v>
      </x:c>
    </x:row>
    <x:row r="112">
      <x:c r="A112" s="7" t="n">
        <x:v>108</x:v>
      </x:c>
      <x:c r="B112" s="7" t="str">
        <x:v>Tata</x:v>
      </x:c>
      <x:c r="C112" s="7" t="str">
        <x:v>Tiago</x:v>
      </x:c>
      <x:c r="D112" s="7" t="str">
        <x:v>XE</x:v>
      </x:c>
      <x:c r="E112" s="7" t="str">
        <x:v>Petrol</x:v>
      </x:c>
      <x:c r="F112" s="7" t="str">
        <x:v>Manual</x:v>
      </x:c>
      <x:c r="G112" s="7" t="str">
        <x:v>Hatchback</x:v>
      </x:c>
      <x:c r="H112" s="7" t="n">
        <x:v>1199</x:v>
      </x:c>
      <x:c r="I112" s="7" t="n">
        <x:v>85</x:v>
      </x:c>
      <x:c r="J112" s="9" t="n">
        <x:v>20.1</x:v>
      </x:c>
      <x:c r="K112" s="9" t="n">
        <x:v>5.7</x:v>
      </x:c>
      <x:c r="L112" s="7" t="n">
        <x:v>2021</x:v>
      </x:c>
      <x:c r="M112" s="11" t="n">
        <x:v>107917</x:v>
      </x:c>
      <x:c r="N112" s="7" t="n">
        <x:v>1</x:v>
      </x:c>
      <x:c r="O112" s="7" t="n">
        <x:v>0</x:v>
      </x:c>
      <x:c r="P112" s="9" t="n">
        <x:v>2.82</x:v>
      </x:c>
      <x:c r="Q112" s="7" t="n">
        <x:f>'Guide'!$B$5-L112</x:f>
        <x:v>5</x:v>
      </x:c>
      <x:c r="R112" s="9" t="n">
        <x:f>K112-P112</x:f>
        <x:v>2.8800000000000003</x:v>
      </x:c>
      <x:c r="S112" s="10" t="n">
        <x:f>IF(K112&gt;0,R112/K112,"")</x:f>
        <x:v>0.5052631578947369</x:v>
      </x:c>
    </x:row>
    <x:row r="113">
      <x:c r="A113" s="7" t="n">
        <x:v>109</x:v>
      </x:c>
      <x:c r="B113" s="7" t="str">
        <x:v>Tata</x:v>
      </x:c>
      <x:c r="C113" s="7" t="str">
        <x:v>Tiago</x:v>
      </x:c>
      <x:c r="D113" s="7" t="str">
        <x:v>XE</x:v>
      </x:c>
      <x:c r="E113" s="7" t="str">
        <x:v>Petrol</x:v>
      </x:c>
      <x:c r="F113" s="7" t="str">
        <x:v>Manual</x:v>
      </x:c>
      <x:c r="G113" s="7" t="str">
        <x:v>Hatchback</x:v>
      </x:c>
      <x:c r="H113" s="7" t="n">
        <x:v>1199</x:v>
      </x:c>
      <x:c r="I113" s="7" t="n">
        <x:v>85</x:v>
      </x:c>
      <x:c r="J113" s="9" t="n">
        <x:v>20.1</x:v>
      </x:c>
      <x:c r="K113" s="9" t="n">
        <x:v>5.7</x:v>
      </x:c>
      <x:c r="L113" s="7" t="n">
        <x:v>2021</x:v>
      </x:c>
      <x:c r="M113" s="11" t="n">
        <x:v>49276</x:v>
      </x:c>
      <x:c r="N113" s="7" t="n">
        <x:v>1</x:v>
      </x:c>
      <x:c r="O113" s="7" t="n">
        <x:v>0</x:v>
      </x:c>
      <x:c r="P113" s="9" t="n">
        <x:v>2.94</x:v>
      </x:c>
      <x:c r="Q113" s="7" t="n">
        <x:f>'Guide'!$B$5-L113</x:f>
        <x:v>5</x:v>
      </x:c>
      <x:c r="R113" s="9" t="n">
        <x:f>K113-P113</x:f>
        <x:v>2.7600000000000002</x:v>
      </x:c>
      <x:c r="S113" s="10" t="n">
        <x:f>IF(K113&gt;0,R113/K113,"")</x:f>
        <x:v>0.4842105263157895</x:v>
      </x:c>
    </x:row>
    <x:row r="114">
      <x:c r="A114" s="7" t="n">
        <x:v>110</x:v>
      </x:c>
      <x:c r="B114" s="7" t="str">
        <x:v>Tata</x:v>
      </x:c>
      <x:c r="C114" s="7" t="str">
        <x:v>Tiago</x:v>
      </x:c>
      <x:c r="D114" s="7" t="str">
        <x:v>XE</x:v>
      </x:c>
      <x:c r="E114" s="7" t="str">
        <x:v>Petrol</x:v>
      </x:c>
      <x:c r="F114" s="7" t="str">
        <x:v>Manual</x:v>
      </x:c>
      <x:c r="G114" s="7" t="str">
        <x:v>Hatchback</x:v>
      </x:c>
      <x:c r="H114" s="7" t="n">
        <x:v>1199</x:v>
      </x:c>
      <x:c r="I114" s="7" t="n">
        <x:v>85</x:v>
      </x:c>
      <x:c r="J114" s="9" t="n">
        <x:v>20.1</x:v>
      </x:c>
      <x:c r="K114" s="9" t="n">
        <x:v>5.7</x:v>
      </x:c>
      <x:c r="L114" s="7" t="n">
        <x:v>2025</x:v>
      </x:c>
      <x:c r="M114" s="11" t="n">
        <x:v>28718</x:v>
      </x:c>
      <x:c r="N114" s="7" t="n">
        <x:v>1</x:v>
      </x:c>
      <x:c r="O114" s="7" t="n">
        <x:v>1</x:v>
      </x:c>
      <x:c r="P114" s="9" t="n">
        <x:v>4.26</x:v>
      </x:c>
      <x:c r="Q114" s="7" t="n">
        <x:f>'Guide'!$B$5-L114</x:f>
        <x:v>1</x:v>
      </x:c>
      <x:c r="R114" s="9" t="n">
        <x:f>K114-P114</x:f>
        <x:v>1.4400000000000004</x:v>
      </x:c>
      <x:c r="S114" s="10" t="n">
        <x:f>IF(K114&gt;0,R114/K114,"")</x:f>
        <x:v>0.2526315789473685</x:v>
      </x:c>
    </x:row>
    <x:row r="115">
      <x:c r="A115" s="7" t="n">
        <x:v>111</x:v>
      </x:c>
      <x:c r="B115" s="7" t="str">
        <x:v>Tata</x:v>
      </x:c>
      <x:c r="C115" s="7" t="str">
        <x:v>Tiago</x:v>
      </x:c>
      <x:c r="D115" s="7" t="str">
        <x:v>XE</x:v>
      </x:c>
      <x:c r="E115" s="7" t="str">
        <x:v>Petrol</x:v>
      </x:c>
      <x:c r="F115" s="7" t="str">
        <x:v>Manual</x:v>
      </x:c>
      <x:c r="G115" s="7" t="str">
        <x:v>Hatchback</x:v>
      </x:c>
      <x:c r="H115" s="7" t="n">
        <x:v>1199</x:v>
      </x:c>
      <x:c r="I115" s="7" t="n">
        <x:v>85</x:v>
      </x:c>
      <x:c r="J115" s="9" t="n">
        <x:v>20.1</x:v>
      </x:c>
      <x:c r="K115" s="9" t="n">
        <x:v>5.7</x:v>
      </x:c>
      <x:c r="L115" s="7" t="n">
        <x:v>2023</x:v>
      </x:c>
      <x:c r="M115" s="11" t="n">
        <x:v>41155</x:v>
      </x:c>
      <x:c r="N115" s="7" t="n">
        <x:v>1</x:v>
      </x:c>
      <x:c r="O115" s="7" t="n">
        <x:v>0</x:v>
      </x:c>
      <x:c r="P115" s="9" t="n">
        <x:v>3.67</x:v>
      </x:c>
      <x:c r="Q115" s="7" t="n">
        <x:f>'Guide'!$B$5-L115</x:f>
        <x:v>3</x:v>
      </x:c>
      <x:c r="R115" s="9" t="n">
        <x:f>K115-P115</x:f>
        <x:v>2.0300000000000002</x:v>
      </x:c>
      <x:c r="S115" s="10" t="n">
        <x:f>IF(K115&gt;0,R115/K115,"")</x:f>
        <x:v>0.35614035087719303</x:v>
      </x:c>
    </x:row>
    <x:row r="116">
      <x:c r="A116" s="7" t="n">
        <x:v>112</x:v>
      </x:c>
      <x:c r="B116" s="7" t="str">
        <x:v>Tata</x:v>
      </x:c>
      <x:c r="C116" s="7" t="str">
        <x:v>Tiago</x:v>
      </x:c>
      <x:c r="D116" s="7" t="str">
        <x:v>XE</x:v>
      </x:c>
      <x:c r="E116" s="7" t="str">
        <x:v>Petrol</x:v>
      </x:c>
      <x:c r="F116" s="7" t="str">
        <x:v>Manual</x:v>
      </x:c>
      <x:c r="G116" s="7" t="str">
        <x:v>Hatchback</x:v>
      </x:c>
      <x:c r="H116" s="7" t="n">
        <x:v>1199</x:v>
      </x:c>
      <x:c r="I116" s="7" t="n">
        <x:v>85</x:v>
      </x:c>
      <x:c r="J116" s="9" t="n">
        <x:v>20.1</x:v>
      </x:c>
      <x:c r="K116" s="9" t="n">
        <x:v>5.7</x:v>
      </x:c>
      <x:c r="L116" s="7" t="n">
        <x:v>2023</x:v>
      </x:c>
      <x:c r="M116" s="11" t="n">
        <x:v>66304</x:v>
      </x:c>
      <x:c r="N116" s="7" t="n">
        <x:v>1</x:v>
      </x:c>
      <x:c r="O116" s="7" t="n">
        <x:v>0</x:v>
      </x:c>
      <x:c r="P116" s="9" t="n">
        <x:v>3.72</x:v>
      </x:c>
      <x:c r="Q116" s="7" t="n">
        <x:f>'Guide'!$B$5-L116</x:f>
        <x:v>3</x:v>
      </x:c>
      <x:c r="R116" s="9" t="n">
        <x:f>K116-P116</x:f>
        <x:v>1.98</x:v>
      </x:c>
      <x:c r="S116" s="10" t="n">
        <x:f>IF(K116&gt;0,R116/K116,"")</x:f>
        <x:v>0.34736842105263155</x:v>
      </x:c>
    </x:row>
    <x:row r="117">
      <x:c r="A117" s="7" t="n">
        <x:v>113</x:v>
      </x:c>
      <x:c r="B117" s="7" t="str">
        <x:v>Tata</x:v>
      </x:c>
      <x:c r="C117" s="7" t="str">
        <x:v>Tiago</x:v>
      </x:c>
      <x:c r="D117" s="7" t="str">
        <x:v>XE</x:v>
      </x:c>
      <x:c r="E117" s="7" t="str">
        <x:v>Petrol</x:v>
      </x:c>
      <x:c r="F117" s="7" t="str">
        <x:v>Manual</x:v>
      </x:c>
      <x:c r="G117" s="7" t="str">
        <x:v>Hatchback</x:v>
      </x:c>
      <x:c r="H117" s="7" t="n">
        <x:v>1199</x:v>
      </x:c>
      <x:c r="I117" s="7" t="n">
        <x:v>85</x:v>
      </x:c>
      <x:c r="J117" s="9" t="n">
        <x:v>20.1</x:v>
      </x:c>
      <x:c r="K117" s="9" t="n">
        <x:v>5.7</x:v>
      </x:c>
      <x:c r="L117" s="7" t="n">
        <x:v>2021</x:v>
      </x:c>
      <x:c r="M117" s="11" t="n">
        <x:v>77640</x:v>
      </x:c>
      <x:c r="N117" s="7" t="n">
        <x:v>1</x:v>
      </x:c>
      <x:c r="O117" s="7" t="n">
        <x:v>0</x:v>
      </x:c>
      <x:c r="P117" s="9" t="n">
        <x:v>2.66</x:v>
      </x:c>
      <x:c r="Q117" s="7" t="n">
        <x:f>'Guide'!$B$5-L117</x:f>
        <x:v>5</x:v>
      </x:c>
      <x:c r="R117" s="9" t="n">
        <x:f>K117-P117</x:f>
        <x:v>3.04</x:v>
      </x:c>
      <x:c r="S117" s="10" t="n">
        <x:f>IF(K117&gt;0,R117/K117,"")</x:f>
        <x:v>0.5333333333333333</x:v>
      </x:c>
    </x:row>
    <x:row r="118">
      <x:c r="A118" s="7" t="n">
        <x:v>114</x:v>
      </x:c>
      <x:c r="B118" s="7" t="str">
        <x:v>Tata</x:v>
      </x:c>
      <x:c r="C118" s="7" t="str">
        <x:v>Tiago</x:v>
      </x:c>
      <x:c r="D118" s="7" t="str">
        <x:v>XE</x:v>
      </x:c>
      <x:c r="E118" s="7" t="str">
        <x:v>Petrol</x:v>
      </x:c>
      <x:c r="F118" s="7" t="str">
        <x:v>Manual</x:v>
      </x:c>
      <x:c r="G118" s="7" t="str">
        <x:v>Hatchback</x:v>
      </x:c>
      <x:c r="H118" s="7" t="n">
        <x:v>1199</x:v>
      </x:c>
      <x:c r="I118" s="7" t="n">
        <x:v>85</x:v>
      </x:c>
      <x:c r="J118" s="9" t="n">
        <x:v>20.1</x:v>
      </x:c>
      <x:c r="K118" s="9" t="n">
        <x:v>5.7</x:v>
      </x:c>
      <x:c r="L118" s="7" t="n">
        <x:v>2023</x:v>
      </x:c>
      <x:c r="M118" s="11" t="n">
        <x:v>29422</x:v>
      </x:c>
      <x:c r="N118" s="7" t="n">
        <x:v>1</x:v>
      </x:c>
      <x:c r="O118" s="7" t="n">
        <x:v>0</x:v>
      </x:c>
      <x:c r="P118" s="9" t="n">
        <x:v>3.96</x:v>
      </x:c>
      <x:c r="Q118" s="7" t="n">
        <x:f>'Guide'!$B$5-L118</x:f>
        <x:v>3</x:v>
      </x:c>
      <x:c r="R118" s="9" t="n">
        <x:f>K118-P118</x:f>
        <x:v>1.7400000000000002</x:v>
      </x:c>
      <x:c r="S118" s="10" t="n">
        <x:f>IF(K118&gt;0,R118/K118,"")</x:f>
        <x:v>0.30526315789473685</x:v>
      </x:c>
    </x:row>
    <x:row r="119">
      <x:c r="A119" s="7" t="n">
        <x:v>115</x:v>
      </x:c>
      <x:c r="B119" s="7" t="str">
        <x:v>Tata</x:v>
      </x:c>
      <x:c r="C119" s="7" t="str">
        <x:v>Tiago</x:v>
      </x:c>
      <x:c r="D119" s="7" t="str">
        <x:v>XE</x:v>
      </x:c>
      <x:c r="E119" s="7" t="str">
        <x:v>Petrol</x:v>
      </x:c>
      <x:c r="F119" s="7" t="str">
        <x:v>Manual</x:v>
      </x:c>
      <x:c r="G119" s="7" t="str">
        <x:v>Hatchback</x:v>
      </x:c>
      <x:c r="H119" s="7" t="n">
        <x:v>1199</x:v>
      </x:c>
      <x:c r="I119" s="7" t="n">
        <x:v>85</x:v>
      </x:c>
      <x:c r="J119" s="9" t="n">
        <x:v>20.1</x:v>
      </x:c>
      <x:c r="K119" s="9" t="n">
        <x:v>5.7</x:v>
      </x:c>
      <x:c r="L119" s="7" t="n">
        <x:v>2021</x:v>
      </x:c>
      <x:c r="M119" s="11" t="n">
        <x:v>55763</x:v>
      </x:c>
      <x:c r="N119" s="7" t="n">
        <x:v>2</x:v>
      </x:c>
      <x:c r="O119" s="7" t="n">
        <x:v>0</x:v>
      </x:c>
      <x:c r="P119" s="9" t="n">
        <x:v>2.62</x:v>
      </x:c>
      <x:c r="Q119" s="7" t="n">
        <x:f>'Guide'!$B$5-L119</x:f>
        <x:v>5</x:v>
      </x:c>
      <x:c r="R119" s="9" t="n">
        <x:f>K119-P119</x:f>
        <x:v>3.08</x:v>
      </x:c>
      <x:c r="S119" s="10" t="n">
        <x:f>IF(K119&gt;0,R119/K119,"")</x:f>
        <x:v>0.5403508771929825</x:v>
      </x:c>
    </x:row>
    <x:row r="120">
      <x:c r="A120" s="7" t="n">
        <x:v>116</x:v>
      </x:c>
      <x:c r="B120" s="7" t="str">
        <x:v>Tata</x:v>
      </x:c>
      <x:c r="C120" s="7" t="str">
        <x:v>Tiago</x:v>
      </x:c>
      <x:c r="D120" s="7" t="str">
        <x:v>XE</x:v>
      </x:c>
      <x:c r="E120" s="7" t="str">
        <x:v>Petrol</x:v>
      </x:c>
      <x:c r="F120" s="7" t="str">
        <x:v>Manual</x:v>
      </x:c>
      <x:c r="G120" s="7" t="str">
        <x:v>Hatchback</x:v>
      </x:c>
      <x:c r="H120" s="7" t="n">
        <x:v>1199</x:v>
      </x:c>
      <x:c r="I120" s="7" t="n">
        <x:v>85</x:v>
      </x:c>
      <x:c r="J120" s="9" t="n">
        <x:v>20.1</x:v>
      </x:c>
      <x:c r="K120" s="9" t="n">
        <x:v>5.7</x:v>
      </x:c>
      <x:c r="L120" s="7" t="n">
        <x:v>2026</x:v>
      </x:c>
      <x:c r="M120" s="11" t="n">
        <x:v>5333</x:v>
      </x:c>
      <x:c r="N120" s="7" t="n">
        <x:v>1</x:v>
      </x:c>
      <x:c r="O120" s="7" t="n">
        <x:v>1</x:v>
      </x:c>
      <x:c r="P120" s="9" t="n">
        <x:v>5.12</x:v>
      </x:c>
      <x:c r="Q120" s="7" t="n">
        <x:f>'Guide'!$B$5-L120</x:f>
        <x:v>0</x:v>
      </x:c>
      <x:c r="R120" s="9" t="n">
        <x:f>K120-P120</x:f>
        <x:v>0.5800000000000001</x:v>
      </x:c>
      <x:c r="S120" s="10" t="n">
        <x:f>IF(K120&gt;0,R120/K120,"")</x:f>
        <x:v>0.10175438596491229</x:v>
      </x:c>
    </x:row>
    <x:row r="121">
      <x:c r="A121" s="7" t="n">
        <x:v>117</x:v>
      </x:c>
      <x:c r="B121" s="7" t="str">
        <x:v>Tata</x:v>
      </x:c>
      <x:c r="C121" s="7" t="str">
        <x:v>Tiago</x:v>
      </x:c>
      <x:c r="D121" s="7" t="str">
        <x:v>XE</x:v>
      </x:c>
      <x:c r="E121" s="7" t="str">
        <x:v>Petrol</x:v>
      </x:c>
      <x:c r="F121" s="7" t="str">
        <x:v>Manual</x:v>
      </x:c>
      <x:c r="G121" s="7" t="str">
        <x:v>Hatchback</x:v>
      </x:c>
      <x:c r="H121" s="7" t="n">
        <x:v>1199</x:v>
      </x:c>
      <x:c r="I121" s="7" t="n">
        <x:v>85</x:v>
      </x:c>
      <x:c r="J121" s="9" t="n">
        <x:v>20.1</x:v>
      </x:c>
      <x:c r="K121" s="9" t="n">
        <x:v>5.7</x:v>
      </x:c>
      <x:c r="L121" s="7" t="n">
        <x:v>2023</x:v>
      </x:c>
      <x:c r="M121" s="11" t="n">
        <x:v>34195</x:v>
      </x:c>
      <x:c r="N121" s="7" t="n">
        <x:v>2</x:v>
      </x:c>
      <x:c r="O121" s="7" t="n">
        <x:v>1</x:v>
      </x:c>
      <x:c r="P121" s="9" t="n">
        <x:v>2.64</x:v>
      </x:c>
      <x:c r="Q121" s="7" t="n">
        <x:f>'Guide'!$B$5-L121</x:f>
        <x:v>3</x:v>
      </x:c>
      <x:c r="R121" s="9" t="n">
        <x:f>K121-P121</x:f>
        <x:v>3.06</x:v>
      </x:c>
      <x:c r="S121" s="10" t="n">
        <x:f>IF(K121&gt;0,R121/K121,"")</x:f>
        <x:v>0.5368421052631579</x:v>
      </x:c>
    </x:row>
    <x:row r="122">
      <x:c r="A122" s="7" t="n">
        <x:v>118</x:v>
      </x:c>
      <x:c r="B122" s="7" t="str">
        <x:v>Tata</x:v>
      </x:c>
      <x:c r="C122" s="7" t="str">
        <x:v>Tiago</x:v>
      </x:c>
      <x:c r="D122" s="7" t="str">
        <x:v>XE</x:v>
      </x:c>
      <x:c r="E122" s="7" t="str">
        <x:v>Petrol</x:v>
      </x:c>
      <x:c r="F122" s="7" t="str">
        <x:v>Manual</x:v>
      </x:c>
      <x:c r="G122" s="7" t="str">
        <x:v>Hatchback</x:v>
      </x:c>
      <x:c r="H122" s="7" t="n">
        <x:v>1199</x:v>
      </x:c>
      <x:c r="I122" s="7" t="n">
        <x:v>85</x:v>
      </x:c>
      <x:c r="J122" s="9" t="n">
        <x:v>20.1</x:v>
      </x:c>
      <x:c r="K122" s="9" t="n">
        <x:v>5.7</x:v>
      </x:c>
      <x:c r="L122" s="7" t="n">
        <x:v>2022</x:v>
      </x:c>
      <x:c r="M122" s="11" t="n">
        <x:v>77747</x:v>
      </x:c>
      <x:c r="N122" s="7" t="n">
        <x:v>1</x:v>
      </x:c>
      <x:c r="O122" s="7" t="n">
        <x:v>0</x:v>
      </x:c>
      <x:c r="P122" s="9" t="n">
        <x:v>3.26</x:v>
      </x:c>
      <x:c r="Q122" s="7" t="n">
        <x:f>'Guide'!$B$5-L122</x:f>
        <x:v>4</x:v>
      </x:c>
      <x:c r="R122" s="9" t="n">
        <x:f>K122-P122</x:f>
        <x:v>2.4400000000000004</x:v>
      </x:c>
      <x:c r="S122" s="10" t="n">
        <x:f>IF(K122&gt;0,R122/K122,"")</x:f>
        <x:v>0.42807017543859655</x:v>
      </x:c>
    </x:row>
    <x:row r="123">
      <x:c r="A123" s="7" t="n">
        <x:v>119</x:v>
      </x:c>
      <x:c r="B123" s="7" t="str">
        <x:v>Tata</x:v>
      </x:c>
      <x:c r="C123" s="7" t="str">
        <x:v>Tiago</x:v>
      </x:c>
      <x:c r="D123" s="7" t="str">
        <x:v>XE</x:v>
      </x:c>
      <x:c r="E123" s="7" t="str">
        <x:v>Petrol</x:v>
      </x:c>
      <x:c r="F123" s="7" t="str">
        <x:v>Manual</x:v>
      </x:c>
      <x:c r="G123" s="7" t="str">
        <x:v>Hatchback</x:v>
      </x:c>
      <x:c r="H123" s="7" t="n">
        <x:v>1199</x:v>
      </x:c>
      <x:c r="I123" s="7" t="n">
        <x:v>85</x:v>
      </x:c>
      <x:c r="J123" s="9" t="n">
        <x:v>20.1</x:v>
      </x:c>
      <x:c r="K123" s="9" t="n">
        <x:v>5.7</x:v>
      </x:c>
      <x:c r="L123" s="7" t="n">
        <x:v>2025</x:v>
      </x:c>
      <x:c r="M123" s="11" t="n">
        <x:v>19748</x:v>
      </x:c>
      <x:c r="N123" s="7" t="n">
        <x:v>1</x:v>
      </x:c>
      <x:c r="O123" s="7" t="n">
        <x:v>0</x:v>
      </x:c>
      <x:c r="P123" s="9" t="n">
        <x:v>4.98</x:v>
      </x:c>
      <x:c r="Q123" s="7" t="n">
        <x:f>'Guide'!$B$5-L123</x:f>
        <x:v>1</x:v>
      </x:c>
      <x:c r="R123" s="9" t="n">
        <x:f>K123-P123</x:f>
        <x:v>0.7199999999999998</x:v>
      </x:c>
      <x:c r="S123" s="10" t="n">
        <x:f>IF(K123&gt;0,R123/K123,"")</x:f>
        <x:v>0.12631578947368416</x:v>
      </x:c>
    </x:row>
    <x:row r="124">
      <x:c r="A124" s="7" t="n">
        <x:v>120</x:v>
      </x:c>
      <x:c r="B124" s="7" t="str">
        <x:v>Tata</x:v>
      </x:c>
      <x:c r="C124" s="7" t="str">
        <x:v>Tiago</x:v>
      </x:c>
      <x:c r="D124" s="7" t="str">
        <x:v>XE</x:v>
      </x:c>
      <x:c r="E124" s="7" t="str">
        <x:v>Petrol</x:v>
      </x:c>
      <x:c r="F124" s="7" t="str">
        <x:v>Manual</x:v>
      </x:c>
      <x:c r="G124" s="7" t="str">
        <x:v>Hatchback</x:v>
      </x:c>
      <x:c r="H124" s="7" t="n">
        <x:v>1199</x:v>
      </x:c>
      <x:c r="I124" s="7" t="n">
        <x:v>85</x:v>
      </x:c>
      <x:c r="J124" s="9" t="n">
        <x:v>20.1</x:v>
      </x:c>
      <x:c r="K124" s="9" t="n">
        <x:v>5.7</x:v>
      </x:c>
      <x:c r="L124" s="7" t="n">
        <x:v>2024</x:v>
      </x:c>
      <x:c r="M124" s="11" t="n">
        <x:v>26063</x:v>
      </x:c>
      <x:c r="N124" s="7" t="n">
        <x:v>2</x:v>
      </x:c>
      <x:c r="O124" s="7" t="n">
        <x:v>0</x:v>
      </x:c>
      <x:c r="P124" s="9" t="n">
        <x:v>4.46</x:v>
      </x:c>
      <x:c r="Q124" s="7" t="n">
        <x:f>'Guide'!$B$5-L124</x:f>
        <x:v>2</x:v>
      </x:c>
      <x:c r="R124" s="9" t="n">
        <x:f>K124-P124</x:f>
        <x:v>1.2400000000000002</x:v>
      </x:c>
      <x:c r="S124" s="10" t="n">
        <x:f>IF(K124&gt;0,R124/K124,"")</x:f>
        <x:v>0.21754385964912284</x:v>
      </x:c>
    </x:row>
    <x:row r="125">
      <x:c r="A125" s="7" t="n">
        <x:v>121</x:v>
      </x:c>
      <x:c r="B125" s="7" t="str">
        <x:v>Tata</x:v>
      </x:c>
      <x:c r="C125" s="7" t="str">
        <x:v>Tiago</x:v>
      </x:c>
      <x:c r="D125" s="7" t="str">
        <x:v>XE</x:v>
      </x:c>
      <x:c r="E125" s="7" t="str">
        <x:v>Petrol</x:v>
      </x:c>
      <x:c r="F125" s="7" t="str">
        <x:v>Manual</x:v>
      </x:c>
      <x:c r="G125" s="7" t="str">
        <x:v>Hatchback</x:v>
      </x:c>
      <x:c r="H125" s="7" t="n">
        <x:v>1199</x:v>
      </x:c>
      <x:c r="I125" s="7" t="n">
        <x:v>85</x:v>
      </x:c>
      <x:c r="J125" s="9" t="n">
        <x:v>20.1</x:v>
      </x:c>
      <x:c r="K125" s="9" t="n">
        <x:v>5.7</x:v>
      </x:c>
      <x:c r="L125" s="7" t="n">
        <x:v>2025</x:v>
      </x:c>
      <x:c r="M125" s="11" t="n">
        <x:v>23179</x:v>
      </x:c>
      <x:c r="N125" s="7" t="n">
        <x:v>1</x:v>
      </x:c>
      <x:c r="O125" s="7" t="n">
        <x:v>0</x:v>
      </x:c>
      <x:c r="P125" s="9" t="n">
        <x:v>5.46</x:v>
      </x:c>
      <x:c r="Q125" s="7" t="n">
        <x:f>'Guide'!$B$5-L125</x:f>
        <x:v>1</x:v>
      </x:c>
      <x:c r="R125" s="9" t="n">
        <x:f>K125-P125</x:f>
        <x:v>0.2400000000000002</x:v>
      </x:c>
      <x:c r="S125" s="10" t="n">
        <x:f>IF(K125&gt;0,R125/K125,"")</x:f>
        <x:v>0.04210526315789477</x:v>
      </x:c>
    </x:row>
    <x:row r="126">
      <x:c r="A126" s="7" t="n">
        <x:v>122</x:v>
      </x:c>
      <x:c r="B126" s="7" t="str">
        <x:v>Tata</x:v>
      </x:c>
      <x:c r="C126" s="7" t="str">
        <x:v>Tiago</x:v>
      </x:c>
      <x:c r="D126" s="7" t="str">
        <x:v>XE</x:v>
      </x:c>
      <x:c r="E126" s="7" t="str">
        <x:v>Petrol</x:v>
      </x:c>
      <x:c r="F126" s="7" t="str">
        <x:v>Manual</x:v>
      </x:c>
      <x:c r="G126" s="7" t="str">
        <x:v>Hatchback</x:v>
      </x:c>
      <x:c r="H126" s="7" t="n">
        <x:v>1199</x:v>
      </x:c>
      <x:c r="I126" s="7" t="n">
        <x:v>85</x:v>
      </x:c>
      <x:c r="J126" s="9" t="n">
        <x:v>20.1</x:v>
      </x:c>
      <x:c r="K126" s="9" t="n">
        <x:v>5.7</x:v>
      </x:c>
      <x:c r="L126" s="7" t="n">
        <x:v>2020</x:v>
      </x:c>
      <x:c r="M126" s="11" t="n">
        <x:v>114307</x:v>
      </x:c>
      <x:c r="N126" s="7" t="n">
        <x:v>1</x:v>
      </x:c>
      <x:c r="O126" s="7" t="n">
        <x:v>0</x:v>
      </x:c>
      <x:c r="P126" s="9" t="n">
        <x:v>2.13</x:v>
      </x:c>
      <x:c r="Q126" s="7" t="n">
        <x:f>'Guide'!$B$5-L126</x:f>
        <x:v>6</x:v>
      </x:c>
      <x:c r="R126" s="9" t="n">
        <x:f>K126-P126</x:f>
        <x:v>3.5700000000000003</x:v>
      </x:c>
      <x:c r="S126" s="10" t="n">
        <x:f>IF(K126&gt;0,R126/K126,"")</x:f>
        <x:v>0.6263157894736843</x:v>
      </x:c>
    </x:row>
    <x:row r="127">
      <x:c r="A127" s="7" t="n">
        <x:v>123</x:v>
      </x:c>
      <x:c r="B127" s="7" t="str">
        <x:v>Tata</x:v>
      </x:c>
      <x:c r="C127" s="7" t="str">
        <x:v>Tiago</x:v>
      </x:c>
      <x:c r="D127" s="7" t="str">
        <x:v>XE</x:v>
      </x:c>
      <x:c r="E127" s="7" t="str">
        <x:v>Petrol</x:v>
      </x:c>
      <x:c r="F127" s="7" t="str">
        <x:v>Manual</x:v>
      </x:c>
      <x:c r="G127" s="7" t="str">
        <x:v>Hatchback</x:v>
      </x:c>
      <x:c r="H127" s="7" t="n">
        <x:v>1199</x:v>
      </x:c>
      <x:c r="I127" s="7" t="n">
        <x:v>85</x:v>
      </x:c>
      <x:c r="J127" s="9" t="n">
        <x:v>20.1</x:v>
      </x:c>
      <x:c r="K127" s="9" t="n">
        <x:v>5.7</x:v>
      </x:c>
      <x:c r="L127" s="7" t="n">
        <x:v>2021</x:v>
      </x:c>
      <x:c r="M127" s="11" t="n">
        <x:v>62317</x:v>
      </x:c>
      <x:c r="N127" s="7" t="n">
        <x:v>1</x:v>
      </x:c>
      <x:c r="O127" s="7" t="n">
        <x:v>0</x:v>
      </x:c>
      <x:c r="P127" s="9" t="n">
        <x:v>3.09</x:v>
      </x:c>
      <x:c r="Q127" s="7" t="n">
        <x:f>'Guide'!$B$5-L127</x:f>
        <x:v>5</x:v>
      </x:c>
      <x:c r="R127" s="9" t="n">
        <x:f>K127-P127</x:f>
        <x:v>2.6100000000000003</x:v>
      </x:c>
      <x:c r="S127" s="10" t="n">
        <x:f>IF(K127&gt;0,R127/K127,"")</x:f>
        <x:v>0.4578947368421053</x:v>
      </x:c>
    </x:row>
    <x:row r="128">
      <x:c r="A128" s="7" t="n">
        <x:v>124</x:v>
      </x:c>
      <x:c r="B128" s="7" t="str">
        <x:v>Tata</x:v>
      </x:c>
      <x:c r="C128" s="7" t="str">
        <x:v>Tiago</x:v>
      </x:c>
      <x:c r="D128" s="7" t="str">
        <x:v>XE</x:v>
      </x:c>
      <x:c r="E128" s="7" t="str">
        <x:v>Petrol</x:v>
      </x:c>
      <x:c r="F128" s="7" t="str">
        <x:v>Manual</x:v>
      </x:c>
      <x:c r="G128" s="7" t="str">
        <x:v>Hatchback</x:v>
      </x:c>
      <x:c r="H128" s="7" t="n">
        <x:v>1199</x:v>
      </x:c>
      <x:c r="I128" s="7" t="n">
        <x:v>85</x:v>
      </x:c>
      <x:c r="J128" s="9" t="n">
        <x:v>20.1</x:v>
      </x:c>
      <x:c r="K128" s="9" t="n">
        <x:v>5.7</x:v>
      </x:c>
      <x:c r="L128" s="7" t="n">
        <x:v>2026</x:v>
      </x:c>
      <x:c r="M128" s="11" t="n">
        <x:v>9957</x:v>
      </x:c>
      <x:c r="N128" s="7" t="n">
        <x:v>2</x:v>
      </x:c>
      <x:c r="O128" s="7" t="n">
        <x:v>0</x:v>
      </x:c>
      <x:c r="P128" s="9" t="n">
        <x:v>5.55</x:v>
      </x:c>
      <x:c r="Q128" s="7" t="n">
        <x:f>'Guide'!$B$5-L128</x:f>
        <x:v>0</x:v>
      </x:c>
      <x:c r="R128" s="9" t="n">
        <x:f>K128-P128</x:f>
        <x:v>0.15000000000000036</x:v>
      </x:c>
      <x:c r="S128" s="10" t="n">
        <x:f>IF(K128&gt;0,R128/K128,"")</x:f>
        <x:v>0.02631578947368427</x:v>
      </x:c>
    </x:row>
    <x:row r="129">
      <x:c r="A129" s="7" t="n">
        <x:v>125</x:v>
      </x:c>
      <x:c r="B129" s="7" t="str">
        <x:v>Tata</x:v>
      </x:c>
      <x:c r="C129" s="7" t="str">
        <x:v>Tiago</x:v>
      </x:c>
      <x:c r="D129" s="7" t="str">
        <x:v>XE</x:v>
      </x:c>
      <x:c r="E129" s="7" t="str">
        <x:v>Petrol</x:v>
      </x:c>
      <x:c r="F129" s="7" t="str">
        <x:v>Manual</x:v>
      </x:c>
      <x:c r="G129" s="7" t="str">
        <x:v>Hatchback</x:v>
      </x:c>
      <x:c r="H129" s="7" t="n">
        <x:v>1199</x:v>
      </x:c>
      <x:c r="I129" s="7" t="n">
        <x:v>85</x:v>
      </x:c>
      <x:c r="J129" s="9" t="n">
        <x:v>20.1</x:v>
      </x:c>
      <x:c r="K129" s="9" t="n">
        <x:v>5.7</x:v>
      </x:c>
      <x:c r="L129" s="7" t="n">
        <x:v>2022</x:v>
      </x:c>
      <x:c r="M129" s="11" t="n">
        <x:v>39294</x:v>
      </x:c>
      <x:c r="N129" s="7" t="n">
        <x:v>1</x:v>
      </x:c>
      <x:c r="O129" s="7" t="n">
        <x:v>0</x:v>
      </x:c>
      <x:c r="P129" s="9" t="n">
        <x:v>3.36</x:v>
      </x:c>
      <x:c r="Q129" s="7" t="n">
        <x:f>'Guide'!$B$5-L129</x:f>
        <x:v>4</x:v>
      </x:c>
      <x:c r="R129" s="9" t="n">
        <x:f>K129-P129</x:f>
        <x:v>2.3400000000000003</x:v>
      </x:c>
      <x:c r="S129" s="10" t="n">
        <x:f>IF(K129&gt;0,R129/K129,"")</x:f>
        <x:v>0.41052631578947374</x:v>
      </x:c>
    </x:row>
    <x:row r="130">
      <x:c r="A130" s="7" t="n">
        <x:v>126</x:v>
      </x:c>
      <x:c r="B130" s="7" t="str">
        <x:v>Tata</x:v>
      </x:c>
      <x:c r="C130" s="7" t="str">
        <x:v>Tiago</x:v>
      </x:c>
      <x:c r="D130" s="7" t="str">
        <x:v>XE</x:v>
      </x:c>
      <x:c r="E130" s="7" t="str">
        <x:v>Petrol</x:v>
      </x:c>
      <x:c r="F130" s="7" t="str">
        <x:v>Manual</x:v>
      </x:c>
      <x:c r="G130" s="7" t="str">
        <x:v>Hatchback</x:v>
      </x:c>
      <x:c r="H130" s="7" t="n">
        <x:v>1199</x:v>
      </x:c>
      <x:c r="I130" s="7" t="n">
        <x:v>85</x:v>
      </x:c>
      <x:c r="J130" s="9" t="n">
        <x:v>20.1</x:v>
      </x:c>
      <x:c r="K130" s="9" t="n">
        <x:v>5.7</x:v>
      </x:c>
      <x:c r="L130" s="7" t="n">
        <x:v>2023</x:v>
      </x:c>
      <x:c r="M130" s="11" t="n">
        <x:v>41850</x:v>
      </x:c>
      <x:c r="N130" s="7" t="n">
        <x:v>1</x:v>
      </x:c>
      <x:c r="O130" s="7" t="n">
        <x:v>0</x:v>
      </x:c>
      <x:c r="P130" s="9" t="n">
        <x:v>4.28</x:v>
      </x:c>
      <x:c r="Q130" s="7" t="n">
        <x:f>'Guide'!$B$5-L130</x:f>
        <x:v>3</x:v>
      </x:c>
      <x:c r="R130" s="9" t="n">
        <x:f>K130-P130</x:f>
        <x:v>1.42</x:v>
      </x:c>
      <x:c r="S130" s="10" t="n">
        <x:f>IF(K130&gt;0,R130/K130,"")</x:f>
        <x:v>0.24912280701754383</x:v>
      </x:c>
    </x:row>
    <x:row r="131">
      <x:c r="A131" s="7" t="n">
        <x:v>127</x:v>
      </x:c>
      <x:c r="B131" s="7" t="str">
        <x:v>Tata</x:v>
      </x:c>
      <x:c r="C131" s="7" t="str">
        <x:v>Tiago</x:v>
      </x:c>
      <x:c r="D131" s="7" t="str">
        <x:v>XE</x:v>
      </x:c>
      <x:c r="E131" s="7" t="str">
        <x:v>Petrol</x:v>
      </x:c>
      <x:c r="F131" s="7" t="str">
        <x:v>Manual</x:v>
      </x:c>
      <x:c r="G131" s="7" t="str">
        <x:v>Hatchback</x:v>
      </x:c>
      <x:c r="H131" s="7" t="n">
        <x:v>1199</x:v>
      </x:c>
      <x:c r="I131" s="7" t="n">
        <x:v>85</x:v>
      </x:c>
      <x:c r="J131" s="9" t="n">
        <x:v>20.1</x:v>
      </x:c>
      <x:c r="K131" s="9" t="n">
        <x:v>5.7</x:v>
      </x:c>
      <x:c r="L131" s="7" t="n">
        <x:v>2025</x:v>
      </x:c>
      <x:c r="M131" s="11" t="n">
        <x:v>14587</x:v>
      </x:c>
      <x:c r="N131" s="7" t="n">
        <x:v>1</x:v>
      </x:c>
      <x:c r="O131" s="7" t="n">
        <x:v>0</x:v>
      </x:c>
      <x:c r="P131" s="9" t="n">
        <x:v>5.18</x:v>
      </x:c>
      <x:c r="Q131" s="7" t="n">
        <x:f>'Guide'!$B$5-L131</x:f>
        <x:v>1</x:v>
      </x:c>
      <x:c r="R131" s="9" t="n">
        <x:f>K131-P131</x:f>
        <x:v>0.5200000000000005</x:v>
      </x:c>
      <x:c r="S131" s="10" t="n">
        <x:f>IF(K131&gt;0,R131/K131,"")</x:f>
        <x:v>0.09122807017543867</x:v>
      </x:c>
    </x:row>
    <x:row r="132">
      <x:c r="A132" s="7" t="n">
        <x:v>128</x:v>
      </x:c>
      <x:c r="B132" s="7" t="str">
        <x:v>Tata</x:v>
      </x:c>
      <x:c r="C132" s="7" t="str">
        <x:v>Tiago</x:v>
      </x:c>
      <x:c r="D132" s="7" t="str">
        <x:v>XE</x:v>
      </x:c>
      <x:c r="E132" s="7" t="str">
        <x:v>Petrol</x:v>
      </x:c>
      <x:c r="F132" s="7" t="str">
        <x:v>Manual</x:v>
      </x:c>
      <x:c r="G132" s="7" t="str">
        <x:v>Hatchback</x:v>
      </x:c>
      <x:c r="H132" s="7" t="n">
        <x:v>1199</x:v>
      </x:c>
      <x:c r="I132" s="7" t="n">
        <x:v>85</x:v>
      </x:c>
      <x:c r="J132" s="9" t="n">
        <x:v>20.1</x:v>
      </x:c>
      <x:c r="K132" s="9" t="n">
        <x:v>5.7</x:v>
      </x:c>
      <x:c r="L132" s="7" t="n">
        <x:v>2022</x:v>
      </x:c>
      <x:c r="M132" s="11" t="n">
        <x:v>83199</x:v>
      </x:c>
      <x:c r="N132" s="7" t="n">
        <x:v>1</x:v>
      </x:c>
      <x:c r="O132" s="7" t="n">
        <x:v>0</x:v>
      </x:c>
      <x:c r="P132" s="9" t="n">
        <x:v>3.38</x:v>
      </x:c>
      <x:c r="Q132" s="7" t="n">
        <x:f>'Guide'!$B$5-L132</x:f>
        <x:v>4</x:v>
      </x:c>
      <x:c r="R132" s="9" t="n">
        <x:f>K132-P132</x:f>
        <x:v>2.3200000000000003</x:v>
      </x:c>
      <x:c r="S132" s="10" t="n">
        <x:f>IF(K132&gt;0,R132/K132,"")</x:f>
        <x:v>0.40701754385964917</x:v>
      </x:c>
    </x:row>
    <x:row r="133">
      <x:c r="A133" s="7" t="n">
        <x:v>129</x:v>
      </x:c>
      <x:c r="B133" s="7" t="str">
        <x:v>Tata</x:v>
      </x:c>
      <x:c r="C133" s="7" t="str">
        <x:v>Tiago</x:v>
      </x:c>
      <x:c r="D133" s="7" t="str">
        <x:v>XE</x:v>
      </x:c>
      <x:c r="E133" s="7" t="str">
        <x:v>Petrol</x:v>
      </x:c>
      <x:c r="F133" s="7" t="str">
        <x:v>Manual</x:v>
      </x:c>
      <x:c r="G133" s="7" t="str">
        <x:v>Hatchback</x:v>
      </x:c>
      <x:c r="H133" s="7" t="n">
        <x:v>1199</x:v>
      </x:c>
      <x:c r="I133" s="7" t="n">
        <x:v>85</x:v>
      </x:c>
      <x:c r="J133" s="9" t="n">
        <x:v>20.1</x:v>
      </x:c>
      <x:c r="K133" s="9" t="n">
        <x:v>5.7</x:v>
      </x:c>
      <x:c r="L133" s="7" t="n">
        <x:v>2025</x:v>
      </x:c>
      <x:c r="M133" s="11" t="n">
        <x:v>21453</x:v>
      </x:c>
      <x:c r="N133" s="7" t="n">
        <x:v>1</x:v>
      </x:c>
      <x:c r="O133" s="7" t="n">
        <x:v>0</x:v>
      </x:c>
      <x:c r="P133" s="9" t="n">
        <x:v>5.23</x:v>
      </x:c>
      <x:c r="Q133" s="7" t="n">
        <x:f>'Guide'!$B$5-L133</x:f>
        <x:v>1</x:v>
      </x:c>
      <x:c r="R133" s="9" t="n">
        <x:f>K133-P133</x:f>
        <x:v>0.46999999999999975</x:v>
      </x:c>
      <x:c r="S133" s="10" t="n">
        <x:f>IF(K133&gt;0,R133/K133,"")</x:f>
        <x:v>0.08245614035087714</x:v>
      </x:c>
    </x:row>
    <x:row r="134">
      <x:c r="A134" s="7" t="n">
        <x:v>130</x:v>
      </x:c>
      <x:c r="B134" s="7" t="str">
        <x:v>Tata</x:v>
      </x:c>
      <x:c r="C134" s="7" t="str">
        <x:v>Tiago</x:v>
      </x:c>
      <x:c r="D134" s="7" t="str">
        <x:v>XE</x:v>
      </x:c>
      <x:c r="E134" s="7" t="str">
        <x:v>Petrol</x:v>
      </x:c>
      <x:c r="F134" s="7" t="str">
        <x:v>Manual</x:v>
      </x:c>
      <x:c r="G134" s="7" t="str">
        <x:v>Hatchback</x:v>
      </x:c>
      <x:c r="H134" s="7" t="n">
        <x:v>1199</x:v>
      </x:c>
      <x:c r="I134" s="7" t="n">
        <x:v>85</x:v>
      </x:c>
      <x:c r="J134" s="9" t="n">
        <x:v>20.1</x:v>
      </x:c>
      <x:c r="K134" s="9" t="n">
        <x:v>5.7</x:v>
      </x:c>
      <x:c r="L134" s="7" t="n">
        <x:v>2025</x:v>
      </x:c>
      <x:c r="M134" s="11" t="n">
        <x:v>25635</x:v>
      </x:c>
      <x:c r="N134" s="7" t="n">
        <x:v>1</x:v>
      </x:c>
      <x:c r="O134" s="7" t="n">
        <x:v>0</x:v>
      </x:c>
      <x:c r="P134" s="9" t="n">
        <x:v>5.02</x:v>
      </x:c>
      <x:c r="Q134" s="7" t="n">
        <x:f>'Guide'!$B$5-L134</x:f>
        <x:v>1</x:v>
      </x:c>
      <x:c r="R134" s="9" t="n">
        <x:f>K134-P134</x:f>
        <x:v>0.6800000000000006</x:v>
      </x:c>
      <x:c r="S134" s="10" t="n">
        <x:f>IF(K134&gt;0,R134/K134,"")</x:f>
        <x:v>0.1192982456140352</x:v>
      </x:c>
    </x:row>
    <x:row r="135">
      <x:c r="A135" s="7" t="n">
        <x:v>131</x:v>
      </x:c>
      <x:c r="B135" s="7" t="str">
        <x:v>Tata</x:v>
      </x:c>
      <x:c r="C135" s="7" t="str">
        <x:v>Tiago</x:v>
      </x:c>
      <x:c r="D135" s="7" t="str">
        <x:v>XE</x:v>
      </x:c>
      <x:c r="E135" s="7" t="str">
        <x:v>Petrol</x:v>
      </x:c>
      <x:c r="F135" s="7" t="str">
        <x:v>Manual</x:v>
      </x:c>
      <x:c r="G135" s="7" t="str">
        <x:v>Hatchback</x:v>
      </x:c>
      <x:c r="H135" s="7" t="n">
        <x:v>1199</x:v>
      </x:c>
      <x:c r="I135" s="7" t="n">
        <x:v>85</x:v>
      </x:c>
      <x:c r="J135" s="9" t="n">
        <x:v>20.1</x:v>
      </x:c>
      <x:c r="K135" s="9" t="n">
        <x:v>5.7</x:v>
      </x:c>
      <x:c r="L135" s="7" t="n">
        <x:v>2026</x:v>
      </x:c>
      <x:c r="M135" s="11" t="n">
        <x:v>8600</x:v>
      </x:c>
      <x:c r="N135" s="7" t="n">
        <x:v>1</x:v>
      </x:c>
      <x:c r="O135" s="7" t="n">
        <x:v>0</x:v>
      </x:c>
      <x:c r="P135" s="9" t="n">
        <x:v>5.43</x:v>
      </x:c>
      <x:c r="Q135" s="7" t="n">
        <x:f>'Guide'!$B$5-L135</x:f>
        <x:v>0</x:v>
      </x:c>
      <x:c r="R135" s="9" t="n">
        <x:f>K135-P135</x:f>
        <x:v>0.27000000000000046</x:v>
      </x:c>
      <x:c r="S135" s="10" t="n">
        <x:f>IF(K135&gt;0,R135/K135,"")</x:f>
        <x:v>0.04736842105263166</x:v>
      </x:c>
    </x:row>
    <x:row r="136">
      <x:c r="A136" s="7" t="n">
        <x:v>132</x:v>
      </x:c>
      <x:c r="B136" s="7" t="str">
        <x:v>Tata</x:v>
      </x:c>
      <x:c r="C136" s="7" t="str">
        <x:v>Tiago</x:v>
      </x:c>
      <x:c r="D136" s="7" t="str">
        <x:v>XE</x:v>
      </x:c>
      <x:c r="E136" s="7" t="str">
        <x:v>Petrol</x:v>
      </x:c>
      <x:c r="F136" s="7" t="str">
        <x:v>Manual</x:v>
      </x:c>
      <x:c r="G136" s="7" t="str">
        <x:v>Hatchback</x:v>
      </x:c>
      <x:c r="H136" s="7" t="n">
        <x:v>1199</x:v>
      </x:c>
      <x:c r="I136" s="7" t="n">
        <x:v>85</x:v>
      </x:c>
      <x:c r="J136" s="9" t="n">
        <x:v>20.1</x:v>
      </x:c>
      <x:c r="K136" s="9" t="n">
        <x:v>5.7</x:v>
      </x:c>
      <x:c r="L136" s="7" t="n">
        <x:v>2024</x:v>
      </x:c>
      <x:c r="M136" s="11" t="n">
        <x:v>20499</x:v>
      </x:c>
      <x:c r="N136" s="7" t="n">
        <x:v>2</x:v>
      </x:c>
      <x:c r="O136" s="7" t="n">
        <x:v>1</x:v>
      </x:c>
      <x:c r="P136" s="9" t="n">
        <x:v>3.81</x:v>
      </x:c>
      <x:c r="Q136" s="7" t="n">
        <x:f>'Guide'!$B$5-L136</x:f>
        <x:v>2</x:v>
      </x:c>
      <x:c r="R136" s="9" t="n">
        <x:f>K136-P136</x:f>
        <x:v>1.8900000000000001</x:v>
      </x:c>
      <x:c r="S136" s="10" t="n">
        <x:f>IF(K136&gt;0,R136/K136,"")</x:f>
        <x:v>0.3315789473684211</x:v>
      </x:c>
    </x:row>
    <x:row r="137">
      <x:c r="A137" s="7" t="n">
        <x:v>133</x:v>
      </x:c>
      <x:c r="B137" s="7" t="str">
        <x:v>Tata</x:v>
      </x:c>
      <x:c r="C137" s="7" t="str">
        <x:v>Tiago</x:v>
      </x:c>
      <x:c r="D137" s="7" t="str">
        <x:v>XE</x:v>
      </x:c>
      <x:c r="E137" s="7" t="str">
        <x:v>Petrol</x:v>
      </x:c>
      <x:c r="F137" s="7" t="str">
        <x:v>Manual</x:v>
      </x:c>
      <x:c r="G137" s="7" t="str">
        <x:v>Hatchback</x:v>
      </x:c>
      <x:c r="H137" s="7" t="n">
        <x:v>1199</x:v>
      </x:c>
      <x:c r="I137" s="7" t="n">
        <x:v>85</x:v>
      </x:c>
      <x:c r="J137" s="9" t="n">
        <x:v>20.1</x:v>
      </x:c>
      <x:c r="K137" s="9" t="n">
        <x:v>5.7</x:v>
      </x:c>
      <x:c r="L137" s="7" t="n">
        <x:v>2023</x:v>
      </x:c>
      <x:c r="M137" s="11" t="n">
        <x:v>62058</x:v>
      </x:c>
      <x:c r="N137" s="7" t="n">
        <x:v>1</x:v>
      </x:c>
      <x:c r="O137" s="7" t="n">
        <x:v>0</x:v>
      </x:c>
      <x:c r="P137" s="9" t="n">
        <x:v>4.06</x:v>
      </x:c>
      <x:c r="Q137" s="7" t="n">
        <x:f>'Guide'!$B$5-L137</x:f>
        <x:v>3</x:v>
      </x:c>
      <x:c r="R137" s="9" t="n">
        <x:f>K137-P137</x:f>
        <x:v>1.6400000000000006</x:v>
      </x:c>
      <x:c r="S137" s="10" t="n">
        <x:f>IF(K137&gt;0,R137/K137,"")</x:f>
        <x:v>0.28771929824561415</x:v>
      </x:c>
    </x:row>
    <x:row r="138">
      <x:c r="A138" s="7" t="n">
        <x:v>134</x:v>
      </x:c>
      <x:c r="B138" s="7" t="str">
        <x:v>Tata</x:v>
      </x:c>
      <x:c r="C138" s="7" t="str">
        <x:v>Tiago</x:v>
      </x:c>
      <x:c r="D138" s="7" t="str">
        <x:v>XE</x:v>
      </x:c>
      <x:c r="E138" s="7" t="str">
        <x:v>Petrol</x:v>
      </x:c>
      <x:c r="F138" s="7" t="str">
        <x:v>Manual</x:v>
      </x:c>
      <x:c r="G138" s="7" t="str">
        <x:v>Hatchback</x:v>
      </x:c>
      <x:c r="H138" s="7" t="n">
        <x:v>1199</x:v>
      </x:c>
      <x:c r="I138" s="7" t="n">
        <x:v>85</x:v>
      </x:c>
      <x:c r="J138" s="9" t="n">
        <x:v>20.1</x:v>
      </x:c>
      <x:c r="K138" s="9" t="n">
        <x:v>5.7</x:v>
      </x:c>
      <x:c r="L138" s="7" t="n">
        <x:v>2024</x:v>
      </x:c>
      <x:c r="M138" s="11" t="n">
        <x:v>46758</x:v>
      </x:c>
      <x:c r="N138" s="7" t="n">
        <x:v>1</x:v>
      </x:c>
      <x:c r="O138" s="7" t="n">
        <x:v>0</x:v>
      </x:c>
      <x:c r="P138" s="9" t="n">
        <x:v>4.54</x:v>
      </x:c>
      <x:c r="Q138" s="7" t="n">
        <x:f>'Guide'!$B$5-L138</x:f>
        <x:v>2</x:v>
      </x:c>
      <x:c r="R138" s="9" t="n">
        <x:f>K138-P138</x:f>
        <x:v>1.1600000000000001</x:v>
      </x:c>
      <x:c r="S138" s="10" t="n">
        <x:f>IF(K138&gt;0,R138/K138,"")</x:f>
        <x:v>0.20350877192982458</x:v>
      </x:c>
    </x:row>
    <x:row r="139">
      <x:c r="A139" s="7" t="n">
        <x:v>135</x:v>
      </x:c>
      <x:c r="B139" s="7" t="str">
        <x:v>Tata</x:v>
      </x:c>
      <x:c r="C139" s="7" t="str">
        <x:v>Tiago</x:v>
      </x:c>
      <x:c r="D139" s="7" t="str">
        <x:v>XE</x:v>
      </x:c>
      <x:c r="E139" s="7" t="str">
        <x:v>Petrol</x:v>
      </x:c>
      <x:c r="F139" s="7" t="str">
        <x:v>Manual</x:v>
      </x:c>
      <x:c r="G139" s="7" t="str">
        <x:v>Hatchback</x:v>
      </x:c>
      <x:c r="H139" s="7" t="n">
        <x:v>1199</x:v>
      </x:c>
      <x:c r="I139" s="7" t="n">
        <x:v>85</x:v>
      </x:c>
      <x:c r="J139" s="9" t="n">
        <x:v>20.1</x:v>
      </x:c>
      <x:c r="K139" s="9" t="n">
        <x:v>5.7</x:v>
      </x:c>
      <x:c r="L139" s="7" t="n">
        <x:v>2022</x:v>
      </x:c>
      <x:c r="M139" s="11" t="n">
        <x:v>79104</x:v>
      </x:c>
      <x:c r="N139" s="7" t="n">
        <x:v>1</x:v>
      </x:c>
      <x:c r="O139" s="7" t="n">
        <x:v>0</x:v>
      </x:c>
      <x:c r="P139" s="9" t="n">
        <x:v>3.53</x:v>
      </x:c>
      <x:c r="Q139" s="7" t="n">
        <x:f>'Guide'!$B$5-L139</x:f>
        <x:v>4</x:v>
      </x:c>
      <x:c r="R139" s="9" t="n">
        <x:f>K139-P139</x:f>
        <x:v>2.1700000000000004</x:v>
      </x:c>
      <x:c r="S139" s="10" t="n">
        <x:f>IF(K139&gt;0,R139/K139,"")</x:f>
        <x:v>0.380701754385965</x:v>
      </x:c>
    </x:row>
    <x:row r="140">
      <x:c r="A140" s="7" t="n">
        <x:v>136</x:v>
      </x:c>
      <x:c r="B140" s="7" t="str">
        <x:v>Tata</x:v>
      </x:c>
      <x:c r="C140" s="7" t="str">
        <x:v>Tiago</x:v>
      </x:c>
      <x:c r="D140" s="7" t="str">
        <x:v>XE</x:v>
      </x:c>
      <x:c r="E140" s="7" t="str">
        <x:v>Petrol</x:v>
      </x:c>
      <x:c r="F140" s="7" t="str">
        <x:v>Manual</x:v>
      </x:c>
      <x:c r="G140" s="7" t="str">
        <x:v>Hatchback</x:v>
      </x:c>
      <x:c r="H140" s="7" t="n">
        <x:v>1199</x:v>
      </x:c>
      <x:c r="I140" s="7" t="n">
        <x:v>85</x:v>
      </x:c>
      <x:c r="J140" s="9" t="n">
        <x:v>20.1</x:v>
      </x:c>
      <x:c r="K140" s="9" t="n">
        <x:v>5.7</x:v>
      </x:c>
      <x:c r="L140" s="7" t="n">
        <x:v>2024</x:v>
      </x:c>
      <x:c r="M140" s="11" t="n">
        <x:v>40381</x:v>
      </x:c>
      <x:c r="N140" s="7" t="n">
        <x:v>2</x:v>
      </x:c>
      <x:c r="O140" s="7" t="n">
        <x:v>0</x:v>
      </x:c>
      <x:c r="P140" s="9" t="n">
        <x:v>3.93</x:v>
      </x:c>
      <x:c r="Q140" s="7" t="n">
        <x:f>'Guide'!$B$5-L140</x:f>
        <x:v>2</x:v>
      </x:c>
      <x:c r="R140" s="9" t="n">
        <x:f>K140-P140</x:f>
        <x:v>1.77</x:v>
      </x:c>
      <x:c r="S140" s="10" t="n">
        <x:f>IF(K140&gt;0,R140/K140,"")</x:f>
        <x:v>0.31052631578947365</x:v>
      </x:c>
    </x:row>
    <x:row r="141">
      <x:c r="A141" s="7" t="n">
        <x:v>137</x:v>
      </x:c>
      <x:c r="B141" s="7" t="str">
        <x:v>Tata</x:v>
      </x:c>
      <x:c r="C141" s="7" t="str">
        <x:v>Tiago</x:v>
      </x:c>
      <x:c r="D141" s="7" t="str">
        <x:v>XE</x:v>
      </x:c>
      <x:c r="E141" s="7" t="str">
        <x:v>Petrol</x:v>
      </x:c>
      <x:c r="F141" s="7" t="str">
        <x:v>Manual</x:v>
      </x:c>
      <x:c r="G141" s="7" t="str">
        <x:v>Hatchback</x:v>
      </x:c>
      <x:c r="H141" s="7" t="n">
        <x:v>1199</x:v>
      </x:c>
      <x:c r="I141" s="7" t="n">
        <x:v>85</x:v>
      </x:c>
      <x:c r="J141" s="9" t="n">
        <x:v>20.1</x:v>
      </x:c>
      <x:c r="K141" s="9" t="n">
        <x:v>5.7</x:v>
      </x:c>
      <x:c r="L141" s="7" t="n">
        <x:v>2024</x:v>
      </x:c>
      <x:c r="M141" s="11" t="n">
        <x:v>48900</x:v>
      </x:c>
      <x:c r="N141" s="7" t="n">
        <x:v>2</x:v>
      </x:c>
      <x:c r="O141" s="7" t="n">
        <x:v>0</x:v>
      </x:c>
      <x:c r="P141" s="9" t="n">
        <x:v>3.78</x:v>
      </x:c>
      <x:c r="Q141" s="7" t="n">
        <x:f>'Guide'!$B$5-L141</x:f>
        <x:v>2</x:v>
      </x:c>
      <x:c r="R141" s="9" t="n">
        <x:f>K141-P141</x:f>
        <x:v>1.9200000000000004</x:v>
      </x:c>
      <x:c r="S141" s="10" t="n">
        <x:f>IF(K141&gt;0,R141/K141,"")</x:f>
        <x:v>0.33684210526315794</x:v>
      </x:c>
    </x:row>
    <x:row r="142">
      <x:c r="A142" s="7" t="n">
        <x:v>138</x:v>
      </x:c>
      <x:c r="B142" s="7" t="str">
        <x:v>Tata</x:v>
      </x:c>
      <x:c r="C142" s="7" t="str">
        <x:v>Tiago</x:v>
      </x:c>
      <x:c r="D142" s="7" t="str">
        <x:v>XE</x:v>
      </x:c>
      <x:c r="E142" s="7" t="str">
        <x:v>Petrol</x:v>
      </x:c>
      <x:c r="F142" s="7" t="str">
        <x:v>Manual</x:v>
      </x:c>
      <x:c r="G142" s="7" t="str">
        <x:v>Hatchback</x:v>
      </x:c>
      <x:c r="H142" s="7" t="n">
        <x:v>1199</x:v>
      </x:c>
      <x:c r="I142" s="7" t="n">
        <x:v>85</x:v>
      </x:c>
      <x:c r="J142" s="9" t="n">
        <x:v>20.1</x:v>
      </x:c>
      <x:c r="K142" s="9" t="n">
        <x:v>5.7</x:v>
      </x:c>
      <x:c r="L142" s="7" t="n">
        <x:v>2024</x:v>
      </x:c>
      <x:c r="M142" s="11" t="n">
        <x:v>23661</x:v>
      </x:c>
      <x:c r="N142" s="7" t="n">
        <x:v>1</x:v>
      </x:c>
      <x:c r="O142" s="7" t="n">
        <x:v>0</x:v>
      </x:c>
      <x:c r="P142" s="9" t="n">
        <x:v>4.69</x:v>
      </x:c>
      <x:c r="Q142" s="7" t="n">
        <x:f>'Guide'!$B$5-L142</x:f>
        <x:v>2</x:v>
      </x:c>
      <x:c r="R142" s="9" t="n">
        <x:f>K142-P142</x:f>
        <x:v>1.0099999999999998</x:v>
      </x:c>
      <x:c r="S142" s="10" t="n">
        <x:f>IF(K142&gt;0,R142/K142,"")</x:f>
        <x:v>0.17719298245614032</x:v>
      </x:c>
    </x:row>
    <x:row r="143">
      <x:c r="A143" s="7" t="n">
        <x:v>139</x:v>
      </x:c>
      <x:c r="B143" s="7" t="str">
        <x:v>Tata</x:v>
      </x:c>
      <x:c r="C143" s="7" t="str">
        <x:v>Tiago</x:v>
      </x:c>
      <x:c r="D143" s="7" t="str">
        <x:v>XE</x:v>
      </x:c>
      <x:c r="E143" s="7" t="str">
        <x:v>Petrol</x:v>
      </x:c>
      <x:c r="F143" s="7" t="str">
        <x:v>Manual</x:v>
      </x:c>
      <x:c r="G143" s="7" t="str">
        <x:v>Hatchback</x:v>
      </x:c>
      <x:c r="H143" s="7" t="n">
        <x:v>1199</x:v>
      </x:c>
      <x:c r="I143" s="7" t="n">
        <x:v>85</x:v>
      </x:c>
      <x:c r="J143" s="9" t="n">
        <x:v>20.1</x:v>
      </x:c>
      <x:c r="K143" s="9" t="n">
        <x:v>5.7</x:v>
      </x:c>
      <x:c r="L143" s="7" t="n">
        <x:v>2020</x:v>
      </x:c>
      <x:c r="M143" s="11" t="n">
        <x:v>91749</x:v>
      </x:c>
      <x:c r="N143" s="7" t="n">
        <x:v>2</x:v>
      </x:c>
      <x:c r="O143" s="7" t="n">
        <x:v>0</x:v>
      </x:c>
      <x:c r="P143" s="9" t="n">
        <x:v>1.84</x:v>
      </x:c>
      <x:c r="Q143" s="7" t="n">
        <x:f>'Guide'!$B$5-L143</x:f>
        <x:v>6</x:v>
      </x:c>
      <x:c r="R143" s="9" t="n">
        <x:f>K143-P143</x:f>
        <x:v>3.8600000000000003</x:v>
      </x:c>
      <x:c r="S143" s="10" t="n">
        <x:f>IF(K143&gt;0,R143/K143,"")</x:f>
        <x:v>0.6771929824561403</x:v>
      </x:c>
    </x:row>
    <x:row r="144">
      <x:c r="A144" s="7" t="n">
        <x:v>140</x:v>
      </x:c>
      <x:c r="B144" s="7" t="str">
        <x:v>Tata</x:v>
      </x:c>
      <x:c r="C144" s="7" t="str">
        <x:v>Tiago</x:v>
      </x:c>
      <x:c r="D144" s="7" t="str">
        <x:v>XE</x:v>
      </x:c>
      <x:c r="E144" s="7" t="str">
        <x:v>Petrol</x:v>
      </x:c>
      <x:c r="F144" s="7" t="str">
        <x:v>Manual</x:v>
      </x:c>
      <x:c r="G144" s="7" t="str">
        <x:v>Hatchback</x:v>
      </x:c>
      <x:c r="H144" s="7" t="n">
        <x:v>1199</x:v>
      </x:c>
      <x:c r="I144" s="7" t="n">
        <x:v>85</x:v>
      </x:c>
      <x:c r="J144" s="9" t="n">
        <x:v>20.1</x:v>
      </x:c>
      <x:c r="K144" s="9" t="n">
        <x:v>5.7</x:v>
      </x:c>
      <x:c r="L144" s="7" t="n">
        <x:v>2026</x:v>
      </x:c>
      <x:c r="M144" s="11" t="n">
        <x:v>8864</x:v>
      </x:c>
      <x:c r="N144" s="7" t="n">
        <x:v>1</x:v>
      </x:c>
      <x:c r="O144" s="7" t="n">
        <x:v>0</x:v>
      </x:c>
      <x:c r="P144" s="9" t="n">
        <x:v>5.55</x:v>
      </x:c>
      <x:c r="Q144" s="7" t="n">
        <x:f>'Guide'!$B$5-L144</x:f>
        <x:v>0</x:v>
      </x:c>
      <x:c r="R144" s="9" t="n">
        <x:f>K144-P144</x:f>
        <x:v>0.15000000000000036</x:v>
      </x:c>
      <x:c r="S144" s="10" t="n">
        <x:f>IF(K144&gt;0,R144/K144,"")</x:f>
        <x:v>0.02631578947368427</x:v>
      </x:c>
    </x:row>
    <x:row r="145">
      <x:c r="A145" s="7" t="n">
        <x:v>141</x:v>
      </x:c>
      <x:c r="B145" s="7" t="str">
        <x:v>Tata</x:v>
      </x:c>
      <x:c r="C145" s="7" t="str">
        <x:v>Tiago</x:v>
      </x:c>
      <x:c r="D145" s="7" t="str">
        <x:v>XE</x:v>
      </x:c>
      <x:c r="E145" s="7" t="str">
        <x:v>Petrol</x:v>
      </x:c>
      <x:c r="F145" s="7" t="str">
        <x:v>Manual</x:v>
      </x:c>
      <x:c r="G145" s="7" t="str">
        <x:v>Hatchback</x:v>
      </x:c>
      <x:c r="H145" s="7" t="n">
        <x:v>1199</x:v>
      </x:c>
      <x:c r="I145" s="7" t="n">
        <x:v>85</x:v>
      </x:c>
      <x:c r="J145" s="9" t="n">
        <x:v>20.1</x:v>
      </x:c>
      <x:c r="K145" s="9" t="n">
        <x:v>5.7</x:v>
      </x:c>
      <x:c r="L145" s="7" t="n">
        <x:v>2022</x:v>
      </x:c>
      <x:c r="M145" s="11" t="n">
        <x:v>44038</x:v>
      </x:c>
      <x:c r="N145" s="7" t="n">
        <x:v>1</x:v>
      </x:c>
      <x:c r="O145" s="7" t="n">
        <x:v>0</x:v>
      </x:c>
      <x:c r="P145" s="9" t="n">
        <x:v>3.47</x:v>
      </x:c>
      <x:c r="Q145" s="7" t="n">
        <x:f>'Guide'!$B$5-L145</x:f>
        <x:v>4</x:v>
      </x:c>
      <x:c r="R145" s="9" t="n">
        <x:f>K145-P145</x:f>
        <x:v>2.23</x:v>
      </x:c>
      <x:c r="S145" s="10" t="n">
        <x:f>IF(K145&gt;0,R145/K145,"")</x:f>
        <x:v>0.3912280701754386</x:v>
      </x:c>
    </x:row>
    <x:row r="146">
      <x:c r="A146" s="7" t="n">
        <x:v>142</x:v>
      </x:c>
      <x:c r="B146" s="7" t="str">
        <x:v>Tata</x:v>
      </x:c>
      <x:c r="C146" s="7" t="str">
        <x:v>Tiago</x:v>
      </x:c>
      <x:c r="D146" s="7" t="str">
        <x:v>XE</x:v>
      </x:c>
      <x:c r="E146" s="7" t="str">
        <x:v>Petrol</x:v>
      </x:c>
      <x:c r="F146" s="7" t="str">
        <x:v>Manual</x:v>
      </x:c>
      <x:c r="G146" s="7" t="str">
        <x:v>Hatchback</x:v>
      </x:c>
      <x:c r="H146" s="7" t="n">
        <x:v>1199</x:v>
      </x:c>
      <x:c r="I146" s="7" t="n">
        <x:v>85</x:v>
      </x:c>
      <x:c r="J146" s="9" t="n">
        <x:v>20.1</x:v>
      </x:c>
      <x:c r="K146" s="9" t="n">
        <x:v>5.7</x:v>
      </x:c>
      <x:c r="L146" s="7" t="n">
        <x:v>2021</x:v>
      </x:c>
      <x:c r="M146" s="11" t="n">
        <x:v>55109</x:v>
      </x:c>
      <x:c r="N146" s="7" t="n">
        <x:v>1</x:v>
      </x:c>
      <x:c r="O146" s="7" t="n">
        <x:v>0</x:v>
      </x:c>
      <x:c r="P146" s="9" t="n">
        <x:v>3.14</x:v>
      </x:c>
      <x:c r="Q146" s="7" t="n">
        <x:f>'Guide'!$B$5-L146</x:f>
        <x:v>5</x:v>
      </x:c>
      <x:c r="R146" s="9" t="n">
        <x:f>K146-P146</x:f>
        <x:v>2.56</x:v>
      </x:c>
      <x:c r="S146" s="10" t="n">
        <x:f>IF(K146&gt;0,R146/K146,"")</x:f>
        <x:v>0.44912280701754387</x:v>
      </x:c>
    </x:row>
    <x:row r="147">
      <x:c r="A147" s="7" t="n">
        <x:v>143</x:v>
      </x:c>
      <x:c r="B147" s="7" t="str">
        <x:v>Tata</x:v>
      </x:c>
      <x:c r="C147" s="7" t="str">
        <x:v>Tiago</x:v>
      </x:c>
      <x:c r="D147" s="7" t="str">
        <x:v>XE</x:v>
      </x:c>
      <x:c r="E147" s="7" t="str">
        <x:v>Petrol</x:v>
      </x:c>
      <x:c r="F147" s="7" t="str">
        <x:v>Manual</x:v>
      </x:c>
      <x:c r="G147" s="7" t="str">
        <x:v>Hatchback</x:v>
      </x:c>
      <x:c r="H147" s="7" t="n">
        <x:v>1199</x:v>
      </x:c>
      <x:c r="I147" s="7" t="n">
        <x:v>85</x:v>
      </x:c>
      <x:c r="J147" s="9" t="n">
        <x:v>20.1</x:v>
      </x:c>
      <x:c r="K147" s="9" t="n">
        <x:v>5.7</x:v>
      </x:c>
      <x:c r="L147" s="7" t="n">
        <x:v>2020</x:v>
      </x:c>
      <x:c r="M147" s="11" t="n">
        <x:v>103878</x:v>
      </x:c>
      <x:c r="N147" s="7" t="n">
        <x:v>1</x:v>
      </x:c>
      <x:c r="O147" s="7" t="n">
        <x:v>0</x:v>
      </x:c>
      <x:c r="P147" s="9" t="n">
        <x:v>2.51</x:v>
      </x:c>
      <x:c r="Q147" s="7" t="n">
        <x:f>'Guide'!$B$5-L147</x:f>
        <x:v>6</x:v>
      </x:c>
      <x:c r="R147" s="9" t="n">
        <x:f>K147-P147</x:f>
        <x:v>3.1900000000000004</x:v>
      </x:c>
      <x:c r="S147" s="10" t="n">
        <x:f>IF(K147&gt;0,R147/K147,"")</x:f>
        <x:v>0.5596491228070176</x:v>
      </x:c>
    </x:row>
    <x:row r="148">
      <x:c r="A148" s="7" t="n">
        <x:v>144</x:v>
      </x:c>
      <x:c r="B148" s="7" t="str">
        <x:v>Tata</x:v>
      </x:c>
      <x:c r="C148" s="7" t="str">
        <x:v>Tiago</x:v>
      </x:c>
      <x:c r="D148" s="7" t="str">
        <x:v>XE</x:v>
      </x:c>
      <x:c r="E148" s="7" t="str">
        <x:v>Petrol</x:v>
      </x:c>
      <x:c r="F148" s="7" t="str">
        <x:v>Manual</x:v>
      </x:c>
      <x:c r="G148" s="7" t="str">
        <x:v>Hatchback</x:v>
      </x:c>
      <x:c r="H148" s="7" t="n">
        <x:v>1199</x:v>
      </x:c>
      <x:c r="I148" s="7" t="n">
        <x:v>85</x:v>
      </x:c>
      <x:c r="J148" s="9" t="n">
        <x:v>20.1</x:v>
      </x:c>
      <x:c r="K148" s="9" t="n">
        <x:v>5.7</x:v>
      </x:c>
      <x:c r="L148" s="7" t="n">
        <x:v>2026</x:v>
      </x:c>
      <x:c r="M148" s="11" t="n">
        <x:v>6687</x:v>
      </x:c>
      <x:c r="N148" s="7" t="n">
        <x:v>2</x:v>
      </x:c>
      <x:c r="O148" s="7" t="n">
        <x:v>0</x:v>
      </x:c>
      <x:c r="P148" s="9" t="n">
        <x:v>5.25</x:v>
      </x:c>
      <x:c r="Q148" s="7" t="n">
        <x:f>'Guide'!$B$5-L148</x:f>
        <x:v>0</x:v>
      </x:c>
      <x:c r="R148" s="9" t="n">
        <x:f>K148-P148</x:f>
        <x:v>0.4500000000000002</x:v>
      </x:c>
      <x:c r="S148" s="10" t="n">
        <x:f>IF(K148&gt;0,R148/K148,"")</x:f>
        <x:v>0.07894736842105265</x:v>
      </x:c>
    </x:row>
    <x:row r="149">
      <x:c r="A149" s="7" t="n">
        <x:v>145</x:v>
      </x:c>
      <x:c r="B149" s="7" t="str">
        <x:v>Tata</x:v>
      </x:c>
      <x:c r="C149" s="7" t="str">
        <x:v>Tiago</x:v>
      </x:c>
      <x:c r="D149" s="7" t="str">
        <x:v>XE</x:v>
      </x:c>
      <x:c r="E149" s="7" t="str">
        <x:v>Petrol</x:v>
      </x:c>
      <x:c r="F149" s="7" t="str">
        <x:v>Manual</x:v>
      </x:c>
      <x:c r="G149" s="7" t="str">
        <x:v>Hatchback</x:v>
      </x:c>
      <x:c r="H149" s="7" t="n">
        <x:v>1199</x:v>
      </x:c>
      <x:c r="I149" s="7" t="n">
        <x:v>85</x:v>
      </x:c>
      <x:c r="J149" s="9" t="n">
        <x:v>20.1</x:v>
      </x:c>
      <x:c r="K149" s="9" t="n">
        <x:v>5.7</x:v>
      </x:c>
      <x:c r="L149" s="7" t="n">
        <x:v>2020</x:v>
      </x:c>
      <x:c r="M149" s="11" t="n">
        <x:v>83676</x:v>
      </x:c>
      <x:c r="N149" s="7" t="n">
        <x:v>1</x:v>
      </x:c>
      <x:c r="O149" s="7" t="n">
        <x:v>0</x:v>
      </x:c>
      <x:c r="P149" s="9" t="n">
        <x:v>2.12</x:v>
      </x:c>
      <x:c r="Q149" s="7" t="n">
        <x:f>'Guide'!$B$5-L149</x:f>
        <x:v>6</x:v>
      </x:c>
      <x:c r="R149" s="9" t="n">
        <x:f>K149-P149</x:f>
        <x:v>3.58</x:v>
      </x:c>
      <x:c r="S149" s="10" t="n">
        <x:f>IF(K149&gt;0,R149/K149,"")</x:f>
        <x:v>0.6280701754385964</x:v>
      </x:c>
    </x:row>
    <x:row r="150">
      <x:c r="A150" s="7" t="n">
        <x:v>146</x:v>
      </x:c>
      <x:c r="B150" s="7" t="str">
        <x:v>Tata</x:v>
      </x:c>
      <x:c r="C150" s="7" t="str">
        <x:v>Tiago</x:v>
      </x:c>
      <x:c r="D150" s="7" t="str">
        <x:v>XE</x:v>
      </x:c>
      <x:c r="E150" s="7" t="str">
        <x:v>Petrol</x:v>
      </x:c>
      <x:c r="F150" s="7" t="str">
        <x:v>Manual</x:v>
      </x:c>
      <x:c r="G150" s="7" t="str">
        <x:v>Hatchback</x:v>
      </x:c>
      <x:c r="H150" s="7" t="n">
        <x:v>1199</x:v>
      </x:c>
      <x:c r="I150" s="7" t="n">
        <x:v>85</x:v>
      </x:c>
      <x:c r="J150" s="9" t="n">
        <x:v>20.1</x:v>
      </x:c>
      <x:c r="K150" s="9" t="n">
        <x:v>5.7</x:v>
      </x:c>
      <x:c r="L150" s="7" t="n">
        <x:v>2020</x:v>
      </x:c>
      <x:c r="M150" s="11" t="n">
        <x:v>95004</x:v>
      </x:c>
      <x:c r="N150" s="7" t="n">
        <x:v>1</x:v>
      </x:c>
      <x:c r="O150" s="7" t="n">
        <x:v>0</x:v>
      </x:c>
      <x:c r="P150" s="9" t="n">
        <x:v>1.95</x:v>
      </x:c>
      <x:c r="Q150" s="7" t="n">
        <x:f>'Guide'!$B$5-L150</x:f>
        <x:v>6</x:v>
      </x:c>
      <x:c r="R150" s="9" t="n">
        <x:f>K150-P150</x:f>
        <x:v>3.75</x:v>
      </x:c>
      <x:c r="S150" s="10" t="n">
        <x:f>IF(K150&gt;0,R150/K150,"")</x:f>
        <x:v>0.6578947368421052</x:v>
      </x:c>
    </x:row>
    <x:row r="151">
      <x:c r="A151" s="7" t="n">
        <x:v>147</x:v>
      </x:c>
      <x:c r="B151" s="7" t="str">
        <x:v>Tata</x:v>
      </x:c>
      <x:c r="C151" s="7" t="str">
        <x:v>Tiago</x:v>
      </x:c>
      <x:c r="D151" s="7" t="str">
        <x:v>XE</x:v>
      </x:c>
      <x:c r="E151" s="7" t="str">
        <x:v>Petrol</x:v>
      </x:c>
      <x:c r="F151" s="7" t="str">
        <x:v>Manual</x:v>
      </x:c>
      <x:c r="G151" s="7" t="str">
        <x:v>Hatchback</x:v>
      </x:c>
      <x:c r="H151" s="7" t="n">
        <x:v>1199</x:v>
      </x:c>
      <x:c r="I151" s="7" t="n">
        <x:v>85</x:v>
      </x:c>
      <x:c r="J151" s="9" t="n">
        <x:v>20.1</x:v>
      </x:c>
      <x:c r="K151" s="9" t="n">
        <x:v>5.7</x:v>
      </x:c>
      <x:c r="L151" s="7" t="n">
        <x:v>2022</x:v>
      </x:c>
      <x:c r="M151" s="11" t="n">
        <x:v>56649</x:v>
      </x:c>
      <x:c r="N151" s="7" t="n">
        <x:v>1</x:v>
      </x:c>
      <x:c r="O151" s="7" t="n">
        <x:v>0</x:v>
      </x:c>
      <x:c r="P151" s="9" t="n">
        <x:v>3.48</x:v>
      </x:c>
      <x:c r="Q151" s="7" t="n">
        <x:f>'Guide'!$B$5-L151</x:f>
        <x:v>4</x:v>
      </x:c>
      <x:c r="R151" s="9" t="n">
        <x:f>K151-P151</x:f>
        <x:v>2.22</x:v>
      </x:c>
      <x:c r="S151" s="10" t="n">
        <x:f>IF(K151&gt;0,R151/K151,"")</x:f>
        <x:v>0.38947368421052636</x:v>
      </x:c>
    </x:row>
    <x:row r="152">
      <x:c r="A152" s="7" t="n">
        <x:v>148</x:v>
      </x:c>
      <x:c r="B152" s="7" t="str">
        <x:v>Tata</x:v>
      </x:c>
      <x:c r="C152" s="7" t="str">
        <x:v>Tiago</x:v>
      </x:c>
      <x:c r="D152" s="7" t="str">
        <x:v>XE</x:v>
      </x:c>
      <x:c r="E152" s="7" t="str">
        <x:v>Petrol</x:v>
      </x:c>
      <x:c r="F152" s="7" t="str">
        <x:v>Manual</x:v>
      </x:c>
      <x:c r="G152" s="7" t="str">
        <x:v>Hatchback</x:v>
      </x:c>
      <x:c r="H152" s="7" t="n">
        <x:v>1199</x:v>
      </x:c>
      <x:c r="I152" s="7" t="n">
        <x:v>85</x:v>
      </x:c>
      <x:c r="J152" s="9" t="n">
        <x:v>20.1</x:v>
      </x:c>
      <x:c r="K152" s="9" t="n">
        <x:v>5.7</x:v>
      </x:c>
      <x:c r="L152" s="7" t="n">
        <x:v>2020</x:v>
      </x:c>
      <x:c r="M152" s="11" t="n">
        <x:v>62994</x:v>
      </x:c>
      <x:c r="N152" s="7" t="n">
        <x:v>2</x:v>
      </x:c>
      <x:c r="O152" s="7" t="n">
        <x:v>0</x:v>
      </x:c>
      <x:c r="P152" s="9" t="n">
        <x:v>1.92</x:v>
      </x:c>
      <x:c r="Q152" s="7" t="n">
        <x:f>'Guide'!$B$5-L152</x:f>
        <x:v>6</x:v>
      </x:c>
      <x:c r="R152" s="9" t="n">
        <x:f>K152-P152</x:f>
        <x:v>3.7800000000000002</x:v>
      </x:c>
      <x:c r="S152" s="10" t="n">
        <x:f>IF(K152&gt;0,R152/K152,"")</x:f>
        <x:v>0.6631578947368422</x:v>
      </x:c>
    </x:row>
    <x:row r="153">
      <x:c r="A153" s="7" t="n">
        <x:v>149</x:v>
      </x:c>
      <x:c r="B153" s="7" t="str">
        <x:v>Tata</x:v>
      </x:c>
      <x:c r="C153" s="7" t="str">
        <x:v>Tiago</x:v>
      </x:c>
      <x:c r="D153" s="7" t="str">
        <x:v>XE</x:v>
      </x:c>
      <x:c r="E153" s="7" t="str">
        <x:v>Petrol</x:v>
      </x:c>
      <x:c r="F153" s="7" t="str">
        <x:v>Manual</x:v>
      </x:c>
      <x:c r="G153" s="7" t="str">
        <x:v>Hatchback</x:v>
      </x:c>
      <x:c r="H153" s="7" t="n">
        <x:v>1199</x:v>
      </x:c>
      <x:c r="I153" s="7" t="n">
        <x:v>85</x:v>
      </x:c>
      <x:c r="J153" s="9" t="n">
        <x:v>20.1</x:v>
      </x:c>
      <x:c r="K153" s="9" t="n">
        <x:v>5.7</x:v>
      </x:c>
      <x:c r="L153" s="7" t="n">
        <x:v>2023</x:v>
      </x:c>
      <x:c r="M153" s="11" t="n">
        <x:v>28360</x:v>
      </x:c>
      <x:c r="N153" s="7" t="n">
        <x:v>1</x:v>
      </x:c>
      <x:c r="O153" s="7" t="n">
        <x:v>0</x:v>
      </x:c>
      <x:c r="P153" s="9" t="n">
        <x:v>4.1</x:v>
      </x:c>
      <x:c r="Q153" s="7" t="n">
        <x:f>'Guide'!$B$5-L153</x:f>
        <x:v>3</x:v>
      </x:c>
      <x:c r="R153" s="9" t="n">
        <x:f>K153-P153</x:f>
        <x:v>1.6000000000000005</x:v>
      </x:c>
      <x:c r="S153" s="10" t="n">
        <x:f>IF(K153&gt;0,R153/K153,"")</x:f>
        <x:v>0.280701754385965</x:v>
      </x:c>
    </x:row>
    <x:row r="154">
      <x:c r="A154" s="7" t="n">
        <x:v>150</x:v>
      </x:c>
      <x:c r="B154" s="7" t="str">
        <x:v>Tata</x:v>
      </x:c>
      <x:c r="C154" s="7" t="str">
        <x:v>Tiago</x:v>
      </x:c>
      <x:c r="D154" s="7" t="str">
        <x:v>XE</x:v>
      </x:c>
      <x:c r="E154" s="7" t="str">
        <x:v>Petrol</x:v>
      </x:c>
      <x:c r="F154" s="7" t="str">
        <x:v>Manual</x:v>
      </x:c>
      <x:c r="G154" s="7" t="str">
        <x:v>Hatchback</x:v>
      </x:c>
      <x:c r="H154" s="7" t="n">
        <x:v>1199</x:v>
      </x:c>
      <x:c r="I154" s="7" t="n">
        <x:v>85</x:v>
      </x:c>
      <x:c r="J154" s="9" t="n">
        <x:v>20.1</x:v>
      </x:c>
      <x:c r="K154" s="9" t="n">
        <x:v>5.7</x:v>
      </x:c>
      <x:c r="L154" s="7" t="n">
        <x:v>2025</x:v>
      </x:c>
      <x:c r="M154" s="11" t="n">
        <x:v>20383</x:v>
      </x:c>
      <x:c r="N154" s="7" t="n">
        <x:v>1</x:v>
      </x:c>
      <x:c r="O154" s="7" t="n">
        <x:v>1</x:v>
      </x:c>
      <x:c r="P154" s="9" t="n">
        <x:v>4.34</x:v>
      </x:c>
      <x:c r="Q154" s="7" t="n">
        <x:f>'Guide'!$B$5-L154</x:f>
        <x:v>1</x:v>
      </x:c>
      <x:c r="R154" s="9" t="n">
        <x:f>K154-P154</x:f>
        <x:v>1.3600000000000003</x:v>
      </x:c>
      <x:c r="S154" s="10" t="n">
        <x:f>IF(K154&gt;0,R154/K154,"")</x:f>
        <x:v>0.23859649122807022</x:v>
      </x:c>
    </x:row>
    <x:row r="155">
      <x:c r="A155" s="7" t="n">
        <x:v>151</x:v>
      </x:c>
      <x:c r="B155" s="7" t="str">
        <x:v>Tata</x:v>
      </x:c>
      <x:c r="C155" s="7" t="str">
        <x:v>Tiago</x:v>
      </x:c>
      <x:c r="D155" s="7" t="str">
        <x:v>XE</x:v>
      </x:c>
      <x:c r="E155" s="7" t="str">
        <x:v>Petrol</x:v>
      </x:c>
      <x:c r="F155" s="7" t="str">
        <x:v>Manual</x:v>
      </x:c>
      <x:c r="G155" s="7" t="str">
        <x:v>Hatchback</x:v>
      </x:c>
      <x:c r="H155" s="7" t="n">
        <x:v>1199</x:v>
      </x:c>
      <x:c r="I155" s="7" t="n">
        <x:v>85</x:v>
      </x:c>
      <x:c r="J155" s="9" t="n">
        <x:v>20.1</x:v>
      </x:c>
      <x:c r="K155" s="9" t="n">
        <x:v>5.7</x:v>
      </x:c>
      <x:c r="L155" s="7" t="n">
        <x:v>2023</x:v>
      </x:c>
      <x:c r="M155" s="11" t="n">
        <x:v>69973</x:v>
      </x:c>
      <x:c r="N155" s="7" t="n">
        <x:v>1</x:v>
      </x:c>
      <x:c r="O155" s="7" t="n">
        <x:v>0</x:v>
      </x:c>
      <x:c r="P155" s="9" t="n">
        <x:v>3.91</x:v>
      </x:c>
      <x:c r="Q155" s="7" t="n">
        <x:f>'Guide'!$B$5-L155</x:f>
        <x:v>3</x:v>
      </x:c>
      <x:c r="R155" s="9" t="n">
        <x:f>K155-P155</x:f>
        <x:v>1.79</x:v>
      </x:c>
      <x:c r="S155" s="10" t="n">
        <x:f>IF(K155&gt;0,R155/K155,"")</x:f>
        <x:v>0.3140350877192982</x:v>
      </x:c>
    </x:row>
    <x:row r="156">
      <x:c r="A156" s="7" t="n">
        <x:v>152</x:v>
      </x:c>
      <x:c r="B156" s="7" t="str">
        <x:v>Tata</x:v>
      </x:c>
      <x:c r="C156" s="7" t="str">
        <x:v>Tiago</x:v>
      </x:c>
      <x:c r="D156" s="7" t="str">
        <x:v>XE</x:v>
      </x:c>
      <x:c r="E156" s="7" t="str">
        <x:v>Petrol</x:v>
      </x:c>
      <x:c r="F156" s="7" t="str">
        <x:v>Manual</x:v>
      </x:c>
      <x:c r="G156" s="7" t="str">
        <x:v>Hatchback</x:v>
      </x:c>
      <x:c r="H156" s="7" t="n">
        <x:v>1199</x:v>
      </x:c>
      <x:c r="I156" s="7" t="n">
        <x:v>85</x:v>
      </x:c>
      <x:c r="J156" s="9" t="n">
        <x:v>20.1</x:v>
      </x:c>
      <x:c r="K156" s="9" t="n">
        <x:v>5.7</x:v>
      </x:c>
      <x:c r="L156" s="7" t="n">
        <x:v>2026</x:v>
      </x:c>
      <x:c r="M156" s="11" t="n">
        <x:v>5903</x:v>
      </x:c>
      <x:c r="N156" s="7" t="n">
        <x:v>1</x:v>
      </x:c>
      <x:c r="O156" s="7" t="n">
        <x:v>0</x:v>
      </x:c>
      <x:c r="P156" s="9" t="n">
        <x:v>5.52</x:v>
      </x:c>
      <x:c r="Q156" s="7" t="n">
        <x:f>'Guide'!$B$5-L156</x:f>
        <x:v>0</x:v>
      </x:c>
      <x:c r="R156" s="9" t="n">
        <x:f>K156-P156</x:f>
        <x:v>0.1800000000000006</x:v>
      </x:c>
      <x:c r="S156" s="10" t="n">
        <x:f>IF(K156&gt;0,R156/K156,"")</x:f>
        <x:v>0.03157894736842116</x:v>
      </x:c>
    </x:row>
    <x:row r="157">
      <x:c r="A157" s="7" t="n">
        <x:v>153</x:v>
      </x:c>
      <x:c r="B157" s="7" t="str">
        <x:v>Tata</x:v>
      </x:c>
      <x:c r="C157" s="7" t="str">
        <x:v>Tiago</x:v>
      </x:c>
      <x:c r="D157" s="7" t="str">
        <x:v>XE</x:v>
      </x:c>
      <x:c r="E157" s="7" t="str">
        <x:v>Petrol</x:v>
      </x:c>
      <x:c r="F157" s="7" t="str">
        <x:v>Manual</x:v>
      </x:c>
      <x:c r="G157" s="7" t="str">
        <x:v>Hatchback</x:v>
      </x:c>
      <x:c r="H157" s="7" t="n">
        <x:v>1199</x:v>
      </x:c>
      <x:c r="I157" s="7" t="n">
        <x:v>85</x:v>
      </x:c>
      <x:c r="J157" s="9" t="n">
        <x:v>20.1</x:v>
      </x:c>
      <x:c r="K157" s="9" t="n">
        <x:v>5.7</x:v>
      </x:c>
      <x:c r="L157" s="7" t="n">
        <x:v>2025</x:v>
      </x:c>
      <x:c r="M157" s="11" t="n">
        <x:v>19336</x:v>
      </x:c>
      <x:c r="N157" s="7" t="n">
        <x:v>2</x:v>
      </x:c>
      <x:c r="O157" s="7" t="n">
        <x:v>0</x:v>
      </x:c>
      <x:c r="P157" s="9" t="n">
        <x:v>4.64</x:v>
      </x:c>
      <x:c r="Q157" s="7" t="n">
        <x:f>'Guide'!$B$5-L157</x:f>
        <x:v>1</x:v>
      </x:c>
      <x:c r="R157" s="9" t="n">
        <x:f>K157-P157</x:f>
        <x:v>1.0600000000000005</x:v>
      </x:c>
      <x:c r="S157" s="10" t="n">
        <x:f>IF(K157&gt;0,R157/K157,"")</x:f>
        <x:v>0.18596491228070183</x:v>
      </x:c>
    </x:row>
    <x:row r="158">
      <x:c r="A158" s="7" t="n">
        <x:v>154</x:v>
      </x:c>
      <x:c r="B158" s="7" t="str">
        <x:v>Tata</x:v>
      </x:c>
      <x:c r="C158" s="7" t="str">
        <x:v>Tiago</x:v>
      </x:c>
      <x:c r="D158" s="7" t="str">
        <x:v>XE</x:v>
      </x:c>
      <x:c r="E158" s="7" t="str">
        <x:v>Petrol</x:v>
      </x:c>
      <x:c r="F158" s="7" t="str">
        <x:v>Manual</x:v>
      </x:c>
      <x:c r="G158" s="7" t="str">
        <x:v>Hatchback</x:v>
      </x:c>
      <x:c r="H158" s="7" t="n">
        <x:v>1199</x:v>
      </x:c>
      <x:c r="I158" s="7" t="n">
        <x:v>85</x:v>
      </x:c>
      <x:c r="J158" s="9" t="n">
        <x:v>20.1</x:v>
      </x:c>
      <x:c r="K158" s="9" t="n">
        <x:v>5.7</x:v>
      </x:c>
      <x:c r="L158" s="7" t="n">
        <x:v>2026</x:v>
      </x:c>
      <x:c r="M158" s="11" t="n">
        <x:v>7741</x:v>
      </x:c>
      <x:c r="N158" s="7" t="n">
        <x:v>1</x:v>
      </x:c>
      <x:c r="O158" s="7" t="n">
        <x:v>0</x:v>
      </x:c>
      <x:c r="P158" s="9" t="n">
        <x:v>5.5</x:v>
      </x:c>
      <x:c r="Q158" s="7" t="n">
        <x:f>'Guide'!$B$5-L158</x:f>
        <x:v>0</x:v>
      </x:c>
      <x:c r="R158" s="9" t="n">
        <x:f>K158-P158</x:f>
        <x:v>0.20000000000000018</x:v>
      </x:c>
      <x:c r="S158" s="10" t="n">
        <x:f>IF(K158&gt;0,R158/K158,"")</x:f>
        <x:v>0.03508771929824565</x:v>
      </x:c>
    </x:row>
    <x:row r="159">
      <x:c r="A159" s="7" t="n">
        <x:v>155</x:v>
      </x:c>
      <x:c r="B159" s="7" t="str">
        <x:v>Tata</x:v>
      </x:c>
      <x:c r="C159" s="7" t="str">
        <x:v>Tiago</x:v>
      </x:c>
      <x:c r="D159" s="7" t="str">
        <x:v>XE</x:v>
      </x:c>
      <x:c r="E159" s="7" t="str">
        <x:v>Petrol</x:v>
      </x:c>
      <x:c r="F159" s="7" t="str">
        <x:v>Manual</x:v>
      </x:c>
      <x:c r="G159" s="7" t="str">
        <x:v>Hatchback</x:v>
      </x:c>
      <x:c r="H159" s="7" t="n">
        <x:v>1199</x:v>
      </x:c>
      <x:c r="I159" s="7" t="n">
        <x:v>85</x:v>
      </x:c>
      <x:c r="J159" s="9" t="n">
        <x:v>20.1</x:v>
      </x:c>
      <x:c r="K159" s="9" t="n">
        <x:v>5.7</x:v>
      </x:c>
      <x:c r="L159" s="7" t="n">
        <x:v>2021</x:v>
      </x:c>
      <x:c r="M159" s="11" t="n">
        <x:v>89459</x:v>
      </x:c>
      <x:c r="N159" s="7" t="n">
        <x:v>2</x:v>
      </x:c>
      <x:c r="O159" s="7" t="n">
        <x:v>1</x:v>
      </x:c>
      <x:c r="P159" s="9" t="n">
        <x:v>1.6</x:v>
      </x:c>
      <x:c r="Q159" s="7" t="n">
        <x:f>'Guide'!$B$5-L159</x:f>
        <x:v>5</x:v>
      </x:c>
      <x:c r="R159" s="9" t="n">
        <x:f>K159-P159</x:f>
        <x:v>4.1</x:v>
      </x:c>
      <x:c r="S159" s="10" t="n">
        <x:f>IF(K159&gt;0,R159/K159,"")</x:f>
        <x:v>0.719298245614035</x:v>
      </x:c>
    </x:row>
    <x:row r="160">
      <x:c r="A160" s="7" t="n">
        <x:v>156</x:v>
      </x:c>
      <x:c r="B160" s="7" t="str">
        <x:v>Tata</x:v>
      </x:c>
      <x:c r="C160" s="7" t="str">
        <x:v>Tiago</x:v>
      </x:c>
      <x:c r="D160" s="7" t="str">
        <x:v>XE</x:v>
      </x:c>
      <x:c r="E160" s="7" t="str">
        <x:v>Petrol</x:v>
      </x:c>
      <x:c r="F160" s="7" t="str">
        <x:v>Manual</x:v>
      </x:c>
      <x:c r="G160" s="7" t="str">
        <x:v>Hatchback</x:v>
      </x:c>
      <x:c r="H160" s="7" t="n">
        <x:v>1199</x:v>
      </x:c>
      <x:c r="I160" s="7" t="n">
        <x:v>85</x:v>
      </x:c>
      <x:c r="J160" s="9" t="n">
        <x:v>20.1</x:v>
      </x:c>
      <x:c r="K160" s="9" t="n">
        <x:v>5.7</x:v>
      </x:c>
      <x:c r="L160" s="7" t="n">
        <x:v>2024</x:v>
      </x:c>
      <x:c r="M160" s="11" t="n">
        <x:v>42271</x:v>
      </x:c>
      <x:c r="N160" s="7" t="n">
        <x:v>2</x:v>
      </x:c>
      <x:c r="O160" s="7" t="n">
        <x:v>0</x:v>
      </x:c>
      <x:c r="P160" s="9" t="n">
        <x:v>3.8</x:v>
      </x:c>
      <x:c r="Q160" s="7" t="n">
        <x:f>'Guide'!$B$5-L160</x:f>
        <x:v>2</x:v>
      </x:c>
      <x:c r="R160" s="9" t="n">
        <x:f>K160-P160</x:f>
        <x:v>1.9000000000000004</x:v>
      </x:c>
      <x:c r="S160" s="10" t="n">
        <x:f>IF(K160&gt;0,R160/K160,"")</x:f>
        <x:v>0.33333333333333337</x:v>
      </x:c>
    </x:row>
    <x:row r="161">
      <x:c r="A161" s="7" t="n">
        <x:v>157</x:v>
      </x:c>
      <x:c r="B161" s="7" t="str">
        <x:v>Tata</x:v>
      </x:c>
      <x:c r="C161" s="7" t="str">
        <x:v>Tiago</x:v>
      </x:c>
      <x:c r="D161" s="7" t="str">
        <x:v>XE</x:v>
      </x:c>
      <x:c r="E161" s="7" t="str">
        <x:v>Petrol</x:v>
      </x:c>
      <x:c r="F161" s="7" t="str">
        <x:v>Manual</x:v>
      </x:c>
      <x:c r="G161" s="7" t="str">
        <x:v>Hatchback</x:v>
      </x:c>
      <x:c r="H161" s="7" t="n">
        <x:v>1199</x:v>
      </x:c>
      <x:c r="I161" s="7" t="n">
        <x:v>85</x:v>
      </x:c>
      <x:c r="J161" s="9" t="n">
        <x:v>20.1</x:v>
      </x:c>
      <x:c r="K161" s="9" t="n">
        <x:v>5.7</x:v>
      </x:c>
      <x:c r="L161" s="7" t="n">
        <x:v>2022</x:v>
      </x:c>
      <x:c r="M161" s="11" t="n">
        <x:v>75554</x:v>
      </x:c>
      <x:c r="N161" s="7" t="n">
        <x:v>2</x:v>
      </x:c>
      <x:c r="O161" s="7" t="n">
        <x:v>0</x:v>
      </x:c>
      <x:c r="P161" s="9" t="n">
        <x:v>2.85</x:v>
      </x:c>
      <x:c r="Q161" s="7" t="n">
        <x:f>'Guide'!$B$5-L161</x:f>
        <x:v>4</x:v>
      </x:c>
      <x:c r="R161" s="9" t="n">
        <x:f>K161-P161</x:f>
        <x:v>2.85</x:v>
      </x:c>
      <x:c r="S161" s="10" t="n">
        <x:f>IF(K161&gt;0,R161/K161,"")</x:f>
        <x:v>0.5</x:v>
      </x:c>
    </x:row>
    <x:row r="162">
      <x:c r="A162" s="7" t="n">
        <x:v>158</x:v>
      </x:c>
      <x:c r="B162" s="7" t="str">
        <x:v>Tata</x:v>
      </x:c>
      <x:c r="C162" s="7" t="str">
        <x:v>Tiago</x:v>
      </x:c>
      <x:c r="D162" s="7" t="str">
        <x:v>XE</x:v>
      </x:c>
      <x:c r="E162" s="7" t="str">
        <x:v>Petrol</x:v>
      </x:c>
      <x:c r="F162" s="7" t="str">
        <x:v>Manual</x:v>
      </x:c>
      <x:c r="G162" s="7" t="str">
        <x:v>Hatchback</x:v>
      </x:c>
      <x:c r="H162" s="7" t="n">
        <x:v>1199</x:v>
      </x:c>
      <x:c r="I162" s="7" t="n">
        <x:v>85</x:v>
      </x:c>
      <x:c r="J162" s="9" t="n">
        <x:v>20.1</x:v>
      </x:c>
      <x:c r="K162" s="9" t="n">
        <x:v>5.7</x:v>
      </x:c>
      <x:c r="L162" s="7" t="n">
        <x:v>2024</x:v>
      </x:c>
      <x:c r="M162" s="11" t="n">
        <x:v>35983</x:v>
      </x:c>
      <x:c r="N162" s="7" t="n">
        <x:v>1</x:v>
      </x:c>
      <x:c r="O162" s="7" t="n">
        <x:v>0</x:v>
      </x:c>
      <x:c r="P162" s="9" t="n">
        <x:v>4.5</x:v>
      </x:c>
      <x:c r="Q162" s="7" t="n">
        <x:f>'Guide'!$B$5-L162</x:f>
        <x:v>2</x:v>
      </x:c>
      <x:c r="R162" s="9" t="n">
        <x:f>K162-P162</x:f>
        <x:v>1.2000000000000002</x:v>
      </x:c>
      <x:c r="S162" s="10" t="n">
        <x:f>IF(K162&gt;0,R162/K162,"")</x:f>
        <x:v>0.2105263157894737</x:v>
      </x:c>
    </x:row>
    <x:row r="163">
      <x:c r="A163" s="7" t="n">
        <x:v>159</x:v>
      </x:c>
      <x:c r="B163" s="7" t="str">
        <x:v>Tata</x:v>
      </x:c>
      <x:c r="C163" s="7" t="str">
        <x:v>Tiago</x:v>
      </x:c>
      <x:c r="D163" s="7" t="str">
        <x:v>XE</x:v>
      </x:c>
      <x:c r="E163" s="7" t="str">
        <x:v>Petrol</x:v>
      </x:c>
      <x:c r="F163" s="7" t="str">
        <x:v>Manual</x:v>
      </x:c>
      <x:c r="G163" s="7" t="str">
        <x:v>Hatchback</x:v>
      </x:c>
      <x:c r="H163" s="7" t="n">
        <x:v>1199</x:v>
      </x:c>
      <x:c r="I163" s="7" t="n">
        <x:v>85</x:v>
      </x:c>
      <x:c r="J163" s="9" t="n">
        <x:v>20.1</x:v>
      </x:c>
      <x:c r="K163" s="9" t="n">
        <x:v>5.7</x:v>
      </x:c>
      <x:c r="L163" s="7" t="n">
        <x:v>2024</x:v>
      </x:c>
      <x:c r="M163" s="11" t="n">
        <x:v>33518</x:v>
      </x:c>
      <x:c r="N163" s="7" t="n">
        <x:v>2</x:v>
      </x:c>
      <x:c r="O163" s="7" t="n">
        <x:v>0</x:v>
      </x:c>
      <x:c r="P163" s="9" t="n">
        <x:v>4.53</x:v>
      </x:c>
      <x:c r="Q163" s="7" t="n">
        <x:f>'Guide'!$B$5-L163</x:f>
        <x:v>2</x:v>
      </x:c>
      <x:c r="R163" s="9" t="n">
        <x:f>K163-P163</x:f>
        <x:v>1.17</x:v>
      </x:c>
      <x:c r="S163" s="10" t="n">
        <x:f>IF(K163&gt;0,R163/K163,"")</x:f>
        <x:v>0.20526315789473681</x:v>
      </x:c>
    </x:row>
    <x:row r="164">
      <x:c r="A164" s="7" t="n">
        <x:v>160</x:v>
      </x:c>
      <x:c r="B164" s="7" t="str">
        <x:v>Tata</x:v>
      </x:c>
      <x:c r="C164" s="7" t="str">
        <x:v>Tiago</x:v>
      </x:c>
      <x:c r="D164" s="7" t="str">
        <x:v>XE</x:v>
      </x:c>
      <x:c r="E164" s="7" t="str">
        <x:v>Petrol</x:v>
      </x:c>
      <x:c r="F164" s="7" t="str">
        <x:v>Manual</x:v>
      </x:c>
      <x:c r="G164" s="7" t="str">
        <x:v>Hatchback</x:v>
      </x:c>
      <x:c r="H164" s="7" t="n">
        <x:v>1199</x:v>
      </x:c>
      <x:c r="I164" s="7" t="n">
        <x:v>85</x:v>
      </x:c>
      <x:c r="J164" s="9" t="n">
        <x:v>20.1</x:v>
      </x:c>
      <x:c r="K164" s="9" t="n">
        <x:v>5.7</x:v>
      </x:c>
      <x:c r="L164" s="7" t="n">
        <x:v>2026</x:v>
      </x:c>
      <x:c r="M164" s="11" t="n">
        <x:v>6283</x:v>
      </x:c>
      <x:c r="N164" s="7" t="n">
        <x:v>2</x:v>
      </x:c>
      <x:c r="O164" s="7" t="n">
        <x:v>0</x:v>
      </x:c>
      <x:c r="P164" s="9" t="n">
        <x:v>5.09</x:v>
      </x:c>
      <x:c r="Q164" s="7" t="n">
        <x:f>'Guide'!$B$5-L164</x:f>
        <x:v>0</x:v>
      </x:c>
      <x:c r="R164" s="9" t="n">
        <x:f>K164-P164</x:f>
        <x:v>0.6100000000000003</x:v>
      </x:c>
      <x:c r="S164" s="10" t="n">
        <x:f>IF(K164&gt;0,R164/K164,"")</x:f>
        <x:v>0.10701754385964918</x:v>
      </x:c>
    </x:row>
    <x:row r="165">
      <x:c r="A165" s="7" t="n">
        <x:v>161</x:v>
      </x:c>
      <x:c r="B165" s="7" t="str">
        <x:v>Tata</x:v>
      </x:c>
      <x:c r="C165" s="7" t="str">
        <x:v>Tiago</x:v>
      </x:c>
      <x:c r="D165" s="7" t="str">
        <x:v>XE</x:v>
      </x:c>
      <x:c r="E165" s="7" t="str">
        <x:v>Petrol</x:v>
      </x:c>
      <x:c r="F165" s="7" t="str">
        <x:v>Manual</x:v>
      </x:c>
      <x:c r="G165" s="7" t="str">
        <x:v>Hatchback</x:v>
      </x:c>
      <x:c r="H165" s="7" t="n">
        <x:v>1199</x:v>
      </x:c>
      <x:c r="I165" s="7" t="n">
        <x:v>85</x:v>
      </x:c>
      <x:c r="J165" s="9" t="n">
        <x:v>20.1</x:v>
      </x:c>
      <x:c r="K165" s="9" t="n">
        <x:v>5.7</x:v>
      </x:c>
      <x:c r="L165" s="7" t="n">
        <x:v>2022</x:v>
      </x:c>
      <x:c r="M165" s="11" t="n">
        <x:v>39427</x:v>
      </x:c>
      <x:c r="N165" s="7" t="n">
        <x:v>1</x:v>
      </x:c>
      <x:c r="O165" s="7" t="n">
        <x:v>0</x:v>
      </x:c>
      <x:c r="P165" s="9" t="n">
        <x:v>3.9</x:v>
      </x:c>
      <x:c r="Q165" s="7" t="n">
        <x:f>'Guide'!$B$5-L165</x:f>
        <x:v>4</x:v>
      </x:c>
      <x:c r="R165" s="9" t="n">
        <x:f>K165-P165</x:f>
        <x:v>1.8000000000000003</x:v>
      </x:c>
      <x:c r="S165" s="10" t="n">
        <x:f>IF(K165&gt;0,R165/K165,"")</x:f>
        <x:v>0.31578947368421056</x:v>
      </x:c>
    </x:row>
    <x:row r="166">
      <x:c r="A166" s="7" t="n">
        <x:v>162</x:v>
      </x:c>
      <x:c r="B166" s="7" t="str">
        <x:v>Tata</x:v>
      </x:c>
      <x:c r="C166" s="7" t="str">
        <x:v>Tiago</x:v>
      </x:c>
      <x:c r="D166" s="7" t="str">
        <x:v>XE</x:v>
      </x:c>
      <x:c r="E166" s="7" t="str">
        <x:v>Petrol</x:v>
      </x:c>
      <x:c r="F166" s="7" t="str">
        <x:v>Manual</x:v>
      </x:c>
      <x:c r="G166" s="7" t="str">
        <x:v>Hatchback</x:v>
      </x:c>
      <x:c r="H166" s="7" t="n">
        <x:v>1199</x:v>
      </x:c>
      <x:c r="I166" s="7" t="n">
        <x:v>85</x:v>
      </x:c>
      <x:c r="J166" s="9" t="n">
        <x:v>20.1</x:v>
      </x:c>
      <x:c r="K166" s="9" t="n">
        <x:v>5.7</x:v>
      </x:c>
      <x:c r="L166" s="7" t="n">
        <x:v>2021</x:v>
      </x:c>
      <x:c r="M166" s="11" t="n">
        <x:v>93534</x:v>
      </x:c>
      <x:c r="N166" s="7" t="n">
        <x:v>1</x:v>
      </x:c>
      <x:c r="O166" s="7" t="n">
        <x:v>1</x:v>
      </x:c>
      <x:c r="P166" s="9" t="n">
        <x:v>1.99</x:v>
      </x:c>
      <x:c r="Q166" s="7" t="n">
        <x:f>'Guide'!$B$5-L166</x:f>
        <x:v>5</x:v>
      </x:c>
      <x:c r="R166" s="9" t="n">
        <x:f>K166-P166</x:f>
        <x:v>3.71</x:v>
      </x:c>
      <x:c r="S166" s="10" t="n">
        <x:f>IF(K166&gt;0,R166/K166,"")</x:f>
        <x:v>0.6508771929824562</x:v>
      </x:c>
    </x:row>
    <x:row r="167">
      <x:c r="A167" s="7" t="n">
        <x:v>163</x:v>
      </x:c>
      <x:c r="B167" s="7" t="str">
        <x:v>Tata</x:v>
      </x:c>
      <x:c r="C167" s="7" t="str">
        <x:v>Tiago</x:v>
      </x:c>
      <x:c r="D167" s="7" t="str">
        <x:v>XE</x:v>
      </x:c>
      <x:c r="E167" s="7" t="str">
        <x:v>Petrol</x:v>
      </x:c>
      <x:c r="F167" s="7" t="str">
        <x:v>Manual</x:v>
      </x:c>
      <x:c r="G167" s="7" t="str">
        <x:v>Hatchback</x:v>
      </x:c>
      <x:c r="H167" s="7" t="n">
        <x:v>1199</x:v>
      </x:c>
      <x:c r="I167" s="7" t="n">
        <x:v>85</x:v>
      </x:c>
      <x:c r="J167" s="9" t="n">
        <x:v>20.1</x:v>
      </x:c>
      <x:c r="K167" s="9" t="n">
        <x:v>5.7</x:v>
      </x:c>
      <x:c r="L167" s="7" t="n">
        <x:v>2020</x:v>
      </x:c>
      <x:c r="M167" s="11" t="n">
        <x:v>115714</x:v>
      </x:c>
      <x:c r="N167" s="7" t="n">
        <x:v>1</x:v>
      </x:c>
      <x:c r="O167" s="7" t="n">
        <x:v>0</x:v>
      </x:c>
      <x:c r="P167" s="9" t="n">
        <x:v>2.41</x:v>
      </x:c>
      <x:c r="Q167" s="7" t="n">
        <x:f>'Guide'!$B$5-L167</x:f>
        <x:v>6</x:v>
      </x:c>
      <x:c r="R167" s="9" t="n">
        <x:f>K167-P167</x:f>
        <x:v>3.29</x:v>
      </x:c>
      <x:c r="S167" s="10" t="n">
        <x:f>IF(K167&gt;0,R167/K167,"")</x:f>
        <x:v>0.5771929824561404</x:v>
      </x:c>
    </x:row>
    <x:row r="168">
      <x:c r="A168" s="7" t="n">
        <x:v>164</x:v>
      </x:c>
      <x:c r="B168" s="7" t="str">
        <x:v>Tata</x:v>
      </x:c>
      <x:c r="C168" s="7" t="str">
        <x:v>Tiago</x:v>
      </x:c>
      <x:c r="D168" s="7" t="str">
        <x:v>XE</x:v>
      </x:c>
      <x:c r="E168" s="7" t="str">
        <x:v>Petrol</x:v>
      </x:c>
      <x:c r="F168" s="7" t="str">
        <x:v>Manual</x:v>
      </x:c>
      <x:c r="G168" s="7" t="str">
        <x:v>Hatchback</x:v>
      </x:c>
      <x:c r="H168" s="7" t="n">
        <x:v>1199</x:v>
      </x:c>
      <x:c r="I168" s="7" t="n">
        <x:v>85</x:v>
      </x:c>
      <x:c r="J168" s="9" t="n">
        <x:v>20.1</x:v>
      </x:c>
      <x:c r="K168" s="9" t="n">
        <x:v>5.7</x:v>
      </x:c>
      <x:c r="L168" s="7" t="n">
        <x:v>2024</x:v>
      </x:c>
      <x:c r="M168" s="11" t="n">
        <x:v>49775</x:v>
      </x:c>
      <x:c r="N168" s="7" t="n">
        <x:v>2</x:v>
      </x:c>
      <x:c r="O168" s="7" t="n">
        <x:v>0</x:v>
      </x:c>
      <x:c r="P168" s="9" t="n">
        <x:v>3.79</x:v>
      </x:c>
      <x:c r="Q168" s="7" t="n">
        <x:f>'Guide'!$B$5-L168</x:f>
        <x:v>2</x:v>
      </x:c>
      <x:c r="R168" s="9" t="n">
        <x:f>K168-P168</x:f>
        <x:v>1.9100000000000001</x:v>
      </x:c>
      <x:c r="S168" s="10" t="n">
        <x:f>IF(K168&gt;0,R168/K168,"")</x:f>
        <x:v>0.3350877192982456</x:v>
      </x:c>
    </x:row>
    <x:row r="169">
      <x:c r="A169" s="7" t="n">
        <x:v>165</x:v>
      </x:c>
      <x:c r="B169" s="7" t="str">
        <x:v>Tata</x:v>
      </x:c>
      <x:c r="C169" s="7" t="str">
        <x:v>Tiago</x:v>
      </x:c>
      <x:c r="D169" s="7" t="str">
        <x:v>XE</x:v>
      </x:c>
      <x:c r="E169" s="7" t="str">
        <x:v>Petrol</x:v>
      </x:c>
      <x:c r="F169" s="7" t="str">
        <x:v>Manual</x:v>
      </x:c>
      <x:c r="G169" s="7" t="str">
        <x:v>Hatchback</x:v>
      </x:c>
      <x:c r="H169" s="7" t="n">
        <x:v>1199</x:v>
      </x:c>
      <x:c r="I169" s="7" t="n">
        <x:v>85</x:v>
      </x:c>
      <x:c r="J169" s="9" t="n">
        <x:v>20.1</x:v>
      </x:c>
      <x:c r="K169" s="9" t="n">
        <x:v>5.7</x:v>
      </x:c>
      <x:c r="L169" s="7" t="n">
        <x:v>2021</x:v>
      </x:c>
      <x:c r="M169" s="11" t="n">
        <x:v>100005</x:v>
      </x:c>
      <x:c r="N169" s="7" t="n">
        <x:v>1</x:v>
      </x:c>
      <x:c r="O169" s="7" t="n">
        <x:v>0</x:v>
      </x:c>
      <x:c r="P169" s="9" t="n">
        <x:v>2.89</x:v>
      </x:c>
      <x:c r="Q169" s="7" t="n">
        <x:f>'Guide'!$B$5-L169</x:f>
        <x:v>5</x:v>
      </x:c>
      <x:c r="R169" s="9" t="n">
        <x:f>K169-P169</x:f>
        <x:v>2.81</x:v>
      </x:c>
      <x:c r="S169" s="10" t="n">
        <x:f>IF(K169&gt;0,R169/K169,"")</x:f>
        <x:v>0.49298245614035086</x:v>
      </x:c>
    </x:row>
    <x:row r="170">
      <x:c r="A170" s="7" t="n">
        <x:v>166</x:v>
      </x:c>
      <x:c r="B170" s="7" t="str">
        <x:v>Tata</x:v>
      </x:c>
      <x:c r="C170" s="7" t="str">
        <x:v>Tiago</x:v>
      </x:c>
      <x:c r="D170" s="7" t="str">
        <x:v>XE</x:v>
      </x:c>
      <x:c r="E170" s="7" t="str">
        <x:v>Petrol</x:v>
      </x:c>
      <x:c r="F170" s="7" t="str">
        <x:v>Manual</x:v>
      </x:c>
      <x:c r="G170" s="7" t="str">
        <x:v>Hatchback</x:v>
      </x:c>
      <x:c r="H170" s="7" t="n">
        <x:v>1199</x:v>
      </x:c>
      <x:c r="I170" s="7" t="n">
        <x:v>85</x:v>
      </x:c>
      <x:c r="J170" s="9" t="n">
        <x:v>20.1</x:v>
      </x:c>
      <x:c r="K170" s="9" t="n">
        <x:v>5.7</x:v>
      </x:c>
      <x:c r="L170" s="7" t="n">
        <x:v>2025</x:v>
      </x:c>
      <x:c r="M170" s="11" t="n">
        <x:v>28086</x:v>
      </x:c>
      <x:c r="N170" s="7" t="n">
        <x:v>1</x:v>
      </x:c>
      <x:c r="O170" s="7" t="n">
        <x:v>1</x:v>
      </x:c>
      <x:c r="P170" s="9" t="n">
        <x:v>3.95</x:v>
      </x:c>
      <x:c r="Q170" s="7" t="n">
        <x:f>'Guide'!$B$5-L170</x:f>
        <x:v>1</x:v>
      </x:c>
      <x:c r="R170" s="9" t="n">
        <x:f>K170-P170</x:f>
        <x:v>1.75</x:v>
      </x:c>
      <x:c r="S170" s="10" t="n">
        <x:f>IF(K170&gt;0,R170/K170,"")</x:f>
        <x:v>0.30701754385964913</x:v>
      </x:c>
    </x:row>
    <x:row r="171">
      <x:c r="A171" s="7" t="n">
        <x:v>167</x:v>
      </x:c>
      <x:c r="B171" s="7" t="str">
        <x:v>Tata</x:v>
      </x:c>
      <x:c r="C171" s="7" t="str">
        <x:v>Tiago</x:v>
      </x:c>
      <x:c r="D171" s="7" t="str">
        <x:v>XE</x:v>
      </x:c>
      <x:c r="E171" s="7" t="str">
        <x:v>Petrol</x:v>
      </x:c>
      <x:c r="F171" s="7" t="str">
        <x:v>Manual</x:v>
      </x:c>
      <x:c r="G171" s="7" t="str">
        <x:v>Hatchback</x:v>
      </x:c>
      <x:c r="H171" s="7" t="n">
        <x:v>1199</x:v>
      </x:c>
      <x:c r="I171" s="7" t="n">
        <x:v>85</x:v>
      </x:c>
      <x:c r="J171" s="9" t="n">
        <x:v>20.1</x:v>
      </x:c>
      <x:c r="K171" s="9" t="n">
        <x:v>5.7</x:v>
      </x:c>
      <x:c r="L171" s="7" t="n">
        <x:v>2026</x:v>
      </x:c>
      <x:c r="M171" s="11" t="n">
        <x:v>7315</x:v>
      </x:c>
      <x:c r="N171" s="7" t="n">
        <x:v>2</x:v>
      </x:c>
      <x:c r="O171" s="7" t="n">
        <x:v>0</x:v>
      </x:c>
      <x:c r="P171" s="9" t="n">
        <x:v>5.05</x:v>
      </x:c>
      <x:c r="Q171" s="7" t="n">
        <x:f>'Guide'!$B$5-L171</x:f>
        <x:v>0</x:v>
      </x:c>
      <x:c r="R171" s="9" t="n">
        <x:f>K171-P171</x:f>
        <x:v>0.6500000000000004</x:v>
      </x:c>
      <x:c r="S171" s="10" t="n">
        <x:f>IF(K171&gt;0,R171/K171,"")</x:f>
        <x:v>0.11403508771929831</x:v>
      </x:c>
    </x:row>
    <x:row r="172">
      <x:c r="A172" s="7" t="n">
        <x:v>168</x:v>
      </x:c>
      <x:c r="B172" s="7" t="str">
        <x:v>Tata</x:v>
      </x:c>
      <x:c r="C172" s="7" t="str">
        <x:v>Tiago</x:v>
      </x:c>
      <x:c r="D172" s="7" t="str">
        <x:v>XE</x:v>
      </x:c>
      <x:c r="E172" s="7" t="str">
        <x:v>Petrol</x:v>
      </x:c>
      <x:c r="F172" s="7" t="str">
        <x:v>Manual</x:v>
      </x:c>
      <x:c r="G172" s="7" t="str">
        <x:v>Hatchback</x:v>
      </x:c>
      <x:c r="H172" s="7" t="n">
        <x:v>1199</x:v>
      </x:c>
      <x:c r="I172" s="7" t="n">
        <x:v>85</x:v>
      </x:c>
      <x:c r="J172" s="9" t="n">
        <x:v>20.1</x:v>
      </x:c>
      <x:c r="K172" s="9" t="n">
        <x:v>5.7</x:v>
      </x:c>
      <x:c r="L172" s="7" t="n">
        <x:v>2025</x:v>
      </x:c>
      <x:c r="M172" s="11" t="n">
        <x:v>13030</x:v>
      </x:c>
      <x:c r="N172" s="7" t="n">
        <x:v>2</x:v>
      </x:c>
      <x:c r="O172" s="7" t="n">
        <x:v>0</x:v>
      </x:c>
      <x:c r="P172" s="9" t="n">
        <x:v>4.68</x:v>
      </x:c>
      <x:c r="Q172" s="7" t="n">
        <x:f>'Guide'!$B$5-L172</x:f>
        <x:v>1</x:v>
      </x:c>
      <x:c r="R172" s="9" t="n">
        <x:f>K172-P172</x:f>
        <x:v>1.0200000000000005</x:v>
      </x:c>
      <x:c r="S172" s="10" t="n">
        <x:f>IF(K172&gt;0,R172/K172,"")</x:f>
        <x:v>0.17894736842105272</x:v>
      </x:c>
    </x:row>
    <x:row r="173">
      <x:c r="A173" s="7" t="n">
        <x:v>169</x:v>
      </x:c>
      <x:c r="B173" s="7" t="str">
        <x:v>Tata</x:v>
      </x:c>
      <x:c r="C173" s="7" t="str">
        <x:v>Tiago</x:v>
      </x:c>
      <x:c r="D173" s="7" t="str">
        <x:v>XE</x:v>
      </x:c>
      <x:c r="E173" s="7" t="str">
        <x:v>Petrol</x:v>
      </x:c>
      <x:c r="F173" s="7" t="str">
        <x:v>Manual</x:v>
      </x:c>
      <x:c r="G173" s="7" t="str">
        <x:v>Hatchback</x:v>
      </x:c>
      <x:c r="H173" s="7" t="n">
        <x:v>1199</x:v>
      </x:c>
      <x:c r="I173" s="7" t="n">
        <x:v>85</x:v>
      </x:c>
      <x:c r="J173" s="9" t="n">
        <x:v>20.1</x:v>
      </x:c>
      <x:c r="K173" s="9" t="n">
        <x:v>5.7</x:v>
      </x:c>
      <x:c r="L173" s="7" t="n">
        <x:v>2026</x:v>
      </x:c>
      <x:c r="M173" s="11" t="n">
        <x:v>4359</x:v>
      </x:c>
      <x:c r="N173" s="7" t="n">
        <x:v>2</x:v>
      </x:c>
      <x:c r="O173" s="7" t="n">
        <x:v>0</x:v>
      </x:c>
      <x:c r="P173" s="9" t="n">
        <x:v>5.09</x:v>
      </x:c>
      <x:c r="Q173" s="7" t="n">
        <x:f>'Guide'!$B$5-L173</x:f>
        <x:v>0</x:v>
      </x:c>
      <x:c r="R173" s="9" t="n">
        <x:f>K173-P173</x:f>
        <x:v>0.6100000000000003</x:v>
      </x:c>
      <x:c r="S173" s="10" t="n">
        <x:f>IF(K173&gt;0,R173/K173,"")</x:f>
        <x:v>0.10701754385964918</x:v>
      </x:c>
    </x:row>
    <x:row r="174">
      <x:c r="A174" s="7" t="n">
        <x:v>170</x:v>
      </x:c>
      <x:c r="B174" s="7" t="str">
        <x:v>Tata</x:v>
      </x:c>
      <x:c r="C174" s="7" t="str">
        <x:v>Tiago</x:v>
      </x:c>
      <x:c r="D174" s="7" t="str">
        <x:v>XE</x:v>
      </x:c>
      <x:c r="E174" s="7" t="str">
        <x:v>Petrol</x:v>
      </x:c>
      <x:c r="F174" s="7" t="str">
        <x:v>Manual</x:v>
      </x:c>
      <x:c r="G174" s="7" t="str">
        <x:v>Hatchback</x:v>
      </x:c>
      <x:c r="H174" s="7" t="n">
        <x:v>1199</x:v>
      </x:c>
      <x:c r="I174" s="7" t="n">
        <x:v>85</x:v>
      </x:c>
      <x:c r="J174" s="9" t="n">
        <x:v>20.1</x:v>
      </x:c>
      <x:c r="K174" s="9" t="n">
        <x:v>5.7</x:v>
      </x:c>
      <x:c r="L174" s="7" t="n">
        <x:v>2024</x:v>
      </x:c>
      <x:c r="M174" s="11" t="n">
        <x:v>48283</x:v>
      </x:c>
      <x:c r="N174" s="7" t="n">
        <x:v>2</x:v>
      </x:c>
      <x:c r="O174" s="7" t="n">
        <x:v>0</x:v>
      </x:c>
      <x:c r="P174" s="9" t="n">
        <x:v>4.22</x:v>
      </x:c>
      <x:c r="Q174" s="7" t="n">
        <x:f>'Guide'!$B$5-L174</x:f>
        <x:v>2</x:v>
      </x:c>
      <x:c r="R174" s="9" t="n">
        <x:f>K174-P174</x:f>
        <x:v>1.4800000000000004</x:v>
      </x:c>
      <x:c r="S174" s="10" t="n">
        <x:f>IF(K174&gt;0,R174/K174,"")</x:f>
        <x:v>0.25964912280701763</x:v>
      </x:c>
    </x:row>
    <x:row r="175">
      <x:c r="A175" s="7" t="n">
        <x:v>171</x:v>
      </x:c>
      <x:c r="B175" s="7" t="str">
        <x:v>Tata</x:v>
      </x:c>
      <x:c r="C175" s="7" t="str">
        <x:v>Tiago</x:v>
      </x:c>
      <x:c r="D175" s="7" t="str">
        <x:v>XE</x:v>
      </x:c>
      <x:c r="E175" s="7" t="str">
        <x:v>Petrol</x:v>
      </x:c>
      <x:c r="F175" s="7" t="str">
        <x:v>Manual</x:v>
      </x:c>
      <x:c r="G175" s="7" t="str">
        <x:v>Hatchback</x:v>
      </x:c>
      <x:c r="H175" s="7" t="n">
        <x:v>1199</x:v>
      </x:c>
      <x:c r="I175" s="7" t="n">
        <x:v>85</x:v>
      </x:c>
      <x:c r="J175" s="9" t="n">
        <x:v>20.1</x:v>
      </x:c>
      <x:c r="K175" s="9" t="n">
        <x:v>5.7</x:v>
      </x:c>
      <x:c r="L175" s="7" t="n">
        <x:v>2025</x:v>
      </x:c>
      <x:c r="M175" s="11" t="n">
        <x:v>20963</x:v>
      </x:c>
      <x:c r="N175" s="7" t="n">
        <x:v>3</x:v>
      </x:c>
      <x:c r="O175" s="7" t="n">
        <x:v>0</x:v>
      </x:c>
      <x:c r="P175" s="9" t="n">
        <x:v>4.37</x:v>
      </x:c>
      <x:c r="Q175" s="7" t="n">
        <x:f>'Guide'!$B$5-L175</x:f>
        <x:v>1</x:v>
      </x:c>
      <x:c r="R175" s="9" t="n">
        <x:f>K175-P175</x:f>
        <x:v>1.33</x:v>
      </x:c>
      <x:c r="S175" s="10" t="n">
        <x:f>IF(K175&gt;0,R175/K175,"")</x:f>
        <x:v>0.23333333333333334</x:v>
      </x:c>
    </x:row>
    <x:row r="176">
      <x:c r="A176" s="7" t="n">
        <x:v>172</x:v>
      </x:c>
      <x:c r="B176" s="7" t="str">
        <x:v>Tata</x:v>
      </x:c>
      <x:c r="C176" s="7" t="str">
        <x:v>Tiago</x:v>
      </x:c>
      <x:c r="D176" s="7" t="str">
        <x:v>XE</x:v>
      </x:c>
      <x:c r="E176" s="7" t="str">
        <x:v>Petrol</x:v>
      </x:c>
      <x:c r="F176" s="7" t="str">
        <x:v>Manual</x:v>
      </x:c>
      <x:c r="G176" s="7" t="str">
        <x:v>Hatchback</x:v>
      </x:c>
      <x:c r="H176" s="7" t="n">
        <x:v>1199</x:v>
      </x:c>
      <x:c r="I176" s="7" t="n">
        <x:v>85</x:v>
      </x:c>
      <x:c r="J176" s="9" t="n">
        <x:v>20.1</x:v>
      </x:c>
      <x:c r="K176" s="9" t="n">
        <x:v>5.7</x:v>
      </x:c>
      <x:c r="L176" s="7" t="n">
        <x:v>2025</x:v>
      </x:c>
      <x:c r="M176" s="11" t="n">
        <x:v>20830</x:v>
      </x:c>
      <x:c r="N176" s="7" t="n">
        <x:v>2</x:v>
      </x:c>
      <x:c r="O176" s="7" t="n">
        <x:v>0</x:v>
      </x:c>
      <x:c r="P176" s="9" t="n">
        <x:v>4.94</x:v>
      </x:c>
      <x:c r="Q176" s="7" t="n">
        <x:f>'Guide'!$B$5-L176</x:f>
        <x:v>1</x:v>
      </x:c>
      <x:c r="R176" s="9" t="n">
        <x:f>K176-P176</x:f>
        <x:v>0.7599999999999998</x:v>
      </x:c>
      <x:c r="S176" s="10" t="n">
        <x:f>IF(K176&gt;0,R176/K176,"")</x:f>
        <x:v>0.1333333333333333</x:v>
      </x:c>
    </x:row>
    <x:row r="177">
      <x:c r="A177" s="7" t="n">
        <x:v>173</x:v>
      </x:c>
      <x:c r="B177" s="7" t="str">
        <x:v>Tata</x:v>
      </x:c>
      <x:c r="C177" s="7" t="str">
        <x:v>Tiago</x:v>
      </x:c>
      <x:c r="D177" s="7" t="str">
        <x:v>XE</x:v>
      </x:c>
      <x:c r="E177" s="7" t="str">
        <x:v>Petrol</x:v>
      </x:c>
      <x:c r="F177" s="7" t="str">
        <x:v>Manual</x:v>
      </x:c>
      <x:c r="G177" s="7" t="str">
        <x:v>Hatchback</x:v>
      </x:c>
      <x:c r="H177" s="7" t="n">
        <x:v>1199</x:v>
      </x:c>
      <x:c r="I177" s="7" t="n">
        <x:v>85</x:v>
      </x:c>
      <x:c r="J177" s="9" t="n">
        <x:v>20.1</x:v>
      </x:c>
      <x:c r="K177" s="9" t="n">
        <x:v>5.7</x:v>
      </x:c>
      <x:c r="L177" s="7" t="n">
        <x:v>2023</x:v>
      </x:c>
      <x:c r="M177" s="11" t="n">
        <x:v>38559</x:v>
      </x:c>
      <x:c r="N177" s="7" t="n">
        <x:v>1</x:v>
      </x:c>
      <x:c r="O177" s="7" t="n">
        <x:v>0</x:v>
      </x:c>
      <x:c r="P177" s="9" t="n">
        <x:v>4.34</x:v>
      </x:c>
      <x:c r="Q177" s="7" t="n">
        <x:f>'Guide'!$B$5-L177</x:f>
        <x:v>3</x:v>
      </x:c>
      <x:c r="R177" s="9" t="n">
        <x:f>K177-P177</x:f>
        <x:v>1.3600000000000003</x:v>
      </x:c>
      <x:c r="S177" s="10" t="n">
        <x:f>IF(K177&gt;0,R177/K177,"")</x:f>
        <x:v>0.23859649122807022</x:v>
      </x:c>
    </x:row>
    <x:row r="178">
      <x:c r="A178" s="7" t="n">
        <x:v>174</x:v>
      </x:c>
      <x:c r="B178" s="7" t="str">
        <x:v>Tata</x:v>
      </x:c>
      <x:c r="C178" s="7" t="str">
        <x:v>Tiago</x:v>
      </x:c>
      <x:c r="D178" s="7" t="str">
        <x:v>XE</x:v>
      </x:c>
      <x:c r="E178" s="7" t="str">
        <x:v>Petrol</x:v>
      </x:c>
      <x:c r="F178" s="7" t="str">
        <x:v>Manual</x:v>
      </x:c>
      <x:c r="G178" s="7" t="str">
        <x:v>Hatchback</x:v>
      </x:c>
      <x:c r="H178" s="7" t="n">
        <x:v>1199</x:v>
      </x:c>
      <x:c r="I178" s="7" t="n">
        <x:v>85</x:v>
      </x:c>
      <x:c r="J178" s="9" t="n">
        <x:v>20.1</x:v>
      </x:c>
      <x:c r="K178" s="9" t="n">
        <x:v>5.7</x:v>
      </x:c>
      <x:c r="L178" s="7" t="n">
        <x:v>2020</x:v>
      </x:c>
      <x:c r="M178" s="11" t="n">
        <x:v>88623</x:v>
      </x:c>
      <x:c r="N178" s="7" t="n">
        <x:v>1</x:v>
      </x:c>
      <x:c r="O178" s="7" t="n">
        <x:v>0</x:v>
      </x:c>
      <x:c r="P178" s="9" t="n">
        <x:v>2.68</x:v>
      </x:c>
      <x:c r="Q178" s="7" t="n">
        <x:f>'Guide'!$B$5-L178</x:f>
        <x:v>6</x:v>
      </x:c>
      <x:c r="R178" s="9" t="n">
        <x:f>K178-P178</x:f>
        <x:v>3.02</x:v>
      </x:c>
      <x:c r="S178" s="10" t="n">
        <x:f>IF(K178&gt;0,R178/K178,"")</x:f>
        <x:v>0.5298245614035088</x:v>
      </x:c>
    </x:row>
    <x:row r="179">
      <x:c r="A179" s="7" t="n">
        <x:v>175</x:v>
      </x:c>
      <x:c r="B179" s="7" t="str">
        <x:v>Tata</x:v>
      </x:c>
      <x:c r="C179" s="7" t="str">
        <x:v>Tiago</x:v>
      </x:c>
      <x:c r="D179" s="7" t="str">
        <x:v>XE</x:v>
      </x:c>
      <x:c r="E179" s="7" t="str">
        <x:v>Petrol</x:v>
      </x:c>
      <x:c r="F179" s="7" t="str">
        <x:v>Manual</x:v>
      </x:c>
      <x:c r="G179" s="7" t="str">
        <x:v>Hatchback</x:v>
      </x:c>
      <x:c r="H179" s="7" t="n">
        <x:v>1199</x:v>
      </x:c>
      <x:c r="I179" s="7" t="n">
        <x:v>85</x:v>
      </x:c>
      <x:c r="J179" s="9" t="n">
        <x:v>20.1</x:v>
      </x:c>
      <x:c r="K179" s="9" t="n">
        <x:v>5.7</x:v>
      </x:c>
      <x:c r="L179" s="7" t="n">
        <x:v>2021</x:v>
      </x:c>
      <x:c r="M179" s="11" t="n">
        <x:v>87408</x:v>
      </x:c>
      <x:c r="N179" s="7" t="n">
        <x:v>2</x:v>
      </x:c>
      <x:c r="O179" s="7" t="n">
        <x:v>0</x:v>
      </x:c>
      <x:c r="P179" s="9" t="n">
        <x:v>2.76</x:v>
      </x:c>
      <x:c r="Q179" s="7" t="n">
        <x:f>'Guide'!$B$5-L179</x:f>
        <x:v>5</x:v>
      </x:c>
      <x:c r="R179" s="9" t="n">
        <x:f>K179-P179</x:f>
        <x:v>2.9400000000000004</x:v>
      </x:c>
      <x:c r="S179" s="10" t="n">
        <x:f>IF(K179&gt;0,R179/K179,"")</x:f>
        <x:v>0.5157894736842106</x:v>
      </x:c>
    </x:row>
    <x:row r="180">
      <x:c r="A180" s="7" t="n">
        <x:v>176</x:v>
      </x:c>
      <x:c r="B180" s="7" t="str">
        <x:v>Tata</x:v>
      </x:c>
      <x:c r="C180" s="7" t="str">
        <x:v>Tiago</x:v>
      </x:c>
      <x:c r="D180" s="7" t="str">
        <x:v>XE</x:v>
      </x:c>
      <x:c r="E180" s="7" t="str">
        <x:v>Petrol</x:v>
      </x:c>
      <x:c r="F180" s="7" t="str">
        <x:v>Manual</x:v>
      </x:c>
      <x:c r="G180" s="7" t="str">
        <x:v>Hatchback</x:v>
      </x:c>
      <x:c r="H180" s="7" t="n">
        <x:v>1199</x:v>
      </x:c>
      <x:c r="I180" s="7" t="n">
        <x:v>85</x:v>
      </x:c>
      <x:c r="J180" s="9" t="n">
        <x:v>20.1</x:v>
      </x:c>
      <x:c r="K180" s="9" t="n">
        <x:v>5.7</x:v>
      </x:c>
      <x:c r="L180" s="7" t="n">
        <x:v>2023</x:v>
      </x:c>
      <x:c r="M180" s="11" t="n">
        <x:v>43129</x:v>
      </x:c>
      <x:c r="N180" s="7" t="n">
        <x:v>1</x:v>
      </x:c>
      <x:c r="O180" s="7" t="n">
        <x:v>0</x:v>
      </x:c>
      <x:c r="P180" s="9" t="n">
        <x:v>3.95</x:v>
      </x:c>
      <x:c r="Q180" s="7" t="n">
        <x:f>'Guide'!$B$5-L180</x:f>
        <x:v>3</x:v>
      </x:c>
      <x:c r="R180" s="9" t="n">
        <x:f>K180-P180</x:f>
        <x:v>1.75</x:v>
      </x:c>
      <x:c r="S180" s="10" t="n">
        <x:f>IF(K180&gt;0,R180/K180,"")</x:f>
        <x:v>0.30701754385964913</x:v>
      </x:c>
    </x:row>
    <x:row r="181">
      <x:c r="A181" s="7" t="n">
        <x:v>177</x:v>
      </x:c>
      <x:c r="B181" s="7" t="str">
        <x:v>Tata</x:v>
      </x:c>
      <x:c r="C181" s="7" t="str">
        <x:v>Tiago</x:v>
      </x:c>
      <x:c r="D181" s="7" t="str">
        <x:v>XE</x:v>
      </x:c>
      <x:c r="E181" s="7" t="str">
        <x:v>Petrol</x:v>
      </x:c>
      <x:c r="F181" s="7" t="str">
        <x:v>Manual</x:v>
      </x:c>
      <x:c r="G181" s="7" t="str">
        <x:v>Hatchback</x:v>
      </x:c>
      <x:c r="H181" s="7" t="n">
        <x:v>1199</x:v>
      </x:c>
      <x:c r="I181" s="7" t="n">
        <x:v>85</x:v>
      </x:c>
      <x:c r="J181" s="9" t="n">
        <x:v>20.1</x:v>
      </x:c>
      <x:c r="K181" s="9" t="n">
        <x:v>5.7</x:v>
      </x:c>
      <x:c r="L181" s="7" t="n">
        <x:v>2022</x:v>
      </x:c>
      <x:c r="M181" s="11" t="n">
        <x:v>76042</x:v>
      </x:c>
      <x:c r="N181" s="7" t="n">
        <x:v>2</x:v>
      </x:c>
      <x:c r="O181" s="7" t="n">
        <x:v>0</x:v>
      </x:c>
      <x:c r="P181" s="9" t="n">
        <x:v>2.6</x:v>
      </x:c>
      <x:c r="Q181" s="7" t="n">
        <x:f>'Guide'!$B$5-L181</x:f>
        <x:v>4</x:v>
      </x:c>
      <x:c r="R181" s="9" t="n">
        <x:f>K181-P181</x:f>
        <x:v>3.1</x:v>
      </x:c>
      <x:c r="S181" s="10" t="n">
        <x:f>IF(K181&gt;0,R181/K181,"")</x:f>
        <x:v>0.543859649122807</x:v>
      </x:c>
    </x:row>
    <x:row r="182">
      <x:c r="A182" s="7" t="n">
        <x:v>178</x:v>
      </x:c>
      <x:c r="B182" s="7" t="str">
        <x:v>Tata</x:v>
      </x:c>
      <x:c r="C182" s="7" t="str">
        <x:v>Tiago</x:v>
      </x:c>
      <x:c r="D182" s="7" t="str">
        <x:v>XE</x:v>
      </x:c>
      <x:c r="E182" s="7" t="str">
        <x:v>Petrol</x:v>
      </x:c>
      <x:c r="F182" s="7" t="str">
        <x:v>Manual</x:v>
      </x:c>
      <x:c r="G182" s="7" t="str">
        <x:v>Hatchback</x:v>
      </x:c>
      <x:c r="H182" s="7" t="n">
        <x:v>1199</x:v>
      </x:c>
      <x:c r="I182" s="7" t="n">
        <x:v>85</x:v>
      </x:c>
      <x:c r="J182" s="9" t="n">
        <x:v>20.1</x:v>
      </x:c>
      <x:c r="K182" s="9" t="n">
        <x:v>5.7</x:v>
      </x:c>
      <x:c r="L182" s="7" t="n">
        <x:v>2021</x:v>
      </x:c>
      <x:c r="M182" s="11" t="n">
        <x:v>54326</x:v>
      </x:c>
      <x:c r="N182" s="7" t="n">
        <x:v>1</x:v>
      </x:c>
      <x:c r="O182" s="7" t="n">
        <x:v>0</x:v>
      </x:c>
      <x:c r="P182" s="9" t="n">
        <x:v>2.95</x:v>
      </x:c>
      <x:c r="Q182" s="7" t="n">
        <x:f>'Guide'!$B$5-L182</x:f>
        <x:v>5</x:v>
      </x:c>
      <x:c r="R182" s="9" t="n">
        <x:f>K182-P182</x:f>
        <x:v>2.75</x:v>
      </x:c>
      <x:c r="S182" s="10" t="n">
        <x:f>IF(K182&gt;0,R182/K182,"")</x:f>
        <x:v>0.4824561403508772</x:v>
      </x:c>
    </x:row>
    <x:row r="183">
      <x:c r="A183" s="7" t="n">
        <x:v>179</x:v>
      </x:c>
      <x:c r="B183" s="7" t="str">
        <x:v>Tata</x:v>
      </x:c>
      <x:c r="C183" s="7" t="str">
        <x:v>Tiago</x:v>
      </x:c>
      <x:c r="D183" s="7" t="str">
        <x:v>XE</x:v>
      </x:c>
      <x:c r="E183" s="7" t="str">
        <x:v>Petrol</x:v>
      </x:c>
      <x:c r="F183" s="7" t="str">
        <x:v>Manual</x:v>
      </x:c>
      <x:c r="G183" s="7" t="str">
        <x:v>Hatchback</x:v>
      </x:c>
      <x:c r="H183" s="7" t="n">
        <x:v>1199</x:v>
      </x:c>
      <x:c r="I183" s="7" t="n">
        <x:v>85</x:v>
      </x:c>
      <x:c r="J183" s="9" t="n">
        <x:v>20.1</x:v>
      </x:c>
      <x:c r="K183" s="9" t="n">
        <x:v>5.7</x:v>
      </x:c>
      <x:c r="L183" s="7" t="n">
        <x:v>2020</x:v>
      </x:c>
      <x:c r="M183" s="11" t="n">
        <x:v>116269</x:v>
      </x:c>
      <x:c r="N183" s="7" t="n">
        <x:v>1</x:v>
      </x:c>
      <x:c r="O183" s="7" t="n">
        <x:v>0</x:v>
      </x:c>
      <x:c r="P183" s="9" t="n">
        <x:v>1.81</x:v>
      </x:c>
      <x:c r="Q183" s="7" t="n">
        <x:f>'Guide'!$B$5-L183</x:f>
        <x:v>6</x:v>
      </x:c>
      <x:c r="R183" s="9" t="n">
        <x:f>K183-P183</x:f>
        <x:v>3.89</x:v>
      </x:c>
      <x:c r="S183" s="10" t="n">
        <x:f>IF(K183&gt;0,R183/K183,"")</x:f>
        <x:v>0.6824561403508772</x:v>
      </x:c>
    </x:row>
    <x:row r="184">
      <x:c r="A184" s="7" t="n">
        <x:v>180</x:v>
      </x:c>
      <x:c r="B184" s="7" t="str">
        <x:v>Tata</x:v>
      </x:c>
      <x:c r="C184" s="7" t="str">
        <x:v>Tiago</x:v>
      </x:c>
      <x:c r="D184" s="7" t="str">
        <x:v>XE</x:v>
      </x:c>
      <x:c r="E184" s="7" t="str">
        <x:v>Petrol</x:v>
      </x:c>
      <x:c r="F184" s="7" t="str">
        <x:v>Manual</x:v>
      </x:c>
      <x:c r="G184" s="7" t="str">
        <x:v>Hatchback</x:v>
      </x:c>
      <x:c r="H184" s="7" t="n">
        <x:v>1199</x:v>
      </x:c>
      <x:c r="I184" s="7" t="n">
        <x:v>85</x:v>
      </x:c>
      <x:c r="J184" s="9" t="n">
        <x:v>20.1</x:v>
      </x:c>
      <x:c r="K184" s="9" t="n">
        <x:v>5.7</x:v>
      </x:c>
      <x:c r="L184" s="7" t="n">
        <x:v>2022</x:v>
      </x:c>
      <x:c r="M184" s="11" t="n">
        <x:v>60128</x:v>
      </x:c>
      <x:c r="N184" s="7" t="n">
        <x:v>1</x:v>
      </x:c>
      <x:c r="O184" s="7" t="n">
        <x:v>0</x:v>
      </x:c>
      <x:c r="P184" s="9" t="n">
        <x:v>3.33</x:v>
      </x:c>
      <x:c r="Q184" s="7" t="n">
        <x:f>'Guide'!$B$5-L184</x:f>
        <x:v>4</x:v>
      </x:c>
      <x:c r="R184" s="9" t="n">
        <x:f>K184-P184</x:f>
        <x:v>2.37</x:v>
      </x:c>
      <x:c r="S184" s="10" t="n">
        <x:f>IF(K184&gt;0,R184/K184,"")</x:f>
        <x:v>0.41578947368421054</x:v>
      </x:c>
    </x:row>
    <x:row r="185">
      <x:c r="A185" s="7" t="n">
        <x:v>181</x:v>
      </x:c>
      <x:c r="B185" s="7" t="str">
        <x:v>Tata</x:v>
      </x:c>
      <x:c r="C185" s="7" t="str">
        <x:v>Tiago</x:v>
      </x:c>
      <x:c r="D185" s="7" t="str">
        <x:v>XE</x:v>
      </x:c>
      <x:c r="E185" s="7" t="str">
        <x:v>Petrol</x:v>
      </x:c>
      <x:c r="F185" s="7" t="str">
        <x:v>Manual</x:v>
      </x:c>
      <x:c r="G185" s="7" t="str">
        <x:v>Hatchback</x:v>
      </x:c>
      <x:c r="H185" s="7" t="n">
        <x:v>1199</x:v>
      </x:c>
      <x:c r="I185" s="7" t="n">
        <x:v>85</x:v>
      </x:c>
      <x:c r="J185" s="9" t="n">
        <x:v>20.1</x:v>
      </x:c>
      <x:c r="K185" s="9" t="n">
        <x:v>5.7</x:v>
      </x:c>
      <x:c r="L185" s="7" t="n">
        <x:v>2025</x:v>
      </x:c>
      <x:c r="M185" s="11" t="n">
        <x:v>24279</x:v>
      </x:c>
      <x:c r="N185" s="7" t="n">
        <x:v>1</x:v>
      </x:c>
      <x:c r="O185" s="7" t="n">
        <x:v>0</x:v>
      </x:c>
      <x:c r="P185" s="9" t="n">
        <x:v>5.21</x:v>
      </x:c>
      <x:c r="Q185" s="7" t="n">
        <x:f>'Guide'!$B$5-L185</x:f>
        <x:v>1</x:v>
      </x:c>
      <x:c r="R185" s="9" t="n">
        <x:f>K185-P185</x:f>
        <x:v>0.4900000000000002</x:v>
      </x:c>
      <x:c r="S185" s="10" t="n">
        <x:f>IF(K185&gt;0,R185/K185,"")</x:f>
        <x:v>0.08596491228070179</x:v>
      </x:c>
    </x:row>
    <x:row r="186">
      <x:c r="A186" s="7" t="n">
        <x:v>182</x:v>
      </x:c>
      <x:c r="B186" s="7" t="str">
        <x:v>Tata</x:v>
      </x:c>
      <x:c r="C186" s="7" t="str">
        <x:v>Tiago</x:v>
      </x:c>
      <x:c r="D186" s="7" t="str">
        <x:v>XE</x:v>
      </x:c>
      <x:c r="E186" s="7" t="str">
        <x:v>Petrol</x:v>
      </x:c>
      <x:c r="F186" s="7" t="str">
        <x:v>Manual</x:v>
      </x:c>
      <x:c r="G186" s="7" t="str">
        <x:v>Hatchback</x:v>
      </x:c>
      <x:c r="H186" s="7" t="n">
        <x:v>1199</x:v>
      </x:c>
      <x:c r="I186" s="7" t="n">
        <x:v>85</x:v>
      </x:c>
      <x:c r="J186" s="9" t="n">
        <x:v>20.1</x:v>
      </x:c>
      <x:c r="K186" s="9" t="n">
        <x:v>5.7</x:v>
      </x:c>
      <x:c r="L186" s="7" t="n">
        <x:v>2024</x:v>
      </x:c>
      <x:c r="M186" s="11" t="n">
        <x:v>44473</x:v>
      </x:c>
      <x:c r="N186" s="7" t="n">
        <x:v>2</x:v>
      </x:c>
      <x:c r="O186" s="7" t="n">
        <x:v>1</x:v>
      </x:c>
      <x:c r="P186" s="9" t="n">
        <x:v>3.05</x:v>
      </x:c>
      <x:c r="Q186" s="7" t="n">
        <x:f>'Guide'!$B$5-L186</x:f>
        <x:v>2</x:v>
      </x:c>
      <x:c r="R186" s="9" t="n">
        <x:f>K186-P186</x:f>
        <x:v>2.6500000000000004</x:v>
      </x:c>
      <x:c r="S186" s="10" t="n">
        <x:f>IF(K186&gt;0,R186/K186,"")</x:f>
        <x:v>0.46491228070175444</x:v>
      </x:c>
    </x:row>
    <x:row r="187">
      <x:c r="A187" s="7" t="n">
        <x:v>183</x:v>
      </x:c>
      <x:c r="B187" s="7" t="str">
        <x:v>Tata</x:v>
      </x:c>
      <x:c r="C187" s="7" t="str">
        <x:v>Tiago</x:v>
      </x:c>
      <x:c r="D187" s="7" t="str">
        <x:v>XE</x:v>
      </x:c>
      <x:c r="E187" s="7" t="str">
        <x:v>Petrol</x:v>
      </x:c>
      <x:c r="F187" s="7" t="str">
        <x:v>Manual</x:v>
      </x:c>
      <x:c r="G187" s="7" t="str">
        <x:v>Hatchback</x:v>
      </x:c>
      <x:c r="H187" s="7" t="n">
        <x:v>1199</x:v>
      </x:c>
      <x:c r="I187" s="7" t="n">
        <x:v>85</x:v>
      </x:c>
      <x:c r="J187" s="9" t="n">
        <x:v>20.1</x:v>
      </x:c>
      <x:c r="K187" s="9" t="n">
        <x:v>5.7</x:v>
      </x:c>
      <x:c r="L187" s="7" t="n">
        <x:v>2022</x:v>
      </x:c>
      <x:c r="M187" s="11" t="n">
        <x:v>44133</x:v>
      </x:c>
      <x:c r="N187" s="7" t="n">
        <x:v>1</x:v>
      </x:c>
      <x:c r="O187" s="7" t="n">
        <x:v>0</x:v>
      </x:c>
      <x:c r="P187" s="9" t="n">
        <x:v>3.74</x:v>
      </x:c>
      <x:c r="Q187" s="7" t="n">
        <x:f>'Guide'!$B$5-L187</x:f>
        <x:v>4</x:v>
      </x:c>
      <x:c r="R187" s="9" t="n">
        <x:f>K187-P187</x:f>
        <x:v>1.96</x:v>
      </x:c>
      <x:c r="S187" s="10" t="n">
        <x:f>IF(K187&gt;0,R187/K187,"")</x:f>
        <x:v>0.343859649122807</x:v>
      </x:c>
    </x:row>
    <x:row r="188">
      <x:c r="A188" s="7" t="n">
        <x:v>184</x:v>
      </x:c>
      <x:c r="B188" s="7" t="str">
        <x:v>Tata</x:v>
      </x:c>
      <x:c r="C188" s="7" t="str">
        <x:v>Tiago</x:v>
      </x:c>
      <x:c r="D188" s="7" t="str">
        <x:v>XE</x:v>
      </x:c>
      <x:c r="E188" s="7" t="str">
        <x:v>Petrol</x:v>
      </x:c>
      <x:c r="F188" s="7" t="str">
        <x:v>Manual</x:v>
      </x:c>
      <x:c r="G188" s="7" t="str">
        <x:v>Hatchback</x:v>
      </x:c>
      <x:c r="H188" s="7" t="n">
        <x:v>1199</x:v>
      </x:c>
      <x:c r="I188" s="7" t="n">
        <x:v>85</x:v>
      </x:c>
      <x:c r="J188" s="9" t="n">
        <x:v>20.1</x:v>
      </x:c>
      <x:c r="K188" s="9" t="n">
        <x:v>5.7</x:v>
      </x:c>
      <x:c r="L188" s="7" t="n">
        <x:v>2024</x:v>
      </x:c>
      <x:c r="M188" s="11" t="n">
        <x:v>35366</x:v>
      </x:c>
      <x:c r="N188" s="7" t="n">
        <x:v>1</x:v>
      </x:c>
      <x:c r="O188" s="7" t="n">
        <x:v>0</x:v>
      </x:c>
      <x:c r="P188" s="9" t="n">
        <x:v>4.88</x:v>
      </x:c>
      <x:c r="Q188" s="7" t="n">
        <x:f>'Guide'!$B$5-L188</x:f>
        <x:v>2</x:v>
      </x:c>
      <x:c r="R188" s="9" t="n">
        <x:f>K188-P188</x:f>
        <x:v>0.8200000000000003</x:v>
      </x:c>
      <x:c r="S188" s="10" t="n">
        <x:f>IF(K188&gt;0,R188/K188,"")</x:f>
        <x:v>0.14385964912280708</x:v>
      </x:c>
    </x:row>
    <x:row r="189">
      <x:c r="A189" s="7" t="n">
        <x:v>185</x:v>
      </x:c>
      <x:c r="B189" s="7" t="str">
        <x:v>Tata</x:v>
      </x:c>
      <x:c r="C189" s="7" t="str">
        <x:v>Tiago</x:v>
      </x:c>
      <x:c r="D189" s="7" t="str">
        <x:v>XE</x:v>
      </x:c>
      <x:c r="E189" s="7" t="str">
        <x:v>Petrol</x:v>
      </x:c>
      <x:c r="F189" s="7" t="str">
        <x:v>Manual</x:v>
      </x:c>
      <x:c r="G189" s="7" t="str">
        <x:v>Hatchback</x:v>
      </x:c>
      <x:c r="H189" s="7" t="n">
        <x:v>1199</x:v>
      </x:c>
      <x:c r="I189" s="7" t="n">
        <x:v>85</x:v>
      </x:c>
      <x:c r="J189" s="9" t="n">
        <x:v>20.1</x:v>
      </x:c>
      <x:c r="K189" s="9" t="n">
        <x:v>5.7</x:v>
      </x:c>
      <x:c r="L189" s="7" t="n">
        <x:v>2026</x:v>
      </x:c>
      <x:c r="M189" s="11" t="n">
        <x:v>9850</x:v>
      </x:c>
      <x:c r="N189" s="7" t="n">
        <x:v>2</x:v>
      </x:c>
      <x:c r="O189" s="7" t="n">
        <x:v>0</x:v>
      </x:c>
      <x:c r="P189" s="9" t="n">
        <x:v>5.63</x:v>
      </x:c>
      <x:c r="Q189" s="7" t="n">
        <x:f>'Guide'!$B$5-L189</x:f>
        <x:v>0</x:v>
      </x:c>
      <x:c r="R189" s="9" t="n">
        <x:f>K189-P189</x:f>
        <x:v>0.07000000000000028</x:v>
      </x:c>
      <x:c r="S189" s="10" t="n">
        <x:f>IF(K189&gt;0,R189/K189,"")</x:f>
        <x:v>0.012280701754386015</x:v>
      </x:c>
    </x:row>
    <x:row r="190">
      <x:c r="A190" s="7" t="n">
        <x:v>186</x:v>
      </x:c>
      <x:c r="B190" s="7" t="str">
        <x:v>Tata</x:v>
      </x:c>
      <x:c r="C190" s="7" t="str">
        <x:v>Tiago</x:v>
      </x:c>
      <x:c r="D190" s="7" t="str">
        <x:v>XE</x:v>
      </x:c>
      <x:c r="E190" s="7" t="str">
        <x:v>Petrol</x:v>
      </x:c>
      <x:c r="F190" s="7" t="str">
        <x:v>Manual</x:v>
      </x:c>
      <x:c r="G190" s="7" t="str">
        <x:v>Hatchback</x:v>
      </x:c>
      <x:c r="H190" s="7" t="n">
        <x:v>1199</x:v>
      </x:c>
      <x:c r="I190" s="7" t="n">
        <x:v>85</x:v>
      </x:c>
      <x:c r="J190" s="9" t="n">
        <x:v>20.1</x:v>
      </x:c>
      <x:c r="K190" s="9" t="n">
        <x:v>5.7</x:v>
      </x:c>
      <x:c r="L190" s="7" t="n">
        <x:v>2023</x:v>
      </x:c>
      <x:c r="M190" s="11" t="n">
        <x:v>29751</x:v>
      </x:c>
      <x:c r="N190" s="7" t="n">
        <x:v>1</x:v>
      </x:c>
      <x:c r="O190" s="7" t="n">
        <x:v>0</x:v>
      </x:c>
      <x:c r="P190" s="9" t="n">
        <x:v>4.51</x:v>
      </x:c>
      <x:c r="Q190" s="7" t="n">
        <x:f>'Guide'!$B$5-L190</x:f>
        <x:v>3</x:v>
      </x:c>
      <x:c r="R190" s="9" t="n">
        <x:f>K190-P190</x:f>
        <x:v>1.1900000000000004</x:v>
      </x:c>
      <x:c r="S190" s="10" t="n">
        <x:f>IF(K190&gt;0,R190/K190,"")</x:f>
        <x:v>0.20877192982456147</x:v>
      </x:c>
    </x:row>
    <x:row r="191">
      <x:c r="A191" s="7" t="n">
        <x:v>187</x:v>
      </x:c>
      <x:c r="B191" s="7" t="str">
        <x:v>Tata</x:v>
      </x:c>
      <x:c r="C191" s="7" t="str">
        <x:v>Tiago</x:v>
      </x:c>
      <x:c r="D191" s="7" t="str">
        <x:v>XE</x:v>
      </x:c>
      <x:c r="E191" s="7" t="str">
        <x:v>Petrol</x:v>
      </x:c>
      <x:c r="F191" s="7" t="str">
        <x:v>Manual</x:v>
      </x:c>
      <x:c r="G191" s="7" t="str">
        <x:v>Hatchback</x:v>
      </x:c>
      <x:c r="H191" s="7" t="n">
        <x:v>1199</x:v>
      </x:c>
      <x:c r="I191" s="7" t="n">
        <x:v>85</x:v>
      </x:c>
      <x:c r="J191" s="9" t="n">
        <x:v>20.1</x:v>
      </x:c>
      <x:c r="K191" s="9" t="n">
        <x:v>5.7</x:v>
      </x:c>
      <x:c r="L191" s="7" t="n">
        <x:v>2023</x:v>
      </x:c>
      <x:c r="M191" s="11" t="n">
        <x:v>51269</x:v>
      </x:c>
      <x:c r="N191" s="7" t="n">
        <x:v>1</x:v>
      </x:c>
      <x:c r="O191" s="7" t="n">
        <x:v>0</x:v>
      </x:c>
      <x:c r="P191" s="9" t="n">
        <x:v>3.82</x:v>
      </x:c>
      <x:c r="Q191" s="7" t="n">
        <x:f>'Guide'!$B$5-L191</x:f>
        <x:v>3</x:v>
      </x:c>
      <x:c r="R191" s="9" t="n">
        <x:f>K191-P191</x:f>
        <x:v>1.8800000000000003</x:v>
      </x:c>
      <x:c r="S191" s="10" t="n">
        <x:f>IF(K191&gt;0,R191/K191,"")</x:f>
        <x:v>0.3298245614035088</x:v>
      </x:c>
    </x:row>
    <x:row r="192">
      <x:c r="A192" s="7" t="n">
        <x:v>188</x:v>
      </x:c>
      <x:c r="B192" s="7" t="str">
        <x:v>Tata</x:v>
      </x:c>
      <x:c r="C192" s="7" t="str">
        <x:v>Tiago</x:v>
      </x:c>
      <x:c r="D192" s="7" t="str">
        <x:v>XE</x:v>
      </x:c>
      <x:c r="E192" s="7" t="str">
        <x:v>Petrol</x:v>
      </x:c>
      <x:c r="F192" s="7" t="str">
        <x:v>Manual</x:v>
      </x:c>
      <x:c r="G192" s="7" t="str">
        <x:v>Hatchback</x:v>
      </x:c>
      <x:c r="H192" s="7" t="n">
        <x:v>1199</x:v>
      </x:c>
      <x:c r="I192" s="7" t="n">
        <x:v>85</x:v>
      </x:c>
      <x:c r="J192" s="9" t="n">
        <x:v>20.1</x:v>
      </x:c>
      <x:c r="K192" s="9" t="n">
        <x:v>5.7</x:v>
      </x:c>
      <x:c r="L192" s="7" t="n">
        <x:v>2025</x:v>
      </x:c>
      <x:c r="M192" s="11" t="n">
        <x:v>25979</x:v>
      </x:c>
      <x:c r="N192" s="7" t="n">
        <x:v>1</x:v>
      </x:c>
      <x:c r="O192" s="7" t="n">
        <x:v>0</x:v>
      </x:c>
      <x:c r="P192" s="9" t="n">
        <x:v>5.31</x:v>
      </x:c>
      <x:c r="Q192" s="7" t="n">
        <x:f>'Guide'!$B$5-L192</x:f>
        <x:v>1</x:v>
      </x:c>
      <x:c r="R192" s="9" t="n">
        <x:f>K192-P192</x:f>
        <x:v>0.39000000000000057</x:v>
      </x:c>
      <x:c r="S192" s="10" t="n">
        <x:f>IF(K192&gt;0,R192/K192,"")</x:f>
        <x:v>0.06842105263157905</x:v>
      </x:c>
    </x:row>
    <x:row r="193">
      <x:c r="A193" s="7" t="n">
        <x:v>189</x:v>
      </x:c>
      <x:c r="B193" s="7" t="str">
        <x:v>Tata</x:v>
      </x:c>
      <x:c r="C193" s="7" t="str">
        <x:v>Tiago</x:v>
      </x:c>
      <x:c r="D193" s="7" t="str">
        <x:v>XE</x:v>
      </x:c>
      <x:c r="E193" s="7" t="str">
        <x:v>Petrol</x:v>
      </x:c>
      <x:c r="F193" s="7" t="str">
        <x:v>Manual</x:v>
      </x:c>
      <x:c r="G193" s="7" t="str">
        <x:v>Hatchback</x:v>
      </x:c>
      <x:c r="H193" s="7" t="n">
        <x:v>1199</x:v>
      </x:c>
      <x:c r="I193" s="7" t="n">
        <x:v>85</x:v>
      </x:c>
      <x:c r="J193" s="9" t="n">
        <x:v>20.1</x:v>
      </x:c>
      <x:c r="K193" s="9" t="n">
        <x:v>5.7</x:v>
      </x:c>
      <x:c r="L193" s="7" t="n">
        <x:v>2021</x:v>
      </x:c>
      <x:c r="M193" s="11" t="n">
        <x:v>74285</x:v>
      </x:c>
      <x:c r="N193" s="7" t="n">
        <x:v>1</x:v>
      </x:c>
      <x:c r="O193" s="7" t="n">
        <x:v>0</x:v>
      </x:c>
      <x:c r="P193" s="9" t="n">
        <x:v>3.17</x:v>
      </x:c>
      <x:c r="Q193" s="7" t="n">
        <x:f>'Guide'!$B$5-L193</x:f>
        <x:v>5</x:v>
      </x:c>
      <x:c r="R193" s="9" t="n">
        <x:f>K193-P193</x:f>
        <x:v>2.5300000000000002</x:v>
      </x:c>
      <x:c r="S193" s="10" t="n">
        <x:f>IF(K193&gt;0,R193/K193,"")</x:f>
        <x:v>0.44385964912280707</x:v>
      </x:c>
    </x:row>
    <x:row r="194">
      <x:c r="A194" s="7" t="n">
        <x:v>190</x:v>
      </x:c>
      <x:c r="B194" s="7" t="str">
        <x:v>Tata</x:v>
      </x:c>
      <x:c r="C194" s="7" t="str">
        <x:v>Tiago</x:v>
      </x:c>
      <x:c r="D194" s="7" t="str">
        <x:v>XE</x:v>
      </x:c>
      <x:c r="E194" s="7" t="str">
        <x:v>Petrol</x:v>
      </x:c>
      <x:c r="F194" s="7" t="str">
        <x:v>Manual</x:v>
      </x:c>
      <x:c r="G194" s="7" t="str">
        <x:v>Hatchback</x:v>
      </x:c>
      <x:c r="H194" s="7" t="n">
        <x:v>1199</x:v>
      </x:c>
      <x:c r="I194" s="7" t="n">
        <x:v>85</x:v>
      </x:c>
      <x:c r="J194" s="9" t="n">
        <x:v>20.1</x:v>
      </x:c>
      <x:c r="K194" s="9" t="n">
        <x:v>5.7</x:v>
      </x:c>
      <x:c r="L194" s="7" t="n">
        <x:v>2020</x:v>
      </x:c>
      <x:c r="M194" s="11" t="n">
        <x:v>93911</x:v>
      </x:c>
      <x:c r="N194" s="7" t="n">
        <x:v>1</x:v>
      </x:c>
      <x:c r="O194" s="7" t="n">
        <x:v>0</x:v>
      </x:c>
      <x:c r="P194" s="9" t="n">
        <x:v>2.01</x:v>
      </x:c>
      <x:c r="Q194" s="7" t="n">
        <x:f>'Guide'!$B$5-L194</x:f>
        <x:v>6</x:v>
      </x:c>
      <x:c r="R194" s="9" t="n">
        <x:f>K194-P194</x:f>
        <x:v>3.6900000000000004</x:v>
      </x:c>
      <x:c r="S194" s="10" t="n">
        <x:f>IF(K194&gt;0,R194/K194,"")</x:f>
        <x:v>0.6473684210526316</x:v>
      </x:c>
    </x:row>
    <x:row r="195">
      <x:c r="A195" s="7" t="n">
        <x:v>191</x:v>
      </x:c>
      <x:c r="B195" s="7" t="str">
        <x:v>Tata</x:v>
      </x:c>
      <x:c r="C195" s="7" t="str">
        <x:v>Tiago</x:v>
      </x:c>
      <x:c r="D195" s="7" t="str">
        <x:v>XE</x:v>
      </x:c>
      <x:c r="E195" s="7" t="str">
        <x:v>Petrol</x:v>
      </x:c>
      <x:c r="F195" s="7" t="str">
        <x:v>Manual</x:v>
      </x:c>
      <x:c r="G195" s="7" t="str">
        <x:v>Hatchback</x:v>
      </x:c>
      <x:c r="H195" s="7" t="n">
        <x:v>1199</x:v>
      </x:c>
      <x:c r="I195" s="7" t="n">
        <x:v>85</x:v>
      </x:c>
      <x:c r="J195" s="9" t="n">
        <x:v>20.1</x:v>
      </x:c>
      <x:c r="K195" s="9" t="n">
        <x:v>5.7</x:v>
      </x:c>
      <x:c r="L195" s="7" t="n">
        <x:v>2026</x:v>
      </x:c>
      <x:c r="M195" s="11" t="n">
        <x:v>8056</x:v>
      </x:c>
      <x:c r="N195" s="7" t="n">
        <x:v>2</x:v>
      </x:c>
      <x:c r="O195" s="7" t="n">
        <x:v>0</x:v>
      </x:c>
      <x:c r="P195" s="9" t="n">
        <x:v>4.98</x:v>
      </x:c>
      <x:c r="Q195" s="7" t="n">
        <x:f>'Guide'!$B$5-L195</x:f>
        <x:v>0</x:v>
      </x:c>
      <x:c r="R195" s="9" t="n">
        <x:f>K195-P195</x:f>
        <x:v>0.7199999999999998</x:v>
      </x:c>
      <x:c r="S195" s="10" t="n">
        <x:f>IF(K195&gt;0,R195/K195,"")</x:f>
        <x:v>0.12631578947368416</x:v>
      </x:c>
    </x:row>
    <x:row r="196">
      <x:c r="A196" s="7" t="n">
        <x:v>192</x:v>
      </x:c>
      <x:c r="B196" s="7" t="str">
        <x:v>Tata</x:v>
      </x:c>
      <x:c r="C196" s="7" t="str">
        <x:v>Tiago</x:v>
      </x:c>
      <x:c r="D196" s="7" t="str">
        <x:v>XE</x:v>
      </x:c>
      <x:c r="E196" s="7" t="str">
        <x:v>Petrol</x:v>
      </x:c>
      <x:c r="F196" s="7" t="str">
        <x:v>Manual</x:v>
      </x:c>
      <x:c r="G196" s="7" t="str">
        <x:v>Hatchback</x:v>
      </x:c>
      <x:c r="H196" s="7" t="n">
        <x:v>1199</x:v>
      </x:c>
      <x:c r="I196" s="7" t="n">
        <x:v>85</x:v>
      </x:c>
      <x:c r="J196" s="9" t="n">
        <x:v>20.1</x:v>
      </x:c>
      <x:c r="K196" s="9" t="n">
        <x:v>5.7</x:v>
      </x:c>
      <x:c r="L196" s="7" t="n">
        <x:v>2025</x:v>
      </x:c>
      <x:c r="M196" s="11" t="n">
        <x:v>28923</x:v>
      </x:c>
      <x:c r="N196" s="7" t="n">
        <x:v>2</x:v>
      </x:c>
      <x:c r="O196" s="7" t="n">
        <x:v>0</x:v>
      </x:c>
      <x:c r="P196" s="9" t="n">
        <x:v>5.01</x:v>
      </x:c>
      <x:c r="Q196" s="7" t="n">
        <x:f>'Guide'!$B$5-L196</x:f>
        <x:v>1</x:v>
      </x:c>
      <x:c r="R196" s="9" t="n">
        <x:f>K196-P196</x:f>
        <x:v>0.6900000000000004</x:v>
      </x:c>
      <x:c r="S196" s="10" t="n">
        <x:f>IF(K196&gt;0,R196/K196,"")</x:f>
        <x:v>0.12105263157894744</x:v>
      </x:c>
    </x:row>
    <x:row r="197">
      <x:c r="A197" s="7" t="n">
        <x:v>193</x:v>
      </x:c>
      <x:c r="B197" s="7" t="str">
        <x:v>Tata</x:v>
      </x:c>
      <x:c r="C197" s="7" t="str">
        <x:v>Tiago</x:v>
      </x:c>
      <x:c r="D197" s="7" t="str">
        <x:v>XE</x:v>
      </x:c>
      <x:c r="E197" s="7" t="str">
        <x:v>Petrol</x:v>
      </x:c>
      <x:c r="F197" s="7" t="str">
        <x:v>Manual</x:v>
      </x:c>
      <x:c r="G197" s="7" t="str">
        <x:v>Hatchback</x:v>
      </x:c>
      <x:c r="H197" s="7" t="n">
        <x:v>1199</x:v>
      </x:c>
      <x:c r="I197" s="7" t="n">
        <x:v>85</x:v>
      </x:c>
      <x:c r="J197" s="9" t="n">
        <x:v>20.1</x:v>
      </x:c>
      <x:c r="K197" s="9" t="n">
        <x:v>5.7</x:v>
      </x:c>
      <x:c r="L197" s="7" t="n">
        <x:v>2022</x:v>
      </x:c>
      <x:c r="M197" s="11" t="n">
        <x:v>80218</x:v>
      </x:c>
      <x:c r="N197" s="7" t="n">
        <x:v>2</x:v>
      </x:c>
      <x:c r="O197" s="7" t="n">
        <x:v>0</x:v>
      </x:c>
      <x:c r="P197" s="9" t="n">
        <x:v>2.81</x:v>
      </x:c>
      <x:c r="Q197" s="7" t="n">
        <x:f>'Guide'!$B$5-L197</x:f>
        <x:v>4</x:v>
      </x:c>
      <x:c r="R197" s="9" t="n">
        <x:f>K197-P197</x:f>
        <x:v>2.89</x:v>
      </x:c>
      <x:c r="S197" s="10" t="n">
        <x:f>IF(K197&gt;0,R197/K197,"")</x:f>
        <x:v>0.5070175438596491</x:v>
      </x:c>
    </x:row>
    <x:row r="198">
      <x:c r="A198" s="7" t="n">
        <x:v>194</x:v>
      </x:c>
      <x:c r="B198" s="7" t="str">
        <x:v>Tata</x:v>
      </x:c>
      <x:c r="C198" s="7" t="str">
        <x:v>Tiago</x:v>
      </x:c>
      <x:c r="D198" s="7" t="str">
        <x:v>XE</x:v>
      </x:c>
      <x:c r="E198" s="7" t="str">
        <x:v>Petrol</x:v>
      </x:c>
      <x:c r="F198" s="7" t="str">
        <x:v>Manual</x:v>
      </x:c>
      <x:c r="G198" s="7" t="str">
        <x:v>Hatchback</x:v>
      </x:c>
      <x:c r="H198" s="7" t="n">
        <x:v>1199</x:v>
      </x:c>
      <x:c r="I198" s="7" t="n">
        <x:v>85</x:v>
      </x:c>
      <x:c r="J198" s="9" t="n">
        <x:v>20.1</x:v>
      </x:c>
      <x:c r="K198" s="9" t="n">
        <x:v>5.7</x:v>
      </x:c>
      <x:c r="L198" s="7" t="n">
        <x:v>2024</x:v>
      </x:c>
      <x:c r="M198" s="11" t="n">
        <x:v>31605</x:v>
      </x:c>
      <x:c r="N198" s="7" t="n">
        <x:v>3</x:v>
      </x:c>
      <x:c r="O198" s="7" t="n">
        <x:v>0</x:v>
      </x:c>
      <x:c r="P198" s="9" t="n">
        <x:v>3.59</x:v>
      </x:c>
      <x:c r="Q198" s="7" t="n">
        <x:f>'Guide'!$B$5-L198</x:f>
        <x:v>2</x:v>
      </x:c>
      <x:c r="R198" s="9" t="n">
        <x:f>K198-P198</x:f>
        <x:v>2.1100000000000003</x:v>
      </x:c>
      <x:c r="S198" s="10" t="n">
        <x:f>IF(K198&gt;0,R198/K198,"")</x:f>
        <x:v>0.37017543859649127</x:v>
      </x:c>
    </x:row>
    <x:row r="199">
      <x:c r="A199" s="7" t="n">
        <x:v>195</x:v>
      </x:c>
      <x:c r="B199" s="7" t="str">
        <x:v>Tata</x:v>
      </x:c>
      <x:c r="C199" s="7" t="str">
        <x:v>Tiago</x:v>
      </x:c>
      <x:c r="D199" s="7" t="str">
        <x:v>XE</x:v>
      </x:c>
      <x:c r="E199" s="7" t="str">
        <x:v>Petrol</x:v>
      </x:c>
      <x:c r="F199" s="7" t="str">
        <x:v>Manual</x:v>
      </x:c>
      <x:c r="G199" s="7" t="str">
        <x:v>Hatchback</x:v>
      </x:c>
      <x:c r="H199" s="7" t="n">
        <x:v>1199</x:v>
      </x:c>
      <x:c r="I199" s="7" t="n">
        <x:v>85</x:v>
      </x:c>
      <x:c r="J199" s="9" t="n">
        <x:v>20.1</x:v>
      </x:c>
      <x:c r="K199" s="9" t="n">
        <x:v>5.7</x:v>
      </x:c>
      <x:c r="L199" s="7" t="n">
        <x:v>2020</x:v>
      </x:c>
      <x:c r="M199" s="11" t="n">
        <x:v>92900</x:v>
      </x:c>
      <x:c r="N199" s="7" t="n">
        <x:v>1</x:v>
      </x:c>
      <x:c r="O199" s="7" t="n">
        <x:v>0</x:v>
      </x:c>
      <x:c r="P199" s="9" t="n">
        <x:v>2.04</x:v>
      </x:c>
      <x:c r="Q199" s="7" t="n">
        <x:f>'Guide'!$B$5-L199</x:f>
        <x:v>6</x:v>
      </x:c>
      <x:c r="R199" s="9" t="n">
        <x:f>K199-P199</x:f>
        <x:v>3.66</x:v>
      </x:c>
      <x:c r="S199" s="10" t="n">
        <x:f>IF(K199&gt;0,R199/K199,"")</x:f>
        <x:v>0.6421052631578947</x:v>
      </x:c>
    </x:row>
    <x:row r="200">
      <x:c r="A200" s="7" t="n">
        <x:v>196</x:v>
      </x:c>
      <x:c r="B200" s="7" t="str">
        <x:v>Tata</x:v>
      </x:c>
      <x:c r="C200" s="7" t="str">
        <x:v>Tiago</x:v>
      </x:c>
      <x:c r="D200" s="7" t="str">
        <x:v>XE</x:v>
      </x:c>
      <x:c r="E200" s="7" t="str">
        <x:v>Petrol</x:v>
      </x:c>
      <x:c r="F200" s="7" t="str">
        <x:v>Manual</x:v>
      </x:c>
      <x:c r="G200" s="7" t="str">
        <x:v>Hatchback</x:v>
      </x:c>
      <x:c r="H200" s="7" t="n">
        <x:v>1199</x:v>
      </x:c>
      <x:c r="I200" s="7" t="n">
        <x:v>85</x:v>
      </x:c>
      <x:c r="J200" s="9" t="n">
        <x:v>20.1</x:v>
      </x:c>
      <x:c r="K200" s="9" t="n">
        <x:v>5.7</x:v>
      </x:c>
      <x:c r="L200" s="7" t="n">
        <x:v>2020</x:v>
      </x:c>
      <x:c r="M200" s="11" t="n">
        <x:v>113912</x:v>
      </x:c>
      <x:c r="N200" s="7" t="n">
        <x:v>3</x:v>
      </x:c>
      <x:c r="O200" s="7" t="n">
        <x:v>1</x:v>
      </x:c>
      <x:c r="P200" s="9" t="n">
        <x:v>1.5</x:v>
      </x:c>
      <x:c r="Q200" s="7" t="n">
        <x:f>'Guide'!$B$5-L200</x:f>
        <x:v>6</x:v>
      </x:c>
      <x:c r="R200" s="9" t="n">
        <x:f>K200-P200</x:f>
        <x:v>4.2</x:v>
      </x:c>
      <x:c r="S200" s="10" t="n">
        <x:f>IF(K200&gt;0,R200/K200,"")</x:f>
        <x:v>0.7368421052631579</x:v>
      </x:c>
    </x:row>
    <x:row r="201">
      <x:c r="A201" s="7" t="n">
        <x:v>197</x:v>
      </x:c>
      <x:c r="B201" s="7" t="str">
        <x:v>Tata</x:v>
      </x:c>
      <x:c r="C201" s="7" t="str">
        <x:v>Tiago</x:v>
      </x:c>
      <x:c r="D201" s="7" t="str">
        <x:v>XE</x:v>
      </x:c>
      <x:c r="E201" s="7" t="str">
        <x:v>Petrol</x:v>
      </x:c>
      <x:c r="F201" s="7" t="str">
        <x:v>Manual</x:v>
      </x:c>
      <x:c r="G201" s="7" t="str">
        <x:v>Hatchback</x:v>
      </x:c>
      <x:c r="H201" s="7" t="n">
        <x:v>1199</x:v>
      </x:c>
      <x:c r="I201" s="7" t="n">
        <x:v>85</x:v>
      </x:c>
      <x:c r="J201" s="9" t="n">
        <x:v>20.1</x:v>
      </x:c>
      <x:c r="K201" s="9" t="n">
        <x:v>5.7</x:v>
      </x:c>
      <x:c r="L201" s="7" t="n">
        <x:v>2022</x:v>
      </x:c>
      <x:c r="M201" s="11" t="n">
        <x:v>59992</x:v>
      </x:c>
      <x:c r="N201" s="7" t="n">
        <x:v>1</x:v>
      </x:c>
      <x:c r="O201" s="7" t="n">
        <x:v>0</x:v>
      </x:c>
      <x:c r="P201" s="9" t="n">
        <x:v>3.32</x:v>
      </x:c>
      <x:c r="Q201" s="7" t="n">
        <x:f>'Guide'!$B$5-L201</x:f>
        <x:v>4</x:v>
      </x:c>
      <x:c r="R201" s="9" t="n">
        <x:f>K201-P201</x:f>
        <x:v>2.3800000000000003</x:v>
      </x:c>
      <x:c r="S201" s="10" t="n">
        <x:f>IF(K201&gt;0,R201/K201,"")</x:f>
        <x:v>0.41754385964912283</x:v>
      </x:c>
    </x:row>
    <x:row r="202">
      <x:c r="A202" s="7" t="n">
        <x:v>198</x:v>
      </x:c>
      <x:c r="B202" s="7" t="str">
        <x:v>Tata</x:v>
      </x:c>
      <x:c r="C202" s="7" t="str">
        <x:v>Tiago</x:v>
      </x:c>
      <x:c r="D202" s="7" t="str">
        <x:v>XE</x:v>
      </x:c>
      <x:c r="E202" s="7" t="str">
        <x:v>Petrol</x:v>
      </x:c>
      <x:c r="F202" s="7" t="str">
        <x:v>Manual</x:v>
      </x:c>
      <x:c r="G202" s="7" t="str">
        <x:v>Hatchback</x:v>
      </x:c>
      <x:c r="H202" s="7" t="n">
        <x:v>1199</x:v>
      </x:c>
      <x:c r="I202" s="7" t="n">
        <x:v>85</x:v>
      </x:c>
      <x:c r="J202" s="9" t="n">
        <x:v>20.1</x:v>
      </x:c>
      <x:c r="K202" s="9" t="n">
        <x:v>5.7</x:v>
      </x:c>
      <x:c r="L202" s="7" t="n">
        <x:v>2022</x:v>
      </x:c>
      <x:c r="M202" s="11" t="n">
        <x:v>70643</x:v>
      </x:c>
      <x:c r="N202" s="7" t="n">
        <x:v>1</x:v>
      </x:c>
      <x:c r="O202" s="7" t="n">
        <x:v>1</x:v>
      </x:c>
      <x:c r="P202" s="9" t="n">
        <x:v>2.97</x:v>
      </x:c>
      <x:c r="Q202" s="7" t="n">
        <x:f>'Guide'!$B$5-L202</x:f>
        <x:v>4</x:v>
      </x:c>
      <x:c r="R202" s="9" t="n">
        <x:f>K202-P202</x:f>
        <x:v>2.73</x:v>
      </x:c>
      <x:c r="S202" s="10" t="n">
        <x:f>IF(K202&gt;0,R202/K202,"")</x:f>
        <x:v>0.4789473684210526</x:v>
      </x:c>
    </x:row>
    <x:row r="203">
      <x:c r="A203" s="7" t="n">
        <x:v>199</x:v>
      </x:c>
      <x:c r="B203" s="7" t="str">
        <x:v>Tata</x:v>
      </x:c>
      <x:c r="C203" s="7" t="str">
        <x:v>Tiago</x:v>
      </x:c>
      <x:c r="D203" s="7" t="str">
        <x:v>XE</x:v>
      </x:c>
      <x:c r="E203" s="7" t="str">
        <x:v>Petrol</x:v>
      </x:c>
      <x:c r="F203" s="7" t="str">
        <x:v>Manual</x:v>
      </x:c>
      <x:c r="G203" s="7" t="str">
        <x:v>Hatchback</x:v>
      </x:c>
      <x:c r="H203" s="7" t="n">
        <x:v>1199</x:v>
      </x:c>
      <x:c r="I203" s="7" t="n">
        <x:v>85</x:v>
      </x:c>
      <x:c r="J203" s="9" t="n">
        <x:v>20.1</x:v>
      </x:c>
      <x:c r="K203" s="9" t="n">
        <x:v>5.7</x:v>
      </x:c>
      <x:c r="L203" s="7" t="n">
        <x:v>2023</x:v>
      </x:c>
      <x:c r="M203" s="11" t="n">
        <x:v>65095</x:v>
      </x:c>
      <x:c r="N203" s="7" t="n">
        <x:v>1</x:v>
      </x:c>
      <x:c r="O203" s="7" t="n">
        <x:v>0</x:v>
      </x:c>
      <x:c r="P203" s="9" t="n">
        <x:v>3.79</x:v>
      </x:c>
      <x:c r="Q203" s="7" t="n">
        <x:f>'Guide'!$B$5-L203</x:f>
        <x:v>3</x:v>
      </x:c>
      <x:c r="R203" s="9" t="n">
        <x:f>K203-P203</x:f>
        <x:v>1.9100000000000001</x:v>
      </x:c>
      <x:c r="S203" s="10" t="n">
        <x:f>IF(K203&gt;0,R203/K203,"")</x:f>
        <x:v>0.3350877192982456</x:v>
      </x:c>
    </x:row>
    <x:row r="204">
      <x:c r="A204" s="7" t="n">
        <x:v>200</x:v>
      </x:c>
      <x:c r="B204" s="7" t="str">
        <x:v>Tata</x:v>
      </x:c>
      <x:c r="C204" s="7" t="str">
        <x:v>Tiago</x:v>
      </x:c>
      <x:c r="D204" s="7" t="str">
        <x:v>XE</x:v>
      </x:c>
      <x:c r="E204" s="7" t="str">
        <x:v>Petrol</x:v>
      </x:c>
      <x:c r="F204" s="7" t="str">
        <x:v>Manual</x:v>
      </x:c>
      <x:c r="G204" s="7" t="str">
        <x:v>Hatchback</x:v>
      </x:c>
      <x:c r="H204" s="7" t="n">
        <x:v>1199</x:v>
      </x:c>
      <x:c r="I204" s="7" t="n">
        <x:v>85</x:v>
      </x:c>
      <x:c r="J204" s="9" t="n">
        <x:v>20.1</x:v>
      </x:c>
      <x:c r="K204" s="9" t="n">
        <x:v>5.7</x:v>
      </x:c>
      <x:c r="L204" s="7" t="n">
        <x:v>2023</x:v>
      </x:c>
      <x:c r="M204" s="11" t="n">
        <x:v>61982</x:v>
      </x:c>
      <x:c r="N204" s="7" t="n">
        <x:v>1</x:v>
      </x:c>
      <x:c r="O204" s="7" t="n">
        <x:v>1</x:v>
      </x:c>
      <x:c r="P204" s="9" t="n">
        <x:v>3.21</x:v>
      </x:c>
      <x:c r="Q204" s="7" t="n">
        <x:f>'Guide'!$B$5-L204</x:f>
        <x:v>3</x:v>
      </x:c>
      <x:c r="R204" s="9" t="n">
        <x:f>K204-P204</x:f>
        <x:v>2.49</x:v>
      </x:c>
      <x:c r="S204" s="10" t="n">
        <x:f>IF(K204&gt;0,R204/K204,"")</x:f>
        <x:v>0.4368421052631579</x:v>
      </x:c>
    </x:row>
    <x:row r="205">
      <x:c r="A205" s="7" t="n">
        <x:v>201</x:v>
      </x:c>
      <x:c r="B205" s="7" t="str">
        <x:v>Tata</x:v>
      </x:c>
      <x:c r="C205" s="7" t="str">
        <x:v>Tiago</x:v>
      </x:c>
      <x:c r="D205" s="7" t="str">
        <x:v>XT</x:v>
      </x:c>
      <x:c r="E205" s="7" t="str">
        <x:v>Petrol</x:v>
      </x:c>
      <x:c r="F205" s="7" t="str">
        <x:v>Manual</x:v>
      </x:c>
      <x:c r="G205" s="7" t="str">
        <x:v>Hatchback</x:v>
      </x:c>
      <x:c r="H205" s="7" t="n">
        <x:v>1199</x:v>
      </x:c>
      <x:c r="I205" s="7" t="n">
        <x:v>85</x:v>
      </x:c>
      <x:c r="J205" s="9" t="n">
        <x:v>20.1</x:v>
      </x:c>
      <x:c r="K205" s="9" t="n">
        <x:v>6.5</x:v>
      </x:c>
      <x:c r="L205" s="7" t="n">
        <x:v>2026</x:v>
      </x:c>
      <x:c r="M205" s="11" t="n">
        <x:v>4681</x:v>
      </x:c>
      <x:c r="N205" s="7" t="n">
        <x:v>1</x:v>
      </x:c>
      <x:c r="O205" s="7" t="n">
        <x:v>0</x:v>
      </x:c>
      <x:c r="P205" s="9" t="n">
        <x:v>6.45</x:v>
      </x:c>
      <x:c r="Q205" s="7" t="n">
        <x:f>'Guide'!$B$5-L205</x:f>
        <x:v>0</x:v>
      </x:c>
      <x:c r="R205" s="9" t="n">
        <x:f>K205-P205</x:f>
        <x:v>0.04999999999999982</x:v>
      </x:c>
      <x:c r="S205" s="10" t="n">
        <x:f>IF(K205&gt;0,R205/K205,"")</x:f>
        <x:v>0.007692307692307665</x:v>
      </x:c>
    </x:row>
    <x:row r="206">
      <x:c r="A206" s="7" t="n">
        <x:v>202</x:v>
      </x:c>
      <x:c r="B206" s="7" t="str">
        <x:v>Tata</x:v>
      </x:c>
      <x:c r="C206" s="7" t="str">
        <x:v>Tiago</x:v>
      </x:c>
      <x:c r="D206" s="7" t="str">
        <x:v>XT</x:v>
      </x:c>
      <x:c r="E206" s="7" t="str">
        <x:v>Petrol</x:v>
      </x:c>
      <x:c r="F206" s="7" t="str">
        <x:v>Manual</x:v>
      </x:c>
      <x:c r="G206" s="7" t="str">
        <x:v>Hatchback</x:v>
      </x:c>
      <x:c r="H206" s="7" t="n">
        <x:v>1199</x:v>
      </x:c>
      <x:c r="I206" s="7" t="n">
        <x:v>85</x:v>
      </x:c>
      <x:c r="J206" s="9" t="n">
        <x:v>20.1</x:v>
      </x:c>
      <x:c r="K206" s="9" t="n">
        <x:v>6.5</x:v>
      </x:c>
      <x:c r="L206" s="7" t="n">
        <x:v>2021</x:v>
      </x:c>
      <x:c r="M206" s="11" t="n">
        <x:v>78611</x:v>
      </x:c>
      <x:c r="N206" s="7" t="n">
        <x:v>1</x:v>
      </x:c>
      <x:c r="O206" s="7" t="n">
        <x:v>0</x:v>
      </x:c>
      <x:c r="P206" s="9" t="n">
        <x:v>3.35</x:v>
      </x:c>
      <x:c r="Q206" s="7" t="n">
        <x:f>'Guide'!$B$5-L206</x:f>
        <x:v>5</x:v>
      </x:c>
      <x:c r="R206" s="9" t="n">
        <x:f>K206-P206</x:f>
        <x:v>3.15</x:v>
      </x:c>
      <x:c r="S206" s="10" t="n">
        <x:f>IF(K206&gt;0,R206/K206,"")</x:f>
        <x:v>0.4846153846153846</x:v>
      </x:c>
    </x:row>
    <x:row r="207">
      <x:c r="A207" s="7" t="n">
        <x:v>203</x:v>
      </x:c>
      <x:c r="B207" s="7" t="str">
        <x:v>Tata</x:v>
      </x:c>
      <x:c r="C207" s="7" t="str">
        <x:v>Tiago</x:v>
      </x:c>
      <x:c r="D207" s="7" t="str">
        <x:v>XT</x:v>
      </x:c>
      <x:c r="E207" s="7" t="str">
        <x:v>Petrol</x:v>
      </x:c>
      <x:c r="F207" s="7" t="str">
        <x:v>Manual</x:v>
      </x:c>
      <x:c r="G207" s="7" t="str">
        <x:v>Hatchback</x:v>
      </x:c>
      <x:c r="H207" s="7" t="n">
        <x:v>1199</x:v>
      </x:c>
      <x:c r="I207" s="7" t="n">
        <x:v>85</x:v>
      </x:c>
      <x:c r="J207" s="9" t="n">
        <x:v>20.1</x:v>
      </x:c>
      <x:c r="K207" s="9" t="n">
        <x:v>6.5</x:v>
      </x:c>
      <x:c r="L207" s="7" t="n">
        <x:v>2023</x:v>
      </x:c>
      <x:c r="M207" s="11" t="n">
        <x:v>62155</x:v>
      </x:c>
      <x:c r="N207" s="7" t="n">
        <x:v>1</x:v>
      </x:c>
      <x:c r="O207" s="7" t="n">
        <x:v>1</x:v>
      </x:c>
      <x:c r="P207" s="9" t="n">
        <x:v>3.83</x:v>
      </x:c>
      <x:c r="Q207" s="7" t="n">
        <x:f>'Guide'!$B$5-L207</x:f>
        <x:v>3</x:v>
      </x:c>
      <x:c r="R207" s="9" t="n">
        <x:f>K207-P207</x:f>
        <x:v>2.67</x:v>
      </x:c>
      <x:c r="S207" s="10" t="n">
        <x:f>IF(K207&gt;0,R207/K207,"")</x:f>
        <x:v>0.4107692307692308</x:v>
      </x:c>
    </x:row>
    <x:row r="208">
      <x:c r="A208" s="7" t="n">
        <x:v>204</x:v>
      </x:c>
      <x:c r="B208" s="7" t="str">
        <x:v>Tata</x:v>
      </x:c>
      <x:c r="C208" s="7" t="str">
        <x:v>Tiago</x:v>
      </x:c>
      <x:c r="D208" s="7" t="str">
        <x:v>XT</x:v>
      </x:c>
      <x:c r="E208" s="7" t="str">
        <x:v>Petrol</x:v>
      </x:c>
      <x:c r="F208" s="7" t="str">
        <x:v>Manual</x:v>
      </x:c>
      <x:c r="G208" s="7" t="str">
        <x:v>Hatchback</x:v>
      </x:c>
      <x:c r="H208" s="7" t="n">
        <x:v>1199</x:v>
      </x:c>
      <x:c r="I208" s="7" t="n">
        <x:v>85</x:v>
      </x:c>
      <x:c r="J208" s="9" t="n">
        <x:v>20.1</x:v>
      </x:c>
      <x:c r="K208" s="9" t="n">
        <x:v>6.5</x:v>
      </x:c>
      <x:c r="L208" s="7" t="n">
        <x:v>2022</x:v>
      </x:c>
      <x:c r="M208" s="11" t="n">
        <x:v>46985</x:v>
      </x:c>
      <x:c r="N208" s="7" t="n">
        <x:v>3</x:v>
      </x:c>
      <x:c r="O208" s="7" t="n">
        <x:v>0</x:v>
      </x:c>
      <x:c r="P208" s="9" t="n">
        <x:v>3.43</x:v>
      </x:c>
      <x:c r="Q208" s="7" t="n">
        <x:f>'Guide'!$B$5-L208</x:f>
        <x:v>4</x:v>
      </x:c>
      <x:c r="R208" s="9" t="n">
        <x:f>K208-P208</x:f>
        <x:v>3.07</x:v>
      </x:c>
      <x:c r="S208" s="10" t="n">
        <x:f>IF(K208&gt;0,R208/K208,"")</x:f>
        <x:v>0.47230769230769226</x:v>
      </x:c>
    </x:row>
    <x:row r="209">
      <x:c r="A209" s="7" t="n">
        <x:v>205</x:v>
      </x:c>
      <x:c r="B209" s="7" t="str">
        <x:v>Tata</x:v>
      </x:c>
      <x:c r="C209" s="7" t="str">
        <x:v>Tiago</x:v>
      </x:c>
      <x:c r="D209" s="7" t="str">
        <x:v>XT</x:v>
      </x:c>
      <x:c r="E209" s="7" t="str">
        <x:v>Petrol</x:v>
      </x:c>
      <x:c r="F209" s="7" t="str">
        <x:v>Manual</x:v>
      </x:c>
      <x:c r="G209" s="7" t="str">
        <x:v>Hatchback</x:v>
      </x:c>
      <x:c r="H209" s="7" t="n">
        <x:v>1199</x:v>
      </x:c>
      <x:c r="I209" s="7" t="n">
        <x:v>85</x:v>
      </x:c>
      <x:c r="J209" s="9" t="n">
        <x:v>20.1</x:v>
      </x:c>
      <x:c r="K209" s="9" t="n">
        <x:v>6.5</x:v>
      </x:c>
      <x:c r="L209" s="7" t="n">
        <x:v>2026</x:v>
      </x:c>
      <x:c r="M209" s="11" t="n">
        <x:v>7743</x:v>
      </x:c>
      <x:c r="N209" s="7" t="n">
        <x:v>2</x:v>
      </x:c>
      <x:c r="O209" s="7" t="n">
        <x:v>0</x:v>
      </x:c>
      <x:c r="P209" s="9" t="n">
        <x:v>5.88</x:v>
      </x:c>
      <x:c r="Q209" s="7" t="n">
        <x:f>'Guide'!$B$5-L209</x:f>
        <x:v>0</x:v>
      </x:c>
      <x:c r="R209" s="9" t="n">
        <x:f>K209-P209</x:f>
        <x:v>0.6200000000000001</x:v>
      </x:c>
      <x:c r="S209" s="10" t="n">
        <x:f>IF(K209&gt;0,R209/K209,"")</x:f>
        <x:v>0.0953846153846154</x:v>
      </x:c>
    </x:row>
    <x:row r="210">
      <x:c r="A210" s="7" t="n">
        <x:v>206</x:v>
      </x:c>
      <x:c r="B210" s="7" t="str">
        <x:v>Tata</x:v>
      </x:c>
      <x:c r="C210" s="7" t="str">
        <x:v>Tiago</x:v>
      </x:c>
      <x:c r="D210" s="7" t="str">
        <x:v>XT</x:v>
      </x:c>
      <x:c r="E210" s="7" t="str">
        <x:v>Petrol</x:v>
      </x:c>
      <x:c r="F210" s="7" t="str">
        <x:v>Manual</x:v>
      </x:c>
      <x:c r="G210" s="7" t="str">
        <x:v>Hatchback</x:v>
      </x:c>
      <x:c r="H210" s="7" t="n">
        <x:v>1199</x:v>
      </x:c>
      <x:c r="I210" s="7" t="n">
        <x:v>85</x:v>
      </x:c>
      <x:c r="J210" s="9" t="n">
        <x:v>20.1</x:v>
      </x:c>
      <x:c r="K210" s="9" t="n">
        <x:v>6.5</x:v>
      </x:c>
      <x:c r="L210" s="7" t="n">
        <x:v>2025</x:v>
      </x:c>
      <x:c r="M210" s="11" t="n">
        <x:v>21424</x:v>
      </x:c>
      <x:c r="N210" s="7" t="n">
        <x:v>1</x:v>
      </x:c>
      <x:c r="O210" s="7" t="n">
        <x:v>0</x:v>
      </x:c>
      <x:c r="P210" s="9" t="n">
        <x:v>5.65</x:v>
      </x:c>
      <x:c r="Q210" s="7" t="n">
        <x:f>'Guide'!$B$5-L210</x:f>
        <x:v>1</x:v>
      </x:c>
      <x:c r="R210" s="9" t="n">
        <x:f>K210-P210</x:f>
        <x:v>0.8499999999999996</x:v>
      </x:c>
      <x:c r="S210" s="10" t="n">
        <x:f>IF(K210&gt;0,R210/K210,"")</x:f>
        <x:v>0.13076923076923072</x:v>
      </x:c>
    </x:row>
    <x:row r="211">
      <x:c r="A211" s="7" t="n">
        <x:v>207</x:v>
      </x:c>
      <x:c r="B211" s="7" t="str">
        <x:v>Tata</x:v>
      </x:c>
      <x:c r="C211" s="7" t="str">
        <x:v>Tiago</x:v>
      </x:c>
      <x:c r="D211" s="7" t="str">
        <x:v>XT</x:v>
      </x:c>
      <x:c r="E211" s="7" t="str">
        <x:v>Petrol</x:v>
      </x:c>
      <x:c r="F211" s="7" t="str">
        <x:v>Manual</x:v>
      </x:c>
      <x:c r="G211" s="7" t="str">
        <x:v>Hatchback</x:v>
      </x:c>
      <x:c r="H211" s="7" t="n">
        <x:v>1199</x:v>
      </x:c>
      <x:c r="I211" s="7" t="n">
        <x:v>85</x:v>
      </x:c>
      <x:c r="J211" s="9" t="n">
        <x:v>20.1</x:v>
      </x:c>
      <x:c r="K211" s="9" t="n">
        <x:v>6.5</x:v>
      </x:c>
      <x:c r="L211" s="7" t="n">
        <x:v>2024</x:v>
      </x:c>
      <x:c r="M211" s="11" t="n">
        <x:v>43040</x:v>
      </x:c>
      <x:c r="N211" s="7" t="n">
        <x:v>1</x:v>
      </x:c>
      <x:c r="O211" s="7" t="n">
        <x:v>0</x:v>
      </x:c>
      <x:c r="P211" s="9" t="n">
        <x:v>5.47</x:v>
      </x:c>
      <x:c r="Q211" s="7" t="n">
        <x:f>'Guide'!$B$5-L211</x:f>
        <x:v>2</x:v>
      </x:c>
      <x:c r="R211" s="9" t="n">
        <x:f>K211-P211</x:f>
        <x:v>1.0300000000000002</x:v>
      </x:c>
      <x:c r="S211" s="10" t="n">
        <x:f>IF(K211&gt;0,R211/K211,"")</x:f>
        <x:v>0.1584615384615385</x:v>
      </x:c>
    </x:row>
    <x:row r="212">
      <x:c r="A212" s="7" t="n">
        <x:v>208</x:v>
      </x:c>
      <x:c r="B212" s="7" t="str">
        <x:v>Tata</x:v>
      </x:c>
      <x:c r="C212" s="7" t="str">
        <x:v>Tiago</x:v>
      </x:c>
      <x:c r="D212" s="7" t="str">
        <x:v>XT</x:v>
      </x:c>
      <x:c r="E212" s="7" t="str">
        <x:v>Petrol</x:v>
      </x:c>
      <x:c r="F212" s="7" t="str">
        <x:v>Manual</x:v>
      </x:c>
      <x:c r="G212" s="7" t="str">
        <x:v>Hatchback</x:v>
      </x:c>
      <x:c r="H212" s="7" t="n">
        <x:v>1199</x:v>
      </x:c>
      <x:c r="I212" s="7" t="n">
        <x:v>85</x:v>
      </x:c>
      <x:c r="J212" s="9" t="n">
        <x:v>20.1</x:v>
      </x:c>
      <x:c r="K212" s="9" t="n">
        <x:v>6.5</x:v>
      </x:c>
      <x:c r="L212" s="7" t="n">
        <x:v>2024</x:v>
      </x:c>
      <x:c r="M212" s="11" t="n">
        <x:v>26716</x:v>
      </x:c>
      <x:c r="N212" s="7" t="n">
        <x:v>2</x:v>
      </x:c>
      <x:c r="O212" s="7" t="n">
        <x:v>0</x:v>
      </x:c>
      <x:c r="P212" s="9" t="n">
        <x:v>4.9</x:v>
      </x:c>
      <x:c r="Q212" s="7" t="n">
        <x:f>'Guide'!$B$5-L212</x:f>
        <x:v>2</x:v>
      </x:c>
      <x:c r="R212" s="9" t="n">
        <x:f>K212-P212</x:f>
        <x:v>1.5999999999999996</x:v>
      </x:c>
      <x:c r="S212" s="10" t="n">
        <x:f>IF(K212&gt;0,R212/K212,"")</x:f>
        <x:v>0.2461538461538461</x:v>
      </x:c>
    </x:row>
    <x:row r="213">
      <x:c r="A213" s="7" t="n">
        <x:v>209</x:v>
      </x:c>
      <x:c r="B213" s="7" t="str">
        <x:v>Tata</x:v>
      </x:c>
      <x:c r="C213" s="7" t="str">
        <x:v>Tiago</x:v>
      </x:c>
      <x:c r="D213" s="7" t="str">
        <x:v>XT</x:v>
      </x:c>
      <x:c r="E213" s="7" t="str">
        <x:v>Petrol</x:v>
      </x:c>
      <x:c r="F213" s="7" t="str">
        <x:v>Manual</x:v>
      </x:c>
      <x:c r="G213" s="7" t="str">
        <x:v>Hatchback</x:v>
      </x:c>
      <x:c r="H213" s="7" t="n">
        <x:v>1199</x:v>
      </x:c>
      <x:c r="I213" s="7" t="n">
        <x:v>85</x:v>
      </x:c>
      <x:c r="J213" s="9" t="n">
        <x:v>20.1</x:v>
      </x:c>
      <x:c r="K213" s="9" t="n">
        <x:v>6.5</x:v>
      </x:c>
      <x:c r="L213" s="7" t="n">
        <x:v>2023</x:v>
      </x:c>
      <x:c r="M213" s="11" t="n">
        <x:v>63748</x:v>
      </x:c>
      <x:c r="N213" s="7" t="n">
        <x:v>2</x:v>
      </x:c>
      <x:c r="O213" s="7" t="n">
        <x:v>0</x:v>
      </x:c>
      <x:c r="P213" s="9" t="n">
        <x:v>4.19</x:v>
      </x:c>
      <x:c r="Q213" s="7" t="n">
        <x:f>'Guide'!$B$5-L213</x:f>
        <x:v>3</x:v>
      </x:c>
      <x:c r="R213" s="9" t="n">
        <x:f>K213-P213</x:f>
        <x:v>2.3099999999999996</x:v>
      </x:c>
      <x:c r="S213" s="10" t="n">
        <x:f>IF(K213&gt;0,R213/K213,"")</x:f>
        <x:v>0.3553846153846153</x:v>
      </x:c>
    </x:row>
    <x:row r="214">
      <x:c r="A214" s="7" t="n">
        <x:v>210</x:v>
      </x:c>
      <x:c r="B214" s="7" t="str">
        <x:v>Tata</x:v>
      </x:c>
      <x:c r="C214" s="7" t="str">
        <x:v>Tiago</x:v>
      </x:c>
      <x:c r="D214" s="7" t="str">
        <x:v>XT</x:v>
      </x:c>
      <x:c r="E214" s="7" t="str">
        <x:v>Petrol</x:v>
      </x:c>
      <x:c r="F214" s="7" t="str">
        <x:v>Manual</x:v>
      </x:c>
      <x:c r="G214" s="7" t="str">
        <x:v>Hatchback</x:v>
      </x:c>
      <x:c r="H214" s="7" t="n">
        <x:v>1199</x:v>
      </x:c>
      <x:c r="I214" s="7" t="n">
        <x:v>85</x:v>
      </x:c>
      <x:c r="J214" s="9" t="n">
        <x:v>20.1</x:v>
      </x:c>
      <x:c r="K214" s="9" t="n">
        <x:v>6.5</x:v>
      </x:c>
      <x:c r="L214" s="7" t="n">
        <x:v>2024</x:v>
      </x:c>
      <x:c r="M214" s="11" t="n">
        <x:v>27937</x:v>
      </x:c>
      <x:c r="N214" s="7" t="n">
        <x:v>1</x:v>
      </x:c>
      <x:c r="O214" s="7" t="n">
        <x:v>0</x:v>
      </x:c>
      <x:c r="P214" s="9" t="n">
        <x:v>5.28</x:v>
      </x:c>
      <x:c r="Q214" s="7" t="n">
        <x:f>'Guide'!$B$5-L214</x:f>
        <x:v>2</x:v>
      </x:c>
      <x:c r="R214" s="9" t="n">
        <x:f>K214-P214</x:f>
        <x:v>1.2199999999999998</x:v>
      </x:c>
      <x:c r="S214" s="10" t="n">
        <x:f>IF(K214&gt;0,R214/K214,"")</x:f>
        <x:v>0.18769230769230766</x:v>
      </x:c>
    </x:row>
    <x:row r="215">
      <x:c r="A215" s="7" t="n">
        <x:v>211</x:v>
      </x:c>
      <x:c r="B215" s="7" t="str">
        <x:v>Tata</x:v>
      </x:c>
      <x:c r="C215" s="7" t="str">
        <x:v>Tiago</x:v>
      </x:c>
      <x:c r="D215" s="7" t="str">
        <x:v>XT</x:v>
      </x:c>
      <x:c r="E215" s="7" t="str">
        <x:v>Petrol</x:v>
      </x:c>
      <x:c r="F215" s="7" t="str">
        <x:v>Manual</x:v>
      </x:c>
      <x:c r="G215" s="7" t="str">
        <x:v>Hatchback</x:v>
      </x:c>
      <x:c r="H215" s="7" t="n">
        <x:v>1199</x:v>
      </x:c>
      <x:c r="I215" s="7" t="n">
        <x:v>85</x:v>
      </x:c>
      <x:c r="J215" s="9" t="n">
        <x:v>20.1</x:v>
      </x:c>
      <x:c r="K215" s="9" t="n">
        <x:v>6.5</x:v>
      </x:c>
      <x:c r="L215" s="7" t="n">
        <x:v>2022</x:v>
      </x:c>
      <x:c r="M215" s="11" t="n">
        <x:v>87417</x:v>
      </x:c>
      <x:c r="N215" s="7" t="n">
        <x:v>2</x:v>
      </x:c>
      <x:c r="O215" s="7" t="n">
        <x:v>1</x:v>
      </x:c>
      <x:c r="P215" s="9" t="n">
        <x:v>2.6</x:v>
      </x:c>
      <x:c r="Q215" s="7" t="n">
        <x:f>'Guide'!$B$5-L215</x:f>
        <x:v>4</x:v>
      </x:c>
      <x:c r="R215" s="9" t="n">
        <x:f>K215-P215</x:f>
        <x:v>3.9</x:v>
      </x:c>
      <x:c r="S215" s="10" t="n">
        <x:f>IF(K215&gt;0,R215/K215,"")</x:f>
        <x:v>0.6</x:v>
      </x:c>
    </x:row>
    <x:row r="216">
      <x:c r="A216" s="7" t="n">
        <x:v>212</x:v>
      </x:c>
      <x:c r="B216" s="7" t="str">
        <x:v>Tata</x:v>
      </x:c>
      <x:c r="C216" s="7" t="str">
        <x:v>Tiago</x:v>
      </x:c>
      <x:c r="D216" s="7" t="str">
        <x:v>XT</x:v>
      </x:c>
      <x:c r="E216" s="7" t="str">
        <x:v>Petrol</x:v>
      </x:c>
      <x:c r="F216" s="7" t="str">
        <x:v>Manual</x:v>
      </x:c>
      <x:c r="G216" s="7" t="str">
        <x:v>Hatchback</x:v>
      </x:c>
      <x:c r="H216" s="7" t="n">
        <x:v>1199</x:v>
      </x:c>
      <x:c r="I216" s="7" t="n">
        <x:v>85</x:v>
      </x:c>
      <x:c r="J216" s="9" t="n">
        <x:v>20.1</x:v>
      </x:c>
      <x:c r="K216" s="9" t="n">
        <x:v>6.5</x:v>
      </x:c>
      <x:c r="L216" s="7" t="n">
        <x:v>2021</x:v>
      </x:c>
      <x:c r="M216" s="11" t="n">
        <x:v>109750</x:v>
      </x:c>
      <x:c r="N216" s="7" t="n">
        <x:v>3</x:v>
      </x:c>
      <x:c r="O216" s="7" t="n">
        <x:v>0</x:v>
      </x:c>
      <x:c r="P216" s="9" t="n">
        <x:v>2.06</x:v>
      </x:c>
      <x:c r="Q216" s="7" t="n">
        <x:f>'Guide'!$B$5-L216</x:f>
        <x:v>5</x:v>
      </x:c>
      <x:c r="R216" s="9" t="n">
        <x:f>K216-P216</x:f>
        <x:v>4.4399999999999995</x:v>
      </x:c>
      <x:c r="S216" s="10" t="n">
        <x:f>IF(K216&gt;0,R216/K216,"")</x:f>
        <x:v>0.683076923076923</x:v>
      </x:c>
    </x:row>
    <x:row r="217">
      <x:c r="A217" s="7" t="n">
        <x:v>213</x:v>
      </x:c>
      <x:c r="B217" s="7" t="str">
        <x:v>Tata</x:v>
      </x:c>
      <x:c r="C217" s="7" t="str">
        <x:v>Tiago</x:v>
      </x:c>
      <x:c r="D217" s="7" t="str">
        <x:v>XT</x:v>
      </x:c>
      <x:c r="E217" s="7" t="str">
        <x:v>Petrol</x:v>
      </x:c>
      <x:c r="F217" s="7" t="str">
        <x:v>Manual</x:v>
      </x:c>
      <x:c r="G217" s="7" t="str">
        <x:v>Hatchback</x:v>
      </x:c>
      <x:c r="H217" s="7" t="n">
        <x:v>1199</x:v>
      </x:c>
      <x:c r="I217" s="7" t="n">
        <x:v>85</x:v>
      </x:c>
      <x:c r="J217" s="9" t="n">
        <x:v>20.1</x:v>
      </x:c>
      <x:c r="K217" s="9" t="n">
        <x:v>6.5</x:v>
      </x:c>
      <x:c r="L217" s="7" t="n">
        <x:v>2022</x:v>
      </x:c>
      <x:c r="M217" s="11" t="n">
        <x:v>46191</x:v>
      </x:c>
      <x:c r="N217" s="7" t="n">
        <x:v>1</x:v>
      </x:c>
      <x:c r="O217" s="7" t="n">
        <x:v>0</x:v>
      </x:c>
      <x:c r="P217" s="9" t="n">
        <x:v>3.92</x:v>
      </x:c>
      <x:c r="Q217" s="7" t="n">
        <x:f>'Guide'!$B$5-L217</x:f>
        <x:v>4</x:v>
      </x:c>
      <x:c r="R217" s="9" t="n">
        <x:f>K217-P217</x:f>
        <x:v>2.58</x:v>
      </x:c>
      <x:c r="S217" s="10" t="n">
        <x:f>IF(K217&gt;0,R217/K217,"")</x:f>
        <x:v>0.39692307692307693</x:v>
      </x:c>
    </x:row>
    <x:row r="218">
      <x:c r="A218" s="7" t="n">
        <x:v>214</x:v>
      </x:c>
      <x:c r="B218" s="7" t="str">
        <x:v>Tata</x:v>
      </x:c>
      <x:c r="C218" s="7" t="str">
        <x:v>Tiago</x:v>
      </x:c>
      <x:c r="D218" s="7" t="str">
        <x:v>XT</x:v>
      </x:c>
      <x:c r="E218" s="7" t="str">
        <x:v>Petrol</x:v>
      </x:c>
      <x:c r="F218" s="7" t="str">
        <x:v>Manual</x:v>
      </x:c>
      <x:c r="G218" s="7" t="str">
        <x:v>Hatchback</x:v>
      </x:c>
      <x:c r="H218" s="7" t="n">
        <x:v>1199</x:v>
      </x:c>
      <x:c r="I218" s="7" t="n">
        <x:v>85</x:v>
      </x:c>
      <x:c r="J218" s="9" t="n">
        <x:v>20.1</x:v>
      </x:c>
      <x:c r="K218" s="9" t="n">
        <x:v>6.5</x:v>
      </x:c>
      <x:c r="L218" s="7" t="n">
        <x:v>2026</x:v>
      </x:c>
      <x:c r="M218" s="11" t="n">
        <x:v>4516</x:v>
      </x:c>
      <x:c r="N218" s="7" t="n">
        <x:v>2</x:v>
      </x:c>
      <x:c r="O218" s="7" t="n">
        <x:v>0</x:v>
      </x:c>
      <x:c r="P218" s="9" t="n">
        <x:v>5.68</x:v>
      </x:c>
      <x:c r="Q218" s="7" t="n">
        <x:f>'Guide'!$B$5-L218</x:f>
        <x:v>0</x:v>
      </x:c>
      <x:c r="R218" s="9" t="n">
        <x:f>K218-P218</x:f>
        <x:v>0.8200000000000003</x:v>
      </x:c>
      <x:c r="S218" s="10" t="n">
        <x:f>IF(K218&gt;0,R218/K218,"")</x:f>
        <x:v>0.1261538461538462</x:v>
      </x:c>
    </x:row>
    <x:row r="219">
      <x:c r="A219" s="7" t="n">
        <x:v>215</x:v>
      </x:c>
      <x:c r="B219" s="7" t="str">
        <x:v>Tata</x:v>
      </x:c>
      <x:c r="C219" s="7" t="str">
        <x:v>Tiago</x:v>
      </x:c>
      <x:c r="D219" s="7" t="str">
        <x:v>XT</x:v>
      </x:c>
      <x:c r="E219" s="7" t="str">
        <x:v>Petrol</x:v>
      </x:c>
      <x:c r="F219" s="7" t="str">
        <x:v>Manual</x:v>
      </x:c>
      <x:c r="G219" s="7" t="str">
        <x:v>Hatchback</x:v>
      </x:c>
      <x:c r="H219" s="7" t="n">
        <x:v>1199</x:v>
      </x:c>
      <x:c r="I219" s="7" t="n">
        <x:v>85</x:v>
      </x:c>
      <x:c r="J219" s="9" t="n">
        <x:v>20.1</x:v>
      </x:c>
      <x:c r="K219" s="9" t="n">
        <x:v>6.5</x:v>
      </x:c>
      <x:c r="L219" s="7" t="n">
        <x:v>2021</x:v>
      </x:c>
      <x:c r="M219" s="11" t="n">
        <x:v>55865</x:v>
      </x:c>
      <x:c r="N219" s="7" t="n">
        <x:v>1</x:v>
      </x:c>
      <x:c r="O219" s="7" t="n">
        <x:v>0</x:v>
      </x:c>
      <x:c r="P219" s="9" t="n">
        <x:v>3.67</x:v>
      </x:c>
      <x:c r="Q219" s="7" t="n">
        <x:f>'Guide'!$B$5-L219</x:f>
        <x:v>5</x:v>
      </x:c>
      <x:c r="R219" s="9" t="n">
        <x:f>K219-P219</x:f>
        <x:v>2.83</x:v>
      </x:c>
      <x:c r="S219" s="10" t="n">
        <x:f>IF(K219&gt;0,R219/K219,"")</x:f>
        <x:v>0.43538461538461537</x:v>
      </x:c>
    </x:row>
    <x:row r="220">
      <x:c r="A220" s="7" t="n">
        <x:v>216</x:v>
      </x:c>
      <x:c r="B220" s="7" t="str">
        <x:v>Tata</x:v>
      </x:c>
      <x:c r="C220" s="7" t="str">
        <x:v>Tiago</x:v>
      </x:c>
      <x:c r="D220" s="7" t="str">
        <x:v>XT</x:v>
      </x:c>
      <x:c r="E220" s="7" t="str">
        <x:v>Petrol</x:v>
      </x:c>
      <x:c r="F220" s="7" t="str">
        <x:v>Manual</x:v>
      </x:c>
      <x:c r="G220" s="7" t="str">
        <x:v>Hatchback</x:v>
      </x:c>
      <x:c r="H220" s="7" t="n">
        <x:v>1199</x:v>
      </x:c>
      <x:c r="I220" s="7" t="n">
        <x:v>85</x:v>
      </x:c>
      <x:c r="J220" s="9" t="n">
        <x:v>20.1</x:v>
      </x:c>
      <x:c r="K220" s="9" t="n">
        <x:v>6.5</x:v>
      </x:c>
      <x:c r="L220" s="7" t="n">
        <x:v>2024</x:v>
      </x:c>
      <x:c r="M220" s="11" t="n">
        <x:v>42860</x:v>
      </x:c>
      <x:c r="N220" s="7" t="n">
        <x:v>1</x:v>
      </x:c>
      <x:c r="O220" s="7" t="n">
        <x:v>1</x:v>
      </x:c>
      <x:c r="P220" s="9" t="n">
        <x:v>4.47</x:v>
      </x:c>
      <x:c r="Q220" s="7" t="n">
        <x:f>'Guide'!$B$5-L220</x:f>
        <x:v>2</x:v>
      </x:c>
      <x:c r="R220" s="9" t="n">
        <x:f>K220-P220</x:f>
        <x:v>2.0300000000000002</x:v>
      </x:c>
      <x:c r="S220" s="10" t="n">
        <x:f>IF(K220&gt;0,R220/K220,"")</x:f>
        <x:v>0.31230769230769234</x:v>
      </x:c>
    </x:row>
    <x:row r="221">
      <x:c r="A221" s="7" t="n">
        <x:v>217</x:v>
      </x:c>
      <x:c r="B221" s="7" t="str">
        <x:v>Tata</x:v>
      </x:c>
      <x:c r="C221" s="7" t="str">
        <x:v>Tiago</x:v>
      </x:c>
      <x:c r="D221" s="7" t="str">
        <x:v>XT</x:v>
      </x:c>
      <x:c r="E221" s="7" t="str">
        <x:v>Petrol</x:v>
      </x:c>
      <x:c r="F221" s="7" t="str">
        <x:v>Manual</x:v>
      </x:c>
      <x:c r="G221" s="7" t="str">
        <x:v>Hatchback</x:v>
      </x:c>
      <x:c r="H221" s="7" t="n">
        <x:v>1199</x:v>
      </x:c>
      <x:c r="I221" s="7" t="n">
        <x:v>85</x:v>
      </x:c>
      <x:c r="J221" s="9" t="n">
        <x:v>20.1</x:v>
      </x:c>
      <x:c r="K221" s="9" t="n">
        <x:v>6.5</x:v>
      </x:c>
      <x:c r="L221" s="7" t="n">
        <x:v>2020</x:v>
      </x:c>
      <x:c r="M221" s="11" t="n">
        <x:v>52881</x:v>
      </x:c>
      <x:c r="N221" s="7" t="n">
        <x:v>2</x:v>
      </x:c>
      <x:c r="O221" s="7" t="n">
        <x:v>0</x:v>
      </x:c>
      <x:c r="P221" s="9" t="n">
        <x:v>2.18</x:v>
      </x:c>
      <x:c r="Q221" s="7" t="n">
        <x:f>'Guide'!$B$5-L221</x:f>
        <x:v>6</x:v>
      </x:c>
      <x:c r="R221" s="9" t="n">
        <x:f>K221-P221</x:f>
        <x:v>4.32</x:v>
      </x:c>
      <x:c r="S221" s="10" t="n">
        <x:f>IF(K221&gt;0,R221/K221,"")</x:f>
        <x:v>0.6646153846153846</x:v>
      </x:c>
    </x:row>
    <x:row r="222">
      <x:c r="A222" s="7" t="n">
        <x:v>218</x:v>
      </x:c>
      <x:c r="B222" s="7" t="str">
        <x:v>Tata</x:v>
      </x:c>
      <x:c r="C222" s="7" t="str">
        <x:v>Tiago</x:v>
      </x:c>
      <x:c r="D222" s="7" t="str">
        <x:v>XT</x:v>
      </x:c>
      <x:c r="E222" s="7" t="str">
        <x:v>Petrol</x:v>
      </x:c>
      <x:c r="F222" s="7" t="str">
        <x:v>Manual</x:v>
      </x:c>
      <x:c r="G222" s="7" t="str">
        <x:v>Hatchback</x:v>
      </x:c>
      <x:c r="H222" s="7" t="n">
        <x:v>1199</x:v>
      </x:c>
      <x:c r="I222" s="7" t="n">
        <x:v>85</x:v>
      </x:c>
      <x:c r="J222" s="9" t="n">
        <x:v>20.1</x:v>
      </x:c>
      <x:c r="K222" s="9" t="n">
        <x:v>6.5</x:v>
      </x:c>
      <x:c r="L222" s="7" t="n">
        <x:v>2023</x:v>
      </x:c>
      <x:c r="M222" s="11" t="n">
        <x:v>34170</x:v>
      </x:c>
      <x:c r="N222" s="7" t="n">
        <x:v>1</x:v>
      </x:c>
      <x:c r="O222" s="7" t="n">
        <x:v>0</x:v>
      </x:c>
      <x:c r="P222" s="9" t="n">
        <x:v>4.6</x:v>
      </x:c>
      <x:c r="Q222" s="7" t="n">
        <x:f>'Guide'!$B$5-L222</x:f>
        <x:v>3</x:v>
      </x:c>
      <x:c r="R222" s="9" t="n">
        <x:f>K222-P222</x:f>
        <x:v>1.9000000000000004</x:v>
      </x:c>
      <x:c r="S222" s="10" t="n">
        <x:f>IF(K222&gt;0,R222/K222,"")</x:f>
        <x:v>0.2923076923076924</x:v>
      </x:c>
    </x:row>
    <x:row r="223">
      <x:c r="A223" s="7" t="n">
        <x:v>219</x:v>
      </x:c>
      <x:c r="B223" s="7" t="str">
        <x:v>Tata</x:v>
      </x:c>
      <x:c r="C223" s="7" t="str">
        <x:v>Tiago</x:v>
      </x:c>
      <x:c r="D223" s="7" t="str">
        <x:v>XT</x:v>
      </x:c>
      <x:c r="E223" s="7" t="str">
        <x:v>Petrol</x:v>
      </x:c>
      <x:c r="F223" s="7" t="str">
        <x:v>Manual</x:v>
      </x:c>
      <x:c r="G223" s="7" t="str">
        <x:v>Hatchback</x:v>
      </x:c>
      <x:c r="H223" s="7" t="n">
        <x:v>1199</x:v>
      </x:c>
      <x:c r="I223" s="7" t="n">
        <x:v>85</x:v>
      </x:c>
      <x:c r="J223" s="9" t="n">
        <x:v>20.1</x:v>
      </x:c>
      <x:c r="K223" s="9" t="n">
        <x:v>6.5</x:v>
      </x:c>
      <x:c r="L223" s="7" t="n">
        <x:v>2022</x:v>
      </x:c>
      <x:c r="M223" s="11" t="n">
        <x:v>79692</x:v>
      </x:c>
      <x:c r="N223" s="7" t="n">
        <x:v>2</x:v>
      </x:c>
      <x:c r="O223" s="7" t="n">
        <x:v>0</x:v>
      </x:c>
      <x:c r="P223" s="9" t="n">
        <x:v>3.42</x:v>
      </x:c>
      <x:c r="Q223" s="7" t="n">
        <x:f>'Guide'!$B$5-L223</x:f>
        <x:v>4</x:v>
      </x:c>
      <x:c r="R223" s="9" t="n">
        <x:f>K223-P223</x:f>
        <x:v>3.08</x:v>
      </x:c>
      <x:c r="S223" s="10" t="n">
        <x:f>IF(K223&gt;0,R223/K223,"")</x:f>
        <x:v>0.47384615384615386</x:v>
      </x:c>
    </x:row>
    <x:row r="224">
      <x:c r="A224" s="7" t="n">
        <x:v>220</x:v>
      </x:c>
      <x:c r="B224" s="7" t="str">
        <x:v>Tata</x:v>
      </x:c>
      <x:c r="C224" s="7" t="str">
        <x:v>Tiago</x:v>
      </x:c>
      <x:c r="D224" s="7" t="str">
        <x:v>XT</x:v>
      </x:c>
      <x:c r="E224" s="7" t="str">
        <x:v>Petrol</x:v>
      </x:c>
      <x:c r="F224" s="7" t="str">
        <x:v>Manual</x:v>
      </x:c>
      <x:c r="G224" s="7" t="str">
        <x:v>Hatchback</x:v>
      </x:c>
      <x:c r="H224" s="7" t="n">
        <x:v>1199</x:v>
      </x:c>
      <x:c r="I224" s="7" t="n">
        <x:v>85</x:v>
      </x:c>
      <x:c r="J224" s="9" t="n">
        <x:v>20.1</x:v>
      </x:c>
      <x:c r="K224" s="9" t="n">
        <x:v>6.5</x:v>
      </x:c>
      <x:c r="L224" s="7" t="n">
        <x:v>2022</x:v>
      </x:c>
      <x:c r="M224" s="11" t="n">
        <x:v>60415</x:v>
      </x:c>
      <x:c r="N224" s="7" t="n">
        <x:v>1</x:v>
      </x:c>
      <x:c r="O224" s="7" t="n">
        <x:v>0</x:v>
      </x:c>
      <x:c r="P224" s="9" t="n">
        <x:v>3.81</x:v>
      </x:c>
      <x:c r="Q224" s="7" t="n">
        <x:f>'Guide'!$B$5-L224</x:f>
        <x:v>4</x:v>
      </x:c>
      <x:c r="R224" s="9" t="n">
        <x:f>K224-P224</x:f>
        <x:v>2.69</x:v>
      </x:c>
      <x:c r="S224" s="10" t="n">
        <x:f>IF(K224&gt;0,R224/K224,"")</x:f>
        <x:v>0.41384615384615386</x:v>
      </x:c>
    </x:row>
    <x:row r="225">
      <x:c r="A225" s="7" t="n">
        <x:v>221</x:v>
      </x:c>
      <x:c r="B225" s="7" t="str">
        <x:v>Tata</x:v>
      </x:c>
      <x:c r="C225" s="7" t="str">
        <x:v>Tiago</x:v>
      </x:c>
      <x:c r="D225" s="7" t="str">
        <x:v>XT</x:v>
      </x:c>
      <x:c r="E225" s="7" t="str">
        <x:v>Petrol</x:v>
      </x:c>
      <x:c r="F225" s="7" t="str">
        <x:v>Manual</x:v>
      </x:c>
      <x:c r="G225" s="7" t="str">
        <x:v>Hatchback</x:v>
      </x:c>
      <x:c r="H225" s="7" t="n">
        <x:v>1199</x:v>
      </x:c>
      <x:c r="I225" s="7" t="n">
        <x:v>85</x:v>
      </x:c>
      <x:c r="J225" s="9" t="n">
        <x:v>20.1</x:v>
      </x:c>
      <x:c r="K225" s="9" t="n">
        <x:v>6.5</x:v>
      </x:c>
      <x:c r="L225" s="7" t="n">
        <x:v>2024</x:v>
      </x:c>
      <x:c r="M225" s="11" t="n">
        <x:v>28861</x:v>
      </x:c>
      <x:c r="N225" s="7" t="n">
        <x:v>1</x:v>
      </x:c>
      <x:c r="O225" s="7" t="n">
        <x:v>0</x:v>
      </x:c>
      <x:c r="P225" s="9" t="n">
        <x:v>5.04</x:v>
      </x:c>
      <x:c r="Q225" s="7" t="n">
        <x:f>'Guide'!$B$5-L225</x:f>
        <x:v>2</x:v>
      </x:c>
      <x:c r="R225" s="9" t="n">
        <x:f>K225-P225</x:f>
        <x:v>1.46</x:v>
      </x:c>
      <x:c r="S225" s="10" t="n">
        <x:f>IF(K225&gt;0,R225/K225,"")</x:f>
        <x:v>0.2246153846153846</x:v>
      </x:c>
    </x:row>
    <x:row r="226">
      <x:c r="A226" s="7" t="n">
        <x:v>222</x:v>
      </x:c>
      <x:c r="B226" s="7" t="str">
        <x:v>Tata</x:v>
      </x:c>
      <x:c r="C226" s="7" t="str">
        <x:v>Tiago</x:v>
      </x:c>
      <x:c r="D226" s="7" t="str">
        <x:v>XT</x:v>
      </x:c>
      <x:c r="E226" s="7" t="str">
        <x:v>Petrol</x:v>
      </x:c>
      <x:c r="F226" s="7" t="str">
        <x:v>Manual</x:v>
      </x:c>
      <x:c r="G226" s="7" t="str">
        <x:v>Hatchback</x:v>
      </x:c>
      <x:c r="H226" s="7" t="n">
        <x:v>1199</x:v>
      </x:c>
      <x:c r="I226" s="7" t="n">
        <x:v>85</x:v>
      </x:c>
      <x:c r="J226" s="9" t="n">
        <x:v>20.1</x:v>
      </x:c>
      <x:c r="K226" s="9" t="n">
        <x:v>6.5</x:v>
      </x:c>
      <x:c r="L226" s="7" t="n">
        <x:v>2022</x:v>
      </x:c>
      <x:c r="M226" s="11" t="n">
        <x:v>84094</x:v>
      </x:c>
      <x:c r="N226" s="7" t="n">
        <x:v>1</x:v>
      </x:c>
      <x:c r="O226" s="7" t="n">
        <x:v>1</x:v>
      </x:c>
      <x:c r="P226" s="9" t="n">
        <x:v>3.04</x:v>
      </x:c>
      <x:c r="Q226" s="7" t="n">
        <x:f>'Guide'!$B$5-L226</x:f>
        <x:v>4</x:v>
      </x:c>
      <x:c r="R226" s="9" t="n">
        <x:f>K226-P226</x:f>
        <x:v>3.46</x:v>
      </x:c>
      <x:c r="S226" s="10" t="n">
        <x:f>IF(K226&gt;0,R226/K226,"")</x:f>
        <x:v>0.5323076923076923</x:v>
      </x:c>
    </x:row>
    <x:row r="227">
      <x:c r="A227" s="7" t="n">
        <x:v>223</x:v>
      </x:c>
      <x:c r="B227" s="7" t="str">
        <x:v>Tata</x:v>
      </x:c>
      <x:c r="C227" s="7" t="str">
        <x:v>Tiago</x:v>
      </x:c>
      <x:c r="D227" s="7" t="str">
        <x:v>XT</x:v>
      </x:c>
      <x:c r="E227" s="7" t="str">
        <x:v>Petrol</x:v>
      </x:c>
      <x:c r="F227" s="7" t="str">
        <x:v>Manual</x:v>
      </x:c>
      <x:c r="G227" s="7" t="str">
        <x:v>Hatchback</x:v>
      </x:c>
      <x:c r="H227" s="7" t="n">
        <x:v>1199</x:v>
      </x:c>
      <x:c r="I227" s="7" t="n">
        <x:v>85</x:v>
      </x:c>
      <x:c r="J227" s="9" t="n">
        <x:v>20.1</x:v>
      </x:c>
      <x:c r="K227" s="9" t="n">
        <x:v>6.5</x:v>
      </x:c>
      <x:c r="L227" s="7" t="n">
        <x:v>2024</x:v>
      </x:c>
      <x:c r="M227" s="11" t="n">
        <x:v>38858</x:v>
      </x:c>
      <x:c r="N227" s="7" t="n">
        <x:v>1</x:v>
      </x:c>
      <x:c r="O227" s="7" t="n">
        <x:v>0</x:v>
      </x:c>
      <x:c r="P227" s="9" t="n">
        <x:v>4.91</x:v>
      </x:c>
      <x:c r="Q227" s="7" t="n">
        <x:f>'Guide'!$B$5-L227</x:f>
        <x:v>2</x:v>
      </x:c>
      <x:c r="R227" s="9" t="n">
        <x:f>K227-P227</x:f>
        <x:v>1.5899999999999999</x:v>
      </x:c>
      <x:c r="S227" s="10" t="n">
        <x:f>IF(K227&gt;0,R227/K227,"")</x:f>
        <x:v>0.2446153846153846</x:v>
      </x:c>
    </x:row>
    <x:row r="228">
      <x:c r="A228" s="7" t="n">
        <x:v>224</x:v>
      </x:c>
      <x:c r="B228" s="7" t="str">
        <x:v>Tata</x:v>
      </x:c>
      <x:c r="C228" s="7" t="str">
        <x:v>Tiago</x:v>
      </x:c>
      <x:c r="D228" s="7" t="str">
        <x:v>XT</x:v>
      </x:c>
      <x:c r="E228" s="7" t="str">
        <x:v>Petrol</x:v>
      </x:c>
      <x:c r="F228" s="7" t="str">
        <x:v>Manual</x:v>
      </x:c>
      <x:c r="G228" s="7" t="str">
        <x:v>Hatchback</x:v>
      </x:c>
      <x:c r="H228" s="7" t="n">
        <x:v>1199</x:v>
      </x:c>
      <x:c r="I228" s="7" t="n">
        <x:v>85</x:v>
      </x:c>
      <x:c r="J228" s="9" t="n">
        <x:v>20.1</x:v>
      </x:c>
      <x:c r="K228" s="9" t="n">
        <x:v>6.5</x:v>
      </x:c>
      <x:c r="L228" s="7" t="n">
        <x:v>2024</x:v>
      </x:c>
      <x:c r="M228" s="11" t="n">
        <x:v>35416</x:v>
      </x:c>
      <x:c r="N228" s="7" t="n">
        <x:v>1</x:v>
      </x:c>
      <x:c r="O228" s="7" t="n">
        <x:v>0</x:v>
      </x:c>
      <x:c r="P228" s="9" t="n">
        <x:v>5.05</x:v>
      </x:c>
      <x:c r="Q228" s="7" t="n">
        <x:f>'Guide'!$B$5-L228</x:f>
        <x:v>2</x:v>
      </x:c>
      <x:c r="R228" s="9" t="n">
        <x:f>K228-P228</x:f>
        <x:v>1.4500000000000002</x:v>
      </x:c>
      <x:c r="S228" s="10" t="n">
        <x:f>IF(K228&gt;0,R228/K228,"")</x:f>
        <x:v>0.22307692307692312</x:v>
      </x:c>
    </x:row>
    <x:row r="229">
      <x:c r="A229" s="7" t="n">
        <x:v>225</x:v>
      </x:c>
      <x:c r="B229" s="7" t="str">
        <x:v>Tata</x:v>
      </x:c>
      <x:c r="C229" s="7" t="str">
        <x:v>Tiago</x:v>
      </x:c>
      <x:c r="D229" s="7" t="str">
        <x:v>XT</x:v>
      </x:c>
      <x:c r="E229" s="7" t="str">
        <x:v>Petrol</x:v>
      </x:c>
      <x:c r="F229" s="7" t="str">
        <x:v>Manual</x:v>
      </x:c>
      <x:c r="G229" s="7" t="str">
        <x:v>Hatchback</x:v>
      </x:c>
      <x:c r="H229" s="7" t="n">
        <x:v>1199</x:v>
      </x:c>
      <x:c r="I229" s="7" t="n">
        <x:v>85</x:v>
      </x:c>
      <x:c r="J229" s="9" t="n">
        <x:v>20.1</x:v>
      </x:c>
      <x:c r="K229" s="9" t="n">
        <x:v>6.5</x:v>
      </x:c>
      <x:c r="L229" s="7" t="n">
        <x:v>2023</x:v>
      </x:c>
      <x:c r="M229" s="11" t="n">
        <x:v>32659</x:v>
      </x:c>
      <x:c r="N229" s="7" t="n">
        <x:v>1</x:v>
      </x:c>
      <x:c r="O229" s="7" t="n">
        <x:v>0</x:v>
      </x:c>
      <x:c r="P229" s="9" t="n">
        <x:v>4.57</x:v>
      </x:c>
      <x:c r="Q229" s="7" t="n">
        <x:f>'Guide'!$B$5-L229</x:f>
        <x:v>3</x:v>
      </x:c>
      <x:c r="R229" s="9" t="n">
        <x:f>K229-P229</x:f>
        <x:v>1.9299999999999997</x:v>
      </x:c>
      <x:c r="S229" s="10" t="n">
        <x:f>IF(K229&gt;0,R229/K229,"")</x:f>
        <x:v>0.2969230769230769</x:v>
      </x:c>
    </x:row>
    <x:row r="230">
      <x:c r="A230" s="7" t="n">
        <x:v>226</x:v>
      </x:c>
      <x:c r="B230" s="7" t="str">
        <x:v>Tata</x:v>
      </x:c>
      <x:c r="C230" s="7" t="str">
        <x:v>Tiago</x:v>
      </x:c>
      <x:c r="D230" s="7" t="str">
        <x:v>XT</x:v>
      </x:c>
      <x:c r="E230" s="7" t="str">
        <x:v>Petrol</x:v>
      </x:c>
      <x:c r="F230" s="7" t="str">
        <x:v>Manual</x:v>
      </x:c>
      <x:c r="G230" s="7" t="str">
        <x:v>Hatchback</x:v>
      </x:c>
      <x:c r="H230" s="7" t="n">
        <x:v>1199</x:v>
      </x:c>
      <x:c r="I230" s="7" t="n">
        <x:v>85</x:v>
      </x:c>
      <x:c r="J230" s="9" t="n">
        <x:v>20.1</x:v>
      </x:c>
      <x:c r="K230" s="9" t="n">
        <x:v>6.5</x:v>
      </x:c>
      <x:c r="L230" s="7" t="n">
        <x:v>2024</x:v>
      </x:c>
      <x:c r="M230" s="11" t="n">
        <x:v>35287</x:v>
      </x:c>
      <x:c r="N230" s="7" t="n">
        <x:v>1</x:v>
      </x:c>
      <x:c r="O230" s="7" t="n">
        <x:v>0</x:v>
      </x:c>
      <x:c r="P230" s="9" t="n">
        <x:v>5.56</x:v>
      </x:c>
      <x:c r="Q230" s="7" t="n">
        <x:f>'Guide'!$B$5-L230</x:f>
        <x:v>2</x:v>
      </x:c>
      <x:c r="R230" s="9" t="n">
        <x:f>K230-P230</x:f>
        <x:v>0.9400000000000004</x:v>
      </x:c>
      <x:c r="S230" s="10" t="n">
        <x:f>IF(K230&gt;0,R230/K230,"")</x:f>
        <x:v>0.14461538461538467</x:v>
      </x:c>
    </x:row>
    <x:row r="231">
      <x:c r="A231" s="7" t="n">
        <x:v>227</x:v>
      </x:c>
      <x:c r="B231" s="7" t="str">
        <x:v>Tata</x:v>
      </x:c>
      <x:c r="C231" s="7" t="str">
        <x:v>Tiago</x:v>
      </x:c>
      <x:c r="D231" s="7" t="str">
        <x:v>XT</x:v>
      </x:c>
      <x:c r="E231" s="7" t="str">
        <x:v>Petrol</x:v>
      </x:c>
      <x:c r="F231" s="7" t="str">
        <x:v>Manual</x:v>
      </x:c>
      <x:c r="G231" s="7" t="str">
        <x:v>Hatchback</x:v>
      </x:c>
      <x:c r="H231" s="7" t="n">
        <x:v>1199</x:v>
      </x:c>
      <x:c r="I231" s="7" t="n">
        <x:v>85</x:v>
      </x:c>
      <x:c r="J231" s="9" t="n">
        <x:v>20.1</x:v>
      </x:c>
      <x:c r="K231" s="9" t="n">
        <x:v>6.5</x:v>
      </x:c>
      <x:c r="L231" s="7" t="n">
        <x:v>2020</x:v>
      </x:c>
      <x:c r="M231" s="11" t="n">
        <x:v>116872</x:v>
      </x:c>
      <x:c r="N231" s="7" t="n">
        <x:v>1</x:v>
      </x:c>
      <x:c r="O231" s="7" t="n">
        <x:v>1</x:v>
      </x:c>
      <x:c r="P231" s="9" t="n">
        <x:v>1.93</x:v>
      </x:c>
      <x:c r="Q231" s="7" t="n">
        <x:f>'Guide'!$B$5-L231</x:f>
        <x:v>6</x:v>
      </x:c>
      <x:c r="R231" s="9" t="n">
        <x:f>K231-P231</x:f>
        <x:v>4.57</x:v>
      </x:c>
      <x:c r="S231" s="10" t="n">
        <x:f>IF(K231&gt;0,R231/K231,"")</x:f>
        <x:v>0.7030769230769232</x:v>
      </x:c>
    </x:row>
    <x:row r="232">
      <x:c r="A232" s="7" t="n">
        <x:v>228</x:v>
      </x:c>
      <x:c r="B232" s="7" t="str">
        <x:v>Tata</x:v>
      </x:c>
      <x:c r="C232" s="7" t="str">
        <x:v>Tiago</x:v>
      </x:c>
      <x:c r="D232" s="7" t="str">
        <x:v>XT</x:v>
      </x:c>
      <x:c r="E232" s="7" t="str">
        <x:v>Petrol</x:v>
      </x:c>
      <x:c r="F232" s="7" t="str">
        <x:v>Manual</x:v>
      </x:c>
      <x:c r="G232" s="7" t="str">
        <x:v>Hatchback</x:v>
      </x:c>
      <x:c r="H232" s="7" t="n">
        <x:v>1199</x:v>
      </x:c>
      <x:c r="I232" s="7" t="n">
        <x:v>85</x:v>
      </x:c>
      <x:c r="J232" s="9" t="n">
        <x:v>20.1</x:v>
      </x:c>
      <x:c r="K232" s="9" t="n">
        <x:v>6.5</x:v>
      </x:c>
      <x:c r="L232" s="7" t="n">
        <x:v>2020</x:v>
      </x:c>
      <x:c r="M232" s="11" t="n">
        <x:v>55813</x:v>
      </x:c>
      <x:c r="N232" s="7" t="n">
        <x:v>1</x:v>
      </x:c>
      <x:c r="O232" s="7" t="n">
        <x:v>0</x:v>
      </x:c>
      <x:c r="P232" s="9" t="n">
        <x:v>2.88</x:v>
      </x:c>
      <x:c r="Q232" s="7" t="n">
        <x:f>'Guide'!$B$5-L232</x:f>
        <x:v>6</x:v>
      </x:c>
      <x:c r="R232" s="9" t="n">
        <x:f>K232-P232</x:f>
        <x:v>3.62</x:v>
      </x:c>
      <x:c r="S232" s="10" t="n">
        <x:f>IF(K232&gt;0,R232/K232,"")</x:f>
        <x:v>0.556923076923077</x:v>
      </x:c>
    </x:row>
    <x:row r="233">
      <x:c r="A233" s="7" t="n">
        <x:v>229</x:v>
      </x:c>
      <x:c r="B233" s="7" t="str">
        <x:v>Tata</x:v>
      </x:c>
      <x:c r="C233" s="7" t="str">
        <x:v>Tiago</x:v>
      </x:c>
      <x:c r="D233" s="7" t="str">
        <x:v>XT</x:v>
      </x:c>
      <x:c r="E233" s="7" t="str">
        <x:v>Petrol</x:v>
      </x:c>
      <x:c r="F233" s="7" t="str">
        <x:v>Manual</x:v>
      </x:c>
      <x:c r="G233" s="7" t="str">
        <x:v>Hatchback</x:v>
      </x:c>
      <x:c r="H233" s="7" t="n">
        <x:v>1199</x:v>
      </x:c>
      <x:c r="I233" s="7" t="n">
        <x:v>85</x:v>
      </x:c>
      <x:c r="J233" s="9" t="n">
        <x:v>20.1</x:v>
      </x:c>
      <x:c r="K233" s="9" t="n">
        <x:v>6.5</x:v>
      </x:c>
      <x:c r="L233" s="7" t="n">
        <x:v>2023</x:v>
      </x:c>
      <x:c r="M233" s="11" t="n">
        <x:v>29310</x:v>
      </x:c>
      <x:c r="N233" s="7" t="n">
        <x:v>2</x:v>
      </x:c>
      <x:c r="O233" s="7" t="n">
        <x:v>1</x:v>
      </x:c>
      <x:c r="P233" s="9" t="n">
        <x:v>3.43</x:v>
      </x:c>
      <x:c r="Q233" s="7" t="n">
        <x:f>'Guide'!$B$5-L233</x:f>
        <x:v>3</x:v>
      </x:c>
      <x:c r="R233" s="9" t="n">
        <x:f>K233-P233</x:f>
        <x:v>3.07</x:v>
      </x:c>
      <x:c r="S233" s="10" t="n">
        <x:f>IF(K233&gt;0,R233/K233,"")</x:f>
        <x:v>0.47230769230769226</x:v>
      </x:c>
    </x:row>
    <x:row r="234">
      <x:c r="A234" s="7" t="n">
        <x:v>230</x:v>
      </x:c>
      <x:c r="B234" s="7" t="str">
        <x:v>Tata</x:v>
      </x:c>
      <x:c r="C234" s="7" t="str">
        <x:v>Tiago</x:v>
      </x:c>
      <x:c r="D234" s="7" t="str">
        <x:v>XT</x:v>
      </x:c>
      <x:c r="E234" s="7" t="str">
        <x:v>Petrol</x:v>
      </x:c>
      <x:c r="F234" s="7" t="str">
        <x:v>Manual</x:v>
      </x:c>
      <x:c r="G234" s="7" t="str">
        <x:v>Hatchback</x:v>
      </x:c>
      <x:c r="H234" s="7" t="n">
        <x:v>1199</x:v>
      </x:c>
      <x:c r="I234" s="7" t="n">
        <x:v>85</x:v>
      </x:c>
      <x:c r="J234" s="9" t="n">
        <x:v>20.1</x:v>
      </x:c>
      <x:c r="K234" s="9" t="n">
        <x:v>6.5</x:v>
      </x:c>
      <x:c r="L234" s="7" t="n">
        <x:v>2026</x:v>
      </x:c>
      <x:c r="M234" s="11" t="n">
        <x:v>4518</x:v>
      </x:c>
      <x:c r="N234" s="7" t="n">
        <x:v>1</x:v>
      </x:c>
      <x:c r="O234" s="7" t="n">
        <x:v>0</x:v>
      </x:c>
      <x:c r="P234" s="9" t="n">
        <x:v>6.8</x:v>
      </x:c>
      <x:c r="Q234" s="7" t="n">
        <x:f>'Guide'!$B$5-L234</x:f>
        <x:v>0</x:v>
      </x:c>
      <x:c r="R234" s="9" t="n">
        <x:f>K234-P234</x:f>
        <x:v>-0.2999999999999998</x:v>
      </x:c>
      <x:c r="S234" s="10" t="n">
        <x:f>IF(K234&gt;0,R234/K234,"")</x:f>
        <x:v>-0.04615384615384613</x:v>
      </x:c>
    </x:row>
    <x:row r="235">
      <x:c r="A235" s="7" t="n">
        <x:v>231</x:v>
      </x:c>
      <x:c r="B235" s="7" t="str">
        <x:v>Tata</x:v>
      </x:c>
      <x:c r="C235" s="7" t="str">
        <x:v>Tiago</x:v>
      </x:c>
      <x:c r="D235" s="7" t="str">
        <x:v>XT</x:v>
      </x:c>
      <x:c r="E235" s="7" t="str">
        <x:v>Petrol</x:v>
      </x:c>
      <x:c r="F235" s="7" t="str">
        <x:v>Manual</x:v>
      </x:c>
      <x:c r="G235" s="7" t="str">
        <x:v>Hatchback</x:v>
      </x:c>
      <x:c r="H235" s="7" t="n">
        <x:v>1199</x:v>
      </x:c>
      <x:c r="I235" s="7" t="n">
        <x:v>85</x:v>
      </x:c>
      <x:c r="J235" s="9" t="n">
        <x:v>20.1</x:v>
      </x:c>
      <x:c r="K235" s="9" t="n">
        <x:v>6.5</x:v>
      </x:c>
      <x:c r="L235" s="7" t="n">
        <x:v>2020</x:v>
      </x:c>
      <x:c r="M235" s="11" t="n">
        <x:v>113655</x:v>
      </x:c>
      <x:c r="N235" s="7" t="n">
        <x:v>2</x:v>
      </x:c>
      <x:c r="O235" s="7" t="n">
        <x:v>0</x:v>
      </x:c>
      <x:c r="P235" s="9" t="n">
        <x:v>2.39</x:v>
      </x:c>
      <x:c r="Q235" s="7" t="n">
        <x:f>'Guide'!$B$5-L235</x:f>
        <x:v>6</x:v>
      </x:c>
      <x:c r="R235" s="9" t="n">
        <x:f>K235-P235</x:f>
        <x:v>4.109999999999999</x:v>
      </x:c>
      <x:c r="S235" s="10" t="n">
        <x:f>IF(K235&gt;0,R235/K235,"")</x:f>
        <x:v>0.6323076923076922</x:v>
      </x:c>
    </x:row>
    <x:row r="236">
      <x:c r="A236" s="7" t="n">
        <x:v>232</x:v>
      </x:c>
      <x:c r="B236" s="7" t="str">
        <x:v>Tata</x:v>
      </x:c>
      <x:c r="C236" s="7" t="str">
        <x:v>Tiago</x:v>
      </x:c>
      <x:c r="D236" s="7" t="str">
        <x:v>XT</x:v>
      </x:c>
      <x:c r="E236" s="7" t="str">
        <x:v>Petrol</x:v>
      </x:c>
      <x:c r="F236" s="7" t="str">
        <x:v>Manual</x:v>
      </x:c>
      <x:c r="G236" s="7" t="str">
        <x:v>Hatchback</x:v>
      </x:c>
      <x:c r="H236" s="7" t="n">
        <x:v>1199</x:v>
      </x:c>
      <x:c r="I236" s="7" t="n">
        <x:v>85</x:v>
      </x:c>
      <x:c r="J236" s="9" t="n">
        <x:v>20.1</x:v>
      </x:c>
      <x:c r="K236" s="9" t="n">
        <x:v>6.5</x:v>
      </x:c>
      <x:c r="L236" s="7" t="n">
        <x:v>2022</x:v>
      </x:c>
      <x:c r="M236" s="11" t="n">
        <x:v>39846</x:v>
      </x:c>
      <x:c r="N236" s="7" t="n">
        <x:v>2</x:v>
      </x:c>
      <x:c r="O236" s="7" t="n">
        <x:v>0</x:v>
      </x:c>
      <x:c r="P236" s="9" t="n">
        <x:v>3.47</x:v>
      </x:c>
      <x:c r="Q236" s="7" t="n">
        <x:f>'Guide'!$B$5-L236</x:f>
        <x:v>4</x:v>
      </x:c>
      <x:c r="R236" s="9" t="n">
        <x:f>K236-P236</x:f>
        <x:v>3.03</x:v>
      </x:c>
      <x:c r="S236" s="10" t="n">
        <x:f>IF(K236&gt;0,R236/K236,"")</x:f>
        <x:v>0.46615384615384614</x:v>
      </x:c>
    </x:row>
    <x:row r="237">
      <x:c r="A237" s="7" t="n">
        <x:v>233</x:v>
      </x:c>
      <x:c r="B237" s="7" t="str">
        <x:v>Tata</x:v>
      </x:c>
      <x:c r="C237" s="7" t="str">
        <x:v>Tiago</x:v>
      </x:c>
      <x:c r="D237" s="7" t="str">
        <x:v>XT</x:v>
      </x:c>
      <x:c r="E237" s="7" t="str">
        <x:v>Petrol</x:v>
      </x:c>
      <x:c r="F237" s="7" t="str">
        <x:v>Manual</x:v>
      </x:c>
      <x:c r="G237" s="7" t="str">
        <x:v>Hatchback</x:v>
      </x:c>
      <x:c r="H237" s="7" t="n">
        <x:v>1199</x:v>
      </x:c>
      <x:c r="I237" s="7" t="n">
        <x:v>85</x:v>
      </x:c>
      <x:c r="J237" s="9" t="n">
        <x:v>20.1</x:v>
      </x:c>
      <x:c r="K237" s="9" t="n">
        <x:v>6.5</x:v>
      </x:c>
      <x:c r="L237" s="7" t="n">
        <x:v>2024</x:v>
      </x:c>
      <x:c r="M237" s="11" t="n">
        <x:v>46633</x:v>
      </x:c>
      <x:c r="N237" s="7" t="n">
        <x:v>1</x:v>
      </x:c>
      <x:c r="O237" s="7" t="n">
        <x:v>1</x:v>
      </x:c>
      <x:c r="P237" s="9" t="n">
        <x:v>4.5</x:v>
      </x:c>
      <x:c r="Q237" s="7" t="n">
        <x:f>'Guide'!$B$5-L237</x:f>
        <x:v>2</x:v>
      </x:c>
      <x:c r="R237" s="9" t="n">
        <x:f>K237-P237</x:f>
        <x:v>2</x:v>
      </x:c>
      <x:c r="S237" s="10" t="n">
        <x:f>IF(K237&gt;0,R237/K237,"")</x:f>
        <x:v>0.3076923076923077</x:v>
      </x:c>
    </x:row>
    <x:row r="238">
      <x:c r="A238" s="7" t="n">
        <x:v>234</x:v>
      </x:c>
      <x:c r="B238" s="7" t="str">
        <x:v>Tata</x:v>
      </x:c>
      <x:c r="C238" s="7" t="str">
        <x:v>Tiago</x:v>
      </x:c>
      <x:c r="D238" s="7" t="str">
        <x:v>XT</x:v>
      </x:c>
      <x:c r="E238" s="7" t="str">
        <x:v>Petrol</x:v>
      </x:c>
      <x:c r="F238" s="7" t="str">
        <x:v>Manual</x:v>
      </x:c>
      <x:c r="G238" s="7" t="str">
        <x:v>Hatchback</x:v>
      </x:c>
      <x:c r="H238" s="7" t="n">
        <x:v>1199</x:v>
      </x:c>
      <x:c r="I238" s="7" t="n">
        <x:v>85</x:v>
      </x:c>
      <x:c r="J238" s="9" t="n">
        <x:v>20.1</x:v>
      </x:c>
      <x:c r="K238" s="9" t="n">
        <x:v>6.5</x:v>
      </x:c>
      <x:c r="L238" s="7" t="n">
        <x:v>2024</x:v>
      </x:c>
      <x:c r="M238" s="11" t="n">
        <x:v>48796</x:v>
      </x:c>
      <x:c r="N238" s="7" t="n">
        <x:v>1</x:v>
      </x:c>
      <x:c r="O238" s="7" t="n">
        <x:v>0</x:v>
      </x:c>
      <x:c r="P238" s="9" t="n">
        <x:v>4.95</x:v>
      </x:c>
      <x:c r="Q238" s="7" t="n">
        <x:f>'Guide'!$B$5-L238</x:f>
        <x:v>2</x:v>
      </x:c>
      <x:c r="R238" s="9" t="n">
        <x:f>K238-P238</x:f>
        <x:v>1.5499999999999998</x:v>
      </x:c>
      <x:c r="S238" s="10" t="n">
        <x:f>IF(K238&gt;0,R238/K238,"")</x:f>
        <x:v>0.23846153846153845</x:v>
      </x:c>
    </x:row>
    <x:row r="239">
      <x:c r="A239" s="7" t="n">
        <x:v>235</x:v>
      </x:c>
      <x:c r="B239" s="7" t="str">
        <x:v>Tata</x:v>
      </x:c>
      <x:c r="C239" s="7" t="str">
        <x:v>Tiago</x:v>
      </x:c>
      <x:c r="D239" s="7" t="str">
        <x:v>XT</x:v>
      </x:c>
      <x:c r="E239" s="7" t="str">
        <x:v>Petrol</x:v>
      </x:c>
      <x:c r="F239" s="7" t="str">
        <x:v>Manual</x:v>
      </x:c>
      <x:c r="G239" s="7" t="str">
        <x:v>Hatchback</x:v>
      </x:c>
      <x:c r="H239" s="7" t="n">
        <x:v>1199</x:v>
      </x:c>
      <x:c r="I239" s="7" t="n">
        <x:v>85</x:v>
      </x:c>
      <x:c r="J239" s="9" t="n">
        <x:v>20.1</x:v>
      </x:c>
      <x:c r="K239" s="9" t="n">
        <x:v>6.5</x:v>
      </x:c>
      <x:c r="L239" s="7" t="n">
        <x:v>2022</x:v>
      </x:c>
      <x:c r="M239" s="11" t="n">
        <x:v>84230</x:v>
      </x:c>
      <x:c r="N239" s="7" t="n">
        <x:v>1</x:v>
      </x:c>
      <x:c r="O239" s="7" t="n">
        <x:v>0</x:v>
      </x:c>
      <x:c r="P239" s="9" t="n">
        <x:v>3.93</x:v>
      </x:c>
      <x:c r="Q239" s="7" t="n">
        <x:f>'Guide'!$B$5-L239</x:f>
        <x:v>4</x:v>
      </x:c>
      <x:c r="R239" s="9" t="n">
        <x:f>K239-P239</x:f>
        <x:v>2.57</x:v>
      </x:c>
      <x:c r="S239" s="10" t="n">
        <x:f>IF(K239&gt;0,R239/K239,"")</x:f>
        <x:v>0.39538461538461533</x:v>
      </x:c>
    </x:row>
    <x:row r="240">
      <x:c r="A240" s="7" t="n">
        <x:v>236</x:v>
      </x:c>
      <x:c r="B240" s="7" t="str">
        <x:v>Tata</x:v>
      </x:c>
      <x:c r="C240" s="7" t="str">
        <x:v>Tiago</x:v>
      </x:c>
      <x:c r="D240" s="7" t="str">
        <x:v>XT</x:v>
      </x:c>
      <x:c r="E240" s="7" t="str">
        <x:v>Petrol</x:v>
      </x:c>
      <x:c r="F240" s="7" t="str">
        <x:v>Manual</x:v>
      </x:c>
      <x:c r="G240" s="7" t="str">
        <x:v>Hatchback</x:v>
      </x:c>
      <x:c r="H240" s="7" t="n">
        <x:v>1199</x:v>
      </x:c>
      <x:c r="I240" s="7" t="n">
        <x:v>85</x:v>
      </x:c>
      <x:c r="J240" s="9" t="n">
        <x:v>20.1</x:v>
      </x:c>
      <x:c r="K240" s="9" t="n">
        <x:v>6.5</x:v>
      </x:c>
      <x:c r="L240" s="7" t="n">
        <x:v>2024</x:v>
      </x:c>
      <x:c r="M240" s="11" t="n">
        <x:v>32509</x:v>
      </x:c>
      <x:c r="N240" s="7" t="n">
        <x:v>1</x:v>
      </x:c>
      <x:c r="O240" s="7" t="n">
        <x:v>0</x:v>
      </x:c>
      <x:c r="P240" s="9" t="n">
        <x:v>5.38</x:v>
      </x:c>
      <x:c r="Q240" s="7" t="n">
        <x:f>'Guide'!$B$5-L240</x:f>
        <x:v>2</x:v>
      </x:c>
      <x:c r="R240" s="9" t="n">
        <x:f>K240-P240</x:f>
        <x:v>1.12</x:v>
      </x:c>
      <x:c r="S240" s="10" t="n">
        <x:f>IF(K240&gt;0,R240/K240,"")</x:f>
        <x:v>0.17230769230769233</x:v>
      </x:c>
    </x:row>
    <x:row r="241">
      <x:c r="A241" s="7" t="n">
        <x:v>237</x:v>
      </x:c>
      <x:c r="B241" s="7" t="str">
        <x:v>Tata</x:v>
      </x:c>
      <x:c r="C241" s="7" t="str">
        <x:v>Tiago</x:v>
      </x:c>
      <x:c r="D241" s="7" t="str">
        <x:v>XT</x:v>
      </x:c>
      <x:c r="E241" s="7" t="str">
        <x:v>Petrol</x:v>
      </x:c>
      <x:c r="F241" s="7" t="str">
        <x:v>Manual</x:v>
      </x:c>
      <x:c r="G241" s="7" t="str">
        <x:v>Hatchback</x:v>
      </x:c>
      <x:c r="H241" s="7" t="n">
        <x:v>1199</x:v>
      </x:c>
      <x:c r="I241" s="7" t="n">
        <x:v>85</x:v>
      </x:c>
      <x:c r="J241" s="9" t="n">
        <x:v>20.1</x:v>
      </x:c>
      <x:c r="K241" s="9" t="n">
        <x:v>6.5</x:v>
      </x:c>
      <x:c r="L241" s="7" t="n">
        <x:v>2023</x:v>
      </x:c>
      <x:c r="M241" s="11" t="n">
        <x:v>59834</x:v>
      </x:c>
      <x:c r="N241" s="7" t="n">
        <x:v>3</x:v>
      </x:c>
      <x:c r="O241" s="7" t="n">
        <x:v>0</x:v>
      </x:c>
      <x:c r="P241" s="9" t="n">
        <x:v>3.91</x:v>
      </x:c>
      <x:c r="Q241" s="7" t="n">
        <x:f>'Guide'!$B$5-L241</x:f>
        <x:v>3</x:v>
      </x:c>
      <x:c r="R241" s="9" t="n">
        <x:f>K241-P241</x:f>
        <x:v>2.59</x:v>
      </x:c>
      <x:c r="S241" s="10" t="n">
        <x:f>IF(K241&gt;0,R241/K241,"")</x:f>
        <x:v>0.3984615384615384</x:v>
      </x:c>
    </x:row>
    <x:row r="242">
      <x:c r="A242" s="7" t="n">
        <x:v>238</x:v>
      </x:c>
      <x:c r="B242" s="7" t="str">
        <x:v>Tata</x:v>
      </x:c>
      <x:c r="C242" s="7" t="str">
        <x:v>Tiago</x:v>
      </x:c>
      <x:c r="D242" s="7" t="str">
        <x:v>XT</x:v>
      </x:c>
      <x:c r="E242" s="7" t="str">
        <x:v>Petrol</x:v>
      </x:c>
      <x:c r="F242" s="7" t="str">
        <x:v>Manual</x:v>
      </x:c>
      <x:c r="G242" s="7" t="str">
        <x:v>Hatchback</x:v>
      </x:c>
      <x:c r="H242" s="7" t="n">
        <x:v>1199</x:v>
      </x:c>
      <x:c r="I242" s="7" t="n">
        <x:v>85</x:v>
      </x:c>
      <x:c r="J242" s="9" t="n">
        <x:v>20.1</x:v>
      </x:c>
      <x:c r="K242" s="9" t="n">
        <x:v>6.5</x:v>
      </x:c>
      <x:c r="L242" s="7" t="n">
        <x:v>2024</x:v>
      </x:c>
      <x:c r="M242" s="11" t="n">
        <x:v>23334</x:v>
      </x:c>
      <x:c r="N242" s="7" t="n">
        <x:v>1</x:v>
      </x:c>
      <x:c r="O242" s="7" t="n">
        <x:v>0</x:v>
      </x:c>
      <x:c r="P242" s="9" t="n">
        <x:v>5.35</x:v>
      </x:c>
      <x:c r="Q242" s="7" t="n">
        <x:f>'Guide'!$B$5-L242</x:f>
        <x:v>2</x:v>
      </x:c>
      <x:c r="R242" s="9" t="n">
        <x:f>K242-P242</x:f>
        <x:v>1.1500000000000004</x:v>
      </x:c>
      <x:c r="S242" s="10" t="n">
        <x:f>IF(K242&gt;0,R242/K242,"")</x:f>
        <x:v>0.176923076923077</x:v>
      </x:c>
    </x:row>
    <x:row r="243">
      <x:c r="A243" s="7" t="n">
        <x:v>239</x:v>
      </x:c>
      <x:c r="B243" s="7" t="str">
        <x:v>Tata</x:v>
      </x:c>
      <x:c r="C243" s="7" t="str">
        <x:v>Tiago</x:v>
      </x:c>
      <x:c r="D243" s="7" t="str">
        <x:v>XT</x:v>
      </x:c>
      <x:c r="E243" s="7" t="str">
        <x:v>Petrol</x:v>
      </x:c>
      <x:c r="F243" s="7" t="str">
        <x:v>Manual</x:v>
      </x:c>
      <x:c r="G243" s="7" t="str">
        <x:v>Hatchback</x:v>
      </x:c>
      <x:c r="H243" s="7" t="n">
        <x:v>1199</x:v>
      </x:c>
      <x:c r="I243" s="7" t="n">
        <x:v>85</x:v>
      </x:c>
      <x:c r="J243" s="9" t="n">
        <x:v>20.1</x:v>
      </x:c>
      <x:c r="K243" s="9" t="n">
        <x:v>6.5</x:v>
      </x:c>
      <x:c r="L243" s="7" t="n">
        <x:v>2021</x:v>
      </x:c>
      <x:c r="M243" s="11" t="n">
        <x:v>60577</x:v>
      </x:c>
      <x:c r="N243" s="7" t="n">
        <x:v>1</x:v>
      </x:c>
      <x:c r="O243" s="7" t="n">
        <x:v>0</x:v>
      </x:c>
      <x:c r="P243" s="9" t="n">
        <x:v>3.7</x:v>
      </x:c>
      <x:c r="Q243" s="7" t="n">
        <x:f>'Guide'!$B$5-L243</x:f>
        <x:v>5</x:v>
      </x:c>
      <x:c r="R243" s="9" t="n">
        <x:f>K243-P243</x:f>
        <x:v>2.8</x:v>
      </x:c>
      <x:c r="S243" s="10" t="n">
        <x:f>IF(K243&gt;0,R243/K243,"")</x:f>
        <x:v>0.43076923076923074</x:v>
      </x:c>
    </x:row>
    <x:row r="244">
      <x:c r="A244" s="7" t="n">
        <x:v>240</x:v>
      </x:c>
      <x:c r="B244" s="7" t="str">
        <x:v>Tata</x:v>
      </x:c>
      <x:c r="C244" s="7" t="str">
        <x:v>Tiago</x:v>
      </x:c>
      <x:c r="D244" s="7" t="str">
        <x:v>XT</x:v>
      </x:c>
      <x:c r="E244" s="7" t="str">
        <x:v>Petrol</x:v>
      </x:c>
      <x:c r="F244" s="7" t="str">
        <x:v>Manual</x:v>
      </x:c>
      <x:c r="G244" s="7" t="str">
        <x:v>Hatchback</x:v>
      </x:c>
      <x:c r="H244" s="7" t="n">
        <x:v>1199</x:v>
      </x:c>
      <x:c r="I244" s="7" t="n">
        <x:v>85</x:v>
      </x:c>
      <x:c r="J244" s="9" t="n">
        <x:v>20.1</x:v>
      </x:c>
      <x:c r="K244" s="9" t="n">
        <x:v>6.5</x:v>
      </x:c>
      <x:c r="L244" s="7" t="n">
        <x:v>2020</x:v>
      </x:c>
      <x:c r="M244" s="11" t="n">
        <x:v>58356</x:v>
      </x:c>
      <x:c r="N244" s="7" t="n">
        <x:v>2</x:v>
      </x:c>
      <x:c r="O244" s="7" t="n">
        <x:v>0</x:v>
      </x:c>
      <x:c r="P244" s="9" t="n">
        <x:v>2.86</x:v>
      </x:c>
      <x:c r="Q244" s="7" t="n">
        <x:f>'Guide'!$B$5-L244</x:f>
        <x:v>6</x:v>
      </x:c>
      <x:c r="R244" s="9" t="n">
        <x:f>K244-P244</x:f>
        <x:v>3.64</x:v>
      </x:c>
      <x:c r="S244" s="10" t="n">
        <x:f>IF(K244&gt;0,R244/K244,"")</x:f>
        <x:v>0.56</x:v>
      </x:c>
    </x:row>
    <x:row r="245">
      <x:c r="A245" s="7" t="n">
        <x:v>241</x:v>
      </x:c>
      <x:c r="B245" s="7" t="str">
        <x:v>Tata</x:v>
      </x:c>
      <x:c r="C245" s="7" t="str">
        <x:v>Tiago</x:v>
      </x:c>
      <x:c r="D245" s="7" t="str">
        <x:v>XT</x:v>
      </x:c>
      <x:c r="E245" s="7" t="str">
        <x:v>Petrol</x:v>
      </x:c>
      <x:c r="F245" s="7" t="str">
        <x:v>Manual</x:v>
      </x:c>
      <x:c r="G245" s="7" t="str">
        <x:v>Hatchback</x:v>
      </x:c>
      <x:c r="H245" s="7" t="n">
        <x:v>1199</x:v>
      </x:c>
      <x:c r="I245" s="7" t="n">
        <x:v>85</x:v>
      </x:c>
      <x:c r="J245" s="9" t="n">
        <x:v>20.1</x:v>
      </x:c>
      <x:c r="K245" s="9" t="n">
        <x:v>6.5</x:v>
      </x:c>
      <x:c r="L245" s="7" t="n">
        <x:v>2023</x:v>
      </x:c>
      <x:c r="M245" s="11" t="n">
        <x:v>56877</x:v>
      </x:c>
      <x:c r="N245" s="7" t="n">
        <x:v>1</x:v>
      </x:c>
      <x:c r="O245" s="7" t="n">
        <x:v>0</x:v>
      </x:c>
      <x:c r="P245" s="9" t="n">
        <x:v>4.22</x:v>
      </x:c>
      <x:c r="Q245" s="7" t="n">
        <x:f>'Guide'!$B$5-L245</x:f>
        <x:v>3</x:v>
      </x:c>
      <x:c r="R245" s="9" t="n">
        <x:f>K245-P245</x:f>
        <x:v>2.2800000000000002</x:v>
      </x:c>
      <x:c r="S245" s="10" t="n">
        <x:f>IF(K245&gt;0,R245/K245,"")</x:f>
        <x:v>0.35076923076923083</x:v>
      </x:c>
    </x:row>
    <x:row r="246">
      <x:c r="A246" s="7" t="n">
        <x:v>242</x:v>
      </x:c>
      <x:c r="B246" s="7" t="str">
        <x:v>Tata</x:v>
      </x:c>
      <x:c r="C246" s="7" t="str">
        <x:v>Tiago</x:v>
      </x:c>
      <x:c r="D246" s="7" t="str">
        <x:v>XT</x:v>
      </x:c>
      <x:c r="E246" s="7" t="str">
        <x:v>Petrol</x:v>
      </x:c>
      <x:c r="F246" s="7" t="str">
        <x:v>Manual</x:v>
      </x:c>
      <x:c r="G246" s="7" t="str">
        <x:v>Hatchback</x:v>
      </x:c>
      <x:c r="H246" s="7" t="n">
        <x:v>1199</x:v>
      </x:c>
      <x:c r="I246" s="7" t="n">
        <x:v>85</x:v>
      </x:c>
      <x:c r="J246" s="9" t="n">
        <x:v>20.1</x:v>
      </x:c>
      <x:c r="K246" s="9" t="n">
        <x:v>6.5</x:v>
      </x:c>
      <x:c r="L246" s="7" t="n">
        <x:v>2025</x:v>
      </x:c>
      <x:c r="M246" s="11" t="n">
        <x:v>23009</x:v>
      </x:c>
      <x:c r="N246" s="7" t="n">
        <x:v>1</x:v>
      </x:c>
      <x:c r="O246" s="7" t="n">
        <x:v>0</x:v>
      </x:c>
      <x:c r="P246" s="9" t="n">
        <x:v>6.09</x:v>
      </x:c>
      <x:c r="Q246" s="7" t="n">
        <x:f>'Guide'!$B$5-L246</x:f>
        <x:v>1</x:v>
      </x:c>
      <x:c r="R246" s="9" t="n">
        <x:f>K246-P246</x:f>
        <x:v>0.41000000000000014</x:v>
      </x:c>
      <x:c r="S246" s="10" t="n">
        <x:f>IF(K246&gt;0,R246/K246,"")</x:f>
        <x:v>0.0630769230769231</x:v>
      </x:c>
    </x:row>
    <x:row r="247">
      <x:c r="A247" s="7" t="n">
        <x:v>243</x:v>
      </x:c>
      <x:c r="B247" s="7" t="str">
        <x:v>Tata</x:v>
      </x:c>
      <x:c r="C247" s="7" t="str">
        <x:v>Tiago</x:v>
      </x:c>
      <x:c r="D247" s="7" t="str">
        <x:v>XT</x:v>
      </x:c>
      <x:c r="E247" s="7" t="str">
        <x:v>Petrol</x:v>
      </x:c>
      <x:c r="F247" s="7" t="str">
        <x:v>Manual</x:v>
      </x:c>
      <x:c r="G247" s="7" t="str">
        <x:v>Hatchback</x:v>
      </x:c>
      <x:c r="H247" s="7" t="n">
        <x:v>1199</x:v>
      </x:c>
      <x:c r="I247" s="7" t="n">
        <x:v>85</x:v>
      </x:c>
      <x:c r="J247" s="9" t="n">
        <x:v>20.1</x:v>
      </x:c>
      <x:c r="K247" s="9" t="n">
        <x:v>6.5</x:v>
      </x:c>
      <x:c r="L247" s="7" t="n">
        <x:v>2026</x:v>
      </x:c>
      <x:c r="M247" s="11" t="n">
        <x:v>5628</x:v>
      </x:c>
      <x:c r="N247" s="7" t="n">
        <x:v>2</x:v>
      </x:c>
      <x:c r="O247" s="7" t="n">
        <x:v>0</x:v>
      </x:c>
      <x:c r="P247" s="9" t="n">
        <x:v>6.08</x:v>
      </x:c>
      <x:c r="Q247" s="7" t="n">
        <x:f>'Guide'!$B$5-L247</x:f>
        <x:v>0</x:v>
      </x:c>
      <x:c r="R247" s="9" t="n">
        <x:f>K247-P247</x:f>
        <x:v>0.41999999999999993</x:v>
      </x:c>
      <x:c r="S247" s="10" t="n">
        <x:f>IF(K247&gt;0,R247/K247,"")</x:f>
        <x:v>0.0646153846153846</x:v>
      </x:c>
    </x:row>
    <x:row r="248">
      <x:c r="A248" s="7" t="n">
        <x:v>244</x:v>
      </x:c>
      <x:c r="B248" s="7" t="str">
        <x:v>Tata</x:v>
      </x:c>
      <x:c r="C248" s="7" t="str">
        <x:v>Tiago</x:v>
      </x:c>
      <x:c r="D248" s="7" t="str">
        <x:v>XT</x:v>
      </x:c>
      <x:c r="E248" s="7" t="str">
        <x:v>Petrol</x:v>
      </x:c>
      <x:c r="F248" s="7" t="str">
        <x:v>Manual</x:v>
      </x:c>
      <x:c r="G248" s="7" t="str">
        <x:v>Hatchback</x:v>
      </x:c>
      <x:c r="H248" s="7" t="n">
        <x:v>1199</x:v>
      </x:c>
      <x:c r="I248" s="7" t="n">
        <x:v>85</x:v>
      </x:c>
      <x:c r="J248" s="9" t="n">
        <x:v>20.1</x:v>
      </x:c>
      <x:c r="K248" s="9" t="n">
        <x:v>6.5</x:v>
      </x:c>
      <x:c r="L248" s="7" t="n">
        <x:v>2020</x:v>
      </x:c>
      <x:c r="M248" s="11" t="n">
        <x:v>123004</x:v>
      </x:c>
      <x:c r="N248" s="7" t="n">
        <x:v>2</x:v>
      </x:c>
      <x:c r="O248" s="7" t="n">
        <x:v>0</x:v>
      </x:c>
      <x:c r="P248" s="9" t="n">
        <x:v>2.26</x:v>
      </x:c>
      <x:c r="Q248" s="7" t="n">
        <x:f>'Guide'!$B$5-L248</x:f>
        <x:v>6</x:v>
      </x:c>
      <x:c r="R248" s="9" t="n">
        <x:f>K248-P248</x:f>
        <x:v>4.24</x:v>
      </x:c>
      <x:c r="S248" s="10" t="n">
        <x:f>IF(K248&gt;0,R248/K248,"")</x:f>
        <x:v>0.6523076923076924</x:v>
      </x:c>
    </x:row>
    <x:row r="249">
      <x:c r="A249" s="7" t="n">
        <x:v>245</x:v>
      </x:c>
      <x:c r="B249" s="7" t="str">
        <x:v>Tata</x:v>
      </x:c>
      <x:c r="C249" s="7" t="str">
        <x:v>Tiago</x:v>
      </x:c>
      <x:c r="D249" s="7" t="str">
        <x:v>XT</x:v>
      </x:c>
      <x:c r="E249" s="7" t="str">
        <x:v>Petrol</x:v>
      </x:c>
      <x:c r="F249" s="7" t="str">
        <x:v>Manual</x:v>
      </x:c>
      <x:c r="G249" s="7" t="str">
        <x:v>Hatchback</x:v>
      </x:c>
      <x:c r="H249" s="7" t="n">
        <x:v>1199</x:v>
      </x:c>
      <x:c r="I249" s="7" t="n">
        <x:v>85</x:v>
      </x:c>
      <x:c r="J249" s="9" t="n">
        <x:v>20.1</x:v>
      </x:c>
      <x:c r="K249" s="9" t="n">
        <x:v>6.5</x:v>
      </x:c>
      <x:c r="L249" s="7" t="n">
        <x:v>2021</x:v>
      </x:c>
      <x:c r="M249" s="11" t="n">
        <x:v>53815</x:v>
      </x:c>
      <x:c r="N249" s="7" t="n">
        <x:v>2</x:v>
      </x:c>
      <x:c r="O249" s="7" t="n">
        <x:v>0</x:v>
      </x:c>
      <x:c r="P249" s="9" t="n">
        <x:v>3.08</x:v>
      </x:c>
      <x:c r="Q249" s="7" t="n">
        <x:f>'Guide'!$B$5-L249</x:f>
        <x:v>5</x:v>
      </x:c>
      <x:c r="R249" s="9" t="n">
        <x:f>K249-P249</x:f>
        <x:v>3.42</x:v>
      </x:c>
      <x:c r="S249" s="10" t="n">
        <x:f>IF(K249&gt;0,R249/K249,"")</x:f>
        <x:v>0.5261538461538462</x:v>
      </x:c>
    </x:row>
    <x:row r="250">
      <x:c r="A250" s="7" t="n">
        <x:v>246</x:v>
      </x:c>
      <x:c r="B250" s="7" t="str">
        <x:v>Tata</x:v>
      </x:c>
      <x:c r="C250" s="7" t="str">
        <x:v>Tiago</x:v>
      </x:c>
      <x:c r="D250" s="7" t="str">
        <x:v>XT</x:v>
      </x:c>
      <x:c r="E250" s="7" t="str">
        <x:v>Petrol</x:v>
      </x:c>
      <x:c r="F250" s="7" t="str">
        <x:v>Manual</x:v>
      </x:c>
      <x:c r="G250" s="7" t="str">
        <x:v>Hatchback</x:v>
      </x:c>
      <x:c r="H250" s="7" t="n">
        <x:v>1199</x:v>
      </x:c>
      <x:c r="I250" s="7" t="n">
        <x:v>85</x:v>
      </x:c>
      <x:c r="J250" s="9" t="n">
        <x:v>20.1</x:v>
      </x:c>
      <x:c r="K250" s="9" t="n">
        <x:v>6.5</x:v>
      </x:c>
      <x:c r="L250" s="7" t="n">
        <x:v>2022</x:v>
      </x:c>
      <x:c r="M250" s="11" t="n">
        <x:v>46735</x:v>
      </x:c>
      <x:c r="N250" s="7" t="n">
        <x:v>1</x:v>
      </x:c>
      <x:c r="O250" s="7" t="n">
        <x:v>0</x:v>
      </x:c>
      <x:c r="P250" s="9" t="n">
        <x:v>3.98</x:v>
      </x:c>
      <x:c r="Q250" s="7" t="n">
        <x:f>'Guide'!$B$5-L250</x:f>
        <x:v>4</x:v>
      </x:c>
      <x:c r="R250" s="9" t="n">
        <x:f>K250-P250</x:f>
        <x:v>2.52</x:v>
      </x:c>
      <x:c r="S250" s="10" t="n">
        <x:f>IF(K250&gt;0,R250/K250,"")</x:f>
        <x:v>0.38769230769230767</x:v>
      </x:c>
    </x:row>
    <x:row r="251">
      <x:c r="A251" s="7" t="n">
        <x:v>247</x:v>
      </x:c>
      <x:c r="B251" s="7" t="str">
        <x:v>Tata</x:v>
      </x:c>
      <x:c r="C251" s="7" t="str">
        <x:v>Tiago</x:v>
      </x:c>
      <x:c r="D251" s="7" t="str">
        <x:v>XT</x:v>
      </x:c>
      <x:c r="E251" s="7" t="str">
        <x:v>Petrol</x:v>
      </x:c>
      <x:c r="F251" s="7" t="str">
        <x:v>Manual</x:v>
      </x:c>
      <x:c r="G251" s="7" t="str">
        <x:v>Hatchback</x:v>
      </x:c>
      <x:c r="H251" s="7" t="n">
        <x:v>1199</x:v>
      </x:c>
      <x:c r="I251" s="7" t="n">
        <x:v>85</x:v>
      </x:c>
      <x:c r="J251" s="9" t="n">
        <x:v>20.1</x:v>
      </x:c>
      <x:c r="K251" s="9" t="n">
        <x:v>6.5</x:v>
      </x:c>
      <x:c r="L251" s="7" t="n">
        <x:v>2022</x:v>
      </x:c>
      <x:c r="M251" s="11" t="n">
        <x:v>46991</x:v>
      </x:c>
      <x:c r="N251" s="7" t="n">
        <x:v>1</x:v>
      </x:c>
      <x:c r="O251" s="7" t="n">
        <x:v>0</x:v>
      </x:c>
      <x:c r="P251" s="9" t="n">
        <x:v>4.27</x:v>
      </x:c>
      <x:c r="Q251" s="7" t="n">
        <x:f>'Guide'!$B$5-L251</x:f>
        <x:v>4</x:v>
      </x:c>
      <x:c r="R251" s="9" t="n">
        <x:f>K251-P251</x:f>
        <x:v>2.2300000000000004</x:v>
      </x:c>
      <x:c r="S251" s="10" t="n">
        <x:f>IF(K251&gt;0,R251/K251,"")</x:f>
        <x:v>0.34307692307692317</x:v>
      </x:c>
    </x:row>
    <x:row r="252">
      <x:c r="A252" s="7" t="n">
        <x:v>248</x:v>
      </x:c>
      <x:c r="B252" s="7" t="str">
        <x:v>Tata</x:v>
      </x:c>
      <x:c r="C252" s="7" t="str">
        <x:v>Tiago</x:v>
      </x:c>
      <x:c r="D252" s="7" t="str">
        <x:v>XT</x:v>
      </x:c>
      <x:c r="E252" s="7" t="str">
        <x:v>Petrol</x:v>
      </x:c>
      <x:c r="F252" s="7" t="str">
        <x:v>Manual</x:v>
      </x:c>
      <x:c r="G252" s="7" t="str">
        <x:v>Hatchback</x:v>
      </x:c>
      <x:c r="H252" s="7" t="n">
        <x:v>1199</x:v>
      </x:c>
      <x:c r="I252" s="7" t="n">
        <x:v>85</x:v>
      </x:c>
      <x:c r="J252" s="9" t="n">
        <x:v>20.1</x:v>
      </x:c>
      <x:c r="K252" s="9" t="n">
        <x:v>6.5</x:v>
      </x:c>
      <x:c r="L252" s="7" t="n">
        <x:v>2022</x:v>
      </x:c>
      <x:c r="M252" s="11" t="n">
        <x:v>81487</x:v>
      </x:c>
      <x:c r="N252" s="7" t="n">
        <x:v>2</x:v>
      </x:c>
      <x:c r="O252" s="7" t="n">
        <x:v>0</x:v>
      </x:c>
      <x:c r="P252" s="9" t="n">
        <x:v>3.09</x:v>
      </x:c>
      <x:c r="Q252" s="7" t="n">
        <x:f>'Guide'!$B$5-L252</x:f>
        <x:v>4</x:v>
      </x:c>
      <x:c r="R252" s="9" t="n">
        <x:f>K252-P252</x:f>
        <x:v>3.41</x:v>
      </x:c>
      <x:c r="S252" s="10" t="n">
        <x:f>IF(K252&gt;0,R252/K252,"")</x:f>
        <x:v>0.5246153846153846</x:v>
      </x:c>
    </x:row>
    <x:row r="253">
      <x:c r="A253" s="7" t="n">
        <x:v>249</x:v>
      </x:c>
      <x:c r="B253" s="7" t="str">
        <x:v>Tata</x:v>
      </x:c>
      <x:c r="C253" s="7" t="str">
        <x:v>Tiago</x:v>
      </x:c>
      <x:c r="D253" s="7" t="str">
        <x:v>XT</x:v>
      </x:c>
      <x:c r="E253" s="7" t="str">
        <x:v>Petrol</x:v>
      </x:c>
      <x:c r="F253" s="7" t="str">
        <x:v>Manual</x:v>
      </x:c>
      <x:c r="G253" s="7" t="str">
        <x:v>Hatchback</x:v>
      </x:c>
      <x:c r="H253" s="7" t="n">
        <x:v>1199</x:v>
      </x:c>
      <x:c r="I253" s="7" t="n">
        <x:v>85</x:v>
      </x:c>
      <x:c r="J253" s="9" t="n">
        <x:v>20.1</x:v>
      </x:c>
      <x:c r="K253" s="9" t="n">
        <x:v>6.5</x:v>
      </x:c>
      <x:c r="L253" s="7" t="n">
        <x:v>2024</x:v>
      </x:c>
      <x:c r="M253" s="11" t="n">
        <x:v>47197</x:v>
      </x:c>
      <x:c r="N253" s="7" t="n">
        <x:v>1</x:v>
      </x:c>
      <x:c r="O253" s="7" t="n">
        <x:v>0</x:v>
      </x:c>
      <x:c r="P253" s="9" t="n">
        <x:v>5.27</x:v>
      </x:c>
      <x:c r="Q253" s="7" t="n">
        <x:f>'Guide'!$B$5-L253</x:f>
        <x:v>2</x:v>
      </x:c>
      <x:c r="R253" s="9" t="n">
        <x:f>K253-P253</x:f>
        <x:v>1.2300000000000004</x:v>
      </x:c>
      <x:c r="S253" s="10" t="n">
        <x:f>IF(K253&gt;0,R253/K253,"")</x:f>
        <x:v>0.18923076923076929</x:v>
      </x:c>
    </x:row>
    <x:row r="254">
      <x:c r="A254" s="7" t="n">
        <x:v>250</x:v>
      </x:c>
      <x:c r="B254" s="7" t="str">
        <x:v>Tata</x:v>
      </x:c>
      <x:c r="C254" s="7" t="str">
        <x:v>Tiago</x:v>
      </x:c>
      <x:c r="D254" s="7" t="str">
        <x:v>XT</x:v>
      </x:c>
      <x:c r="E254" s="7" t="str">
        <x:v>Petrol</x:v>
      </x:c>
      <x:c r="F254" s="7" t="str">
        <x:v>Manual</x:v>
      </x:c>
      <x:c r="G254" s="7" t="str">
        <x:v>Hatchback</x:v>
      </x:c>
      <x:c r="H254" s="7" t="n">
        <x:v>1199</x:v>
      </x:c>
      <x:c r="I254" s="7" t="n">
        <x:v>85</x:v>
      </x:c>
      <x:c r="J254" s="9" t="n">
        <x:v>20.1</x:v>
      </x:c>
      <x:c r="K254" s="9" t="n">
        <x:v>6.5</x:v>
      </x:c>
      <x:c r="L254" s="7" t="n">
        <x:v>2025</x:v>
      </x:c>
      <x:c r="M254" s="11" t="n">
        <x:v>23732</x:v>
      </x:c>
      <x:c r="N254" s="7" t="n">
        <x:v>1</x:v>
      </x:c>
      <x:c r="O254" s="7" t="n">
        <x:v>0</x:v>
      </x:c>
      <x:c r="P254" s="9" t="n">
        <x:v>5.45</x:v>
      </x:c>
      <x:c r="Q254" s="7" t="n">
        <x:f>'Guide'!$B$5-L254</x:f>
        <x:v>1</x:v>
      </x:c>
      <x:c r="R254" s="9" t="n">
        <x:f>K254-P254</x:f>
        <x:v>1.0499999999999998</x:v>
      </x:c>
      <x:c r="S254" s="10" t="n">
        <x:f>IF(K254&gt;0,R254/K254,"")</x:f>
        <x:v>0.16153846153846152</x:v>
      </x:c>
    </x:row>
    <x:row r="255">
      <x:c r="A255" s="7" t="n">
        <x:v>251</x:v>
      </x:c>
      <x:c r="B255" s="7" t="str">
        <x:v>Tata</x:v>
      </x:c>
      <x:c r="C255" s="7" t="str">
        <x:v>Tiago</x:v>
      </x:c>
      <x:c r="D255" s="7" t="str">
        <x:v>XT</x:v>
      </x:c>
      <x:c r="E255" s="7" t="str">
        <x:v>Petrol</x:v>
      </x:c>
      <x:c r="F255" s="7" t="str">
        <x:v>Manual</x:v>
      </x:c>
      <x:c r="G255" s="7" t="str">
        <x:v>Hatchback</x:v>
      </x:c>
      <x:c r="H255" s="7" t="n">
        <x:v>1199</x:v>
      </x:c>
      <x:c r="I255" s="7" t="n">
        <x:v>85</x:v>
      </x:c>
      <x:c r="J255" s="9" t="n">
        <x:v>20.1</x:v>
      </x:c>
      <x:c r="K255" s="9" t="n">
        <x:v>6.5</x:v>
      </x:c>
      <x:c r="L255" s="7" t="n">
        <x:v>2024</x:v>
      </x:c>
      <x:c r="M255" s="11" t="n">
        <x:v>27626</x:v>
      </x:c>
      <x:c r="N255" s="7" t="n">
        <x:v>2</x:v>
      </x:c>
      <x:c r="O255" s="7" t="n">
        <x:v>0</x:v>
      </x:c>
      <x:c r="P255" s="9" t="n">
        <x:v>4.98</x:v>
      </x:c>
      <x:c r="Q255" s="7" t="n">
        <x:f>'Guide'!$B$5-L255</x:f>
        <x:v>2</x:v>
      </x:c>
      <x:c r="R255" s="9" t="n">
        <x:f>K255-P255</x:f>
        <x:v>1.5199999999999996</x:v>
      </x:c>
      <x:c r="S255" s="10" t="n">
        <x:f>IF(K255&gt;0,R255/K255,"")</x:f>
        <x:v>0.2338461538461538</x:v>
      </x:c>
    </x:row>
    <x:row r="256">
      <x:c r="A256" s="7" t="n">
        <x:v>252</x:v>
      </x:c>
      <x:c r="B256" s="7" t="str">
        <x:v>Tata</x:v>
      </x:c>
      <x:c r="C256" s="7" t="str">
        <x:v>Tiago</x:v>
      </x:c>
      <x:c r="D256" s="7" t="str">
        <x:v>XT</x:v>
      </x:c>
      <x:c r="E256" s="7" t="str">
        <x:v>Petrol</x:v>
      </x:c>
      <x:c r="F256" s="7" t="str">
        <x:v>Manual</x:v>
      </x:c>
      <x:c r="G256" s="7" t="str">
        <x:v>Hatchback</x:v>
      </x:c>
      <x:c r="H256" s="7" t="n">
        <x:v>1199</x:v>
      </x:c>
      <x:c r="I256" s="7" t="n">
        <x:v>85</x:v>
      </x:c>
      <x:c r="J256" s="9" t="n">
        <x:v>20.1</x:v>
      </x:c>
      <x:c r="K256" s="9" t="n">
        <x:v>6.5</x:v>
      </x:c>
      <x:c r="L256" s="7" t="n">
        <x:v>2025</x:v>
      </x:c>
      <x:c r="M256" s="11" t="n">
        <x:v>23441</x:v>
      </x:c>
      <x:c r="N256" s="7" t="n">
        <x:v>1</x:v>
      </x:c>
      <x:c r="O256" s="7" t="n">
        <x:v>0</x:v>
      </x:c>
      <x:c r="P256" s="9" t="n">
        <x:v>5.42</x:v>
      </x:c>
      <x:c r="Q256" s="7" t="n">
        <x:f>'Guide'!$B$5-L256</x:f>
        <x:v>1</x:v>
      </x:c>
      <x:c r="R256" s="9" t="n">
        <x:f>K256-P256</x:f>
        <x:v>1.08</x:v>
      </x:c>
      <x:c r="S256" s="10" t="n">
        <x:f>IF(K256&gt;0,R256/K256,"")</x:f>
        <x:v>0.16615384615384615</x:v>
      </x:c>
    </x:row>
    <x:row r="257">
      <x:c r="A257" s="7" t="n">
        <x:v>253</x:v>
      </x:c>
      <x:c r="B257" s="7" t="str">
        <x:v>Tata</x:v>
      </x:c>
      <x:c r="C257" s="7" t="str">
        <x:v>Tiago</x:v>
      </x:c>
      <x:c r="D257" s="7" t="str">
        <x:v>XT</x:v>
      </x:c>
      <x:c r="E257" s="7" t="str">
        <x:v>Petrol</x:v>
      </x:c>
      <x:c r="F257" s="7" t="str">
        <x:v>Manual</x:v>
      </x:c>
      <x:c r="G257" s="7" t="str">
        <x:v>Hatchback</x:v>
      </x:c>
      <x:c r="H257" s="7" t="n">
        <x:v>1199</x:v>
      </x:c>
      <x:c r="I257" s="7" t="n">
        <x:v>85</x:v>
      </x:c>
      <x:c r="J257" s="9" t="n">
        <x:v>20.1</x:v>
      </x:c>
      <x:c r="K257" s="9" t="n">
        <x:v>6.5</x:v>
      </x:c>
      <x:c r="L257" s="7" t="n">
        <x:v>2021</x:v>
      </x:c>
      <x:c r="M257" s="11" t="n">
        <x:v>100433</x:v>
      </x:c>
      <x:c r="N257" s="7" t="n">
        <x:v>1</x:v>
      </x:c>
      <x:c r="O257" s="7" t="n">
        <x:v>0</x:v>
      </x:c>
      <x:c r="P257" s="9" t="n">
        <x:v>2.73</x:v>
      </x:c>
      <x:c r="Q257" s="7" t="n">
        <x:f>'Guide'!$B$5-L257</x:f>
        <x:v>5</x:v>
      </x:c>
      <x:c r="R257" s="9" t="n">
        <x:f>K257-P257</x:f>
        <x:v>3.77</x:v>
      </x:c>
      <x:c r="S257" s="10" t="n">
        <x:f>IF(K257&gt;0,R257/K257,"")</x:f>
        <x:v>0.58</x:v>
      </x:c>
    </x:row>
    <x:row r="258">
      <x:c r="A258" s="7" t="n">
        <x:v>254</x:v>
      </x:c>
      <x:c r="B258" s="7" t="str">
        <x:v>Tata</x:v>
      </x:c>
      <x:c r="C258" s="7" t="str">
        <x:v>Tiago</x:v>
      </x:c>
      <x:c r="D258" s="7" t="str">
        <x:v>XT</x:v>
      </x:c>
      <x:c r="E258" s="7" t="str">
        <x:v>Petrol</x:v>
      </x:c>
      <x:c r="F258" s="7" t="str">
        <x:v>Manual</x:v>
      </x:c>
      <x:c r="G258" s="7" t="str">
        <x:v>Hatchback</x:v>
      </x:c>
      <x:c r="H258" s="7" t="n">
        <x:v>1199</x:v>
      </x:c>
      <x:c r="I258" s="7" t="n">
        <x:v>85</x:v>
      </x:c>
      <x:c r="J258" s="9" t="n">
        <x:v>20.1</x:v>
      </x:c>
      <x:c r="K258" s="9" t="n">
        <x:v>6.5</x:v>
      </x:c>
      <x:c r="L258" s="7" t="n">
        <x:v>2025</x:v>
      </x:c>
      <x:c r="M258" s="11" t="n">
        <x:v>29392</x:v>
      </x:c>
      <x:c r="N258" s="7" t="n">
        <x:v>1</x:v>
      </x:c>
      <x:c r="O258" s="7" t="n">
        <x:v>0</x:v>
      </x:c>
      <x:c r="P258" s="9" t="n">
        <x:v>6.06</x:v>
      </x:c>
      <x:c r="Q258" s="7" t="n">
        <x:f>'Guide'!$B$5-L258</x:f>
        <x:v>1</x:v>
      </x:c>
      <x:c r="R258" s="9" t="n">
        <x:f>K258-P258</x:f>
        <x:v>0.4400000000000004</x:v>
      </x:c>
      <x:c r="S258" s="10" t="n">
        <x:f>IF(K258&gt;0,R258/K258,"")</x:f>
        <x:v>0.06769230769230775</x:v>
      </x:c>
    </x:row>
    <x:row r="259">
      <x:c r="A259" s="7" t="n">
        <x:v>255</x:v>
      </x:c>
      <x:c r="B259" s="7" t="str">
        <x:v>Tata</x:v>
      </x:c>
      <x:c r="C259" s="7" t="str">
        <x:v>Tiago</x:v>
      </x:c>
      <x:c r="D259" s="7" t="str">
        <x:v>XT</x:v>
      </x:c>
      <x:c r="E259" s="7" t="str">
        <x:v>Petrol</x:v>
      </x:c>
      <x:c r="F259" s="7" t="str">
        <x:v>Manual</x:v>
      </x:c>
      <x:c r="G259" s="7" t="str">
        <x:v>Hatchback</x:v>
      </x:c>
      <x:c r="H259" s="7" t="n">
        <x:v>1199</x:v>
      </x:c>
      <x:c r="I259" s="7" t="n">
        <x:v>85</x:v>
      </x:c>
      <x:c r="J259" s="9" t="n">
        <x:v>20.1</x:v>
      </x:c>
      <x:c r="K259" s="9" t="n">
        <x:v>6.5</x:v>
      </x:c>
      <x:c r="L259" s="7" t="n">
        <x:v>2026</x:v>
      </x:c>
      <x:c r="M259" s="11" t="n">
        <x:v>7093</x:v>
      </x:c>
      <x:c r="N259" s="7" t="n">
        <x:v>2</x:v>
      </x:c>
      <x:c r="O259" s="7" t="n">
        <x:v>0</x:v>
      </x:c>
      <x:c r="P259" s="9" t="n">
        <x:v>5.85</x:v>
      </x:c>
      <x:c r="Q259" s="7" t="n">
        <x:f>'Guide'!$B$5-L259</x:f>
        <x:v>0</x:v>
      </x:c>
      <x:c r="R259" s="9" t="n">
        <x:f>K259-P259</x:f>
        <x:v>0.6500000000000004</x:v>
      </x:c>
      <x:c r="S259" s="10" t="n">
        <x:f>IF(K259&gt;0,R259/K259,"")</x:f>
        <x:v>0.10000000000000006</x:v>
      </x:c>
    </x:row>
    <x:row r="260">
      <x:c r="A260" s="7" t="n">
        <x:v>256</x:v>
      </x:c>
      <x:c r="B260" s="7" t="str">
        <x:v>Tata</x:v>
      </x:c>
      <x:c r="C260" s="7" t="str">
        <x:v>Tiago</x:v>
      </x:c>
      <x:c r="D260" s="7" t="str">
        <x:v>XT</x:v>
      </x:c>
      <x:c r="E260" s="7" t="str">
        <x:v>Petrol</x:v>
      </x:c>
      <x:c r="F260" s="7" t="str">
        <x:v>Manual</x:v>
      </x:c>
      <x:c r="G260" s="7" t="str">
        <x:v>Hatchback</x:v>
      </x:c>
      <x:c r="H260" s="7" t="n">
        <x:v>1199</x:v>
      </x:c>
      <x:c r="I260" s="7" t="n">
        <x:v>85</x:v>
      </x:c>
      <x:c r="J260" s="9" t="n">
        <x:v>20.1</x:v>
      </x:c>
      <x:c r="K260" s="9" t="n">
        <x:v>6.5</x:v>
      </x:c>
      <x:c r="L260" s="7" t="n">
        <x:v>2020</x:v>
      </x:c>
      <x:c r="M260" s="11" t="n">
        <x:v>94478</x:v>
      </x:c>
      <x:c r="N260" s="7" t="n">
        <x:v>2</x:v>
      </x:c>
      <x:c r="O260" s="7" t="n">
        <x:v>0</x:v>
      </x:c>
      <x:c r="P260" s="9" t="n">
        <x:v>2.58</x:v>
      </x:c>
      <x:c r="Q260" s="7" t="n">
        <x:f>'Guide'!$B$5-L260</x:f>
        <x:v>6</x:v>
      </x:c>
      <x:c r="R260" s="9" t="n">
        <x:f>K260-P260</x:f>
        <x:v>3.92</x:v>
      </x:c>
      <x:c r="S260" s="10" t="n">
        <x:f>IF(K260&gt;0,R260/K260,"")</x:f>
        <x:v>0.6030769230769231</x:v>
      </x:c>
    </x:row>
    <x:row r="261">
      <x:c r="A261" s="7" t="n">
        <x:v>257</x:v>
      </x:c>
      <x:c r="B261" s="7" t="str">
        <x:v>Tata</x:v>
      </x:c>
      <x:c r="C261" s="7" t="str">
        <x:v>Tiago</x:v>
      </x:c>
      <x:c r="D261" s="7" t="str">
        <x:v>XT</x:v>
      </x:c>
      <x:c r="E261" s="7" t="str">
        <x:v>Petrol</x:v>
      </x:c>
      <x:c r="F261" s="7" t="str">
        <x:v>Manual</x:v>
      </x:c>
      <x:c r="G261" s="7" t="str">
        <x:v>Hatchback</x:v>
      </x:c>
      <x:c r="H261" s="7" t="n">
        <x:v>1199</x:v>
      </x:c>
      <x:c r="I261" s="7" t="n">
        <x:v>85</x:v>
      </x:c>
      <x:c r="J261" s="9" t="n">
        <x:v>20.1</x:v>
      </x:c>
      <x:c r="K261" s="9" t="n">
        <x:v>6.5</x:v>
      </x:c>
      <x:c r="L261" s="7" t="n">
        <x:v>2021</x:v>
      </x:c>
      <x:c r="M261" s="11" t="n">
        <x:v>67564</x:v>
      </x:c>
      <x:c r="N261" s="7" t="n">
        <x:v>1</x:v>
      </x:c>
      <x:c r="O261" s="7" t="n">
        <x:v>0</x:v>
      </x:c>
      <x:c r="P261" s="9" t="n">
        <x:v>3.34</x:v>
      </x:c>
      <x:c r="Q261" s="7" t="n">
        <x:f>'Guide'!$B$5-L261</x:f>
        <x:v>5</x:v>
      </x:c>
      <x:c r="R261" s="9" t="n">
        <x:f>K261-P261</x:f>
        <x:v>3.16</x:v>
      </x:c>
      <x:c r="S261" s="10" t="n">
        <x:f>IF(K261&gt;0,R261/K261,"")</x:f>
        <x:v>0.48615384615384616</x:v>
      </x:c>
    </x:row>
    <x:row r="262">
      <x:c r="A262" s="7" t="n">
        <x:v>258</x:v>
      </x:c>
      <x:c r="B262" s="7" t="str">
        <x:v>Tata</x:v>
      </x:c>
      <x:c r="C262" s="7" t="str">
        <x:v>Tiago</x:v>
      </x:c>
      <x:c r="D262" s="7" t="str">
        <x:v>XT</x:v>
      </x:c>
      <x:c r="E262" s="7" t="str">
        <x:v>Petrol</x:v>
      </x:c>
      <x:c r="F262" s="7" t="str">
        <x:v>Manual</x:v>
      </x:c>
      <x:c r="G262" s="7" t="str">
        <x:v>Hatchback</x:v>
      </x:c>
      <x:c r="H262" s="7" t="n">
        <x:v>1199</x:v>
      </x:c>
      <x:c r="I262" s="7" t="n">
        <x:v>85</x:v>
      </x:c>
      <x:c r="J262" s="9" t="n">
        <x:v>20.1</x:v>
      </x:c>
      <x:c r="K262" s="9" t="n">
        <x:v>6.5</x:v>
      </x:c>
      <x:c r="L262" s="7" t="n">
        <x:v>2025</x:v>
      </x:c>
      <x:c r="M262" s="11" t="n">
        <x:v>27697</x:v>
      </x:c>
      <x:c r="N262" s="7" t="n">
        <x:v>1</x:v>
      </x:c>
      <x:c r="O262" s="7" t="n">
        <x:v>0</x:v>
      </x:c>
      <x:c r="P262" s="9" t="n">
        <x:v>5.83</x:v>
      </x:c>
      <x:c r="Q262" s="7" t="n">
        <x:f>'Guide'!$B$5-L262</x:f>
        <x:v>1</x:v>
      </x:c>
      <x:c r="R262" s="9" t="n">
        <x:f>K262-P262</x:f>
        <x:v>0.6699999999999999</x:v>
      </x:c>
      <x:c r="S262" s="10" t="n">
        <x:f>IF(K262&gt;0,R262/K262,"")</x:f>
        <x:v>0.10307692307692307</x:v>
      </x:c>
    </x:row>
    <x:row r="263">
      <x:c r="A263" s="7" t="n">
        <x:v>259</x:v>
      </x:c>
      <x:c r="B263" s="7" t="str">
        <x:v>Tata</x:v>
      </x:c>
      <x:c r="C263" s="7" t="str">
        <x:v>Tiago</x:v>
      </x:c>
      <x:c r="D263" s="7" t="str">
        <x:v>XT</x:v>
      </x:c>
      <x:c r="E263" s="7" t="str">
        <x:v>Petrol</x:v>
      </x:c>
      <x:c r="F263" s="7" t="str">
        <x:v>Manual</x:v>
      </x:c>
      <x:c r="G263" s="7" t="str">
        <x:v>Hatchback</x:v>
      </x:c>
      <x:c r="H263" s="7" t="n">
        <x:v>1199</x:v>
      </x:c>
      <x:c r="I263" s="7" t="n">
        <x:v>85</x:v>
      </x:c>
      <x:c r="J263" s="9" t="n">
        <x:v>20.1</x:v>
      </x:c>
      <x:c r="K263" s="9" t="n">
        <x:v>6.5</x:v>
      </x:c>
      <x:c r="L263" s="7" t="n">
        <x:v>2021</x:v>
      </x:c>
      <x:c r="M263" s="11" t="n">
        <x:v>85705</x:v>
      </x:c>
      <x:c r="N263" s="7" t="n">
        <x:v>1</x:v>
      </x:c>
      <x:c r="O263" s="7" t="n">
        <x:v>0</x:v>
      </x:c>
      <x:c r="P263" s="9" t="n">
        <x:v>3.35</x:v>
      </x:c>
      <x:c r="Q263" s="7" t="n">
        <x:f>'Guide'!$B$5-L263</x:f>
        <x:v>5</x:v>
      </x:c>
      <x:c r="R263" s="9" t="n">
        <x:f>K263-P263</x:f>
        <x:v>3.15</x:v>
      </x:c>
      <x:c r="S263" s="10" t="n">
        <x:f>IF(K263&gt;0,R263/K263,"")</x:f>
        <x:v>0.4846153846153846</x:v>
      </x:c>
    </x:row>
    <x:row r="264">
      <x:c r="A264" s="7" t="n">
        <x:v>260</x:v>
      </x:c>
      <x:c r="B264" s="7" t="str">
        <x:v>Tata</x:v>
      </x:c>
      <x:c r="C264" s="7" t="str">
        <x:v>Tiago</x:v>
      </x:c>
      <x:c r="D264" s="7" t="str">
        <x:v>XT</x:v>
      </x:c>
      <x:c r="E264" s="7" t="str">
        <x:v>Petrol</x:v>
      </x:c>
      <x:c r="F264" s="7" t="str">
        <x:v>Manual</x:v>
      </x:c>
      <x:c r="G264" s="7" t="str">
        <x:v>Hatchback</x:v>
      </x:c>
      <x:c r="H264" s="7" t="n">
        <x:v>1199</x:v>
      </x:c>
      <x:c r="I264" s="7" t="n">
        <x:v>85</x:v>
      </x:c>
      <x:c r="J264" s="9" t="n">
        <x:v>20.1</x:v>
      </x:c>
      <x:c r="K264" s="9" t="n">
        <x:v>6.5</x:v>
      </x:c>
      <x:c r="L264" s="7" t="n">
        <x:v>2020</x:v>
      </x:c>
      <x:c r="M264" s="11" t="n">
        <x:v>124860</x:v>
      </x:c>
      <x:c r="N264" s="7" t="n">
        <x:v>2</x:v>
      </x:c>
      <x:c r="O264" s="7" t="n">
        <x:v>0</x:v>
      </x:c>
      <x:c r="P264" s="9" t="n">
        <x:v>2.21</x:v>
      </x:c>
      <x:c r="Q264" s="7" t="n">
        <x:f>'Guide'!$B$5-L264</x:f>
        <x:v>6</x:v>
      </x:c>
      <x:c r="R264" s="9" t="n">
        <x:f>K264-P264</x:f>
        <x:v>4.29</x:v>
      </x:c>
      <x:c r="S264" s="10" t="n">
        <x:f>IF(K264&gt;0,R264/K264,"")</x:f>
        <x:v>0.66</x:v>
      </x:c>
    </x:row>
    <x:row r="265">
      <x:c r="A265" s="7" t="n">
        <x:v>261</x:v>
      </x:c>
      <x:c r="B265" s="7" t="str">
        <x:v>Tata</x:v>
      </x:c>
      <x:c r="C265" s="7" t="str">
        <x:v>Tiago</x:v>
      </x:c>
      <x:c r="D265" s="7" t="str">
        <x:v>XT</x:v>
      </x:c>
      <x:c r="E265" s="7" t="str">
        <x:v>Petrol</x:v>
      </x:c>
      <x:c r="F265" s="7" t="str">
        <x:v>Manual</x:v>
      </x:c>
      <x:c r="G265" s="7" t="str">
        <x:v>Hatchback</x:v>
      </x:c>
      <x:c r="H265" s="7" t="n">
        <x:v>1199</x:v>
      </x:c>
      <x:c r="I265" s="7" t="n">
        <x:v>85</x:v>
      </x:c>
      <x:c r="J265" s="9" t="n">
        <x:v>20.1</x:v>
      </x:c>
      <x:c r="K265" s="9" t="n">
        <x:v>6.5</x:v>
      </x:c>
      <x:c r="L265" s="7" t="n">
        <x:v>2021</x:v>
      </x:c>
      <x:c r="M265" s="11" t="n">
        <x:v>91544</x:v>
      </x:c>
      <x:c r="N265" s="7" t="n">
        <x:v>3</x:v>
      </x:c>
      <x:c r="O265" s="7" t="n">
        <x:v>0</x:v>
      </x:c>
      <x:c r="P265" s="9" t="n">
        <x:v>2.28</x:v>
      </x:c>
      <x:c r="Q265" s="7" t="n">
        <x:f>'Guide'!$B$5-L265</x:f>
        <x:v>5</x:v>
      </x:c>
      <x:c r="R265" s="9" t="n">
        <x:f>K265-P265</x:f>
        <x:v>4.220000000000001</x:v>
      </x:c>
      <x:c r="S265" s="10" t="n">
        <x:f>IF(K265&gt;0,R265/K265,"")</x:f>
        <x:v>0.6492307692307693</x:v>
      </x:c>
    </x:row>
    <x:row r="266">
      <x:c r="A266" s="7" t="n">
        <x:v>262</x:v>
      </x:c>
      <x:c r="B266" s="7" t="str">
        <x:v>Tata</x:v>
      </x:c>
      <x:c r="C266" s="7" t="str">
        <x:v>Tiago</x:v>
      </x:c>
      <x:c r="D266" s="7" t="str">
        <x:v>XT</x:v>
      </x:c>
      <x:c r="E266" s="7" t="str">
        <x:v>Petrol</x:v>
      </x:c>
      <x:c r="F266" s="7" t="str">
        <x:v>Manual</x:v>
      </x:c>
      <x:c r="G266" s="7" t="str">
        <x:v>Hatchback</x:v>
      </x:c>
      <x:c r="H266" s="7" t="n">
        <x:v>1199</x:v>
      </x:c>
      <x:c r="I266" s="7" t="n">
        <x:v>85</x:v>
      </x:c>
      <x:c r="J266" s="9" t="n">
        <x:v>20.1</x:v>
      </x:c>
      <x:c r="K266" s="9" t="n">
        <x:v>6.5</x:v>
      </x:c>
      <x:c r="L266" s="7" t="n">
        <x:v>2023</x:v>
      </x:c>
      <x:c r="M266" s="11" t="n">
        <x:v>53024</x:v>
      </x:c>
      <x:c r="N266" s="7" t="n">
        <x:v>1</x:v>
      </x:c>
      <x:c r="O266" s="7" t="n">
        <x:v>0</x:v>
      </x:c>
      <x:c r="P266" s="9" t="n">
        <x:v>4.32</x:v>
      </x:c>
      <x:c r="Q266" s="7" t="n">
        <x:f>'Guide'!$B$5-L266</x:f>
        <x:v>3</x:v>
      </x:c>
      <x:c r="R266" s="9" t="n">
        <x:f>K266-P266</x:f>
        <x:v>2.1799999999999997</x:v>
      </x:c>
      <x:c r="S266" s="10" t="n">
        <x:f>IF(K266&gt;0,R266/K266,"")</x:f>
        <x:v>0.33538461538461534</x:v>
      </x:c>
    </x:row>
    <x:row r="267">
      <x:c r="A267" s="7" t="n">
        <x:v>263</x:v>
      </x:c>
      <x:c r="B267" s="7" t="str">
        <x:v>Tata</x:v>
      </x:c>
      <x:c r="C267" s="7" t="str">
        <x:v>Tiago</x:v>
      </x:c>
      <x:c r="D267" s="7" t="str">
        <x:v>XT</x:v>
      </x:c>
      <x:c r="E267" s="7" t="str">
        <x:v>Petrol</x:v>
      </x:c>
      <x:c r="F267" s="7" t="str">
        <x:v>Manual</x:v>
      </x:c>
      <x:c r="G267" s="7" t="str">
        <x:v>Hatchback</x:v>
      </x:c>
      <x:c r="H267" s="7" t="n">
        <x:v>1199</x:v>
      </x:c>
      <x:c r="I267" s="7" t="n">
        <x:v>85</x:v>
      </x:c>
      <x:c r="J267" s="9" t="n">
        <x:v>20.1</x:v>
      </x:c>
      <x:c r="K267" s="9" t="n">
        <x:v>6.5</x:v>
      </x:c>
      <x:c r="L267" s="7" t="n">
        <x:v>2024</x:v>
      </x:c>
      <x:c r="M267" s="11" t="n">
        <x:v>30419</x:v>
      </x:c>
      <x:c r="N267" s="7" t="n">
        <x:v>1</x:v>
      </x:c>
      <x:c r="O267" s="7" t="n">
        <x:v>0</x:v>
      </x:c>
      <x:c r="P267" s="9" t="n">
        <x:v>5.53</x:v>
      </x:c>
      <x:c r="Q267" s="7" t="n">
        <x:f>'Guide'!$B$5-L267</x:f>
        <x:v>2</x:v>
      </x:c>
      <x:c r="R267" s="9" t="n">
        <x:f>K267-P267</x:f>
        <x:v>0.9699999999999998</x:v>
      </x:c>
      <x:c r="S267" s="10" t="n">
        <x:f>IF(K267&gt;0,R267/K267,"")</x:f>
        <x:v>0.1492307692307692</x:v>
      </x:c>
    </x:row>
    <x:row r="268">
      <x:c r="A268" s="7" t="n">
        <x:v>264</x:v>
      </x:c>
      <x:c r="B268" s="7" t="str">
        <x:v>Tata</x:v>
      </x:c>
      <x:c r="C268" s="7" t="str">
        <x:v>Tiago</x:v>
      </x:c>
      <x:c r="D268" s="7" t="str">
        <x:v>XT</x:v>
      </x:c>
      <x:c r="E268" s="7" t="str">
        <x:v>Petrol</x:v>
      </x:c>
      <x:c r="F268" s="7" t="str">
        <x:v>Manual</x:v>
      </x:c>
      <x:c r="G268" s="7" t="str">
        <x:v>Hatchback</x:v>
      </x:c>
      <x:c r="H268" s="7" t="n">
        <x:v>1199</x:v>
      </x:c>
      <x:c r="I268" s="7" t="n">
        <x:v>85</x:v>
      </x:c>
      <x:c r="J268" s="9" t="n">
        <x:v>20.1</x:v>
      </x:c>
      <x:c r="K268" s="9" t="n">
        <x:v>6.5</x:v>
      </x:c>
      <x:c r="L268" s="7" t="n">
        <x:v>2022</x:v>
      </x:c>
      <x:c r="M268" s="11" t="n">
        <x:v>72103</x:v>
      </x:c>
      <x:c r="N268" s="7" t="n">
        <x:v>1</x:v>
      </x:c>
      <x:c r="O268" s="7" t="n">
        <x:v>0</x:v>
      </x:c>
      <x:c r="P268" s="9" t="n">
        <x:v>4.11</x:v>
      </x:c>
      <x:c r="Q268" s="7" t="n">
        <x:f>'Guide'!$B$5-L268</x:f>
        <x:v>4</x:v>
      </x:c>
      <x:c r="R268" s="9" t="n">
        <x:f>K268-P268</x:f>
        <x:v>2.3899999999999997</x:v>
      </x:c>
      <x:c r="S268" s="10" t="n">
        <x:f>IF(K268&gt;0,R268/K268,"")</x:f>
        <x:v>0.36769230769230765</x:v>
      </x:c>
    </x:row>
    <x:row r="269">
      <x:c r="A269" s="7" t="n">
        <x:v>265</x:v>
      </x:c>
      <x:c r="B269" s="7" t="str">
        <x:v>Tata</x:v>
      </x:c>
      <x:c r="C269" s="7" t="str">
        <x:v>Tiago</x:v>
      </x:c>
      <x:c r="D269" s="7" t="str">
        <x:v>XT</x:v>
      </x:c>
      <x:c r="E269" s="7" t="str">
        <x:v>Petrol</x:v>
      </x:c>
      <x:c r="F269" s="7" t="str">
        <x:v>Manual</x:v>
      </x:c>
      <x:c r="G269" s="7" t="str">
        <x:v>Hatchback</x:v>
      </x:c>
      <x:c r="H269" s="7" t="n">
        <x:v>1199</x:v>
      </x:c>
      <x:c r="I269" s="7" t="n">
        <x:v>85</x:v>
      </x:c>
      <x:c r="J269" s="9" t="n">
        <x:v>20.1</x:v>
      </x:c>
      <x:c r="K269" s="9" t="n">
        <x:v>6.5</x:v>
      </x:c>
      <x:c r="L269" s="7" t="n">
        <x:v>2024</x:v>
      </x:c>
      <x:c r="M269" s="11" t="n">
        <x:v>26385</x:v>
      </x:c>
      <x:c r="N269" s="7" t="n">
        <x:v>1</x:v>
      </x:c>
      <x:c r="O269" s="7" t="n">
        <x:v>0</x:v>
      </x:c>
      <x:c r="P269" s="9" t="n">
        <x:v>4.96</x:v>
      </x:c>
      <x:c r="Q269" s="7" t="n">
        <x:f>'Guide'!$B$5-L269</x:f>
        <x:v>2</x:v>
      </x:c>
      <x:c r="R269" s="9" t="n">
        <x:f>K269-P269</x:f>
        <x:v>1.54</x:v>
      </x:c>
      <x:c r="S269" s="10" t="n">
        <x:f>IF(K269&gt;0,R269/K269,"")</x:f>
        <x:v>0.23692307692307693</x:v>
      </x:c>
    </x:row>
    <x:row r="270">
      <x:c r="A270" s="7" t="n">
        <x:v>266</x:v>
      </x:c>
      <x:c r="B270" s="7" t="str">
        <x:v>Tata</x:v>
      </x:c>
      <x:c r="C270" s="7" t="str">
        <x:v>Tiago</x:v>
      </x:c>
      <x:c r="D270" s="7" t="str">
        <x:v>XT</x:v>
      </x:c>
      <x:c r="E270" s="7" t="str">
        <x:v>Petrol</x:v>
      </x:c>
      <x:c r="F270" s="7" t="str">
        <x:v>Manual</x:v>
      </x:c>
      <x:c r="G270" s="7" t="str">
        <x:v>Hatchback</x:v>
      </x:c>
      <x:c r="H270" s="7" t="n">
        <x:v>1199</x:v>
      </x:c>
      <x:c r="I270" s="7" t="n">
        <x:v>85</x:v>
      </x:c>
      <x:c r="J270" s="9" t="n">
        <x:v>20.1</x:v>
      </x:c>
      <x:c r="K270" s="9" t="n">
        <x:v>6.5</x:v>
      </x:c>
      <x:c r="L270" s="7" t="n">
        <x:v>2022</x:v>
      </x:c>
      <x:c r="M270" s="11" t="n">
        <x:v>59750</x:v>
      </x:c>
      <x:c r="N270" s="7" t="n">
        <x:v>2</x:v>
      </x:c>
      <x:c r="O270" s="7" t="n">
        <x:v>0</x:v>
      </x:c>
      <x:c r="P270" s="9" t="n">
        <x:v>3.37</x:v>
      </x:c>
      <x:c r="Q270" s="7" t="n">
        <x:f>'Guide'!$B$5-L270</x:f>
        <x:v>4</x:v>
      </x:c>
      <x:c r="R270" s="9" t="n">
        <x:f>K270-P270</x:f>
        <x:v>3.13</x:v>
      </x:c>
      <x:c r="S270" s="10" t="n">
        <x:f>IF(K270&gt;0,R270/K270,"")</x:f>
        <x:v>0.4815384615384615</x:v>
      </x:c>
    </x:row>
    <x:row r="271">
      <x:c r="A271" s="7" t="n">
        <x:v>267</x:v>
      </x:c>
      <x:c r="B271" s="7" t="str">
        <x:v>Tata</x:v>
      </x:c>
      <x:c r="C271" s="7" t="str">
        <x:v>Tiago</x:v>
      </x:c>
      <x:c r="D271" s="7" t="str">
        <x:v>XT</x:v>
      </x:c>
      <x:c r="E271" s="7" t="str">
        <x:v>Petrol</x:v>
      </x:c>
      <x:c r="F271" s="7" t="str">
        <x:v>Manual</x:v>
      </x:c>
      <x:c r="G271" s="7" t="str">
        <x:v>Hatchback</x:v>
      </x:c>
      <x:c r="H271" s="7" t="n">
        <x:v>1199</x:v>
      </x:c>
      <x:c r="I271" s="7" t="n">
        <x:v>85</x:v>
      </x:c>
      <x:c r="J271" s="9" t="n">
        <x:v>20.1</x:v>
      </x:c>
      <x:c r="K271" s="9" t="n">
        <x:v>6.5</x:v>
      </x:c>
      <x:c r="L271" s="7" t="n">
        <x:v>2020</x:v>
      </x:c>
      <x:c r="M271" s="11" t="n">
        <x:v>128476</x:v>
      </x:c>
      <x:c r="N271" s="7" t="n">
        <x:v>1</x:v>
      </x:c>
      <x:c r="O271" s="7" t="n">
        <x:v>0</x:v>
      </x:c>
      <x:c r="P271" s="9" t="n">
        <x:v>2.06</x:v>
      </x:c>
      <x:c r="Q271" s="7" t="n">
        <x:f>'Guide'!$B$5-L271</x:f>
        <x:v>6</x:v>
      </x:c>
      <x:c r="R271" s="9" t="n">
        <x:f>K271-P271</x:f>
        <x:v>4.4399999999999995</x:v>
      </x:c>
      <x:c r="S271" s="10" t="n">
        <x:f>IF(K271&gt;0,R271/K271,"")</x:f>
        <x:v>0.683076923076923</x:v>
      </x:c>
    </x:row>
    <x:row r="272">
      <x:c r="A272" s="7" t="n">
        <x:v>268</x:v>
      </x:c>
      <x:c r="B272" s="7" t="str">
        <x:v>Tata</x:v>
      </x:c>
      <x:c r="C272" s="7" t="str">
        <x:v>Tiago</x:v>
      </x:c>
      <x:c r="D272" s="7" t="str">
        <x:v>XT</x:v>
      </x:c>
      <x:c r="E272" s="7" t="str">
        <x:v>Petrol</x:v>
      </x:c>
      <x:c r="F272" s="7" t="str">
        <x:v>Manual</x:v>
      </x:c>
      <x:c r="G272" s="7" t="str">
        <x:v>Hatchback</x:v>
      </x:c>
      <x:c r="H272" s="7" t="n">
        <x:v>1199</x:v>
      </x:c>
      <x:c r="I272" s="7" t="n">
        <x:v>85</x:v>
      </x:c>
      <x:c r="J272" s="9" t="n">
        <x:v>20.1</x:v>
      </x:c>
      <x:c r="K272" s="9" t="n">
        <x:v>6.5</x:v>
      </x:c>
      <x:c r="L272" s="7" t="n">
        <x:v>2022</x:v>
      </x:c>
      <x:c r="M272" s="11" t="n">
        <x:v>63903</x:v>
      </x:c>
      <x:c r="N272" s="7" t="n">
        <x:v>1</x:v>
      </x:c>
      <x:c r="O272" s="7" t="n">
        <x:v>0</x:v>
      </x:c>
      <x:c r="P272" s="9" t="n">
        <x:v>4.23</x:v>
      </x:c>
      <x:c r="Q272" s="7" t="n">
        <x:f>'Guide'!$B$5-L272</x:f>
        <x:v>4</x:v>
      </x:c>
      <x:c r="R272" s="9" t="n">
        <x:f>K272-P272</x:f>
        <x:v>2.2699999999999996</x:v>
      </x:c>
      <x:c r="S272" s="10" t="n">
        <x:f>IF(K272&gt;0,R272/K272,"")</x:f>
        <x:v>0.3492307692307692</x:v>
      </x:c>
    </x:row>
    <x:row r="273">
      <x:c r="A273" s="7" t="n">
        <x:v>269</x:v>
      </x:c>
      <x:c r="B273" s="7" t="str">
        <x:v>Tata</x:v>
      </x:c>
      <x:c r="C273" s="7" t="str">
        <x:v>Tiago</x:v>
      </x:c>
      <x:c r="D273" s="7" t="str">
        <x:v>XT</x:v>
      </x:c>
      <x:c r="E273" s="7" t="str">
        <x:v>Petrol</x:v>
      </x:c>
      <x:c r="F273" s="7" t="str">
        <x:v>Manual</x:v>
      </x:c>
      <x:c r="G273" s="7" t="str">
        <x:v>Hatchback</x:v>
      </x:c>
      <x:c r="H273" s="7" t="n">
        <x:v>1199</x:v>
      </x:c>
      <x:c r="I273" s="7" t="n">
        <x:v>85</x:v>
      </x:c>
      <x:c r="J273" s="9" t="n">
        <x:v>20.1</x:v>
      </x:c>
      <x:c r="K273" s="9" t="n">
        <x:v>6.5</x:v>
      </x:c>
      <x:c r="L273" s="7" t="n">
        <x:v>2024</x:v>
      </x:c>
      <x:c r="M273" s="11" t="n">
        <x:v>34084</x:v>
      </x:c>
      <x:c r="N273" s="7" t="n">
        <x:v>1</x:v>
      </x:c>
      <x:c r="O273" s="7" t="n">
        <x:v>1</x:v>
      </x:c>
      <x:c r="P273" s="9" t="n">
        <x:v>4.44</x:v>
      </x:c>
      <x:c r="Q273" s="7" t="n">
        <x:f>'Guide'!$B$5-L273</x:f>
        <x:v>2</x:v>
      </x:c>
      <x:c r="R273" s="9" t="n">
        <x:f>K273-P273</x:f>
        <x:v>2.0599999999999996</x:v>
      </x:c>
      <x:c r="S273" s="10" t="n">
        <x:f>IF(K273&gt;0,R273/K273,"")</x:f>
        <x:v>0.31692307692307686</x:v>
      </x:c>
    </x:row>
    <x:row r="274">
      <x:c r="A274" s="7" t="n">
        <x:v>270</x:v>
      </x:c>
      <x:c r="B274" s="7" t="str">
        <x:v>Tata</x:v>
      </x:c>
      <x:c r="C274" s="7" t="str">
        <x:v>Tiago</x:v>
      </x:c>
      <x:c r="D274" s="7" t="str">
        <x:v>XT</x:v>
      </x:c>
      <x:c r="E274" s="7" t="str">
        <x:v>Petrol</x:v>
      </x:c>
      <x:c r="F274" s="7" t="str">
        <x:v>Manual</x:v>
      </x:c>
      <x:c r="G274" s="7" t="str">
        <x:v>Hatchback</x:v>
      </x:c>
      <x:c r="H274" s="7" t="n">
        <x:v>1199</x:v>
      </x:c>
      <x:c r="I274" s="7" t="n">
        <x:v>85</x:v>
      </x:c>
      <x:c r="J274" s="9" t="n">
        <x:v>20.1</x:v>
      </x:c>
      <x:c r="K274" s="9" t="n">
        <x:v>6.5</x:v>
      </x:c>
      <x:c r="L274" s="7" t="n">
        <x:v>2025</x:v>
      </x:c>
      <x:c r="M274" s="11" t="n">
        <x:v>29777</x:v>
      </x:c>
      <x:c r="N274" s="7" t="n">
        <x:v>1</x:v>
      </x:c>
      <x:c r="O274" s="7" t="n">
        <x:v>0</x:v>
      </x:c>
      <x:c r="P274" s="9" t="n">
        <x:v>5.52</x:v>
      </x:c>
      <x:c r="Q274" s="7" t="n">
        <x:f>'Guide'!$B$5-L274</x:f>
        <x:v>1</x:v>
      </x:c>
      <x:c r="R274" s="9" t="n">
        <x:f>K274-P274</x:f>
        <x:v>0.9800000000000004</x:v>
      </x:c>
      <x:c r="S274" s="10" t="n">
        <x:f>IF(K274&gt;0,R274/K274,"")</x:f>
        <x:v>0.15076923076923082</x:v>
      </x:c>
    </x:row>
    <x:row r="275">
      <x:c r="A275" s="7" t="n">
        <x:v>271</x:v>
      </x:c>
      <x:c r="B275" s="7" t="str">
        <x:v>Tata</x:v>
      </x:c>
      <x:c r="C275" s="7" t="str">
        <x:v>Tiago</x:v>
      </x:c>
      <x:c r="D275" s="7" t="str">
        <x:v>XT</x:v>
      </x:c>
      <x:c r="E275" s="7" t="str">
        <x:v>Petrol</x:v>
      </x:c>
      <x:c r="F275" s="7" t="str">
        <x:v>Manual</x:v>
      </x:c>
      <x:c r="G275" s="7" t="str">
        <x:v>Hatchback</x:v>
      </x:c>
      <x:c r="H275" s="7" t="n">
        <x:v>1199</x:v>
      </x:c>
      <x:c r="I275" s="7" t="n">
        <x:v>85</x:v>
      </x:c>
      <x:c r="J275" s="9" t="n">
        <x:v>20.1</x:v>
      </x:c>
      <x:c r="K275" s="9" t="n">
        <x:v>6.5</x:v>
      </x:c>
      <x:c r="L275" s="7" t="n">
        <x:v>2023</x:v>
      </x:c>
      <x:c r="M275" s="11" t="n">
        <x:v>30753</x:v>
      </x:c>
      <x:c r="N275" s="7" t="n">
        <x:v>1</x:v>
      </x:c>
      <x:c r="O275" s="7" t="n">
        <x:v>0</x:v>
      </x:c>
      <x:c r="P275" s="9" t="n">
        <x:v>4.46</x:v>
      </x:c>
      <x:c r="Q275" s="7" t="n">
        <x:f>'Guide'!$B$5-L275</x:f>
        <x:v>3</x:v>
      </x:c>
      <x:c r="R275" s="9" t="n">
        <x:f>K275-P275</x:f>
        <x:v>2.04</x:v>
      </x:c>
      <x:c r="S275" s="10" t="n">
        <x:f>IF(K275&gt;0,R275/K275,"")</x:f>
        <x:v>0.31384615384615383</x:v>
      </x:c>
    </x:row>
    <x:row r="276">
      <x:c r="A276" s="7" t="n">
        <x:v>272</x:v>
      </x:c>
      <x:c r="B276" s="7" t="str">
        <x:v>Tata</x:v>
      </x:c>
      <x:c r="C276" s="7" t="str">
        <x:v>Tiago</x:v>
      </x:c>
      <x:c r="D276" s="7" t="str">
        <x:v>XT</x:v>
      </x:c>
      <x:c r="E276" s="7" t="str">
        <x:v>Petrol</x:v>
      </x:c>
      <x:c r="F276" s="7" t="str">
        <x:v>Manual</x:v>
      </x:c>
      <x:c r="G276" s="7" t="str">
        <x:v>Hatchback</x:v>
      </x:c>
      <x:c r="H276" s="7" t="n">
        <x:v>1199</x:v>
      </x:c>
      <x:c r="I276" s="7" t="n">
        <x:v>85</x:v>
      </x:c>
      <x:c r="J276" s="9" t="n">
        <x:v>20.1</x:v>
      </x:c>
      <x:c r="K276" s="9" t="n">
        <x:v>6.5</x:v>
      </x:c>
      <x:c r="L276" s="7" t="n">
        <x:v>2021</x:v>
      </x:c>
      <x:c r="M276" s="11" t="n">
        <x:v>92850</x:v>
      </x:c>
      <x:c r="N276" s="7" t="n">
        <x:v>1</x:v>
      </x:c>
      <x:c r="O276" s="7" t="n">
        <x:v>0</x:v>
      </x:c>
      <x:c r="P276" s="9" t="n">
        <x:v>3.11</x:v>
      </x:c>
      <x:c r="Q276" s="7" t="n">
        <x:f>'Guide'!$B$5-L276</x:f>
        <x:v>5</x:v>
      </x:c>
      <x:c r="R276" s="9" t="n">
        <x:f>K276-P276</x:f>
        <x:v>3.39</x:v>
      </x:c>
      <x:c r="S276" s="10" t="n">
        <x:f>IF(K276&gt;0,R276/K276,"")</x:f>
        <x:v>0.5215384615384615</x:v>
      </x:c>
    </x:row>
    <x:row r="277">
      <x:c r="A277" s="7" t="n">
        <x:v>273</x:v>
      </x:c>
      <x:c r="B277" s="7" t="str">
        <x:v>Tata</x:v>
      </x:c>
      <x:c r="C277" s="7" t="str">
        <x:v>Tiago</x:v>
      </x:c>
      <x:c r="D277" s="7" t="str">
        <x:v>XT</x:v>
      </x:c>
      <x:c r="E277" s="7" t="str">
        <x:v>Petrol</x:v>
      </x:c>
      <x:c r="F277" s="7" t="str">
        <x:v>Manual</x:v>
      </x:c>
      <x:c r="G277" s="7" t="str">
        <x:v>Hatchback</x:v>
      </x:c>
      <x:c r="H277" s="7" t="n">
        <x:v>1199</x:v>
      </x:c>
      <x:c r="I277" s="7" t="n">
        <x:v>85</x:v>
      </x:c>
      <x:c r="J277" s="9" t="n">
        <x:v>20.1</x:v>
      </x:c>
      <x:c r="K277" s="9" t="n">
        <x:v>6.5</x:v>
      </x:c>
      <x:c r="L277" s="7" t="n">
        <x:v>2026</x:v>
      </x:c>
      <x:c r="M277" s="11" t="n">
        <x:v>4508</x:v>
      </x:c>
      <x:c r="N277" s="7" t="n">
        <x:v>2</x:v>
      </x:c>
      <x:c r="O277" s="7" t="n">
        <x:v>0</x:v>
      </x:c>
      <x:c r="P277" s="9" t="n">
        <x:v>6.32</x:v>
      </x:c>
      <x:c r="Q277" s="7" t="n">
        <x:f>'Guide'!$B$5-L277</x:f>
        <x:v>0</x:v>
      </x:c>
      <x:c r="R277" s="9" t="n">
        <x:f>K277-P277</x:f>
        <x:v>0.17999999999999972</x:v>
      </x:c>
      <x:c r="S277" s="10" t="n">
        <x:f>IF(K277&gt;0,R277/K277,"")</x:f>
        <x:v>0.027692307692307648</x:v>
      </x:c>
    </x:row>
    <x:row r="278">
      <x:c r="A278" s="7" t="n">
        <x:v>274</x:v>
      </x:c>
      <x:c r="B278" s="7" t="str">
        <x:v>Tata</x:v>
      </x:c>
      <x:c r="C278" s="7" t="str">
        <x:v>Tiago</x:v>
      </x:c>
      <x:c r="D278" s="7" t="str">
        <x:v>XT</x:v>
      </x:c>
      <x:c r="E278" s="7" t="str">
        <x:v>Petrol</x:v>
      </x:c>
      <x:c r="F278" s="7" t="str">
        <x:v>Manual</x:v>
      </x:c>
      <x:c r="G278" s="7" t="str">
        <x:v>Hatchback</x:v>
      </x:c>
      <x:c r="H278" s="7" t="n">
        <x:v>1199</x:v>
      </x:c>
      <x:c r="I278" s="7" t="n">
        <x:v>85</x:v>
      </x:c>
      <x:c r="J278" s="9" t="n">
        <x:v>20.1</x:v>
      </x:c>
      <x:c r="K278" s="9" t="n">
        <x:v>6.5</x:v>
      </x:c>
      <x:c r="L278" s="7" t="n">
        <x:v>2020</x:v>
      </x:c>
      <x:c r="M278" s="11" t="n">
        <x:v>77478</x:v>
      </x:c>
      <x:c r="N278" s="7" t="n">
        <x:v>2</x:v>
      </x:c>
      <x:c r="O278" s="7" t="n">
        <x:v>1</x:v>
      </x:c>
      <x:c r="P278" s="9" t="n">
        <x:v>1.5</x:v>
      </x:c>
      <x:c r="Q278" s="7" t="n">
        <x:f>'Guide'!$B$5-L278</x:f>
        <x:v>6</x:v>
      </x:c>
      <x:c r="R278" s="9" t="n">
        <x:f>K278-P278</x:f>
        <x:v>5</x:v>
      </x:c>
      <x:c r="S278" s="10" t="n">
        <x:f>IF(K278&gt;0,R278/K278,"")</x:f>
        <x:v>0.7692307692307693</x:v>
      </x:c>
    </x:row>
    <x:row r="279">
      <x:c r="A279" s="7" t="n">
        <x:v>275</x:v>
      </x:c>
      <x:c r="B279" s="7" t="str">
        <x:v>Tata</x:v>
      </x:c>
      <x:c r="C279" s="7" t="str">
        <x:v>Tiago</x:v>
      </x:c>
      <x:c r="D279" s="7" t="str">
        <x:v>XT</x:v>
      </x:c>
      <x:c r="E279" s="7" t="str">
        <x:v>Petrol</x:v>
      </x:c>
      <x:c r="F279" s="7" t="str">
        <x:v>Manual</x:v>
      </x:c>
      <x:c r="G279" s="7" t="str">
        <x:v>Hatchback</x:v>
      </x:c>
      <x:c r="H279" s="7" t="n">
        <x:v>1199</x:v>
      </x:c>
      <x:c r="I279" s="7" t="n">
        <x:v>85</x:v>
      </x:c>
      <x:c r="J279" s="9" t="n">
        <x:v>20.1</x:v>
      </x:c>
      <x:c r="K279" s="9" t="n">
        <x:v>6.5</x:v>
      </x:c>
      <x:c r="L279" s="7" t="n">
        <x:v>2024</x:v>
      </x:c>
      <x:c r="M279" s="11" t="n">
        <x:v>23193</x:v>
      </x:c>
      <x:c r="N279" s="7" t="n">
        <x:v>2</x:v>
      </x:c>
      <x:c r="O279" s="7" t="n">
        <x:v>0</x:v>
      </x:c>
      <x:c r="P279" s="9" t="n">
        <x:v>4.99</x:v>
      </x:c>
      <x:c r="Q279" s="7" t="n">
        <x:f>'Guide'!$B$5-L279</x:f>
        <x:v>2</x:v>
      </x:c>
      <x:c r="R279" s="9" t="n">
        <x:f>K279-P279</x:f>
        <x:v>1.5099999999999998</x:v>
      </x:c>
      <x:c r="S279" s="10" t="n">
        <x:f>IF(K279&gt;0,R279/K279,"")</x:f>
        <x:v>0.23230769230769227</x:v>
      </x:c>
    </x:row>
    <x:row r="280">
      <x:c r="A280" s="7" t="n">
        <x:v>276</x:v>
      </x:c>
      <x:c r="B280" s="7" t="str">
        <x:v>Tata</x:v>
      </x:c>
      <x:c r="C280" s="7" t="str">
        <x:v>Tiago</x:v>
      </x:c>
      <x:c r="D280" s="7" t="str">
        <x:v>XT</x:v>
      </x:c>
      <x:c r="E280" s="7" t="str">
        <x:v>Petrol</x:v>
      </x:c>
      <x:c r="F280" s="7" t="str">
        <x:v>Manual</x:v>
      </x:c>
      <x:c r="G280" s="7" t="str">
        <x:v>Hatchback</x:v>
      </x:c>
      <x:c r="H280" s="7" t="n">
        <x:v>1199</x:v>
      </x:c>
      <x:c r="I280" s="7" t="n">
        <x:v>85</x:v>
      </x:c>
      <x:c r="J280" s="9" t="n">
        <x:v>20.1</x:v>
      </x:c>
      <x:c r="K280" s="9" t="n">
        <x:v>6.5</x:v>
      </x:c>
      <x:c r="L280" s="7" t="n">
        <x:v>2020</x:v>
      </x:c>
      <x:c r="M280" s="11" t="n">
        <x:v>81193</x:v>
      </x:c>
      <x:c r="N280" s="7" t="n">
        <x:v>1</x:v>
      </x:c>
      <x:c r="O280" s="7" t="n">
        <x:v>0</x:v>
      </x:c>
      <x:c r="P280" s="9" t="n">
        <x:v>2.4</x:v>
      </x:c>
      <x:c r="Q280" s="7" t="n">
        <x:f>'Guide'!$B$5-L280</x:f>
        <x:v>6</x:v>
      </x:c>
      <x:c r="R280" s="9" t="n">
        <x:f>K280-P280</x:f>
        <x:v>4.1</x:v>
      </x:c>
      <x:c r="S280" s="10" t="n">
        <x:f>IF(K280&gt;0,R280/K280,"")</x:f>
        <x:v>0.6307692307692307</x:v>
      </x:c>
    </x:row>
    <x:row r="281">
      <x:c r="A281" s="7" t="n">
        <x:v>277</x:v>
      </x:c>
      <x:c r="B281" s="7" t="str">
        <x:v>Tata</x:v>
      </x:c>
      <x:c r="C281" s="7" t="str">
        <x:v>Tiago</x:v>
      </x:c>
      <x:c r="D281" s="7" t="str">
        <x:v>XT</x:v>
      </x:c>
      <x:c r="E281" s="7" t="str">
        <x:v>Petrol</x:v>
      </x:c>
      <x:c r="F281" s="7" t="str">
        <x:v>Manual</x:v>
      </x:c>
      <x:c r="G281" s="7" t="str">
        <x:v>Hatchback</x:v>
      </x:c>
      <x:c r="H281" s="7" t="n">
        <x:v>1199</x:v>
      </x:c>
      <x:c r="I281" s="7" t="n">
        <x:v>85</x:v>
      </x:c>
      <x:c r="J281" s="9" t="n">
        <x:v>20.1</x:v>
      </x:c>
      <x:c r="K281" s="9" t="n">
        <x:v>6.5</x:v>
      </x:c>
      <x:c r="L281" s="7" t="n">
        <x:v>2026</x:v>
      </x:c>
      <x:c r="M281" s="11" t="n">
        <x:v>7445</x:v>
      </x:c>
      <x:c r="N281" s="7" t="n">
        <x:v>1</x:v>
      </x:c>
      <x:c r="O281" s="7" t="n">
        <x:v>0</x:v>
      </x:c>
      <x:c r="P281" s="9" t="n">
        <x:v>6.27</x:v>
      </x:c>
      <x:c r="Q281" s="7" t="n">
        <x:f>'Guide'!$B$5-L281</x:f>
        <x:v>0</x:v>
      </x:c>
      <x:c r="R281" s="9" t="n">
        <x:f>K281-P281</x:f>
        <x:v>0.23000000000000043</x:v>
      </x:c>
      <x:c r="S281" s="10" t="n">
        <x:f>IF(K281&gt;0,R281/K281,"")</x:f>
        <x:v>0.03538461538461545</x:v>
      </x:c>
    </x:row>
    <x:row r="282">
      <x:c r="A282" s="7" t="n">
        <x:v>278</x:v>
      </x:c>
      <x:c r="B282" s="7" t="str">
        <x:v>Tata</x:v>
      </x:c>
      <x:c r="C282" s="7" t="str">
        <x:v>Tiago</x:v>
      </x:c>
      <x:c r="D282" s="7" t="str">
        <x:v>XT</x:v>
      </x:c>
      <x:c r="E282" s="7" t="str">
        <x:v>Petrol</x:v>
      </x:c>
      <x:c r="F282" s="7" t="str">
        <x:v>Manual</x:v>
      </x:c>
      <x:c r="G282" s="7" t="str">
        <x:v>Hatchback</x:v>
      </x:c>
      <x:c r="H282" s="7" t="n">
        <x:v>1199</x:v>
      </x:c>
      <x:c r="I282" s="7" t="n">
        <x:v>85</x:v>
      </x:c>
      <x:c r="J282" s="9" t="n">
        <x:v>20.1</x:v>
      </x:c>
      <x:c r="K282" s="9" t="n">
        <x:v>6.5</x:v>
      </x:c>
      <x:c r="L282" s="7" t="n">
        <x:v>2020</x:v>
      </x:c>
      <x:c r="M282" s="11" t="n">
        <x:v>94098</x:v>
      </x:c>
      <x:c r="N282" s="7" t="n">
        <x:v>1</x:v>
      </x:c>
      <x:c r="O282" s="7" t="n">
        <x:v>1</x:v>
      </x:c>
      <x:c r="P282" s="9" t="n">
        <x:v>1.95</x:v>
      </x:c>
      <x:c r="Q282" s="7" t="n">
        <x:f>'Guide'!$B$5-L282</x:f>
        <x:v>6</x:v>
      </x:c>
      <x:c r="R282" s="9" t="n">
        <x:f>K282-P282</x:f>
        <x:v>4.55</x:v>
      </x:c>
      <x:c r="S282" s="10" t="n">
        <x:f>IF(K282&gt;0,R282/K282,"")</x:f>
        <x:v>0.7</x:v>
      </x:c>
    </x:row>
    <x:row r="283">
      <x:c r="A283" s="7" t="n">
        <x:v>279</x:v>
      </x:c>
      <x:c r="B283" s="7" t="str">
        <x:v>Tata</x:v>
      </x:c>
      <x:c r="C283" s="7" t="str">
        <x:v>Tiago</x:v>
      </x:c>
      <x:c r="D283" s="7" t="str">
        <x:v>XT</x:v>
      </x:c>
      <x:c r="E283" s="7" t="str">
        <x:v>Petrol</x:v>
      </x:c>
      <x:c r="F283" s="7" t="str">
        <x:v>Manual</x:v>
      </x:c>
      <x:c r="G283" s="7" t="str">
        <x:v>Hatchback</x:v>
      </x:c>
      <x:c r="H283" s="7" t="n">
        <x:v>1199</x:v>
      </x:c>
      <x:c r="I283" s="7" t="n">
        <x:v>85</x:v>
      </x:c>
      <x:c r="J283" s="9" t="n">
        <x:v>20.1</x:v>
      </x:c>
      <x:c r="K283" s="9" t="n">
        <x:v>6.5</x:v>
      </x:c>
      <x:c r="L283" s="7" t="n">
        <x:v>2025</x:v>
      </x:c>
      <x:c r="M283" s="11" t="n">
        <x:v>27984</x:v>
      </x:c>
      <x:c r="N283" s="7" t="n">
        <x:v>1</x:v>
      </x:c>
      <x:c r="O283" s="7" t="n">
        <x:v>0</x:v>
      </x:c>
      <x:c r="P283" s="9" t="n">
        <x:v>5.56</x:v>
      </x:c>
      <x:c r="Q283" s="7" t="n">
        <x:f>'Guide'!$B$5-L283</x:f>
        <x:v>1</x:v>
      </x:c>
      <x:c r="R283" s="9" t="n">
        <x:f>K283-P283</x:f>
        <x:v>0.9400000000000004</x:v>
      </x:c>
      <x:c r="S283" s="10" t="n">
        <x:f>IF(K283&gt;0,R283/K283,"")</x:f>
        <x:v>0.14461538461538467</x:v>
      </x:c>
    </x:row>
    <x:row r="284">
      <x:c r="A284" s="7" t="n">
        <x:v>280</x:v>
      </x:c>
      <x:c r="B284" s="7" t="str">
        <x:v>Tata</x:v>
      </x:c>
      <x:c r="C284" s="7" t="str">
        <x:v>Tiago</x:v>
      </x:c>
      <x:c r="D284" s="7" t="str">
        <x:v>XT</x:v>
      </x:c>
      <x:c r="E284" s="7" t="str">
        <x:v>Petrol</x:v>
      </x:c>
      <x:c r="F284" s="7" t="str">
        <x:v>Manual</x:v>
      </x:c>
      <x:c r="G284" s="7" t="str">
        <x:v>Hatchback</x:v>
      </x:c>
      <x:c r="H284" s="7" t="n">
        <x:v>1199</x:v>
      </x:c>
      <x:c r="I284" s="7" t="n">
        <x:v>85</x:v>
      </x:c>
      <x:c r="J284" s="9" t="n">
        <x:v>20.1</x:v>
      </x:c>
      <x:c r="K284" s="9" t="n">
        <x:v>6.5</x:v>
      </x:c>
      <x:c r="L284" s="7" t="n">
        <x:v>2025</x:v>
      </x:c>
      <x:c r="M284" s="11" t="n">
        <x:v>18955</x:v>
      </x:c>
      <x:c r="N284" s="7" t="n">
        <x:v>1</x:v>
      </x:c>
      <x:c r="O284" s="7" t="n">
        <x:v>0</x:v>
      </x:c>
      <x:c r="P284" s="9" t="n">
        <x:v>6.15</x:v>
      </x:c>
      <x:c r="Q284" s="7" t="n">
        <x:f>'Guide'!$B$5-L284</x:f>
        <x:v>1</x:v>
      </x:c>
      <x:c r="R284" s="9" t="n">
        <x:f>K284-P284</x:f>
        <x:v>0.34999999999999964</x:v>
      </x:c>
      <x:c r="S284" s="10" t="n">
        <x:f>IF(K284&gt;0,R284/K284,"")</x:f>
        <x:v>0.053846153846153794</x:v>
      </x:c>
    </x:row>
    <x:row r="285">
      <x:c r="A285" s="7" t="n">
        <x:v>281</x:v>
      </x:c>
      <x:c r="B285" s="7" t="str">
        <x:v>Tata</x:v>
      </x:c>
      <x:c r="C285" s="7" t="str">
        <x:v>Tiago</x:v>
      </x:c>
      <x:c r="D285" s="7" t="str">
        <x:v>XT</x:v>
      </x:c>
      <x:c r="E285" s="7" t="str">
        <x:v>Petrol</x:v>
      </x:c>
      <x:c r="F285" s="7" t="str">
        <x:v>Manual</x:v>
      </x:c>
      <x:c r="G285" s="7" t="str">
        <x:v>Hatchback</x:v>
      </x:c>
      <x:c r="H285" s="7" t="n">
        <x:v>1199</x:v>
      </x:c>
      <x:c r="I285" s="7" t="n">
        <x:v>85</x:v>
      </x:c>
      <x:c r="J285" s="9" t="n">
        <x:v>20.1</x:v>
      </x:c>
      <x:c r="K285" s="9" t="n">
        <x:v>6.5</x:v>
      </x:c>
      <x:c r="L285" s="7" t="n">
        <x:v>2026</x:v>
      </x:c>
      <x:c r="M285" s="11" t="n">
        <x:v>5302</x:v>
      </x:c>
      <x:c r="N285" s="7" t="n">
        <x:v>1</x:v>
      </x:c>
      <x:c r="O285" s="7" t="n">
        <x:v>0</x:v>
      </x:c>
      <x:c r="P285" s="9" t="n">
        <x:v>6.29</x:v>
      </x:c>
      <x:c r="Q285" s="7" t="n">
        <x:f>'Guide'!$B$5-L285</x:f>
        <x:v>0</x:v>
      </x:c>
      <x:c r="R285" s="9" t="n">
        <x:f>K285-P285</x:f>
        <x:v>0.20999999999999996</x:v>
      </x:c>
      <x:c r="S285" s="10" t="n">
        <x:f>IF(K285&gt;0,R285/K285,"")</x:f>
        <x:v>0.0323076923076923</x:v>
      </x:c>
    </x:row>
    <x:row r="286">
      <x:c r="A286" s="7" t="n">
        <x:v>282</x:v>
      </x:c>
      <x:c r="B286" s="7" t="str">
        <x:v>Tata</x:v>
      </x:c>
      <x:c r="C286" s="7" t="str">
        <x:v>Tiago</x:v>
      </x:c>
      <x:c r="D286" s="7" t="str">
        <x:v>XT</x:v>
      </x:c>
      <x:c r="E286" s="7" t="str">
        <x:v>Petrol</x:v>
      </x:c>
      <x:c r="F286" s="7" t="str">
        <x:v>Manual</x:v>
      </x:c>
      <x:c r="G286" s="7" t="str">
        <x:v>Hatchback</x:v>
      </x:c>
      <x:c r="H286" s="7" t="n">
        <x:v>1199</x:v>
      </x:c>
      <x:c r="I286" s="7" t="n">
        <x:v>85</x:v>
      </x:c>
      <x:c r="J286" s="9" t="n">
        <x:v>20.1</x:v>
      </x:c>
      <x:c r="K286" s="9" t="n">
        <x:v>6.5</x:v>
      </x:c>
      <x:c r="L286" s="7" t="n">
        <x:v>2026</x:v>
      </x:c>
      <x:c r="M286" s="11" t="n">
        <x:v>4272</x:v>
      </x:c>
      <x:c r="N286" s="7" t="n">
        <x:v>2</x:v>
      </x:c>
      <x:c r="O286" s="7" t="n">
        <x:v>1</x:v>
      </x:c>
      <x:c r="P286" s="9" t="n">
        <x:v>5.13</x:v>
      </x:c>
      <x:c r="Q286" s="7" t="n">
        <x:f>'Guide'!$B$5-L286</x:f>
        <x:v>0</x:v>
      </x:c>
      <x:c r="R286" s="9" t="n">
        <x:f>K286-P286</x:f>
        <x:v>1.37</x:v>
      </x:c>
      <x:c r="S286" s="10" t="n">
        <x:f>IF(K286&gt;0,R286/K286,"")</x:f>
        <x:v>0.2107692307692308</x:v>
      </x:c>
    </x:row>
    <x:row r="287">
      <x:c r="A287" s="7" t="n">
        <x:v>283</x:v>
      </x:c>
      <x:c r="B287" s="7" t="str">
        <x:v>Tata</x:v>
      </x:c>
      <x:c r="C287" s="7" t="str">
        <x:v>Tiago</x:v>
      </x:c>
      <x:c r="D287" s="7" t="str">
        <x:v>XT</x:v>
      </x:c>
      <x:c r="E287" s="7" t="str">
        <x:v>Petrol</x:v>
      </x:c>
      <x:c r="F287" s="7" t="str">
        <x:v>Manual</x:v>
      </x:c>
      <x:c r="G287" s="7" t="str">
        <x:v>Hatchback</x:v>
      </x:c>
      <x:c r="H287" s="7" t="n">
        <x:v>1199</x:v>
      </x:c>
      <x:c r="I287" s="7" t="n">
        <x:v>85</x:v>
      </x:c>
      <x:c r="J287" s="9" t="n">
        <x:v>20.1</x:v>
      </x:c>
      <x:c r="K287" s="9" t="n">
        <x:v>6.5</x:v>
      </x:c>
      <x:c r="L287" s="7" t="n">
        <x:v>2020</x:v>
      </x:c>
      <x:c r="M287" s="11" t="n">
        <x:v>91490</x:v>
      </x:c>
      <x:c r="N287" s="7" t="n">
        <x:v>2</x:v>
      </x:c>
      <x:c r="O287" s="7" t="n">
        <x:v>0</x:v>
      </x:c>
      <x:c r="P287" s="9" t="n">
        <x:v>1.93</x:v>
      </x:c>
      <x:c r="Q287" s="7" t="n">
        <x:f>'Guide'!$B$5-L287</x:f>
        <x:v>6</x:v>
      </x:c>
      <x:c r="R287" s="9" t="n">
        <x:f>K287-P287</x:f>
        <x:v>4.57</x:v>
      </x:c>
      <x:c r="S287" s="10" t="n">
        <x:f>IF(K287&gt;0,R287/K287,"")</x:f>
        <x:v>0.7030769230769232</x:v>
      </x:c>
    </x:row>
    <x:row r="288">
      <x:c r="A288" s="7" t="n">
        <x:v>284</x:v>
      </x:c>
      <x:c r="B288" s="7" t="str">
        <x:v>Tata</x:v>
      </x:c>
      <x:c r="C288" s="7" t="str">
        <x:v>Tiago</x:v>
      </x:c>
      <x:c r="D288" s="7" t="str">
        <x:v>XT</x:v>
      </x:c>
      <x:c r="E288" s="7" t="str">
        <x:v>Petrol</x:v>
      </x:c>
      <x:c r="F288" s="7" t="str">
        <x:v>Manual</x:v>
      </x:c>
      <x:c r="G288" s="7" t="str">
        <x:v>Hatchback</x:v>
      </x:c>
      <x:c r="H288" s="7" t="n">
        <x:v>1199</x:v>
      </x:c>
      <x:c r="I288" s="7" t="n">
        <x:v>85</x:v>
      </x:c>
      <x:c r="J288" s="9" t="n">
        <x:v>20.1</x:v>
      </x:c>
      <x:c r="K288" s="9" t="n">
        <x:v>6.5</x:v>
      </x:c>
      <x:c r="L288" s="7" t="n">
        <x:v>2020</x:v>
      </x:c>
      <x:c r="M288" s="11" t="n">
        <x:v>65054</x:v>
      </x:c>
      <x:c r="N288" s="7" t="n">
        <x:v>2</x:v>
      </x:c>
      <x:c r="O288" s="7" t="n">
        <x:v>0</x:v>
      </x:c>
      <x:c r="P288" s="9" t="n">
        <x:v>2.5</x:v>
      </x:c>
      <x:c r="Q288" s="7" t="n">
        <x:f>'Guide'!$B$5-L288</x:f>
        <x:v>6</x:v>
      </x:c>
      <x:c r="R288" s="9" t="n">
        <x:f>K288-P288</x:f>
        <x:v>4</x:v>
      </x:c>
      <x:c r="S288" s="10" t="n">
        <x:f>IF(K288&gt;0,R288/K288,"")</x:f>
        <x:v>0.6153846153846154</x:v>
      </x:c>
    </x:row>
    <x:row r="289">
      <x:c r="A289" s="7" t="n">
        <x:v>285</x:v>
      </x:c>
      <x:c r="B289" s="7" t="str">
        <x:v>Tata</x:v>
      </x:c>
      <x:c r="C289" s="7" t="str">
        <x:v>Tiago</x:v>
      </x:c>
      <x:c r="D289" s="7" t="str">
        <x:v>XT</x:v>
      </x:c>
      <x:c r="E289" s="7" t="str">
        <x:v>Petrol</x:v>
      </x:c>
      <x:c r="F289" s="7" t="str">
        <x:v>Manual</x:v>
      </x:c>
      <x:c r="G289" s="7" t="str">
        <x:v>Hatchback</x:v>
      </x:c>
      <x:c r="H289" s="7" t="n">
        <x:v>1199</x:v>
      </x:c>
      <x:c r="I289" s="7" t="n">
        <x:v>85</x:v>
      </x:c>
      <x:c r="J289" s="9" t="n">
        <x:v>20.1</x:v>
      </x:c>
      <x:c r="K289" s="9" t="n">
        <x:v>6.5</x:v>
      </x:c>
      <x:c r="L289" s="7" t="n">
        <x:v>2021</x:v>
      </x:c>
      <x:c r="M289" s="11" t="n">
        <x:v>62015</x:v>
      </x:c>
      <x:c r="N289" s="7" t="n">
        <x:v>1</x:v>
      </x:c>
      <x:c r="O289" s="7" t="n">
        <x:v>0</x:v>
      </x:c>
      <x:c r="P289" s="9" t="n">
        <x:v>3.46</x:v>
      </x:c>
      <x:c r="Q289" s="7" t="n">
        <x:f>'Guide'!$B$5-L289</x:f>
        <x:v>5</x:v>
      </x:c>
      <x:c r="R289" s="9" t="n">
        <x:f>K289-P289</x:f>
        <x:v>3.04</x:v>
      </x:c>
      <x:c r="S289" s="10" t="n">
        <x:f>IF(K289&gt;0,R289/K289,"")</x:f>
        <x:v>0.4676923076923077</x:v>
      </x:c>
    </x:row>
    <x:row r="290">
      <x:c r="A290" s="7" t="n">
        <x:v>286</x:v>
      </x:c>
      <x:c r="B290" s="7" t="str">
        <x:v>Tata</x:v>
      </x:c>
      <x:c r="C290" s="7" t="str">
        <x:v>Tiago</x:v>
      </x:c>
      <x:c r="D290" s="7" t="str">
        <x:v>XT</x:v>
      </x:c>
      <x:c r="E290" s="7" t="str">
        <x:v>Petrol</x:v>
      </x:c>
      <x:c r="F290" s="7" t="str">
        <x:v>Manual</x:v>
      </x:c>
      <x:c r="G290" s="7" t="str">
        <x:v>Hatchback</x:v>
      </x:c>
      <x:c r="H290" s="7" t="n">
        <x:v>1199</x:v>
      </x:c>
      <x:c r="I290" s="7" t="n">
        <x:v>85</x:v>
      </x:c>
      <x:c r="J290" s="9" t="n">
        <x:v>20.1</x:v>
      </x:c>
      <x:c r="K290" s="9" t="n">
        <x:v>6.5</x:v>
      </x:c>
      <x:c r="L290" s="7" t="n">
        <x:v>2023</x:v>
      </x:c>
      <x:c r="M290" s="11" t="n">
        <x:v>65934</x:v>
      </x:c>
      <x:c r="N290" s="7" t="n">
        <x:v>1</x:v>
      </x:c>
      <x:c r="O290" s="7" t="n">
        <x:v>0</x:v>
      </x:c>
      <x:c r="P290" s="9" t="n">
        <x:v>4.35</x:v>
      </x:c>
      <x:c r="Q290" s="7" t="n">
        <x:f>'Guide'!$B$5-L290</x:f>
        <x:v>3</x:v>
      </x:c>
      <x:c r="R290" s="9" t="n">
        <x:f>K290-P290</x:f>
        <x:v>2.1500000000000004</x:v>
      </x:c>
      <x:c r="S290" s="10" t="n">
        <x:f>IF(K290&gt;0,R290/K290,"")</x:f>
        <x:v>0.3307692307692308</x:v>
      </x:c>
    </x:row>
    <x:row r="291">
      <x:c r="A291" s="7" t="n">
        <x:v>287</x:v>
      </x:c>
      <x:c r="B291" s="7" t="str">
        <x:v>Tata</x:v>
      </x:c>
      <x:c r="C291" s="7" t="str">
        <x:v>Tiago</x:v>
      </x:c>
      <x:c r="D291" s="7" t="str">
        <x:v>XT</x:v>
      </x:c>
      <x:c r="E291" s="7" t="str">
        <x:v>Petrol</x:v>
      </x:c>
      <x:c r="F291" s="7" t="str">
        <x:v>Manual</x:v>
      </x:c>
      <x:c r="G291" s="7" t="str">
        <x:v>Hatchback</x:v>
      </x:c>
      <x:c r="H291" s="7" t="n">
        <x:v>1199</x:v>
      </x:c>
      <x:c r="I291" s="7" t="n">
        <x:v>85</x:v>
      </x:c>
      <x:c r="J291" s="9" t="n">
        <x:v>20.1</x:v>
      </x:c>
      <x:c r="K291" s="9" t="n">
        <x:v>6.5</x:v>
      </x:c>
      <x:c r="L291" s="7" t="n">
        <x:v>2025</x:v>
      </x:c>
      <x:c r="M291" s="11" t="n">
        <x:v>24851</x:v>
      </x:c>
      <x:c r="N291" s="7" t="n">
        <x:v>2</x:v>
      </x:c>
      <x:c r="O291" s="7" t="n">
        <x:v>0</x:v>
      </x:c>
      <x:c r="P291" s="9" t="n">
        <x:v>5.21</x:v>
      </x:c>
      <x:c r="Q291" s="7" t="n">
        <x:f>'Guide'!$B$5-L291</x:f>
        <x:v>1</x:v>
      </x:c>
      <x:c r="R291" s="9" t="n">
        <x:f>K291-P291</x:f>
        <x:v>1.29</x:v>
      </x:c>
      <x:c r="S291" s="10" t="n">
        <x:f>IF(K291&gt;0,R291/K291,"")</x:f>
        <x:v>0.19846153846153847</x:v>
      </x:c>
    </x:row>
    <x:row r="292">
      <x:c r="A292" s="7" t="n">
        <x:v>288</x:v>
      </x:c>
      <x:c r="B292" s="7" t="str">
        <x:v>Tata</x:v>
      </x:c>
      <x:c r="C292" s="7" t="str">
        <x:v>Tiago</x:v>
      </x:c>
      <x:c r="D292" s="7" t="str">
        <x:v>XT</x:v>
      </x:c>
      <x:c r="E292" s="7" t="str">
        <x:v>Petrol</x:v>
      </x:c>
      <x:c r="F292" s="7" t="str">
        <x:v>Manual</x:v>
      </x:c>
      <x:c r="G292" s="7" t="str">
        <x:v>Hatchback</x:v>
      </x:c>
      <x:c r="H292" s="7" t="n">
        <x:v>1199</x:v>
      </x:c>
      <x:c r="I292" s="7" t="n">
        <x:v>85</x:v>
      </x:c>
      <x:c r="J292" s="9" t="n">
        <x:v>20.1</x:v>
      </x:c>
      <x:c r="K292" s="9" t="n">
        <x:v>6.5</x:v>
      </x:c>
      <x:c r="L292" s="7" t="n">
        <x:v>2020</x:v>
      </x:c>
      <x:c r="M292" s="11" t="n">
        <x:v>65750</x:v>
      </x:c>
      <x:c r="N292" s="7" t="n">
        <x:v>1</x:v>
      </x:c>
      <x:c r="O292" s="7" t="n">
        <x:v>1</x:v>
      </x:c>
      <x:c r="P292" s="9" t="n">
        <x:v>2.29</x:v>
      </x:c>
      <x:c r="Q292" s="7" t="n">
        <x:f>'Guide'!$B$5-L292</x:f>
        <x:v>6</x:v>
      </x:c>
      <x:c r="R292" s="9" t="n">
        <x:f>K292-P292</x:f>
        <x:v>4.21</x:v>
      </x:c>
      <x:c r="S292" s="10" t="n">
        <x:f>IF(K292&gt;0,R292/K292,"")</x:f>
        <x:v>0.6476923076923077</x:v>
      </x:c>
    </x:row>
    <x:row r="293">
      <x:c r="A293" s="7" t="n">
        <x:v>289</x:v>
      </x:c>
      <x:c r="B293" s="7" t="str">
        <x:v>Tata</x:v>
      </x:c>
      <x:c r="C293" s="7" t="str">
        <x:v>Tiago</x:v>
      </x:c>
      <x:c r="D293" s="7" t="str">
        <x:v>XT</x:v>
      </x:c>
      <x:c r="E293" s="7" t="str">
        <x:v>Petrol</x:v>
      </x:c>
      <x:c r="F293" s="7" t="str">
        <x:v>Manual</x:v>
      </x:c>
      <x:c r="G293" s="7" t="str">
        <x:v>Hatchback</x:v>
      </x:c>
      <x:c r="H293" s="7" t="n">
        <x:v>1199</x:v>
      </x:c>
      <x:c r="I293" s="7" t="n">
        <x:v>85</x:v>
      </x:c>
      <x:c r="J293" s="9" t="n">
        <x:v>20.1</x:v>
      </x:c>
      <x:c r="K293" s="9" t="n">
        <x:v>6.5</x:v>
      </x:c>
      <x:c r="L293" s="7" t="n">
        <x:v>2023</x:v>
      </x:c>
      <x:c r="M293" s="11" t="n">
        <x:v>44522</x:v>
      </x:c>
      <x:c r="N293" s="7" t="n">
        <x:v>1</x:v>
      </x:c>
      <x:c r="O293" s="7" t="n">
        <x:v>0</x:v>
      </x:c>
      <x:c r="P293" s="9" t="n">
        <x:v>4.83</x:v>
      </x:c>
      <x:c r="Q293" s="7" t="n">
        <x:f>'Guide'!$B$5-L293</x:f>
        <x:v>3</x:v>
      </x:c>
      <x:c r="R293" s="9" t="n">
        <x:f>K293-P293</x:f>
        <x:v>1.67</x:v>
      </x:c>
      <x:c r="S293" s="10" t="n">
        <x:f>IF(K293&gt;0,R293/K293,"")</x:f>
        <x:v>0.2569230769230769</x:v>
      </x:c>
    </x:row>
    <x:row r="294">
      <x:c r="A294" s="7" t="n">
        <x:v>290</x:v>
      </x:c>
      <x:c r="B294" s="7" t="str">
        <x:v>Tata</x:v>
      </x:c>
      <x:c r="C294" s="7" t="str">
        <x:v>Tiago</x:v>
      </x:c>
      <x:c r="D294" s="7" t="str">
        <x:v>XT</x:v>
      </x:c>
      <x:c r="E294" s="7" t="str">
        <x:v>Petrol</x:v>
      </x:c>
      <x:c r="F294" s="7" t="str">
        <x:v>Manual</x:v>
      </x:c>
      <x:c r="G294" s="7" t="str">
        <x:v>Hatchback</x:v>
      </x:c>
      <x:c r="H294" s="7" t="n">
        <x:v>1199</x:v>
      </x:c>
      <x:c r="I294" s="7" t="n">
        <x:v>85</x:v>
      </x:c>
      <x:c r="J294" s="9" t="n">
        <x:v>20.1</x:v>
      </x:c>
      <x:c r="K294" s="9" t="n">
        <x:v>6.5</x:v>
      </x:c>
      <x:c r="L294" s="7" t="n">
        <x:v>2022</x:v>
      </x:c>
      <x:c r="M294" s="11" t="n">
        <x:v>53662</x:v>
      </x:c>
      <x:c r="N294" s="7" t="n">
        <x:v>1</x:v>
      </x:c>
      <x:c r="O294" s="7" t="n">
        <x:v>0</x:v>
      </x:c>
      <x:c r="P294" s="9" t="n">
        <x:v>4.31</x:v>
      </x:c>
      <x:c r="Q294" s="7" t="n">
        <x:f>'Guide'!$B$5-L294</x:f>
        <x:v>4</x:v>
      </x:c>
      <x:c r="R294" s="9" t="n">
        <x:f>K294-P294</x:f>
        <x:v>2.1900000000000004</x:v>
      </x:c>
      <x:c r="S294" s="10" t="n">
        <x:f>IF(K294&gt;0,R294/K294,"")</x:f>
        <x:v>0.336923076923077</x:v>
      </x:c>
    </x:row>
    <x:row r="295">
      <x:c r="A295" s="7" t="n">
        <x:v>291</x:v>
      </x:c>
      <x:c r="B295" s="7" t="str">
        <x:v>Tata</x:v>
      </x:c>
      <x:c r="C295" s="7" t="str">
        <x:v>Tiago</x:v>
      </x:c>
      <x:c r="D295" s="7" t="str">
        <x:v>XT</x:v>
      </x:c>
      <x:c r="E295" s="7" t="str">
        <x:v>Petrol</x:v>
      </x:c>
      <x:c r="F295" s="7" t="str">
        <x:v>Manual</x:v>
      </x:c>
      <x:c r="G295" s="7" t="str">
        <x:v>Hatchback</x:v>
      </x:c>
      <x:c r="H295" s="7" t="n">
        <x:v>1199</x:v>
      </x:c>
      <x:c r="I295" s="7" t="n">
        <x:v>85</x:v>
      </x:c>
      <x:c r="J295" s="9" t="n">
        <x:v>20.1</x:v>
      </x:c>
      <x:c r="K295" s="9" t="n">
        <x:v>6.5</x:v>
      </x:c>
      <x:c r="L295" s="7" t="n">
        <x:v>2020</x:v>
      </x:c>
      <x:c r="M295" s="11" t="n">
        <x:v>61112</x:v>
      </x:c>
      <x:c r="N295" s="7" t="n">
        <x:v>1</x:v>
      </x:c>
      <x:c r="O295" s="7" t="n">
        <x:v>0</x:v>
      </x:c>
      <x:c r="P295" s="9" t="n">
        <x:v>2.63</x:v>
      </x:c>
      <x:c r="Q295" s="7" t="n">
        <x:f>'Guide'!$B$5-L295</x:f>
        <x:v>6</x:v>
      </x:c>
      <x:c r="R295" s="9" t="n">
        <x:f>K295-P295</x:f>
        <x:v>3.87</x:v>
      </x:c>
      <x:c r="S295" s="10" t="n">
        <x:f>IF(K295&gt;0,R295/K295,"")</x:f>
        <x:v>0.5953846153846154</x:v>
      </x:c>
    </x:row>
    <x:row r="296">
      <x:c r="A296" s="7" t="n">
        <x:v>292</x:v>
      </x:c>
      <x:c r="B296" s="7" t="str">
        <x:v>Tata</x:v>
      </x:c>
      <x:c r="C296" s="7" t="str">
        <x:v>Tiago</x:v>
      </x:c>
      <x:c r="D296" s="7" t="str">
        <x:v>XT</x:v>
      </x:c>
      <x:c r="E296" s="7" t="str">
        <x:v>Petrol</x:v>
      </x:c>
      <x:c r="F296" s="7" t="str">
        <x:v>Manual</x:v>
      </x:c>
      <x:c r="G296" s="7" t="str">
        <x:v>Hatchback</x:v>
      </x:c>
      <x:c r="H296" s="7" t="n">
        <x:v>1199</x:v>
      </x:c>
      <x:c r="I296" s="7" t="n">
        <x:v>85</x:v>
      </x:c>
      <x:c r="J296" s="9" t="n">
        <x:v>20.1</x:v>
      </x:c>
      <x:c r="K296" s="9" t="n">
        <x:v>6.5</x:v>
      </x:c>
      <x:c r="L296" s="7" t="n">
        <x:v>2023</x:v>
      </x:c>
      <x:c r="M296" s="11" t="n">
        <x:v>45630</x:v>
      </x:c>
      <x:c r="N296" s="7" t="n">
        <x:v>1</x:v>
      </x:c>
      <x:c r="O296" s="7" t="n">
        <x:v>0</x:v>
      </x:c>
      <x:c r="P296" s="9" t="n">
        <x:v>4.55</x:v>
      </x:c>
      <x:c r="Q296" s="7" t="n">
        <x:f>'Guide'!$B$5-L296</x:f>
        <x:v>3</x:v>
      </x:c>
      <x:c r="R296" s="9" t="n">
        <x:f>K296-P296</x:f>
        <x:v>1.9500000000000002</x:v>
      </x:c>
      <x:c r="S296" s="10" t="n">
        <x:f>IF(K296&gt;0,R296/K296,"")</x:f>
        <x:v>0.30000000000000004</x:v>
      </x:c>
    </x:row>
    <x:row r="297">
      <x:c r="A297" s="7" t="n">
        <x:v>293</x:v>
      </x:c>
      <x:c r="B297" s="7" t="str">
        <x:v>Tata</x:v>
      </x:c>
      <x:c r="C297" s="7" t="str">
        <x:v>Tiago</x:v>
      </x:c>
      <x:c r="D297" s="7" t="str">
        <x:v>XT</x:v>
      </x:c>
      <x:c r="E297" s="7" t="str">
        <x:v>Petrol</x:v>
      </x:c>
      <x:c r="F297" s="7" t="str">
        <x:v>Manual</x:v>
      </x:c>
      <x:c r="G297" s="7" t="str">
        <x:v>Hatchback</x:v>
      </x:c>
      <x:c r="H297" s="7" t="n">
        <x:v>1199</x:v>
      </x:c>
      <x:c r="I297" s="7" t="n">
        <x:v>85</x:v>
      </x:c>
      <x:c r="J297" s="9" t="n">
        <x:v>20.1</x:v>
      </x:c>
      <x:c r="K297" s="9" t="n">
        <x:v>6.5</x:v>
      </x:c>
      <x:c r="L297" s="7" t="n">
        <x:v>2025</x:v>
      </x:c>
      <x:c r="M297" s="11" t="n">
        <x:v>28866</x:v>
      </x:c>
      <x:c r="N297" s="7" t="n">
        <x:v>3</x:v>
      </x:c>
      <x:c r="O297" s="7" t="n">
        <x:v>0</x:v>
      </x:c>
      <x:c r="P297" s="9" t="n">
        <x:v>4.59</x:v>
      </x:c>
      <x:c r="Q297" s="7" t="n">
        <x:f>'Guide'!$B$5-L297</x:f>
        <x:v>1</x:v>
      </x:c>
      <x:c r="R297" s="9" t="n">
        <x:f>K297-P297</x:f>
        <x:v>1.9100000000000001</x:v>
      </x:c>
      <x:c r="S297" s="10" t="n">
        <x:f>IF(K297&gt;0,R297/K297,"")</x:f>
        <x:v>0.29384615384615387</x:v>
      </x:c>
    </x:row>
    <x:row r="298">
      <x:c r="A298" s="7" t="n">
        <x:v>294</x:v>
      </x:c>
      <x:c r="B298" s="7" t="str">
        <x:v>Tata</x:v>
      </x:c>
      <x:c r="C298" s="7" t="str">
        <x:v>Tiago</x:v>
      </x:c>
      <x:c r="D298" s="7" t="str">
        <x:v>XT</x:v>
      </x:c>
      <x:c r="E298" s="7" t="str">
        <x:v>Petrol</x:v>
      </x:c>
      <x:c r="F298" s="7" t="str">
        <x:v>Manual</x:v>
      </x:c>
      <x:c r="G298" s="7" t="str">
        <x:v>Hatchback</x:v>
      </x:c>
      <x:c r="H298" s="7" t="n">
        <x:v>1199</x:v>
      </x:c>
      <x:c r="I298" s="7" t="n">
        <x:v>85</x:v>
      </x:c>
      <x:c r="J298" s="9" t="n">
        <x:v>20.1</x:v>
      </x:c>
      <x:c r="K298" s="9" t="n">
        <x:v>6.5</x:v>
      </x:c>
      <x:c r="L298" s="7" t="n">
        <x:v>2022</x:v>
      </x:c>
      <x:c r="M298" s="11" t="n">
        <x:v>85426</x:v>
      </x:c>
      <x:c r="N298" s="7" t="n">
        <x:v>1</x:v>
      </x:c>
      <x:c r="O298" s="7" t="n">
        <x:v>0</x:v>
      </x:c>
      <x:c r="P298" s="9" t="n">
        <x:v>3.92</x:v>
      </x:c>
      <x:c r="Q298" s="7" t="n">
        <x:f>'Guide'!$B$5-L298</x:f>
        <x:v>4</x:v>
      </x:c>
      <x:c r="R298" s="9" t="n">
        <x:f>K298-P298</x:f>
        <x:v>2.58</x:v>
      </x:c>
      <x:c r="S298" s="10" t="n">
        <x:f>IF(K298&gt;0,R298/K298,"")</x:f>
        <x:v>0.39692307692307693</x:v>
      </x:c>
    </x:row>
    <x:row r="299">
      <x:c r="A299" s="7" t="n">
        <x:v>295</x:v>
      </x:c>
      <x:c r="B299" s="7" t="str">
        <x:v>Tata</x:v>
      </x:c>
      <x:c r="C299" s="7" t="str">
        <x:v>Tiago</x:v>
      </x:c>
      <x:c r="D299" s="7" t="str">
        <x:v>XT</x:v>
      </x:c>
      <x:c r="E299" s="7" t="str">
        <x:v>Petrol</x:v>
      </x:c>
      <x:c r="F299" s="7" t="str">
        <x:v>Manual</x:v>
      </x:c>
      <x:c r="G299" s="7" t="str">
        <x:v>Hatchback</x:v>
      </x:c>
      <x:c r="H299" s="7" t="n">
        <x:v>1199</x:v>
      </x:c>
      <x:c r="I299" s="7" t="n">
        <x:v>85</x:v>
      </x:c>
      <x:c r="J299" s="9" t="n">
        <x:v>20.1</x:v>
      </x:c>
      <x:c r="K299" s="9" t="n">
        <x:v>6.5</x:v>
      </x:c>
      <x:c r="L299" s="7" t="n">
        <x:v>2024</x:v>
      </x:c>
      <x:c r="M299" s="11" t="n">
        <x:v>23182</x:v>
      </x:c>
      <x:c r="N299" s="7" t="n">
        <x:v>1</x:v>
      </x:c>
      <x:c r="O299" s="7" t="n">
        <x:v>0</x:v>
      </x:c>
      <x:c r="P299" s="9" t="n">
        <x:v>5.53</x:v>
      </x:c>
      <x:c r="Q299" s="7" t="n">
        <x:f>'Guide'!$B$5-L299</x:f>
        <x:v>2</x:v>
      </x:c>
      <x:c r="R299" s="9" t="n">
        <x:f>K299-P299</x:f>
        <x:v>0.9699999999999998</x:v>
      </x:c>
      <x:c r="S299" s="10" t="n">
        <x:f>IF(K299&gt;0,R299/K299,"")</x:f>
        <x:v>0.1492307692307692</x:v>
      </x:c>
    </x:row>
    <x:row r="300">
      <x:c r="A300" s="7" t="n">
        <x:v>296</x:v>
      </x:c>
      <x:c r="B300" s="7" t="str">
        <x:v>Tata</x:v>
      </x:c>
      <x:c r="C300" s="7" t="str">
        <x:v>Tiago</x:v>
      </x:c>
      <x:c r="D300" s="7" t="str">
        <x:v>XT</x:v>
      </x:c>
      <x:c r="E300" s="7" t="str">
        <x:v>Petrol</x:v>
      </x:c>
      <x:c r="F300" s="7" t="str">
        <x:v>Manual</x:v>
      </x:c>
      <x:c r="G300" s="7" t="str">
        <x:v>Hatchback</x:v>
      </x:c>
      <x:c r="H300" s="7" t="n">
        <x:v>1199</x:v>
      </x:c>
      <x:c r="I300" s="7" t="n">
        <x:v>85</x:v>
      </x:c>
      <x:c r="J300" s="9" t="n">
        <x:v>20.1</x:v>
      </x:c>
      <x:c r="K300" s="9" t="n">
        <x:v>6.5</x:v>
      </x:c>
      <x:c r="L300" s="7" t="n">
        <x:v>2021</x:v>
      </x:c>
      <x:c r="M300" s="11" t="n">
        <x:v>68804</x:v>
      </x:c>
      <x:c r="N300" s="7" t="n">
        <x:v>1</x:v>
      </x:c>
      <x:c r="O300" s="7" t="n">
        <x:v>0</x:v>
      </x:c>
      <x:c r="P300" s="9" t="n">
        <x:v>3.49</x:v>
      </x:c>
      <x:c r="Q300" s="7" t="n">
        <x:f>'Guide'!$B$5-L300</x:f>
        <x:v>5</x:v>
      </x:c>
      <x:c r="R300" s="9" t="n">
        <x:f>K300-P300</x:f>
        <x:v>3.01</x:v>
      </x:c>
      <x:c r="S300" s="10" t="n">
        <x:f>IF(K300&gt;0,R300/K300,"")</x:f>
        <x:v>0.46307692307692305</x:v>
      </x:c>
    </x:row>
    <x:row r="301">
      <x:c r="A301" s="7" t="n">
        <x:v>297</x:v>
      </x:c>
      <x:c r="B301" s="7" t="str">
        <x:v>Tata</x:v>
      </x:c>
      <x:c r="C301" s="7" t="str">
        <x:v>Tiago</x:v>
      </x:c>
      <x:c r="D301" s="7" t="str">
        <x:v>XT</x:v>
      </x:c>
      <x:c r="E301" s="7" t="str">
        <x:v>Petrol</x:v>
      </x:c>
      <x:c r="F301" s="7" t="str">
        <x:v>Manual</x:v>
      </x:c>
      <x:c r="G301" s="7" t="str">
        <x:v>Hatchback</x:v>
      </x:c>
      <x:c r="H301" s="7" t="n">
        <x:v>1199</x:v>
      </x:c>
      <x:c r="I301" s="7" t="n">
        <x:v>85</x:v>
      </x:c>
      <x:c r="J301" s="9" t="n">
        <x:v>20.1</x:v>
      </x:c>
      <x:c r="K301" s="9" t="n">
        <x:v>6.5</x:v>
      </x:c>
      <x:c r="L301" s="7" t="n">
        <x:v>2022</x:v>
      </x:c>
      <x:c r="M301" s="11" t="n">
        <x:v>69282</x:v>
      </x:c>
      <x:c r="N301" s="7" t="n">
        <x:v>2</x:v>
      </x:c>
      <x:c r="O301" s="7" t="n">
        <x:v>0</x:v>
      </x:c>
      <x:c r="P301" s="9" t="n">
        <x:v>3.71</x:v>
      </x:c>
      <x:c r="Q301" s="7" t="n">
        <x:f>'Guide'!$B$5-L301</x:f>
        <x:v>4</x:v>
      </x:c>
      <x:c r="R301" s="9" t="n">
        <x:f>K301-P301</x:f>
        <x:v>2.79</x:v>
      </x:c>
      <x:c r="S301" s="10" t="n">
        <x:f>IF(K301&gt;0,R301/K301,"")</x:f>
        <x:v>0.42923076923076925</x:v>
      </x:c>
    </x:row>
    <x:row r="302">
      <x:c r="A302" s="7" t="n">
        <x:v>298</x:v>
      </x:c>
      <x:c r="B302" s="7" t="str">
        <x:v>Tata</x:v>
      </x:c>
      <x:c r="C302" s="7" t="str">
        <x:v>Tiago</x:v>
      </x:c>
      <x:c r="D302" s="7" t="str">
        <x:v>XT</x:v>
      </x:c>
      <x:c r="E302" s="7" t="str">
        <x:v>Petrol</x:v>
      </x:c>
      <x:c r="F302" s="7" t="str">
        <x:v>Manual</x:v>
      </x:c>
      <x:c r="G302" s="7" t="str">
        <x:v>Hatchback</x:v>
      </x:c>
      <x:c r="H302" s="7" t="n">
        <x:v>1199</x:v>
      </x:c>
      <x:c r="I302" s="7" t="n">
        <x:v>85</x:v>
      </x:c>
      <x:c r="J302" s="9" t="n">
        <x:v>20.1</x:v>
      </x:c>
      <x:c r="K302" s="9" t="n">
        <x:v>6.5</x:v>
      </x:c>
      <x:c r="L302" s="7" t="n">
        <x:v>2020</x:v>
      </x:c>
      <x:c r="M302" s="11" t="n">
        <x:v>106415</x:v>
      </x:c>
      <x:c r="N302" s="7" t="n">
        <x:v>2</x:v>
      </x:c>
      <x:c r="O302" s="7" t="n">
        <x:v>1</x:v>
      </x:c>
      <x:c r="P302" s="9" t="n">
        <x:v>1.5</x:v>
      </x:c>
      <x:c r="Q302" s="7" t="n">
        <x:f>'Guide'!$B$5-L302</x:f>
        <x:v>6</x:v>
      </x:c>
      <x:c r="R302" s="9" t="n">
        <x:f>K302-P302</x:f>
        <x:v>5</x:v>
      </x:c>
      <x:c r="S302" s="10" t="n">
        <x:f>IF(K302&gt;0,R302/K302,"")</x:f>
        <x:v>0.7692307692307693</x:v>
      </x:c>
    </x:row>
    <x:row r="303">
      <x:c r="A303" s="7" t="n">
        <x:v>299</x:v>
      </x:c>
      <x:c r="B303" s="7" t="str">
        <x:v>Tata</x:v>
      </x:c>
      <x:c r="C303" s="7" t="str">
        <x:v>Tiago</x:v>
      </x:c>
      <x:c r="D303" s="7" t="str">
        <x:v>XT</x:v>
      </x:c>
      <x:c r="E303" s="7" t="str">
        <x:v>Petrol</x:v>
      </x:c>
      <x:c r="F303" s="7" t="str">
        <x:v>Manual</x:v>
      </x:c>
      <x:c r="G303" s="7" t="str">
        <x:v>Hatchback</x:v>
      </x:c>
      <x:c r="H303" s="7" t="n">
        <x:v>1199</x:v>
      </x:c>
      <x:c r="I303" s="7" t="n">
        <x:v>85</x:v>
      </x:c>
      <x:c r="J303" s="9" t="n">
        <x:v>20.1</x:v>
      </x:c>
      <x:c r="K303" s="9" t="n">
        <x:v>6.5</x:v>
      </x:c>
      <x:c r="L303" s="7" t="n">
        <x:v>2025</x:v>
      </x:c>
      <x:c r="M303" s="11" t="n">
        <x:v>16289</x:v>
      </x:c>
      <x:c r="N303" s="7" t="n">
        <x:v>2</x:v>
      </x:c>
      <x:c r="O303" s="7" t="n">
        <x:v>0</x:v>
      </x:c>
      <x:c r="P303" s="9" t="n">
        <x:v>5.12</x:v>
      </x:c>
      <x:c r="Q303" s="7" t="n">
        <x:f>'Guide'!$B$5-L303</x:f>
        <x:v>1</x:v>
      </x:c>
      <x:c r="R303" s="9" t="n">
        <x:f>K303-P303</x:f>
        <x:v>1.38</x:v>
      </x:c>
      <x:c r="S303" s="10" t="n">
        <x:f>IF(K303&gt;0,R303/K303,"")</x:f>
        <x:v>0.21230769230769228</x:v>
      </x:c>
    </x:row>
    <x:row r="304">
      <x:c r="A304" s="7" t="n">
        <x:v>300</x:v>
      </x:c>
      <x:c r="B304" s="7" t="str">
        <x:v>Tata</x:v>
      </x:c>
      <x:c r="C304" s="7" t="str">
        <x:v>Tiago</x:v>
      </x:c>
      <x:c r="D304" s="7" t="str">
        <x:v>XT</x:v>
      </x:c>
      <x:c r="E304" s="7" t="str">
        <x:v>Petrol</x:v>
      </x:c>
      <x:c r="F304" s="7" t="str">
        <x:v>Manual</x:v>
      </x:c>
      <x:c r="G304" s="7" t="str">
        <x:v>Hatchback</x:v>
      </x:c>
      <x:c r="H304" s="7" t="n">
        <x:v>1199</x:v>
      </x:c>
      <x:c r="I304" s="7" t="n">
        <x:v>85</x:v>
      </x:c>
      <x:c r="J304" s="9" t="n">
        <x:v>20.1</x:v>
      </x:c>
      <x:c r="K304" s="9" t="n">
        <x:v>6.5</x:v>
      </x:c>
      <x:c r="L304" s="7" t="n">
        <x:v>2023</x:v>
      </x:c>
      <x:c r="M304" s="11" t="n">
        <x:v>33093</x:v>
      </x:c>
      <x:c r="N304" s="7" t="n">
        <x:v>2</x:v>
      </x:c>
      <x:c r="O304" s="7" t="n">
        <x:v>0</x:v>
      </x:c>
      <x:c r="P304" s="9" t="n">
        <x:v>4.66</x:v>
      </x:c>
      <x:c r="Q304" s="7" t="n">
        <x:f>'Guide'!$B$5-L304</x:f>
        <x:v>3</x:v>
      </x:c>
      <x:c r="R304" s="9" t="n">
        <x:f>K304-P304</x:f>
        <x:v>1.8399999999999999</x:v>
      </x:c>
      <x:c r="S304" s="10" t="n">
        <x:f>IF(K304&gt;0,R304/K304,"")</x:f>
        <x:v>0.28307692307692306</x:v>
      </x:c>
    </x:row>
    <x:row r="305">
      <x:c r="A305" s="7" t="n">
        <x:v>301</x:v>
      </x:c>
      <x:c r="B305" s="7" t="str">
        <x:v>Tata</x:v>
      </x:c>
      <x:c r="C305" s="7" t="str">
        <x:v>Tiago</x:v>
      </x:c>
      <x:c r="D305" s="7" t="str">
        <x:v>XT</x:v>
      </x:c>
      <x:c r="E305" s="7" t="str">
        <x:v>Petrol</x:v>
      </x:c>
      <x:c r="F305" s="7" t="str">
        <x:v>Manual</x:v>
      </x:c>
      <x:c r="G305" s="7" t="str">
        <x:v>Hatchback</x:v>
      </x:c>
      <x:c r="H305" s="7" t="n">
        <x:v>1199</x:v>
      </x:c>
      <x:c r="I305" s="7" t="n">
        <x:v>85</x:v>
      </x:c>
      <x:c r="J305" s="9" t="n">
        <x:v>20.1</x:v>
      </x:c>
      <x:c r="K305" s="9" t="n">
        <x:v>6.5</x:v>
      </x:c>
      <x:c r="L305" s="7" t="n">
        <x:v>2024</x:v>
      </x:c>
      <x:c r="M305" s="11" t="n">
        <x:v>37937</x:v>
      </x:c>
      <x:c r="N305" s="7" t="n">
        <x:v>1</x:v>
      </x:c>
      <x:c r="O305" s="7" t="n">
        <x:v>0</x:v>
      </x:c>
      <x:c r="P305" s="9" t="n">
        <x:v>5</x:v>
      </x:c>
      <x:c r="Q305" s="7" t="n">
        <x:f>'Guide'!$B$5-L305</x:f>
        <x:v>2</x:v>
      </x:c>
      <x:c r="R305" s="9" t="n">
        <x:f>K305-P305</x:f>
        <x:v>1.5</x:v>
      </x:c>
      <x:c r="S305" s="10" t="n">
        <x:f>IF(K305&gt;0,R305/K305,"")</x:f>
        <x:v>0.23076923076923078</x:v>
      </x:c>
    </x:row>
    <x:row r="306">
      <x:c r="A306" s="7" t="n">
        <x:v>302</x:v>
      </x:c>
      <x:c r="B306" s="7" t="str">
        <x:v>Tata</x:v>
      </x:c>
      <x:c r="C306" s="7" t="str">
        <x:v>Tiago</x:v>
      </x:c>
      <x:c r="D306" s="7" t="str">
        <x:v>XT</x:v>
      </x:c>
      <x:c r="E306" s="7" t="str">
        <x:v>Petrol</x:v>
      </x:c>
      <x:c r="F306" s="7" t="str">
        <x:v>Manual</x:v>
      </x:c>
      <x:c r="G306" s="7" t="str">
        <x:v>Hatchback</x:v>
      </x:c>
      <x:c r="H306" s="7" t="n">
        <x:v>1199</x:v>
      </x:c>
      <x:c r="I306" s="7" t="n">
        <x:v>85</x:v>
      </x:c>
      <x:c r="J306" s="9" t="n">
        <x:v>20.1</x:v>
      </x:c>
      <x:c r="K306" s="9" t="n">
        <x:v>6.5</x:v>
      </x:c>
      <x:c r="L306" s="7" t="n">
        <x:v>2021</x:v>
      </x:c>
      <x:c r="M306" s="11" t="n">
        <x:v>60612</x:v>
      </x:c>
      <x:c r="N306" s="7" t="n">
        <x:v>1</x:v>
      </x:c>
      <x:c r="O306" s="7" t="n">
        <x:v>0</x:v>
      </x:c>
      <x:c r="P306" s="9" t="n">
        <x:v>3.17</x:v>
      </x:c>
      <x:c r="Q306" s="7" t="n">
        <x:f>'Guide'!$B$5-L306</x:f>
        <x:v>5</x:v>
      </x:c>
      <x:c r="R306" s="9" t="n">
        <x:f>K306-P306</x:f>
        <x:v>3.33</x:v>
      </x:c>
      <x:c r="S306" s="10" t="n">
        <x:f>IF(K306&gt;0,R306/K306,"")</x:f>
        <x:v>0.5123076923076924</x:v>
      </x:c>
    </x:row>
    <x:row r="307">
      <x:c r="A307" s="7" t="n">
        <x:v>303</x:v>
      </x:c>
      <x:c r="B307" s="7" t="str">
        <x:v>Tata</x:v>
      </x:c>
      <x:c r="C307" s="7" t="str">
        <x:v>Tiago</x:v>
      </x:c>
      <x:c r="D307" s="7" t="str">
        <x:v>XT</x:v>
      </x:c>
      <x:c r="E307" s="7" t="str">
        <x:v>Petrol</x:v>
      </x:c>
      <x:c r="F307" s="7" t="str">
        <x:v>Manual</x:v>
      </x:c>
      <x:c r="G307" s="7" t="str">
        <x:v>Hatchback</x:v>
      </x:c>
      <x:c r="H307" s="7" t="n">
        <x:v>1199</x:v>
      </x:c>
      <x:c r="I307" s="7" t="n">
        <x:v>85</x:v>
      </x:c>
      <x:c r="J307" s="9" t="n">
        <x:v>20.1</x:v>
      </x:c>
      <x:c r="K307" s="9" t="n">
        <x:v>6.5</x:v>
      </x:c>
      <x:c r="L307" s="7" t="n">
        <x:v>2023</x:v>
      </x:c>
      <x:c r="M307" s="11" t="n">
        <x:v>62364</x:v>
      </x:c>
      <x:c r="N307" s="7" t="n">
        <x:v>1</x:v>
      </x:c>
      <x:c r="O307" s="7" t="n">
        <x:v>0</x:v>
      </x:c>
      <x:c r="P307" s="9" t="n">
        <x:v>4.27</x:v>
      </x:c>
      <x:c r="Q307" s="7" t="n">
        <x:f>'Guide'!$B$5-L307</x:f>
        <x:v>3</x:v>
      </x:c>
      <x:c r="R307" s="9" t="n">
        <x:f>K307-P307</x:f>
        <x:v>2.2300000000000004</x:v>
      </x:c>
      <x:c r="S307" s="10" t="n">
        <x:f>IF(K307&gt;0,R307/K307,"")</x:f>
        <x:v>0.34307692307692317</x:v>
      </x:c>
    </x:row>
    <x:row r="308">
      <x:c r="A308" s="7" t="n">
        <x:v>304</x:v>
      </x:c>
      <x:c r="B308" s="7" t="str">
        <x:v>Tata</x:v>
      </x:c>
      <x:c r="C308" s="7" t="str">
        <x:v>Tiago</x:v>
      </x:c>
      <x:c r="D308" s="7" t="str">
        <x:v>XT</x:v>
      </x:c>
      <x:c r="E308" s="7" t="str">
        <x:v>Petrol</x:v>
      </x:c>
      <x:c r="F308" s="7" t="str">
        <x:v>Manual</x:v>
      </x:c>
      <x:c r="G308" s="7" t="str">
        <x:v>Hatchback</x:v>
      </x:c>
      <x:c r="H308" s="7" t="n">
        <x:v>1199</x:v>
      </x:c>
      <x:c r="I308" s="7" t="n">
        <x:v>85</x:v>
      </x:c>
      <x:c r="J308" s="9" t="n">
        <x:v>20.1</x:v>
      </x:c>
      <x:c r="K308" s="9" t="n">
        <x:v>6.5</x:v>
      </x:c>
      <x:c r="L308" s="7" t="n">
        <x:v>2023</x:v>
      </x:c>
      <x:c r="M308" s="11" t="n">
        <x:v>36621</x:v>
      </x:c>
      <x:c r="N308" s="7" t="n">
        <x:v>1</x:v>
      </x:c>
      <x:c r="O308" s="7" t="n">
        <x:v>0</x:v>
      </x:c>
      <x:c r="P308" s="9" t="n">
        <x:v>4.75</x:v>
      </x:c>
      <x:c r="Q308" s="7" t="n">
        <x:f>'Guide'!$B$5-L308</x:f>
        <x:v>3</x:v>
      </x:c>
      <x:c r="R308" s="9" t="n">
        <x:f>K308-P308</x:f>
        <x:v>1.75</x:v>
      </x:c>
      <x:c r="S308" s="10" t="n">
        <x:f>IF(K308&gt;0,R308/K308,"")</x:f>
        <x:v>0.2692307692307692</x:v>
      </x:c>
    </x:row>
    <x:row r="309">
      <x:c r="A309" s="7" t="n">
        <x:v>305</x:v>
      </x:c>
      <x:c r="B309" s="7" t="str">
        <x:v>Tata</x:v>
      </x:c>
      <x:c r="C309" s="7" t="str">
        <x:v>Tiago</x:v>
      </x:c>
      <x:c r="D309" s="7" t="str">
        <x:v>XT</x:v>
      </x:c>
      <x:c r="E309" s="7" t="str">
        <x:v>Petrol</x:v>
      </x:c>
      <x:c r="F309" s="7" t="str">
        <x:v>Manual</x:v>
      </x:c>
      <x:c r="G309" s="7" t="str">
        <x:v>Hatchback</x:v>
      </x:c>
      <x:c r="H309" s="7" t="n">
        <x:v>1199</x:v>
      </x:c>
      <x:c r="I309" s="7" t="n">
        <x:v>85</x:v>
      </x:c>
      <x:c r="J309" s="9" t="n">
        <x:v>20.1</x:v>
      </x:c>
      <x:c r="K309" s="9" t="n">
        <x:v>6.5</x:v>
      </x:c>
      <x:c r="L309" s="7" t="n">
        <x:v>2022</x:v>
      </x:c>
      <x:c r="M309" s="11" t="n">
        <x:v>46061</x:v>
      </x:c>
      <x:c r="N309" s="7" t="n">
        <x:v>1</x:v>
      </x:c>
      <x:c r="O309" s="7" t="n">
        <x:v>0</x:v>
      </x:c>
      <x:c r="P309" s="9" t="n">
        <x:v>4.38</x:v>
      </x:c>
      <x:c r="Q309" s="7" t="n">
        <x:f>'Guide'!$B$5-L309</x:f>
        <x:v>4</x:v>
      </x:c>
      <x:c r="R309" s="9" t="n">
        <x:f>K309-P309</x:f>
        <x:v>2.12</x:v>
      </x:c>
      <x:c r="S309" s="10" t="n">
        <x:f>IF(K309&gt;0,R309/K309,"")</x:f>
        <x:v>0.3261538461538462</x:v>
      </x:c>
    </x:row>
    <x:row r="310">
      <x:c r="A310" s="7" t="n">
        <x:v>306</x:v>
      </x:c>
      <x:c r="B310" s="7" t="str">
        <x:v>Tata</x:v>
      </x:c>
      <x:c r="C310" s="7" t="str">
        <x:v>Tiago</x:v>
      </x:c>
      <x:c r="D310" s="7" t="str">
        <x:v>XT</x:v>
      </x:c>
      <x:c r="E310" s="7" t="str">
        <x:v>Petrol</x:v>
      </x:c>
      <x:c r="F310" s="7" t="str">
        <x:v>Manual</x:v>
      </x:c>
      <x:c r="G310" s="7" t="str">
        <x:v>Hatchback</x:v>
      </x:c>
      <x:c r="H310" s="7" t="n">
        <x:v>1199</x:v>
      </x:c>
      <x:c r="I310" s="7" t="n">
        <x:v>85</x:v>
      </x:c>
      <x:c r="J310" s="9" t="n">
        <x:v>20.1</x:v>
      </x:c>
      <x:c r="K310" s="9" t="n">
        <x:v>6.5</x:v>
      </x:c>
      <x:c r="L310" s="7" t="n">
        <x:v>2022</x:v>
      </x:c>
      <x:c r="M310" s="11" t="n">
        <x:v>54129</x:v>
      </x:c>
      <x:c r="N310" s="7" t="n">
        <x:v>1</x:v>
      </x:c>
      <x:c r="O310" s="7" t="n">
        <x:v>0</x:v>
      </x:c>
      <x:c r="P310" s="9" t="n">
        <x:v>4.19</x:v>
      </x:c>
      <x:c r="Q310" s="7" t="n">
        <x:f>'Guide'!$B$5-L310</x:f>
        <x:v>4</x:v>
      </x:c>
      <x:c r="R310" s="9" t="n">
        <x:f>K310-P310</x:f>
        <x:v>2.3099999999999996</x:v>
      </x:c>
      <x:c r="S310" s="10" t="n">
        <x:f>IF(K310&gt;0,R310/K310,"")</x:f>
        <x:v>0.3553846153846153</x:v>
      </x:c>
    </x:row>
    <x:row r="311">
      <x:c r="A311" s="7" t="n">
        <x:v>307</x:v>
      </x:c>
      <x:c r="B311" s="7" t="str">
        <x:v>Tata</x:v>
      </x:c>
      <x:c r="C311" s="7" t="str">
        <x:v>Tiago</x:v>
      </x:c>
      <x:c r="D311" s="7" t="str">
        <x:v>XT</x:v>
      </x:c>
      <x:c r="E311" s="7" t="str">
        <x:v>Petrol</x:v>
      </x:c>
      <x:c r="F311" s="7" t="str">
        <x:v>Manual</x:v>
      </x:c>
      <x:c r="G311" s="7" t="str">
        <x:v>Hatchback</x:v>
      </x:c>
      <x:c r="H311" s="7" t="n">
        <x:v>1199</x:v>
      </x:c>
      <x:c r="I311" s="7" t="n">
        <x:v>85</x:v>
      </x:c>
      <x:c r="J311" s="9" t="n">
        <x:v>20.1</x:v>
      </x:c>
      <x:c r="K311" s="9" t="n">
        <x:v>6.5</x:v>
      </x:c>
      <x:c r="L311" s="7" t="n">
        <x:v>2026</x:v>
      </x:c>
      <x:c r="M311" s="11" t="n">
        <x:v>9801</x:v>
      </x:c>
      <x:c r="N311" s="7" t="n">
        <x:v>2</x:v>
      </x:c>
      <x:c r="O311" s="7" t="n">
        <x:v>0</x:v>
      </x:c>
      <x:c r="P311" s="9" t="n">
        <x:v>5.68</x:v>
      </x:c>
      <x:c r="Q311" s="7" t="n">
        <x:f>'Guide'!$B$5-L311</x:f>
        <x:v>0</x:v>
      </x:c>
      <x:c r="R311" s="9" t="n">
        <x:f>K311-P311</x:f>
        <x:v>0.8200000000000003</x:v>
      </x:c>
      <x:c r="S311" s="10" t="n">
        <x:f>IF(K311&gt;0,R311/K311,"")</x:f>
        <x:v>0.1261538461538462</x:v>
      </x:c>
    </x:row>
    <x:row r="312">
      <x:c r="A312" s="7" t="n">
        <x:v>308</x:v>
      </x:c>
      <x:c r="B312" s="7" t="str">
        <x:v>Tata</x:v>
      </x:c>
      <x:c r="C312" s="7" t="str">
        <x:v>Tiago</x:v>
      </x:c>
      <x:c r="D312" s="7" t="str">
        <x:v>XT</x:v>
      </x:c>
      <x:c r="E312" s="7" t="str">
        <x:v>Petrol</x:v>
      </x:c>
      <x:c r="F312" s="7" t="str">
        <x:v>Manual</x:v>
      </x:c>
      <x:c r="G312" s="7" t="str">
        <x:v>Hatchback</x:v>
      </x:c>
      <x:c r="H312" s="7" t="n">
        <x:v>1199</x:v>
      </x:c>
      <x:c r="I312" s="7" t="n">
        <x:v>85</x:v>
      </x:c>
      <x:c r="J312" s="9" t="n">
        <x:v>20.1</x:v>
      </x:c>
      <x:c r="K312" s="9" t="n">
        <x:v>6.5</x:v>
      </x:c>
      <x:c r="L312" s="7" t="n">
        <x:v>2023</x:v>
      </x:c>
      <x:c r="M312" s="11" t="n">
        <x:v>30869</x:v>
      </x:c>
      <x:c r="N312" s="7" t="n">
        <x:v>2</x:v>
      </x:c>
      <x:c r="O312" s="7" t="n">
        <x:v>0</x:v>
      </x:c>
      <x:c r="P312" s="9" t="n">
        <x:v>4.36</x:v>
      </x:c>
      <x:c r="Q312" s="7" t="n">
        <x:f>'Guide'!$B$5-L312</x:f>
        <x:v>3</x:v>
      </x:c>
      <x:c r="R312" s="9" t="n">
        <x:f>K312-P312</x:f>
        <x:v>2.1399999999999997</x:v>
      </x:c>
      <x:c r="S312" s="10" t="n">
        <x:f>IF(K312&gt;0,R312/K312,"")</x:f>
        <x:v>0.32923076923076916</x:v>
      </x:c>
    </x:row>
    <x:row r="313">
      <x:c r="A313" s="7" t="n">
        <x:v>309</x:v>
      </x:c>
      <x:c r="B313" s="7" t="str">
        <x:v>Tata</x:v>
      </x:c>
      <x:c r="C313" s="7" t="str">
        <x:v>Tiago</x:v>
      </x:c>
      <x:c r="D313" s="7" t="str">
        <x:v>XT</x:v>
      </x:c>
      <x:c r="E313" s="7" t="str">
        <x:v>Petrol</x:v>
      </x:c>
      <x:c r="F313" s="7" t="str">
        <x:v>Manual</x:v>
      </x:c>
      <x:c r="G313" s="7" t="str">
        <x:v>Hatchback</x:v>
      </x:c>
      <x:c r="H313" s="7" t="n">
        <x:v>1199</x:v>
      </x:c>
      <x:c r="I313" s="7" t="n">
        <x:v>85</x:v>
      </x:c>
      <x:c r="J313" s="9" t="n">
        <x:v>20.1</x:v>
      </x:c>
      <x:c r="K313" s="9" t="n">
        <x:v>6.5</x:v>
      </x:c>
      <x:c r="L313" s="7" t="n">
        <x:v>2021</x:v>
      </x:c>
      <x:c r="M313" s="11" t="n">
        <x:v>75134</x:v>
      </x:c>
      <x:c r="N313" s="7" t="n">
        <x:v>1</x:v>
      </x:c>
      <x:c r="O313" s="7" t="n">
        <x:v>0</x:v>
      </x:c>
      <x:c r="P313" s="9" t="n">
        <x:v>3.04</x:v>
      </x:c>
      <x:c r="Q313" s="7" t="n">
        <x:f>'Guide'!$B$5-L313</x:f>
        <x:v>5</x:v>
      </x:c>
      <x:c r="R313" s="9" t="n">
        <x:f>K313-P313</x:f>
        <x:v>3.46</x:v>
      </x:c>
      <x:c r="S313" s="10" t="n">
        <x:f>IF(K313&gt;0,R313/K313,"")</x:f>
        <x:v>0.5323076923076923</x:v>
      </x:c>
    </x:row>
    <x:row r="314">
      <x:c r="A314" s="7" t="n">
        <x:v>310</x:v>
      </x:c>
      <x:c r="B314" s="7" t="str">
        <x:v>Tata</x:v>
      </x:c>
      <x:c r="C314" s="7" t="str">
        <x:v>Tiago</x:v>
      </x:c>
      <x:c r="D314" s="7" t="str">
        <x:v>XT</x:v>
      </x:c>
      <x:c r="E314" s="7" t="str">
        <x:v>Petrol</x:v>
      </x:c>
      <x:c r="F314" s="7" t="str">
        <x:v>Manual</x:v>
      </x:c>
      <x:c r="G314" s="7" t="str">
        <x:v>Hatchback</x:v>
      </x:c>
      <x:c r="H314" s="7" t="n">
        <x:v>1199</x:v>
      </x:c>
      <x:c r="I314" s="7" t="n">
        <x:v>85</x:v>
      </x:c>
      <x:c r="J314" s="9" t="n">
        <x:v>20.1</x:v>
      </x:c>
      <x:c r="K314" s="9" t="n">
        <x:v>6.5</x:v>
      </x:c>
      <x:c r="L314" s="7" t="n">
        <x:v>2025</x:v>
      </x:c>
      <x:c r="M314" s="11" t="n">
        <x:v>18808</x:v>
      </x:c>
      <x:c r="N314" s="7" t="n">
        <x:v>1</x:v>
      </x:c>
      <x:c r="O314" s="7" t="n">
        <x:v>0</x:v>
      </x:c>
      <x:c r="P314" s="9" t="n">
        <x:v>5.74</x:v>
      </x:c>
      <x:c r="Q314" s="7" t="n">
        <x:f>'Guide'!$B$5-L314</x:f>
        <x:v>1</x:v>
      </x:c>
      <x:c r="R314" s="9" t="n">
        <x:f>K314-P314</x:f>
        <x:v>0.7599999999999998</x:v>
      </x:c>
      <x:c r="S314" s="10" t="n">
        <x:f>IF(K314&gt;0,R314/K314,"")</x:f>
        <x:v>0.1169230769230769</x:v>
      </x:c>
    </x:row>
    <x:row r="315">
      <x:c r="A315" s="7" t="n">
        <x:v>311</x:v>
      </x:c>
      <x:c r="B315" s="7" t="str">
        <x:v>Tata</x:v>
      </x:c>
      <x:c r="C315" s="7" t="str">
        <x:v>Tiago</x:v>
      </x:c>
      <x:c r="D315" s="7" t="str">
        <x:v>XT</x:v>
      </x:c>
      <x:c r="E315" s="7" t="str">
        <x:v>Petrol</x:v>
      </x:c>
      <x:c r="F315" s="7" t="str">
        <x:v>Manual</x:v>
      </x:c>
      <x:c r="G315" s="7" t="str">
        <x:v>Hatchback</x:v>
      </x:c>
      <x:c r="H315" s="7" t="n">
        <x:v>1199</x:v>
      </x:c>
      <x:c r="I315" s="7" t="n">
        <x:v>85</x:v>
      </x:c>
      <x:c r="J315" s="9" t="n">
        <x:v>20.1</x:v>
      </x:c>
      <x:c r="K315" s="9" t="n">
        <x:v>6.5</x:v>
      </x:c>
      <x:c r="L315" s="7" t="n">
        <x:v>2025</x:v>
      </x:c>
      <x:c r="M315" s="11" t="n">
        <x:v>27457</x:v>
      </x:c>
      <x:c r="N315" s="7" t="n">
        <x:v>1</x:v>
      </x:c>
      <x:c r="O315" s="7" t="n">
        <x:v>1</x:v>
      </x:c>
      <x:c r="P315" s="9" t="n">
        <x:v>4.97</x:v>
      </x:c>
      <x:c r="Q315" s="7" t="n">
        <x:f>'Guide'!$B$5-L315</x:f>
        <x:v>1</x:v>
      </x:c>
      <x:c r="R315" s="9" t="n">
        <x:f>K315-P315</x:f>
        <x:v>1.5300000000000002</x:v>
      </x:c>
      <x:c r="S315" s="10" t="n">
        <x:f>IF(K315&gt;0,R315/K315,"")</x:f>
        <x:v>0.23538461538461541</x:v>
      </x:c>
    </x:row>
    <x:row r="316">
      <x:c r="A316" s="7" t="n">
        <x:v>312</x:v>
      </x:c>
      <x:c r="B316" s="7" t="str">
        <x:v>Tata</x:v>
      </x:c>
      <x:c r="C316" s="7" t="str">
        <x:v>Tiago</x:v>
      </x:c>
      <x:c r="D316" s="7" t="str">
        <x:v>XT</x:v>
      </x:c>
      <x:c r="E316" s="7" t="str">
        <x:v>Petrol</x:v>
      </x:c>
      <x:c r="F316" s="7" t="str">
        <x:v>Manual</x:v>
      </x:c>
      <x:c r="G316" s="7" t="str">
        <x:v>Hatchback</x:v>
      </x:c>
      <x:c r="H316" s="7" t="n">
        <x:v>1199</x:v>
      </x:c>
      <x:c r="I316" s="7" t="n">
        <x:v>85</x:v>
      </x:c>
      <x:c r="J316" s="9" t="n">
        <x:v>20.1</x:v>
      </x:c>
      <x:c r="K316" s="9" t="n">
        <x:v>6.5</x:v>
      </x:c>
      <x:c r="L316" s="7" t="n">
        <x:v>2023</x:v>
      </x:c>
      <x:c r="M316" s="11" t="n">
        <x:v>34937</x:v>
      </x:c>
      <x:c r="N316" s="7" t="n">
        <x:v>2</x:v>
      </x:c>
      <x:c r="O316" s="7" t="n">
        <x:v>0</x:v>
      </x:c>
      <x:c r="P316" s="9" t="n">
        <x:v>4.46</x:v>
      </x:c>
      <x:c r="Q316" s="7" t="n">
        <x:f>'Guide'!$B$5-L316</x:f>
        <x:v>3</x:v>
      </x:c>
      <x:c r="R316" s="9" t="n">
        <x:f>K316-P316</x:f>
        <x:v>2.04</x:v>
      </x:c>
      <x:c r="S316" s="10" t="n">
        <x:f>IF(K316&gt;0,R316/K316,"")</x:f>
        <x:v>0.31384615384615383</x:v>
      </x:c>
    </x:row>
    <x:row r="317">
      <x:c r="A317" s="7" t="n">
        <x:v>313</x:v>
      </x:c>
      <x:c r="B317" s="7" t="str">
        <x:v>Tata</x:v>
      </x:c>
      <x:c r="C317" s="7" t="str">
        <x:v>Tiago</x:v>
      </x:c>
      <x:c r="D317" s="7" t="str">
        <x:v>XT</x:v>
      </x:c>
      <x:c r="E317" s="7" t="str">
        <x:v>Petrol</x:v>
      </x:c>
      <x:c r="F317" s="7" t="str">
        <x:v>Manual</x:v>
      </x:c>
      <x:c r="G317" s="7" t="str">
        <x:v>Hatchback</x:v>
      </x:c>
      <x:c r="H317" s="7" t="n">
        <x:v>1199</x:v>
      </x:c>
      <x:c r="I317" s="7" t="n">
        <x:v>85</x:v>
      </x:c>
      <x:c r="J317" s="9" t="n">
        <x:v>20.1</x:v>
      </x:c>
      <x:c r="K317" s="9" t="n">
        <x:v>6.5</x:v>
      </x:c>
      <x:c r="L317" s="7" t="n">
        <x:v>2025</x:v>
      </x:c>
      <x:c r="M317" s="11" t="n">
        <x:v>23209</x:v>
      </x:c>
      <x:c r="N317" s="7" t="n">
        <x:v>1</x:v>
      </x:c>
      <x:c r="O317" s="7" t="n">
        <x:v>0</x:v>
      </x:c>
      <x:c r="P317" s="9" t="n">
        <x:v>5.69</x:v>
      </x:c>
      <x:c r="Q317" s="7" t="n">
        <x:f>'Guide'!$B$5-L317</x:f>
        <x:v>1</x:v>
      </x:c>
      <x:c r="R317" s="9" t="n">
        <x:f>K317-P317</x:f>
        <x:v>0.8099999999999996</x:v>
      </x:c>
      <x:c r="S317" s="10" t="n">
        <x:f>IF(K317&gt;0,R317/K317,"")</x:f>
        <x:v>0.12461538461538456</x:v>
      </x:c>
    </x:row>
    <x:row r="318">
      <x:c r="A318" s="7" t="n">
        <x:v>314</x:v>
      </x:c>
      <x:c r="B318" s="7" t="str">
        <x:v>Tata</x:v>
      </x:c>
      <x:c r="C318" s="7" t="str">
        <x:v>Tiago</x:v>
      </x:c>
      <x:c r="D318" s="7" t="str">
        <x:v>XT</x:v>
      </x:c>
      <x:c r="E318" s="7" t="str">
        <x:v>Petrol</x:v>
      </x:c>
      <x:c r="F318" s="7" t="str">
        <x:v>Manual</x:v>
      </x:c>
      <x:c r="G318" s="7" t="str">
        <x:v>Hatchback</x:v>
      </x:c>
      <x:c r="H318" s="7" t="n">
        <x:v>1199</x:v>
      </x:c>
      <x:c r="I318" s="7" t="n">
        <x:v>85</x:v>
      </x:c>
      <x:c r="J318" s="9" t="n">
        <x:v>20.1</x:v>
      </x:c>
      <x:c r="K318" s="9" t="n">
        <x:v>6.5</x:v>
      </x:c>
      <x:c r="L318" s="7" t="n">
        <x:v>2026</x:v>
      </x:c>
      <x:c r="M318" s="11" t="n">
        <x:v>7321</x:v>
      </x:c>
      <x:c r="N318" s="7" t="n">
        <x:v>1</x:v>
      </x:c>
      <x:c r="O318" s="7" t="n">
        <x:v>0</x:v>
      </x:c>
      <x:c r="P318" s="9" t="n">
        <x:v>6.4</x:v>
      </x:c>
      <x:c r="Q318" s="7" t="n">
        <x:f>'Guide'!$B$5-L318</x:f>
        <x:v>0</x:v>
      </x:c>
      <x:c r="R318" s="9" t="n">
        <x:f>K318-P318</x:f>
        <x:v>0.09999999999999964</x:v>
      </x:c>
      <x:c r="S318" s="10" t="n">
        <x:f>IF(K318&gt;0,R318/K318,"")</x:f>
        <x:v>0.01538461538461533</x:v>
      </x:c>
    </x:row>
    <x:row r="319">
      <x:c r="A319" s="7" t="n">
        <x:v>315</x:v>
      </x:c>
      <x:c r="B319" s="7" t="str">
        <x:v>Tata</x:v>
      </x:c>
      <x:c r="C319" s="7" t="str">
        <x:v>Tiago</x:v>
      </x:c>
      <x:c r="D319" s="7" t="str">
        <x:v>XT</x:v>
      </x:c>
      <x:c r="E319" s="7" t="str">
        <x:v>Petrol</x:v>
      </x:c>
      <x:c r="F319" s="7" t="str">
        <x:v>Manual</x:v>
      </x:c>
      <x:c r="G319" s="7" t="str">
        <x:v>Hatchback</x:v>
      </x:c>
      <x:c r="H319" s="7" t="n">
        <x:v>1199</x:v>
      </x:c>
      <x:c r="I319" s="7" t="n">
        <x:v>85</x:v>
      </x:c>
      <x:c r="J319" s="9" t="n">
        <x:v>20.1</x:v>
      </x:c>
      <x:c r="K319" s="9" t="n">
        <x:v>6.5</x:v>
      </x:c>
      <x:c r="L319" s="7" t="n">
        <x:v>2025</x:v>
      </x:c>
      <x:c r="M319" s="11" t="n">
        <x:v>25819</x:v>
      </x:c>
      <x:c r="N319" s="7" t="n">
        <x:v>1</x:v>
      </x:c>
      <x:c r="O319" s="7" t="n">
        <x:v>0</x:v>
      </x:c>
      <x:c r="P319" s="9" t="n">
        <x:v>5.6</x:v>
      </x:c>
      <x:c r="Q319" s="7" t="n">
        <x:f>'Guide'!$B$5-L319</x:f>
        <x:v>1</x:v>
      </x:c>
      <x:c r="R319" s="9" t="n">
        <x:f>K319-P319</x:f>
        <x:v>0.9000000000000004</x:v>
      </x:c>
      <x:c r="S319" s="10" t="n">
        <x:f>IF(K319&gt;0,R319/K319,"")</x:f>
        <x:v>0.13846153846153852</x:v>
      </x:c>
    </x:row>
    <x:row r="320">
      <x:c r="A320" s="7" t="n">
        <x:v>316</x:v>
      </x:c>
      <x:c r="B320" s="7" t="str">
        <x:v>Tata</x:v>
      </x:c>
      <x:c r="C320" s="7" t="str">
        <x:v>Tiago</x:v>
      </x:c>
      <x:c r="D320" s="7" t="str">
        <x:v>XT</x:v>
      </x:c>
      <x:c r="E320" s="7" t="str">
        <x:v>Petrol</x:v>
      </x:c>
      <x:c r="F320" s="7" t="str">
        <x:v>Manual</x:v>
      </x:c>
      <x:c r="G320" s="7" t="str">
        <x:v>Hatchback</x:v>
      </x:c>
      <x:c r="H320" s="7" t="n">
        <x:v>1199</x:v>
      </x:c>
      <x:c r="I320" s="7" t="n">
        <x:v>85</x:v>
      </x:c>
      <x:c r="J320" s="9" t="n">
        <x:v>20.1</x:v>
      </x:c>
      <x:c r="K320" s="9" t="n">
        <x:v>6.5</x:v>
      </x:c>
      <x:c r="L320" s="7" t="n">
        <x:v>2025</x:v>
      </x:c>
      <x:c r="M320" s="11" t="n">
        <x:v>13677</x:v>
      </x:c>
      <x:c r="N320" s="7" t="n">
        <x:v>1</x:v>
      </x:c>
      <x:c r="O320" s="7" t="n">
        <x:v>0</x:v>
      </x:c>
      <x:c r="P320" s="9" t="n">
        <x:v>6.13</x:v>
      </x:c>
      <x:c r="Q320" s="7" t="n">
        <x:f>'Guide'!$B$5-L320</x:f>
        <x:v>1</x:v>
      </x:c>
      <x:c r="R320" s="9" t="n">
        <x:f>K320-P320</x:f>
        <x:v>0.3700000000000001</x:v>
      </x:c>
      <x:c r="S320" s="10" t="n">
        <x:f>IF(K320&gt;0,R320/K320,"")</x:f>
        <x:v>0.05692307692307694</x:v>
      </x:c>
    </x:row>
    <x:row r="321">
      <x:c r="A321" s="7" t="n">
        <x:v>317</x:v>
      </x:c>
      <x:c r="B321" s="7" t="str">
        <x:v>Tata</x:v>
      </x:c>
      <x:c r="C321" s="7" t="str">
        <x:v>Tiago</x:v>
      </x:c>
      <x:c r="D321" s="7" t="str">
        <x:v>XT</x:v>
      </x:c>
      <x:c r="E321" s="7" t="str">
        <x:v>Petrol</x:v>
      </x:c>
      <x:c r="F321" s="7" t="str">
        <x:v>Manual</x:v>
      </x:c>
      <x:c r="G321" s="7" t="str">
        <x:v>Hatchback</x:v>
      </x:c>
      <x:c r="H321" s="7" t="n">
        <x:v>1199</x:v>
      </x:c>
      <x:c r="I321" s="7" t="n">
        <x:v>85</x:v>
      </x:c>
      <x:c r="J321" s="9" t="n">
        <x:v>20.1</x:v>
      </x:c>
      <x:c r="K321" s="9" t="n">
        <x:v>6.5</x:v>
      </x:c>
      <x:c r="L321" s="7" t="n">
        <x:v>2026</x:v>
      </x:c>
      <x:c r="M321" s="11" t="n">
        <x:v>9994</x:v>
      </x:c>
      <x:c r="N321" s="7" t="n">
        <x:v>1</x:v>
      </x:c>
      <x:c r="O321" s="7" t="n">
        <x:v>0</x:v>
      </x:c>
      <x:c r="P321" s="9" t="n">
        <x:v>6.3</x:v>
      </x:c>
      <x:c r="Q321" s="7" t="n">
        <x:f>'Guide'!$B$5-L321</x:f>
        <x:v>0</x:v>
      </x:c>
      <x:c r="R321" s="9" t="n">
        <x:f>K321-P321</x:f>
        <x:v>0.20000000000000018</x:v>
      </x:c>
      <x:c r="S321" s="10" t="n">
        <x:f>IF(K321&gt;0,R321/K321,"")</x:f>
        <x:v>0.030769230769230795</x:v>
      </x:c>
    </x:row>
    <x:row r="322">
      <x:c r="A322" s="7" t="n">
        <x:v>318</x:v>
      </x:c>
      <x:c r="B322" s="7" t="str">
        <x:v>Tata</x:v>
      </x:c>
      <x:c r="C322" s="7" t="str">
        <x:v>Tiago</x:v>
      </x:c>
      <x:c r="D322" s="7" t="str">
        <x:v>XT</x:v>
      </x:c>
      <x:c r="E322" s="7" t="str">
        <x:v>Petrol</x:v>
      </x:c>
      <x:c r="F322" s="7" t="str">
        <x:v>Manual</x:v>
      </x:c>
      <x:c r="G322" s="7" t="str">
        <x:v>Hatchback</x:v>
      </x:c>
      <x:c r="H322" s="7" t="n">
        <x:v>1199</x:v>
      </x:c>
      <x:c r="I322" s="7" t="n">
        <x:v>85</x:v>
      </x:c>
      <x:c r="J322" s="9" t="n">
        <x:v>20.1</x:v>
      </x:c>
      <x:c r="K322" s="9" t="n">
        <x:v>6.5</x:v>
      </x:c>
      <x:c r="L322" s="7" t="n">
        <x:v>2022</x:v>
      </x:c>
      <x:c r="M322" s="11" t="n">
        <x:v>71848</x:v>
      </x:c>
      <x:c r="N322" s="7" t="n">
        <x:v>1</x:v>
      </x:c>
      <x:c r="O322" s="7" t="n">
        <x:v>0</x:v>
      </x:c>
      <x:c r="P322" s="9" t="n">
        <x:v>4.25</x:v>
      </x:c>
      <x:c r="Q322" s="7" t="n">
        <x:f>'Guide'!$B$5-L322</x:f>
        <x:v>4</x:v>
      </x:c>
      <x:c r="R322" s="9" t="n">
        <x:f>K322-P322</x:f>
        <x:v>2.25</x:v>
      </x:c>
      <x:c r="S322" s="10" t="n">
        <x:f>IF(K322&gt;0,R322/K322,"")</x:f>
        <x:v>0.34615384615384615</x:v>
      </x:c>
    </x:row>
    <x:row r="323">
      <x:c r="A323" s="7" t="n">
        <x:v>319</x:v>
      </x:c>
      <x:c r="B323" s="7" t="str">
        <x:v>Tata</x:v>
      </x:c>
      <x:c r="C323" s="7" t="str">
        <x:v>Tiago</x:v>
      </x:c>
      <x:c r="D323" s="7" t="str">
        <x:v>XT</x:v>
      </x:c>
      <x:c r="E323" s="7" t="str">
        <x:v>Petrol</x:v>
      </x:c>
      <x:c r="F323" s="7" t="str">
        <x:v>Manual</x:v>
      </x:c>
      <x:c r="G323" s="7" t="str">
        <x:v>Hatchback</x:v>
      </x:c>
      <x:c r="H323" s="7" t="n">
        <x:v>1199</x:v>
      </x:c>
      <x:c r="I323" s="7" t="n">
        <x:v>85</x:v>
      </x:c>
      <x:c r="J323" s="9" t="n">
        <x:v>20.1</x:v>
      </x:c>
      <x:c r="K323" s="9" t="n">
        <x:v>6.5</x:v>
      </x:c>
      <x:c r="L323" s="7" t="n">
        <x:v>2025</x:v>
      </x:c>
      <x:c r="M323" s="11" t="n">
        <x:v>21023</x:v>
      </x:c>
      <x:c r="N323" s="7" t="n">
        <x:v>1</x:v>
      </x:c>
      <x:c r="O323" s="7" t="n">
        <x:v>0</x:v>
      </x:c>
      <x:c r="P323" s="9" t="n">
        <x:v>5.79</x:v>
      </x:c>
      <x:c r="Q323" s="7" t="n">
        <x:f>'Guide'!$B$5-L323</x:f>
        <x:v>1</x:v>
      </x:c>
      <x:c r="R323" s="9" t="n">
        <x:f>K323-P323</x:f>
        <x:v>0.71</x:v>
      </x:c>
      <x:c r="S323" s="10" t="n">
        <x:f>IF(K323&gt;0,R323/K323,"")</x:f>
        <x:v>0.10923076923076923</x:v>
      </x:c>
    </x:row>
    <x:row r="324">
      <x:c r="A324" s="7" t="n">
        <x:v>320</x:v>
      </x:c>
      <x:c r="B324" s="7" t="str">
        <x:v>Tata</x:v>
      </x:c>
      <x:c r="C324" s="7" t="str">
        <x:v>Tiago</x:v>
      </x:c>
      <x:c r="D324" s="7" t="str">
        <x:v>XT</x:v>
      </x:c>
      <x:c r="E324" s="7" t="str">
        <x:v>Petrol</x:v>
      </x:c>
      <x:c r="F324" s="7" t="str">
        <x:v>Manual</x:v>
      </x:c>
      <x:c r="G324" s="7" t="str">
        <x:v>Hatchback</x:v>
      </x:c>
      <x:c r="H324" s="7" t="n">
        <x:v>1199</x:v>
      </x:c>
      <x:c r="I324" s="7" t="n">
        <x:v>85</x:v>
      </x:c>
      <x:c r="J324" s="9" t="n">
        <x:v>20.1</x:v>
      </x:c>
      <x:c r="K324" s="9" t="n">
        <x:v>6.5</x:v>
      </x:c>
      <x:c r="L324" s="7" t="n">
        <x:v>2022</x:v>
      </x:c>
      <x:c r="M324" s="11" t="n">
        <x:v>72352</x:v>
      </x:c>
      <x:c r="N324" s="7" t="n">
        <x:v>2</x:v>
      </x:c>
      <x:c r="O324" s="7" t="n">
        <x:v>0</x:v>
      </x:c>
      <x:c r="P324" s="9" t="n">
        <x:v>3.85</x:v>
      </x:c>
      <x:c r="Q324" s="7" t="n">
        <x:f>'Guide'!$B$5-L324</x:f>
        <x:v>4</x:v>
      </x:c>
      <x:c r="R324" s="9" t="n">
        <x:f>K324-P324</x:f>
        <x:v>2.65</x:v>
      </x:c>
      <x:c r="S324" s="10" t="n">
        <x:f>IF(K324&gt;0,R324/K324,"")</x:f>
        <x:v>0.4076923076923077</x:v>
      </x:c>
    </x:row>
    <x:row r="325">
      <x:c r="A325" s="7" t="n">
        <x:v>321</x:v>
      </x:c>
      <x:c r="B325" s="7" t="str">
        <x:v>Tata</x:v>
      </x:c>
      <x:c r="C325" s="7" t="str">
        <x:v>Tiago</x:v>
      </x:c>
      <x:c r="D325" s="7" t="str">
        <x:v>XT</x:v>
      </x:c>
      <x:c r="E325" s="7" t="str">
        <x:v>Petrol</x:v>
      </x:c>
      <x:c r="F325" s="7" t="str">
        <x:v>Manual</x:v>
      </x:c>
      <x:c r="G325" s="7" t="str">
        <x:v>Hatchback</x:v>
      </x:c>
      <x:c r="H325" s="7" t="n">
        <x:v>1199</x:v>
      </x:c>
      <x:c r="I325" s="7" t="n">
        <x:v>85</x:v>
      </x:c>
      <x:c r="J325" s="9" t="n">
        <x:v>20.1</x:v>
      </x:c>
      <x:c r="K325" s="9" t="n">
        <x:v>6.5</x:v>
      </x:c>
      <x:c r="L325" s="7" t="n">
        <x:v>2026</x:v>
      </x:c>
      <x:c r="M325" s="11" t="n">
        <x:v>9180</x:v>
      </x:c>
      <x:c r="N325" s="7" t="n">
        <x:v>2</x:v>
      </x:c>
      <x:c r="O325" s="7" t="n">
        <x:v>0</x:v>
      </x:c>
      <x:c r="P325" s="9" t="n">
        <x:v>5.72</x:v>
      </x:c>
      <x:c r="Q325" s="7" t="n">
        <x:f>'Guide'!$B$5-L325</x:f>
        <x:v>0</x:v>
      </x:c>
      <x:c r="R325" s="9" t="n">
        <x:f>K325-P325</x:f>
        <x:v>0.7800000000000002</x:v>
      </x:c>
      <x:c r="S325" s="10" t="n">
        <x:f>IF(K325&gt;0,R325/K325,"")</x:f>
        <x:v>0.12000000000000004</x:v>
      </x:c>
    </x:row>
    <x:row r="326">
      <x:c r="A326" s="7" t="n">
        <x:v>322</x:v>
      </x:c>
      <x:c r="B326" s="7" t="str">
        <x:v>Tata</x:v>
      </x:c>
      <x:c r="C326" s="7" t="str">
        <x:v>Tiago</x:v>
      </x:c>
      <x:c r="D326" s="7" t="str">
        <x:v>XT</x:v>
      </x:c>
      <x:c r="E326" s="7" t="str">
        <x:v>Petrol</x:v>
      </x:c>
      <x:c r="F326" s="7" t="str">
        <x:v>Manual</x:v>
      </x:c>
      <x:c r="G326" s="7" t="str">
        <x:v>Hatchback</x:v>
      </x:c>
      <x:c r="H326" s="7" t="n">
        <x:v>1199</x:v>
      </x:c>
      <x:c r="I326" s="7" t="n">
        <x:v>85</x:v>
      </x:c>
      <x:c r="J326" s="9" t="n">
        <x:v>20.1</x:v>
      </x:c>
      <x:c r="K326" s="9" t="n">
        <x:v>6.5</x:v>
      </x:c>
      <x:c r="L326" s="7" t="n">
        <x:v>2023</x:v>
      </x:c>
      <x:c r="M326" s="11" t="n">
        <x:v>62277</x:v>
      </x:c>
      <x:c r="N326" s="7" t="n">
        <x:v>2</x:v>
      </x:c>
      <x:c r="O326" s="7" t="n">
        <x:v>0</x:v>
      </x:c>
      <x:c r="P326" s="9" t="n">
        <x:v>4</x:v>
      </x:c>
      <x:c r="Q326" s="7" t="n">
        <x:f>'Guide'!$B$5-L326</x:f>
        <x:v>3</x:v>
      </x:c>
      <x:c r="R326" s="9" t="n">
        <x:f>K326-P326</x:f>
        <x:v>2.5</x:v>
      </x:c>
      <x:c r="S326" s="10" t="n">
        <x:f>IF(K326&gt;0,R326/K326,"")</x:f>
        <x:v>0.38461538461538464</x:v>
      </x:c>
    </x:row>
    <x:row r="327">
      <x:c r="A327" s="7" t="n">
        <x:v>323</x:v>
      </x:c>
      <x:c r="B327" s="7" t="str">
        <x:v>Tata</x:v>
      </x:c>
      <x:c r="C327" s="7" t="str">
        <x:v>Tiago</x:v>
      </x:c>
      <x:c r="D327" s="7" t="str">
        <x:v>XT</x:v>
      </x:c>
      <x:c r="E327" s="7" t="str">
        <x:v>Petrol</x:v>
      </x:c>
      <x:c r="F327" s="7" t="str">
        <x:v>Manual</x:v>
      </x:c>
      <x:c r="G327" s="7" t="str">
        <x:v>Hatchback</x:v>
      </x:c>
      <x:c r="H327" s="7" t="n">
        <x:v>1199</x:v>
      </x:c>
      <x:c r="I327" s="7" t="n">
        <x:v>85</x:v>
      </x:c>
      <x:c r="J327" s="9" t="n">
        <x:v>20.1</x:v>
      </x:c>
      <x:c r="K327" s="9" t="n">
        <x:v>6.5</x:v>
      </x:c>
      <x:c r="L327" s="7" t="n">
        <x:v>2023</x:v>
      </x:c>
      <x:c r="M327" s="11" t="n">
        <x:v>44477</x:v>
      </x:c>
      <x:c r="N327" s="7" t="n">
        <x:v>1</x:v>
      </x:c>
      <x:c r="O327" s="7" t="n">
        <x:v>0</x:v>
      </x:c>
      <x:c r="P327" s="9" t="n">
        <x:v>4.39</x:v>
      </x:c>
      <x:c r="Q327" s="7" t="n">
        <x:f>'Guide'!$B$5-L327</x:f>
        <x:v>3</x:v>
      </x:c>
      <x:c r="R327" s="9" t="n">
        <x:f>K327-P327</x:f>
        <x:v>2.1100000000000003</x:v>
      </x:c>
      <x:c r="S327" s="10" t="n">
        <x:f>IF(K327&gt;0,R327/K327,"")</x:f>
        <x:v>0.32461538461538464</x:v>
      </x:c>
    </x:row>
    <x:row r="328">
      <x:c r="A328" s="7" t="n">
        <x:v>324</x:v>
      </x:c>
      <x:c r="B328" s="7" t="str">
        <x:v>Tata</x:v>
      </x:c>
      <x:c r="C328" s="7" t="str">
        <x:v>Tiago</x:v>
      </x:c>
      <x:c r="D328" s="7" t="str">
        <x:v>XT</x:v>
      </x:c>
      <x:c r="E328" s="7" t="str">
        <x:v>Petrol</x:v>
      </x:c>
      <x:c r="F328" s="7" t="str">
        <x:v>Manual</x:v>
      </x:c>
      <x:c r="G328" s="7" t="str">
        <x:v>Hatchback</x:v>
      </x:c>
      <x:c r="H328" s="7" t="n">
        <x:v>1199</x:v>
      </x:c>
      <x:c r="I328" s="7" t="n">
        <x:v>85</x:v>
      </x:c>
      <x:c r="J328" s="9" t="n">
        <x:v>20.1</x:v>
      </x:c>
      <x:c r="K328" s="9" t="n">
        <x:v>6.5</x:v>
      </x:c>
      <x:c r="L328" s="7" t="n">
        <x:v>2022</x:v>
      </x:c>
      <x:c r="M328" s="11" t="n">
        <x:v>76955</x:v>
      </x:c>
      <x:c r="N328" s="7" t="n">
        <x:v>1</x:v>
      </x:c>
      <x:c r="O328" s="7" t="n">
        <x:v>0</x:v>
      </x:c>
      <x:c r="P328" s="9" t="n">
        <x:v>3.77</x:v>
      </x:c>
      <x:c r="Q328" s="7" t="n">
        <x:f>'Guide'!$B$5-L328</x:f>
        <x:v>4</x:v>
      </x:c>
      <x:c r="R328" s="9" t="n">
        <x:f>K328-P328</x:f>
        <x:v>2.73</x:v>
      </x:c>
      <x:c r="S328" s="10" t="n">
        <x:f>IF(K328&gt;0,R328/K328,"")</x:f>
        <x:v>0.42</x:v>
      </x:c>
    </x:row>
    <x:row r="329">
      <x:c r="A329" s="7" t="n">
        <x:v>325</x:v>
      </x:c>
      <x:c r="B329" s="7" t="str">
        <x:v>Tata</x:v>
      </x:c>
      <x:c r="C329" s="7" t="str">
        <x:v>Tiago</x:v>
      </x:c>
      <x:c r="D329" s="7" t="str">
        <x:v>XT</x:v>
      </x:c>
      <x:c r="E329" s="7" t="str">
        <x:v>Petrol</x:v>
      </x:c>
      <x:c r="F329" s="7" t="str">
        <x:v>Manual</x:v>
      </x:c>
      <x:c r="G329" s="7" t="str">
        <x:v>Hatchback</x:v>
      </x:c>
      <x:c r="H329" s="7" t="n">
        <x:v>1199</x:v>
      </x:c>
      <x:c r="I329" s="7" t="n">
        <x:v>85</x:v>
      </x:c>
      <x:c r="J329" s="9" t="n">
        <x:v>20.1</x:v>
      </x:c>
      <x:c r="K329" s="9" t="n">
        <x:v>6.5</x:v>
      </x:c>
      <x:c r="L329" s="7" t="n">
        <x:v>2021</x:v>
      </x:c>
      <x:c r="M329" s="11" t="n">
        <x:v>89381</x:v>
      </x:c>
      <x:c r="N329" s="7" t="n">
        <x:v>1</x:v>
      </x:c>
      <x:c r="O329" s="7" t="n">
        <x:v>0</x:v>
      </x:c>
      <x:c r="P329" s="9" t="n">
        <x:v>3.33</x:v>
      </x:c>
      <x:c r="Q329" s="7" t="n">
        <x:f>'Guide'!$B$5-L329</x:f>
        <x:v>5</x:v>
      </x:c>
      <x:c r="R329" s="9" t="n">
        <x:f>K329-P329</x:f>
        <x:v>3.17</x:v>
      </x:c>
      <x:c r="S329" s="10" t="n">
        <x:f>IF(K329&gt;0,R329/K329,"")</x:f>
        <x:v>0.4876923076923077</x:v>
      </x:c>
    </x:row>
    <x:row r="330">
      <x:c r="A330" s="7" t="n">
        <x:v>326</x:v>
      </x:c>
      <x:c r="B330" s="7" t="str">
        <x:v>Tata</x:v>
      </x:c>
      <x:c r="C330" s="7" t="str">
        <x:v>Tiago</x:v>
      </x:c>
      <x:c r="D330" s="7" t="str">
        <x:v>XT</x:v>
      </x:c>
      <x:c r="E330" s="7" t="str">
        <x:v>Petrol</x:v>
      </x:c>
      <x:c r="F330" s="7" t="str">
        <x:v>Manual</x:v>
      </x:c>
      <x:c r="G330" s="7" t="str">
        <x:v>Hatchback</x:v>
      </x:c>
      <x:c r="H330" s="7" t="n">
        <x:v>1199</x:v>
      </x:c>
      <x:c r="I330" s="7" t="n">
        <x:v>85</x:v>
      </x:c>
      <x:c r="J330" s="9" t="n">
        <x:v>20.1</x:v>
      </x:c>
      <x:c r="K330" s="9" t="n">
        <x:v>6.5</x:v>
      </x:c>
      <x:c r="L330" s="7" t="n">
        <x:v>2025</x:v>
      </x:c>
      <x:c r="M330" s="11" t="n">
        <x:v>13292</x:v>
      </x:c>
      <x:c r="N330" s="7" t="n">
        <x:v>2</x:v>
      </x:c>
      <x:c r="O330" s="7" t="n">
        <x:v>0</x:v>
      </x:c>
      <x:c r="P330" s="9" t="n">
        <x:v>5.36</x:v>
      </x:c>
      <x:c r="Q330" s="7" t="n">
        <x:f>'Guide'!$B$5-L330</x:f>
        <x:v>1</x:v>
      </x:c>
      <x:c r="R330" s="9" t="n">
        <x:f>K330-P330</x:f>
        <x:v>1.1399999999999997</x:v>
      </x:c>
      <x:c r="S330" s="10" t="n">
        <x:f>IF(K330&gt;0,R330/K330,"")</x:f>
        <x:v>0.17538461538461533</x:v>
      </x:c>
    </x:row>
    <x:row r="331">
      <x:c r="A331" s="7" t="n">
        <x:v>327</x:v>
      </x:c>
      <x:c r="B331" s="7" t="str">
        <x:v>Tata</x:v>
      </x:c>
      <x:c r="C331" s="7" t="str">
        <x:v>Tiago</x:v>
      </x:c>
      <x:c r="D331" s="7" t="str">
        <x:v>XT</x:v>
      </x:c>
      <x:c r="E331" s="7" t="str">
        <x:v>Petrol</x:v>
      </x:c>
      <x:c r="F331" s="7" t="str">
        <x:v>Manual</x:v>
      </x:c>
      <x:c r="G331" s="7" t="str">
        <x:v>Hatchback</x:v>
      </x:c>
      <x:c r="H331" s="7" t="n">
        <x:v>1199</x:v>
      </x:c>
      <x:c r="I331" s="7" t="n">
        <x:v>85</x:v>
      </x:c>
      <x:c r="J331" s="9" t="n">
        <x:v>20.1</x:v>
      </x:c>
      <x:c r="K331" s="9" t="n">
        <x:v>6.5</x:v>
      </x:c>
      <x:c r="L331" s="7" t="n">
        <x:v>2024</x:v>
      </x:c>
      <x:c r="M331" s="11" t="n">
        <x:v>40705</x:v>
      </x:c>
      <x:c r="N331" s="7" t="n">
        <x:v>1</x:v>
      </x:c>
      <x:c r="O331" s="7" t="n">
        <x:v>0</x:v>
      </x:c>
      <x:c r="P331" s="9" t="n">
        <x:v>5.29</x:v>
      </x:c>
      <x:c r="Q331" s="7" t="n">
        <x:f>'Guide'!$B$5-L331</x:f>
        <x:v>2</x:v>
      </x:c>
      <x:c r="R331" s="9" t="n">
        <x:f>K331-P331</x:f>
        <x:v>1.21</x:v>
      </x:c>
      <x:c r="S331" s="10" t="n">
        <x:f>IF(K331&gt;0,R331/K331,"")</x:f>
        <x:v>0.18615384615384614</x:v>
      </x:c>
    </x:row>
    <x:row r="332">
      <x:c r="A332" s="7" t="n">
        <x:v>328</x:v>
      </x:c>
      <x:c r="B332" s="7" t="str">
        <x:v>Tata</x:v>
      </x:c>
      <x:c r="C332" s="7" t="str">
        <x:v>Tiago</x:v>
      </x:c>
      <x:c r="D332" s="7" t="str">
        <x:v>XT</x:v>
      </x:c>
      <x:c r="E332" s="7" t="str">
        <x:v>Petrol</x:v>
      </x:c>
      <x:c r="F332" s="7" t="str">
        <x:v>Manual</x:v>
      </x:c>
      <x:c r="G332" s="7" t="str">
        <x:v>Hatchback</x:v>
      </x:c>
      <x:c r="H332" s="7" t="n">
        <x:v>1199</x:v>
      </x:c>
      <x:c r="I332" s="7" t="n">
        <x:v>85</x:v>
      </x:c>
      <x:c r="J332" s="9" t="n">
        <x:v>20.1</x:v>
      </x:c>
      <x:c r="K332" s="9" t="n">
        <x:v>6.5</x:v>
      </x:c>
      <x:c r="L332" s="7" t="n">
        <x:v>2024</x:v>
      </x:c>
      <x:c r="M332" s="11" t="n">
        <x:v>49410</x:v>
      </x:c>
      <x:c r="N332" s="7" t="n">
        <x:v>1</x:v>
      </x:c>
      <x:c r="O332" s="7" t="n">
        <x:v>0</x:v>
      </x:c>
      <x:c r="P332" s="9" t="n">
        <x:v>5.18</x:v>
      </x:c>
      <x:c r="Q332" s="7" t="n">
        <x:f>'Guide'!$B$5-L332</x:f>
        <x:v>2</x:v>
      </x:c>
      <x:c r="R332" s="9" t="n">
        <x:f>K332-P332</x:f>
        <x:v>1.3200000000000003</x:v>
      </x:c>
      <x:c r="S332" s="10" t="n">
        <x:f>IF(K332&gt;0,R332/K332,"")</x:f>
        <x:v>0.20307692307692313</x:v>
      </x:c>
    </x:row>
    <x:row r="333">
      <x:c r="A333" s="7" t="n">
        <x:v>329</x:v>
      </x:c>
      <x:c r="B333" s="7" t="str">
        <x:v>Tata</x:v>
      </x:c>
      <x:c r="C333" s="7" t="str">
        <x:v>Tiago</x:v>
      </x:c>
      <x:c r="D333" s="7" t="str">
        <x:v>XT</x:v>
      </x:c>
      <x:c r="E333" s="7" t="str">
        <x:v>Petrol</x:v>
      </x:c>
      <x:c r="F333" s="7" t="str">
        <x:v>Manual</x:v>
      </x:c>
      <x:c r="G333" s="7" t="str">
        <x:v>Hatchback</x:v>
      </x:c>
      <x:c r="H333" s="7" t="n">
        <x:v>1199</x:v>
      </x:c>
      <x:c r="I333" s="7" t="n">
        <x:v>85</x:v>
      </x:c>
      <x:c r="J333" s="9" t="n">
        <x:v>20.1</x:v>
      </x:c>
      <x:c r="K333" s="9" t="n">
        <x:v>6.5</x:v>
      </x:c>
      <x:c r="L333" s="7" t="n">
        <x:v>2022</x:v>
      </x:c>
      <x:c r="M333" s="11" t="n">
        <x:v>78230</x:v>
      </x:c>
      <x:c r="N333" s="7" t="n">
        <x:v>1</x:v>
      </x:c>
      <x:c r="O333" s="7" t="n">
        <x:v>0</x:v>
      </x:c>
      <x:c r="P333" s="9" t="n">
        <x:v>3.75</x:v>
      </x:c>
      <x:c r="Q333" s="7" t="n">
        <x:f>'Guide'!$B$5-L333</x:f>
        <x:v>4</x:v>
      </x:c>
      <x:c r="R333" s="9" t="n">
        <x:f>K333-P333</x:f>
        <x:v>2.75</x:v>
      </x:c>
      <x:c r="S333" s="10" t="n">
        <x:f>IF(K333&gt;0,R333/K333,"")</x:f>
        <x:v>0.4230769230769231</x:v>
      </x:c>
    </x:row>
    <x:row r="334">
      <x:c r="A334" s="7" t="n">
        <x:v>330</x:v>
      </x:c>
      <x:c r="B334" s="7" t="str">
        <x:v>Tata</x:v>
      </x:c>
      <x:c r="C334" s="7" t="str">
        <x:v>Tiago</x:v>
      </x:c>
      <x:c r="D334" s="7" t="str">
        <x:v>XT</x:v>
      </x:c>
      <x:c r="E334" s="7" t="str">
        <x:v>Petrol</x:v>
      </x:c>
      <x:c r="F334" s="7" t="str">
        <x:v>Manual</x:v>
      </x:c>
      <x:c r="G334" s="7" t="str">
        <x:v>Hatchback</x:v>
      </x:c>
      <x:c r="H334" s="7" t="n">
        <x:v>1199</x:v>
      </x:c>
      <x:c r="I334" s="7" t="n">
        <x:v>85</x:v>
      </x:c>
      <x:c r="J334" s="9" t="n">
        <x:v>20.1</x:v>
      </x:c>
      <x:c r="K334" s="9" t="n">
        <x:v>6.5</x:v>
      </x:c>
      <x:c r="L334" s="7" t="n">
        <x:v>2026</x:v>
      </x:c>
      <x:c r="M334" s="11" t="n">
        <x:v>6762</x:v>
      </x:c>
      <x:c r="N334" s="7" t="n">
        <x:v>1</x:v>
      </x:c>
      <x:c r="O334" s="7" t="n">
        <x:v>0</x:v>
      </x:c>
      <x:c r="P334" s="9" t="n">
        <x:v>6.06</x:v>
      </x:c>
      <x:c r="Q334" s="7" t="n">
        <x:f>'Guide'!$B$5-L334</x:f>
        <x:v>0</x:v>
      </x:c>
      <x:c r="R334" s="9" t="n">
        <x:f>K334-P334</x:f>
        <x:v>0.4400000000000004</x:v>
      </x:c>
      <x:c r="S334" s="10" t="n">
        <x:f>IF(K334&gt;0,R334/K334,"")</x:f>
        <x:v>0.06769230769230775</x:v>
      </x:c>
    </x:row>
    <x:row r="335">
      <x:c r="A335" s="7" t="n">
        <x:v>331</x:v>
      </x:c>
      <x:c r="B335" s="7" t="str">
        <x:v>Tata</x:v>
      </x:c>
      <x:c r="C335" s="7" t="str">
        <x:v>Tiago</x:v>
      </x:c>
      <x:c r="D335" s="7" t="str">
        <x:v>XT</x:v>
      </x:c>
      <x:c r="E335" s="7" t="str">
        <x:v>Petrol</x:v>
      </x:c>
      <x:c r="F335" s="7" t="str">
        <x:v>Manual</x:v>
      </x:c>
      <x:c r="G335" s="7" t="str">
        <x:v>Hatchback</x:v>
      </x:c>
      <x:c r="H335" s="7" t="n">
        <x:v>1199</x:v>
      </x:c>
      <x:c r="I335" s="7" t="n">
        <x:v>85</x:v>
      </x:c>
      <x:c r="J335" s="9" t="n">
        <x:v>20.1</x:v>
      </x:c>
      <x:c r="K335" s="9" t="n">
        <x:v>6.5</x:v>
      </x:c>
      <x:c r="L335" s="7" t="n">
        <x:v>2024</x:v>
      </x:c>
      <x:c r="M335" s="11" t="n">
        <x:v>31099</x:v>
      </x:c>
      <x:c r="N335" s="7" t="n">
        <x:v>1</x:v>
      </x:c>
      <x:c r="O335" s="7" t="n">
        <x:v>0</x:v>
      </x:c>
      <x:c r="P335" s="9" t="n">
        <x:v>4.83</x:v>
      </x:c>
      <x:c r="Q335" s="7" t="n">
        <x:f>'Guide'!$B$5-L335</x:f>
        <x:v>2</x:v>
      </x:c>
      <x:c r="R335" s="9" t="n">
        <x:f>K335-P335</x:f>
        <x:v>1.67</x:v>
      </x:c>
      <x:c r="S335" s="10" t="n">
        <x:f>IF(K335&gt;0,R335/K335,"")</x:f>
        <x:v>0.2569230769230769</x:v>
      </x:c>
    </x:row>
    <x:row r="336">
      <x:c r="A336" s="7" t="n">
        <x:v>332</x:v>
      </x:c>
      <x:c r="B336" s="7" t="str">
        <x:v>Tata</x:v>
      </x:c>
      <x:c r="C336" s="7" t="str">
        <x:v>Tiago</x:v>
      </x:c>
      <x:c r="D336" s="7" t="str">
        <x:v>XT</x:v>
      </x:c>
      <x:c r="E336" s="7" t="str">
        <x:v>Petrol</x:v>
      </x:c>
      <x:c r="F336" s="7" t="str">
        <x:v>Manual</x:v>
      </x:c>
      <x:c r="G336" s="7" t="str">
        <x:v>Hatchback</x:v>
      </x:c>
      <x:c r="H336" s="7" t="n">
        <x:v>1199</x:v>
      </x:c>
      <x:c r="I336" s="7" t="n">
        <x:v>85</x:v>
      </x:c>
      <x:c r="J336" s="9" t="n">
        <x:v>20.1</x:v>
      </x:c>
      <x:c r="K336" s="9" t="n">
        <x:v>6.5</x:v>
      </x:c>
      <x:c r="L336" s="7" t="n">
        <x:v>2026</x:v>
      </x:c>
      <x:c r="M336" s="11" t="n">
        <x:v>4895</x:v>
      </x:c>
      <x:c r="N336" s="7" t="n">
        <x:v>1</x:v>
      </x:c>
      <x:c r="O336" s="7" t="n">
        <x:v>0</x:v>
      </x:c>
      <x:c r="P336" s="9" t="n">
        <x:v>6.32</x:v>
      </x:c>
      <x:c r="Q336" s="7" t="n">
        <x:f>'Guide'!$B$5-L336</x:f>
        <x:v>0</x:v>
      </x:c>
      <x:c r="R336" s="9" t="n">
        <x:f>K336-P336</x:f>
        <x:v>0.17999999999999972</x:v>
      </x:c>
      <x:c r="S336" s="10" t="n">
        <x:f>IF(K336&gt;0,R336/K336,"")</x:f>
        <x:v>0.027692307692307648</x:v>
      </x:c>
    </x:row>
    <x:row r="337">
      <x:c r="A337" s="7" t="n">
        <x:v>333</x:v>
      </x:c>
      <x:c r="B337" s="7" t="str">
        <x:v>Tata</x:v>
      </x:c>
      <x:c r="C337" s="7" t="str">
        <x:v>Tiago</x:v>
      </x:c>
      <x:c r="D337" s="7" t="str">
        <x:v>XT</x:v>
      </x:c>
      <x:c r="E337" s="7" t="str">
        <x:v>Petrol</x:v>
      </x:c>
      <x:c r="F337" s="7" t="str">
        <x:v>Manual</x:v>
      </x:c>
      <x:c r="G337" s="7" t="str">
        <x:v>Hatchback</x:v>
      </x:c>
      <x:c r="H337" s="7" t="n">
        <x:v>1199</x:v>
      </x:c>
      <x:c r="I337" s="7" t="n">
        <x:v>85</x:v>
      </x:c>
      <x:c r="J337" s="9" t="n">
        <x:v>20.1</x:v>
      </x:c>
      <x:c r="K337" s="9" t="n">
        <x:v>6.5</x:v>
      </x:c>
      <x:c r="L337" s="7" t="n">
        <x:v>2020</x:v>
      </x:c>
      <x:c r="M337" s="11" t="n">
        <x:v>126080</x:v>
      </x:c>
      <x:c r="N337" s="7" t="n">
        <x:v>1</x:v>
      </x:c>
      <x:c r="O337" s="7" t="n">
        <x:v>0</x:v>
      </x:c>
      <x:c r="P337" s="9" t="n">
        <x:v>2.7</x:v>
      </x:c>
      <x:c r="Q337" s="7" t="n">
        <x:f>'Guide'!$B$5-L337</x:f>
        <x:v>6</x:v>
      </x:c>
      <x:c r="R337" s="9" t="n">
        <x:f>K337-P337</x:f>
        <x:v>3.8</x:v>
      </x:c>
      <x:c r="S337" s="10" t="n">
        <x:f>IF(K337&gt;0,R337/K337,"")</x:f>
        <x:v>0.5846153846153845</x:v>
      </x:c>
    </x:row>
    <x:row r="338">
      <x:c r="A338" s="7" t="n">
        <x:v>334</x:v>
      </x:c>
      <x:c r="B338" s="7" t="str">
        <x:v>Tata</x:v>
      </x:c>
      <x:c r="C338" s="7" t="str">
        <x:v>Tiago</x:v>
      </x:c>
      <x:c r="D338" s="7" t="str">
        <x:v>XT</x:v>
      </x:c>
      <x:c r="E338" s="7" t="str">
        <x:v>Petrol</x:v>
      </x:c>
      <x:c r="F338" s="7" t="str">
        <x:v>Manual</x:v>
      </x:c>
      <x:c r="G338" s="7" t="str">
        <x:v>Hatchback</x:v>
      </x:c>
      <x:c r="H338" s="7" t="n">
        <x:v>1199</x:v>
      </x:c>
      <x:c r="I338" s="7" t="n">
        <x:v>85</x:v>
      </x:c>
      <x:c r="J338" s="9" t="n">
        <x:v>20.1</x:v>
      </x:c>
      <x:c r="K338" s="9" t="n">
        <x:v>6.5</x:v>
      </x:c>
      <x:c r="L338" s="7" t="n">
        <x:v>2022</x:v>
      </x:c>
      <x:c r="M338" s="11" t="n">
        <x:v>57485</x:v>
      </x:c>
      <x:c r="N338" s="7" t="n">
        <x:v>1</x:v>
      </x:c>
      <x:c r="O338" s="7" t="n">
        <x:v>0</x:v>
      </x:c>
      <x:c r="P338" s="9" t="n">
        <x:v>3.88</x:v>
      </x:c>
      <x:c r="Q338" s="7" t="n">
        <x:f>'Guide'!$B$5-L338</x:f>
        <x:v>4</x:v>
      </x:c>
      <x:c r="R338" s="9" t="n">
        <x:f>K338-P338</x:f>
        <x:v>2.62</x:v>
      </x:c>
      <x:c r="S338" s="10" t="n">
        <x:f>IF(K338&gt;0,R338/K338,"")</x:f>
        <x:v>0.4030769230769231</x:v>
      </x:c>
    </x:row>
    <x:row r="339">
      <x:c r="A339" s="7" t="n">
        <x:v>335</x:v>
      </x:c>
      <x:c r="B339" s="7" t="str">
        <x:v>Tata</x:v>
      </x:c>
      <x:c r="C339" s="7" t="str">
        <x:v>Tiago</x:v>
      </x:c>
      <x:c r="D339" s="7" t="str">
        <x:v>XT</x:v>
      </x:c>
      <x:c r="E339" s="7" t="str">
        <x:v>Petrol</x:v>
      </x:c>
      <x:c r="F339" s="7" t="str">
        <x:v>Manual</x:v>
      </x:c>
      <x:c r="G339" s="7" t="str">
        <x:v>Hatchback</x:v>
      </x:c>
      <x:c r="H339" s="7" t="n">
        <x:v>1199</x:v>
      </x:c>
      <x:c r="I339" s="7" t="n">
        <x:v>85</x:v>
      </x:c>
      <x:c r="J339" s="9" t="n">
        <x:v>20.1</x:v>
      </x:c>
      <x:c r="K339" s="9" t="n">
        <x:v>6.5</x:v>
      </x:c>
      <x:c r="L339" s="7" t="n">
        <x:v>2025</x:v>
      </x:c>
      <x:c r="M339" s="11" t="n">
        <x:v>13315</x:v>
      </x:c>
      <x:c r="N339" s="7" t="n">
        <x:v>2</x:v>
      </x:c>
      <x:c r="O339" s="7" t="n">
        <x:v>0</x:v>
      </x:c>
      <x:c r="P339" s="9" t="n">
        <x:v>5.57</x:v>
      </x:c>
      <x:c r="Q339" s="7" t="n">
        <x:f>'Guide'!$B$5-L339</x:f>
        <x:v>1</x:v>
      </x:c>
      <x:c r="R339" s="9" t="n">
        <x:f>K339-P339</x:f>
        <x:v>0.9299999999999997</x:v>
      </x:c>
      <x:c r="S339" s="10" t="n">
        <x:f>IF(K339&gt;0,R339/K339,"")</x:f>
        <x:v>0.14307692307692305</x:v>
      </x:c>
    </x:row>
    <x:row r="340">
      <x:c r="A340" s="7" t="n">
        <x:v>336</x:v>
      </x:c>
      <x:c r="B340" s="7" t="str">
        <x:v>Tata</x:v>
      </x:c>
      <x:c r="C340" s="7" t="str">
        <x:v>Tiago</x:v>
      </x:c>
      <x:c r="D340" s="7" t="str">
        <x:v>XT</x:v>
      </x:c>
      <x:c r="E340" s="7" t="str">
        <x:v>Petrol</x:v>
      </x:c>
      <x:c r="F340" s="7" t="str">
        <x:v>Manual</x:v>
      </x:c>
      <x:c r="G340" s="7" t="str">
        <x:v>Hatchback</x:v>
      </x:c>
      <x:c r="H340" s="7" t="n">
        <x:v>1199</x:v>
      </x:c>
      <x:c r="I340" s="7" t="n">
        <x:v>85</x:v>
      </x:c>
      <x:c r="J340" s="9" t="n">
        <x:v>20.1</x:v>
      </x:c>
      <x:c r="K340" s="9" t="n">
        <x:v>6.5</x:v>
      </x:c>
      <x:c r="L340" s="7" t="n">
        <x:v>2026</x:v>
      </x:c>
      <x:c r="M340" s="11" t="n">
        <x:v>6862</x:v>
      </x:c>
      <x:c r="N340" s="7" t="n">
        <x:v>1</x:v>
      </x:c>
      <x:c r="O340" s="7" t="n">
        <x:v>0</x:v>
      </x:c>
      <x:c r="P340" s="9" t="n">
        <x:v>6.4</x:v>
      </x:c>
      <x:c r="Q340" s="7" t="n">
        <x:f>'Guide'!$B$5-L340</x:f>
        <x:v>0</x:v>
      </x:c>
      <x:c r="R340" s="9" t="n">
        <x:f>K340-P340</x:f>
        <x:v>0.09999999999999964</x:v>
      </x:c>
      <x:c r="S340" s="10" t="n">
        <x:f>IF(K340&gt;0,R340/K340,"")</x:f>
        <x:v>0.01538461538461533</x:v>
      </x:c>
    </x:row>
    <x:row r="341">
      <x:c r="A341" s="7" t="n">
        <x:v>337</x:v>
      </x:c>
      <x:c r="B341" s="7" t="str">
        <x:v>Tata</x:v>
      </x:c>
      <x:c r="C341" s="7" t="str">
        <x:v>Tiago</x:v>
      </x:c>
      <x:c r="D341" s="7" t="str">
        <x:v>XT</x:v>
      </x:c>
      <x:c r="E341" s="7" t="str">
        <x:v>Petrol</x:v>
      </x:c>
      <x:c r="F341" s="7" t="str">
        <x:v>Manual</x:v>
      </x:c>
      <x:c r="G341" s="7" t="str">
        <x:v>Hatchback</x:v>
      </x:c>
      <x:c r="H341" s="7" t="n">
        <x:v>1199</x:v>
      </x:c>
      <x:c r="I341" s="7" t="n">
        <x:v>85</x:v>
      </x:c>
      <x:c r="J341" s="9" t="n">
        <x:v>20.1</x:v>
      </x:c>
      <x:c r="K341" s="9" t="n">
        <x:v>6.5</x:v>
      </x:c>
      <x:c r="L341" s="7" t="n">
        <x:v>2024</x:v>
      </x:c>
      <x:c r="M341" s="11" t="n">
        <x:v>42988</x:v>
      </x:c>
      <x:c r="N341" s="7" t="n">
        <x:v>2</x:v>
      </x:c>
      <x:c r="O341" s="7" t="n">
        <x:v>0</x:v>
      </x:c>
      <x:c r="P341" s="9" t="n">
        <x:v>4.71</x:v>
      </x:c>
      <x:c r="Q341" s="7" t="n">
        <x:f>'Guide'!$B$5-L341</x:f>
        <x:v>2</x:v>
      </x:c>
      <x:c r="R341" s="9" t="n">
        <x:f>K341-P341</x:f>
        <x:v>1.79</x:v>
      </x:c>
      <x:c r="S341" s="10" t="n">
        <x:f>IF(K341&gt;0,R341/K341,"")</x:f>
        <x:v>0.2753846153846154</x:v>
      </x:c>
    </x:row>
    <x:row r="342">
      <x:c r="A342" s="7" t="n">
        <x:v>338</x:v>
      </x:c>
      <x:c r="B342" s="7" t="str">
        <x:v>Tata</x:v>
      </x:c>
      <x:c r="C342" s="7" t="str">
        <x:v>Tiago</x:v>
      </x:c>
      <x:c r="D342" s="7" t="str">
        <x:v>XT</x:v>
      </x:c>
      <x:c r="E342" s="7" t="str">
        <x:v>Petrol</x:v>
      </x:c>
      <x:c r="F342" s="7" t="str">
        <x:v>Manual</x:v>
      </x:c>
      <x:c r="G342" s="7" t="str">
        <x:v>Hatchback</x:v>
      </x:c>
      <x:c r="H342" s="7" t="n">
        <x:v>1199</x:v>
      </x:c>
      <x:c r="I342" s="7" t="n">
        <x:v>85</x:v>
      </x:c>
      <x:c r="J342" s="9" t="n">
        <x:v>20.1</x:v>
      </x:c>
      <x:c r="K342" s="9" t="n">
        <x:v>6.5</x:v>
      </x:c>
      <x:c r="L342" s="7" t="n">
        <x:v>2025</x:v>
      </x:c>
      <x:c r="M342" s="11" t="n">
        <x:v>16574</x:v>
      </x:c>
      <x:c r="N342" s="7" t="n">
        <x:v>3</x:v>
      </x:c>
      <x:c r="O342" s="7" t="n">
        <x:v>0</x:v>
      </x:c>
      <x:c r="P342" s="9" t="n">
        <x:v>5.14</x:v>
      </x:c>
      <x:c r="Q342" s="7" t="n">
        <x:f>'Guide'!$B$5-L342</x:f>
        <x:v>1</x:v>
      </x:c>
      <x:c r="R342" s="9" t="n">
        <x:f>K342-P342</x:f>
        <x:v>1.3600000000000003</x:v>
      </x:c>
      <x:c r="S342" s="10" t="n">
        <x:f>IF(K342&gt;0,R342/K342,"")</x:f>
        <x:v>0.20923076923076928</x:v>
      </x:c>
    </x:row>
    <x:row r="343">
      <x:c r="A343" s="7" t="n">
        <x:v>339</x:v>
      </x:c>
      <x:c r="B343" s="7" t="str">
        <x:v>Tata</x:v>
      </x:c>
      <x:c r="C343" s="7" t="str">
        <x:v>Tiago</x:v>
      </x:c>
      <x:c r="D343" s="7" t="str">
        <x:v>XT</x:v>
      </x:c>
      <x:c r="E343" s="7" t="str">
        <x:v>Petrol</x:v>
      </x:c>
      <x:c r="F343" s="7" t="str">
        <x:v>Manual</x:v>
      </x:c>
      <x:c r="G343" s="7" t="str">
        <x:v>Hatchback</x:v>
      </x:c>
      <x:c r="H343" s="7" t="n">
        <x:v>1199</x:v>
      </x:c>
      <x:c r="I343" s="7" t="n">
        <x:v>85</x:v>
      </x:c>
      <x:c r="J343" s="9" t="n">
        <x:v>20.1</x:v>
      </x:c>
      <x:c r="K343" s="9" t="n">
        <x:v>6.5</x:v>
      </x:c>
      <x:c r="L343" s="7" t="n">
        <x:v>2025</x:v>
      </x:c>
      <x:c r="M343" s="11" t="n">
        <x:v>26038</x:v>
      </x:c>
      <x:c r="N343" s="7" t="n">
        <x:v>1</x:v>
      </x:c>
      <x:c r="O343" s="7" t="n">
        <x:v>0</x:v>
      </x:c>
      <x:c r="P343" s="9" t="n">
        <x:v>6.12</x:v>
      </x:c>
      <x:c r="Q343" s="7" t="n">
        <x:f>'Guide'!$B$5-L343</x:f>
        <x:v>1</x:v>
      </x:c>
      <x:c r="R343" s="9" t="n">
        <x:f>K343-P343</x:f>
        <x:v>0.3799999999999999</x:v>
      </x:c>
      <x:c r="S343" s="10" t="n">
        <x:f>IF(K343&gt;0,R343/K343,"")</x:f>
        <x:v>0.05846153846153845</x:v>
      </x:c>
    </x:row>
    <x:row r="344">
      <x:c r="A344" s="7" t="n">
        <x:v>340</x:v>
      </x:c>
      <x:c r="B344" s="7" t="str">
        <x:v>Tata</x:v>
      </x:c>
      <x:c r="C344" s="7" t="str">
        <x:v>Tiago</x:v>
      </x:c>
      <x:c r="D344" s="7" t="str">
        <x:v>XT</x:v>
      </x:c>
      <x:c r="E344" s="7" t="str">
        <x:v>Petrol</x:v>
      </x:c>
      <x:c r="F344" s="7" t="str">
        <x:v>Manual</x:v>
      </x:c>
      <x:c r="G344" s="7" t="str">
        <x:v>Hatchback</x:v>
      </x:c>
      <x:c r="H344" s="7" t="n">
        <x:v>1199</x:v>
      </x:c>
      <x:c r="I344" s="7" t="n">
        <x:v>85</x:v>
      </x:c>
      <x:c r="J344" s="9" t="n">
        <x:v>20.1</x:v>
      </x:c>
      <x:c r="K344" s="9" t="n">
        <x:v>6.5</x:v>
      </x:c>
      <x:c r="L344" s="7" t="n">
        <x:v>2024</x:v>
      </x:c>
      <x:c r="M344" s="11" t="n">
        <x:v>25071</x:v>
      </x:c>
      <x:c r="N344" s="7" t="n">
        <x:v>1</x:v>
      </x:c>
      <x:c r="O344" s="7" t="n">
        <x:v>0</x:v>
      </x:c>
      <x:c r="P344" s="9" t="n">
        <x:v>4.88</x:v>
      </x:c>
      <x:c r="Q344" s="7" t="n">
        <x:f>'Guide'!$B$5-L344</x:f>
        <x:v>2</x:v>
      </x:c>
      <x:c r="R344" s="9" t="n">
        <x:f>K344-P344</x:f>
        <x:v>1.62</x:v>
      </x:c>
      <x:c r="S344" s="10" t="n">
        <x:f>IF(K344&gt;0,R344/K344,"")</x:f>
        <x:v>0.24923076923076926</x:v>
      </x:c>
    </x:row>
    <x:row r="345">
      <x:c r="A345" s="7" t="n">
        <x:v>341</x:v>
      </x:c>
      <x:c r="B345" s="7" t="str">
        <x:v>Tata</x:v>
      </x:c>
      <x:c r="C345" s="7" t="str">
        <x:v>Tiago</x:v>
      </x:c>
      <x:c r="D345" s="7" t="str">
        <x:v>XT</x:v>
      </x:c>
      <x:c r="E345" s="7" t="str">
        <x:v>Petrol</x:v>
      </x:c>
      <x:c r="F345" s="7" t="str">
        <x:v>Manual</x:v>
      </x:c>
      <x:c r="G345" s="7" t="str">
        <x:v>Hatchback</x:v>
      </x:c>
      <x:c r="H345" s="7" t="n">
        <x:v>1199</x:v>
      </x:c>
      <x:c r="I345" s="7" t="n">
        <x:v>85</x:v>
      </x:c>
      <x:c r="J345" s="9" t="n">
        <x:v>20.1</x:v>
      </x:c>
      <x:c r="K345" s="9" t="n">
        <x:v>6.5</x:v>
      </x:c>
      <x:c r="L345" s="7" t="n">
        <x:v>2024</x:v>
      </x:c>
      <x:c r="M345" s="11" t="n">
        <x:v>37988</x:v>
      </x:c>
      <x:c r="N345" s="7" t="n">
        <x:v>1</x:v>
      </x:c>
      <x:c r="O345" s="7" t="n">
        <x:v>0</x:v>
      </x:c>
      <x:c r="P345" s="9" t="n">
        <x:v>4.91</x:v>
      </x:c>
      <x:c r="Q345" s="7" t="n">
        <x:f>'Guide'!$B$5-L345</x:f>
        <x:v>2</x:v>
      </x:c>
      <x:c r="R345" s="9" t="n">
        <x:f>K345-P345</x:f>
        <x:v>1.5899999999999999</x:v>
      </x:c>
      <x:c r="S345" s="10" t="n">
        <x:f>IF(K345&gt;0,R345/K345,"")</x:f>
        <x:v>0.2446153846153846</x:v>
      </x:c>
    </x:row>
    <x:row r="346">
      <x:c r="A346" s="7" t="n">
        <x:v>342</x:v>
      </x:c>
      <x:c r="B346" s="7" t="str">
        <x:v>Tata</x:v>
      </x:c>
      <x:c r="C346" s="7" t="str">
        <x:v>Tiago</x:v>
      </x:c>
      <x:c r="D346" s="7" t="str">
        <x:v>XT</x:v>
      </x:c>
      <x:c r="E346" s="7" t="str">
        <x:v>Petrol</x:v>
      </x:c>
      <x:c r="F346" s="7" t="str">
        <x:v>Manual</x:v>
      </x:c>
      <x:c r="G346" s="7" t="str">
        <x:v>Hatchback</x:v>
      </x:c>
      <x:c r="H346" s="7" t="n">
        <x:v>1199</x:v>
      </x:c>
      <x:c r="I346" s="7" t="n">
        <x:v>85</x:v>
      </x:c>
      <x:c r="J346" s="9" t="n">
        <x:v>20.1</x:v>
      </x:c>
      <x:c r="K346" s="9" t="n">
        <x:v>6.5</x:v>
      </x:c>
      <x:c r="L346" s="7" t="n">
        <x:v>2025</x:v>
      </x:c>
      <x:c r="M346" s="11" t="n">
        <x:v>28680</x:v>
      </x:c>
      <x:c r="N346" s="7" t="n">
        <x:v>2</x:v>
      </x:c>
      <x:c r="O346" s="7" t="n">
        <x:v>0</x:v>
      </x:c>
      <x:c r="P346" s="9" t="n">
        <x:v>5.37</x:v>
      </x:c>
      <x:c r="Q346" s="7" t="n">
        <x:f>'Guide'!$B$5-L346</x:f>
        <x:v>1</x:v>
      </x:c>
      <x:c r="R346" s="9" t="n">
        <x:f>K346-P346</x:f>
        <x:v>1.13</x:v>
      </x:c>
      <x:c r="S346" s="10" t="n">
        <x:f>IF(K346&gt;0,R346/K346,"")</x:f>
        <x:v>0.17384615384615382</x:v>
      </x:c>
    </x:row>
    <x:row r="347">
      <x:c r="A347" s="7" t="n">
        <x:v>343</x:v>
      </x:c>
      <x:c r="B347" s="7" t="str">
        <x:v>Tata</x:v>
      </x:c>
      <x:c r="C347" s="7" t="str">
        <x:v>Tiago</x:v>
      </x:c>
      <x:c r="D347" s="7" t="str">
        <x:v>XT</x:v>
      </x:c>
      <x:c r="E347" s="7" t="str">
        <x:v>Petrol</x:v>
      </x:c>
      <x:c r="F347" s="7" t="str">
        <x:v>Manual</x:v>
      </x:c>
      <x:c r="G347" s="7" t="str">
        <x:v>Hatchback</x:v>
      </x:c>
      <x:c r="H347" s="7" t="n">
        <x:v>1199</x:v>
      </x:c>
      <x:c r="I347" s="7" t="n">
        <x:v>85</x:v>
      </x:c>
      <x:c r="J347" s="9" t="n">
        <x:v>20.1</x:v>
      </x:c>
      <x:c r="K347" s="9" t="n">
        <x:v>6.5</x:v>
      </x:c>
      <x:c r="L347" s="7" t="n">
        <x:v>2020</x:v>
      </x:c>
      <x:c r="M347" s="11" t="n">
        <x:v>77657</x:v>
      </x:c>
      <x:c r="N347" s="7" t="n">
        <x:v>1</x:v>
      </x:c>
      <x:c r="O347" s="7" t="n">
        <x:v>0</x:v>
      </x:c>
      <x:c r="P347" s="9" t="n">
        <x:v>2.71</x:v>
      </x:c>
      <x:c r="Q347" s="7" t="n">
        <x:f>'Guide'!$B$5-L347</x:f>
        <x:v>6</x:v>
      </x:c>
      <x:c r="R347" s="9" t="n">
        <x:f>K347-P347</x:f>
        <x:v>3.79</x:v>
      </x:c>
      <x:c r="S347" s="10" t="n">
        <x:f>IF(K347&gt;0,R347/K347,"")</x:f>
        <x:v>0.583076923076923</x:v>
      </x:c>
    </x:row>
    <x:row r="348">
      <x:c r="A348" s="7" t="n">
        <x:v>344</x:v>
      </x:c>
      <x:c r="B348" s="7" t="str">
        <x:v>Tata</x:v>
      </x:c>
      <x:c r="C348" s="7" t="str">
        <x:v>Tiago</x:v>
      </x:c>
      <x:c r="D348" s="7" t="str">
        <x:v>XT</x:v>
      </x:c>
      <x:c r="E348" s="7" t="str">
        <x:v>Petrol</x:v>
      </x:c>
      <x:c r="F348" s="7" t="str">
        <x:v>Manual</x:v>
      </x:c>
      <x:c r="G348" s="7" t="str">
        <x:v>Hatchback</x:v>
      </x:c>
      <x:c r="H348" s="7" t="n">
        <x:v>1199</x:v>
      </x:c>
      <x:c r="I348" s="7" t="n">
        <x:v>85</x:v>
      </x:c>
      <x:c r="J348" s="9" t="n">
        <x:v>20.1</x:v>
      </x:c>
      <x:c r="K348" s="9" t="n">
        <x:v>6.5</x:v>
      </x:c>
      <x:c r="L348" s="7" t="n">
        <x:v>2020</x:v>
      </x:c>
      <x:c r="M348" s="11" t="n">
        <x:v>112047</x:v>
      </x:c>
      <x:c r="N348" s="7" t="n">
        <x:v>1</x:v>
      </x:c>
      <x:c r="O348" s="7" t="n">
        <x:v>0</x:v>
      </x:c>
      <x:c r="P348" s="9" t="n">
        <x:v>2.89</x:v>
      </x:c>
      <x:c r="Q348" s="7" t="n">
        <x:f>'Guide'!$B$5-L348</x:f>
        <x:v>6</x:v>
      </x:c>
      <x:c r="R348" s="9" t="n">
        <x:f>K348-P348</x:f>
        <x:v>3.61</x:v>
      </x:c>
      <x:c r="S348" s="10" t="n">
        <x:f>IF(K348&gt;0,R348/K348,"")</x:f>
        <x:v>0.5553846153846154</x:v>
      </x:c>
    </x:row>
    <x:row r="349">
      <x:c r="A349" s="7" t="n">
        <x:v>345</x:v>
      </x:c>
      <x:c r="B349" s="7" t="str">
        <x:v>Tata</x:v>
      </x:c>
      <x:c r="C349" s="7" t="str">
        <x:v>Tiago</x:v>
      </x:c>
      <x:c r="D349" s="7" t="str">
        <x:v>XT</x:v>
      </x:c>
      <x:c r="E349" s="7" t="str">
        <x:v>Petrol</x:v>
      </x:c>
      <x:c r="F349" s="7" t="str">
        <x:v>Manual</x:v>
      </x:c>
      <x:c r="G349" s="7" t="str">
        <x:v>Hatchback</x:v>
      </x:c>
      <x:c r="H349" s="7" t="n">
        <x:v>1199</x:v>
      </x:c>
      <x:c r="I349" s="7" t="n">
        <x:v>85</x:v>
      </x:c>
      <x:c r="J349" s="9" t="n">
        <x:v>20.1</x:v>
      </x:c>
      <x:c r="K349" s="9" t="n">
        <x:v>6.5</x:v>
      </x:c>
      <x:c r="L349" s="7" t="n">
        <x:v>2025</x:v>
      </x:c>
      <x:c r="M349" s="11" t="n">
        <x:v>16003</x:v>
      </x:c>
      <x:c r="N349" s="7" t="n">
        <x:v>1</x:v>
      </x:c>
      <x:c r="O349" s="7" t="n">
        <x:v>0</x:v>
      </x:c>
      <x:c r="P349" s="9" t="n">
        <x:v>6.01</x:v>
      </x:c>
      <x:c r="Q349" s="7" t="n">
        <x:f>'Guide'!$B$5-L349</x:f>
        <x:v>1</x:v>
      </x:c>
      <x:c r="R349" s="9" t="n">
        <x:f>K349-P349</x:f>
        <x:v>0.4900000000000002</x:v>
      </x:c>
      <x:c r="S349" s="10" t="n">
        <x:f>IF(K349&gt;0,R349/K349,"")</x:f>
        <x:v>0.07538461538461541</x:v>
      </x:c>
    </x:row>
    <x:row r="350">
      <x:c r="A350" s="7" t="n">
        <x:v>346</x:v>
      </x:c>
      <x:c r="B350" s="7" t="str">
        <x:v>Tata</x:v>
      </x:c>
      <x:c r="C350" s="7" t="str">
        <x:v>Tiago</x:v>
      </x:c>
      <x:c r="D350" s="7" t="str">
        <x:v>XT</x:v>
      </x:c>
      <x:c r="E350" s="7" t="str">
        <x:v>Petrol</x:v>
      </x:c>
      <x:c r="F350" s="7" t="str">
        <x:v>Manual</x:v>
      </x:c>
      <x:c r="G350" s="7" t="str">
        <x:v>Hatchback</x:v>
      </x:c>
      <x:c r="H350" s="7" t="n">
        <x:v>1199</x:v>
      </x:c>
      <x:c r="I350" s="7" t="n">
        <x:v>85</x:v>
      </x:c>
      <x:c r="J350" s="9" t="n">
        <x:v>20.1</x:v>
      </x:c>
      <x:c r="K350" s="9" t="n">
        <x:v>6.5</x:v>
      </x:c>
      <x:c r="L350" s="7" t="n">
        <x:v>2020</x:v>
      </x:c>
      <x:c r="M350" s="11" t="n">
        <x:v>90064</x:v>
      </x:c>
      <x:c r="N350" s="7" t="n">
        <x:v>2</x:v>
      </x:c>
      <x:c r="O350" s="7" t="n">
        <x:v>0</x:v>
      </x:c>
      <x:c r="P350" s="9" t="n">
        <x:v>2.66</x:v>
      </x:c>
      <x:c r="Q350" s="7" t="n">
        <x:f>'Guide'!$B$5-L350</x:f>
        <x:v>6</x:v>
      </x:c>
      <x:c r="R350" s="9" t="n">
        <x:f>K350-P350</x:f>
        <x:v>3.84</x:v>
      </x:c>
      <x:c r="S350" s="10" t="n">
        <x:f>IF(K350&gt;0,R350/K350,"")</x:f>
        <x:v>0.5907692307692307</x:v>
      </x:c>
    </x:row>
    <x:row r="351">
      <x:c r="A351" s="7" t="n">
        <x:v>347</x:v>
      </x:c>
      <x:c r="B351" s="7" t="str">
        <x:v>Tata</x:v>
      </x:c>
      <x:c r="C351" s="7" t="str">
        <x:v>Tiago</x:v>
      </x:c>
      <x:c r="D351" s="7" t="str">
        <x:v>XT</x:v>
      </x:c>
      <x:c r="E351" s="7" t="str">
        <x:v>Petrol</x:v>
      </x:c>
      <x:c r="F351" s="7" t="str">
        <x:v>Manual</x:v>
      </x:c>
      <x:c r="G351" s="7" t="str">
        <x:v>Hatchback</x:v>
      </x:c>
      <x:c r="H351" s="7" t="n">
        <x:v>1199</x:v>
      </x:c>
      <x:c r="I351" s="7" t="n">
        <x:v>85</x:v>
      </x:c>
      <x:c r="J351" s="9" t="n">
        <x:v>20.1</x:v>
      </x:c>
      <x:c r="K351" s="9" t="n">
        <x:v>6.5</x:v>
      </x:c>
      <x:c r="L351" s="7" t="n">
        <x:v>2020</x:v>
      </x:c>
      <x:c r="M351" s="11" t="n">
        <x:v>68763</x:v>
      </x:c>
      <x:c r="N351" s="7" t="n">
        <x:v>1</x:v>
      </x:c>
      <x:c r="O351" s="7" t="n">
        <x:v>0</x:v>
      </x:c>
      <x:c r="P351" s="9" t="n">
        <x:v>3.14</x:v>
      </x:c>
      <x:c r="Q351" s="7" t="n">
        <x:f>'Guide'!$B$5-L351</x:f>
        <x:v>6</x:v>
      </x:c>
      <x:c r="R351" s="9" t="n">
        <x:f>K351-P351</x:f>
        <x:v>3.36</x:v>
      </x:c>
      <x:c r="S351" s="10" t="n">
        <x:f>IF(K351&gt;0,R351/K351,"")</x:f>
        <x:v>0.5169230769230769</x:v>
      </x:c>
    </x:row>
    <x:row r="352">
      <x:c r="A352" s="7" t="n">
        <x:v>348</x:v>
      </x:c>
      <x:c r="B352" s="7" t="str">
        <x:v>Tata</x:v>
      </x:c>
      <x:c r="C352" s="7" t="str">
        <x:v>Tiago</x:v>
      </x:c>
      <x:c r="D352" s="7" t="str">
        <x:v>XT</x:v>
      </x:c>
      <x:c r="E352" s="7" t="str">
        <x:v>Petrol</x:v>
      </x:c>
      <x:c r="F352" s="7" t="str">
        <x:v>Manual</x:v>
      </x:c>
      <x:c r="G352" s="7" t="str">
        <x:v>Hatchback</x:v>
      </x:c>
      <x:c r="H352" s="7" t="n">
        <x:v>1199</x:v>
      </x:c>
      <x:c r="I352" s="7" t="n">
        <x:v>85</x:v>
      </x:c>
      <x:c r="J352" s="9" t="n">
        <x:v>20.1</x:v>
      </x:c>
      <x:c r="K352" s="9" t="n">
        <x:v>6.5</x:v>
      </x:c>
      <x:c r="L352" s="7" t="n">
        <x:v>2025</x:v>
      </x:c>
      <x:c r="M352" s="11" t="n">
        <x:v>24337</x:v>
      </x:c>
      <x:c r="N352" s="7" t="n">
        <x:v>1</x:v>
      </x:c>
      <x:c r="O352" s="7" t="n">
        <x:v>0</x:v>
      </x:c>
      <x:c r="P352" s="9" t="n">
        <x:v>5.78</x:v>
      </x:c>
      <x:c r="Q352" s="7" t="n">
        <x:f>'Guide'!$B$5-L352</x:f>
        <x:v>1</x:v>
      </x:c>
      <x:c r="R352" s="9" t="n">
        <x:f>K352-P352</x:f>
        <x:v>0.7199999999999998</x:v>
      </x:c>
      <x:c r="S352" s="10" t="n">
        <x:f>IF(K352&gt;0,R352/K352,"")</x:f>
        <x:v>0.11076923076923073</x:v>
      </x:c>
    </x:row>
    <x:row r="353">
      <x:c r="A353" s="7" t="n">
        <x:v>349</x:v>
      </x:c>
      <x:c r="B353" s="7" t="str">
        <x:v>Tata</x:v>
      </x:c>
      <x:c r="C353" s="7" t="str">
        <x:v>Tiago</x:v>
      </x:c>
      <x:c r="D353" s="7" t="str">
        <x:v>XT</x:v>
      </x:c>
      <x:c r="E353" s="7" t="str">
        <x:v>Petrol</x:v>
      </x:c>
      <x:c r="F353" s="7" t="str">
        <x:v>Manual</x:v>
      </x:c>
      <x:c r="G353" s="7" t="str">
        <x:v>Hatchback</x:v>
      </x:c>
      <x:c r="H353" s="7" t="n">
        <x:v>1199</x:v>
      </x:c>
      <x:c r="I353" s="7" t="n">
        <x:v>85</x:v>
      </x:c>
      <x:c r="J353" s="9" t="n">
        <x:v>20.1</x:v>
      </x:c>
      <x:c r="K353" s="9" t="n">
        <x:v>6.5</x:v>
      </x:c>
      <x:c r="L353" s="7" t="n">
        <x:v>2026</x:v>
      </x:c>
      <x:c r="M353" s="11" t="n">
        <x:v>7351</x:v>
      </x:c>
      <x:c r="N353" s="7" t="n">
        <x:v>2</x:v>
      </x:c>
      <x:c r="O353" s="7" t="n">
        <x:v>0</x:v>
      </x:c>
      <x:c r="P353" s="9" t="n">
        <x:v>5.91</x:v>
      </x:c>
      <x:c r="Q353" s="7" t="n">
        <x:f>'Guide'!$B$5-L353</x:f>
        <x:v>0</x:v>
      </x:c>
      <x:c r="R353" s="9" t="n">
        <x:f>K353-P353</x:f>
        <x:v>0.5899999999999999</x:v>
      </x:c>
      <x:c r="S353" s="10" t="n">
        <x:f>IF(K353&gt;0,R353/K353,"")</x:f>
        <x:v>0.09076923076923074</x:v>
      </x:c>
    </x:row>
    <x:row r="354">
      <x:c r="A354" s="7" t="n">
        <x:v>350</x:v>
      </x:c>
      <x:c r="B354" s="7" t="str">
        <x:v>Tata</x:v>
      </x:c>
      <x:c r="C354" s="7" t="str">
        <x:v>Tiago</x:v>
      </x:c>
      <x:c r="D354" s="7" t="str">
        <x:v>XT</x:v>
      </x:c>
      <x:c r="E354" s="7" t="str">
        <x:v>Petrol</x:v>
      </x:c>
      <x:c r="F354" s="7" t="str">
        <x:v>Manual</x:v>
      </x:c>
      <x:c r="G354" s="7" t="str">
        <x:v>Hatchback</x:v>
      </x:c>
      <x:c r="H354" s="7" t="n">
        <x:v>1199</x:v>
      </x:c>
      <x:c r="I354" s="7" t="n">
        <x:v>85</x:v>
      </x:c>
      <x:c r="J354" s="9" t="n">
        <x:v>20.1</x:v>
      </x:c>
      <x:c r="K354" s="9" t="n">
        <x:v>6.5</x:v>
      </x:c>
      <x:c r="L354" s="7" t="n">
        <x:v>2026</x:v>
      </x:c>
      <x:c r="M354" s="11" t="n">
        <x:v>9761</x:v>
      </x:c>
      <x:c r="N354" s="7" t="n">
        <x:v>1</x:v>
      </x:c>
      <x:c r="O354" s="7" t="n">
        <x:v>0</x:v>
      </x:c>
      <x:c r="P354" s="9" t="n">
        <x:v>6.68</x:v>
      </x:c>
      <x:c r="Q354" s="7" t="n">
        <x:f>'Guide'!$B$5-L354</x:f>
        <x:v>0</x:v>
      </x:c>
      <x:c r="R354" s="9" t="n">
        <x:f>K354-P354</x:f>
        <x:v>-0.17999999999999972</x:v>
      </x:c>
      <x:c r="S354" s="10" t="n">
        <x:f>IF(K354&gt;0,R354/K354,"")</x:f>
        <x:v>-0.027692307692307648</x:v>
      </x:c>
    </x:row>
    <x:row r="355">
      <x:c r="A355" s="7" t="n">
        <x:v>351</x:v>
      </x:c>
      <x:c r="B355" s="7" t="str">
        <x:v>Tata</x:v>
      </x:c>
      <x:c r="C355" s="7" t="str">
        <x:v>Tiago</x:v>
      </x:c>
      <x:c r="D355" s="7" t="str">
        <x:v>XT</x:v>
      </x:c>
      <x:c r="E355" s="7" t="str">
        <x:v>Petrol</x:v>
      </x:c>
      <x:c r="F355" s="7" t="str">
        <x:v>Manual</x:v>
      </x:c>
      <x:c r="G355" s="7" t="str">
        <x:v>Hatchback</x:v>
      </x:c>
      <x:c r="H355" s="7" t="n">
        <x:v>1199</x:v>
      </x:c>
      <x:c r="I355" s="7" t="n">
        <x:v>85</x:v>
      </x:c>
      <x:c r="J355" s="9" t="n">
        <x:v>20.1</x:v>
      </x:c>
      <x:c r="K355" s="9" t="n">
        <x:v>6.5</x:v>
      </x:c>
      <x:c r="L355" s="7" t="n">
        <x:v>2021</x:v>
      </x:c>
      <x:c r="M355" s="11" t="n">
        <x:v>57297</x:v>
      </x:c>
      <x:c r="N355" s="7" t="n">
        <x:v>1</x:v>
      </x:c>
      <x:c r="O355" s="7" t="n">
        <x:v>0</x:v>
      </x:c>
      <x:c r="P355" s="9" t="n">
        <x:v>3.53</x:v>
      </x:c>
      <x:c r="Q355" s="7" t="n">
        <x:f>'Guide'!$B$5-L355</x:f>
        <x:v>5</x:v>
      </x:c>
      <x:c r="R355" s="9" t="n">
        <x:f>K355-P355</x:f>
        <x:v>2.97</x:v>
      </x:c>
      <x:c r="S355" s="10" t="n">
        <x:f>IF(K355&gt;0,R355/K355,"")</x:f>
        <x:v>0.45692307692307693</x:v>
      </x:c>
    </x:row>
    <x:row r="356">
      <x:c r="A356" s="7" t="n">
        <x:v>352</x:v>
      </x:c>
      <x:c r="B356" s="7" t="str">
        <x:v>Tata</x:v>
      </x:c>
      <x:c r="C356" s="7" t="str">
        <x:v>Tiago</x:v>
      </x:c>
      <x:c r="D356" s="7" t="str">
        <x:v>XT</x:v>
      </x:c>
      <x:c r="E356" s="7" t="str">
        <x:v>Petrol</x:v>
      </x:c>
      <x:c r="F356" s="7" t="str">
        <x:v>Manual</x:v>
      </x:c>
      <x:c r="G356" s="7" t="str">
        <x:v>Hatchback</x:v>
      </x:c>
      <x:c r="H356" s="7" t="n">
        <x:v>1199</x:v>
      </x:c>
      <x:c r="I356" s="7" t="n">
        <x:v>85</x:v>
      </x:c>
      <x:c r="J356" s="9" t="n">
        <x:v>20.1</x:v>
      </x:c>
      <x:c r="K356" s="9" t="n">
        <x:v>6.5</x:v>
      </x:c>
      <x:c r="L356" s="7" t="n">
        <x:v>2021</x:v>
      </x:c>
      <x:c r="M356" s="11" t="n">
        <x:v>81444</x:v>
      </x:c>
      <x:c r="N356" s="7" t="n">
        <x:v>1</x:v>
      </x:c>
      <x:c r="O356" s="7" t="n">
        <x:v>0</x:v>
      </x:c>
      <x:c r="P356" s="9" t="n">
        <x:v>3.62</x:v>
      </x:c>
      <x:c r="Q356" s="7" t="n">
        <x:f>'Guide'!$B$5-L356</x:f>
        <x:v>5</x:v>
      </x:c>
      <x:c r="R356" s="9" t="n">
        <x:f>K356-P356</x:f>
        <x:v>2.88</x:v>
      </x:c>
      <x:c r="S356" s="10" t="n">
        <x:f>IF(K356&gt;0,R356/K356,"")</x:f>
        <x:v>0.44307692307692303</x:v>
      </x:c>
    </x:row>
    <x:row r="357">
      <x:c r="A357" s="7" t="n">
        <x:v>353</x:v>
      </x:c>
      <x:c r="B357" s="7" t="str">
        <x:v>Tata</x:v>
      </x:c>
      <x:c r="C357" s="7" t="str">
        <x:v>Tiago</x:v>
      </x:c>
      <x:c r="D357" s="7" t="str">
        <x:v>XT</x:v>
      </x:c>
      <x:c r="E357" s="7" t="str">
        <x:v>Petrol</x:v>
      </x:c>
      <x:c r="F357" s="7" t="str">
        <x:v>Manual</x:v>
      </x:c>
      <x:c r="G357" s="7" t="str">
        <x:v>Hatchback</x:v>
      </x:c>
      <x:c r="H357" s="7" t="n">
        <x:v>1199</x:v>
      </x:c>
      <x:c r="I357" s="7" t="n">
        <x:v>85</x:v>
      </x:c>
      <x:c r="J357" s="9" t="n">
        <x:v>20.1</x:v>
      </x:c>
      <x:c r="K357" s="9" t="n">
        <x:v>6.5</x:v>
      </x:c>
      <x:c r="L357" s="7" t="n">
        <x:v>2024</x:v>
      </x:c>
      <x:c r="M357" s="11" t="n">
        <x:v>25747</x:v>
      </x:c>
      <x:c r="N357" s="7" t="n">
        <x:v>2</x:v>
      </x:c>
      <x:c r="O357" s="7" t="n">
        <x:v>0</x:v>
      </x:c>
      <x:c r="P357" s="9" t="n">
        <x:v>4.72</x:v>
      </x:c>
      <x:c r="Q357" s="7" t="n">
        <x:f>'Guide'!$B$5-L357</x:f>
        <x:v>2</x:v>
      </x:c>
      <x:c r="R357" s="9" t="n">
        <x:f>K357-P357</x:f>
        <x:v>1.7800000000000002</x:v>
      </x:c>
      <x:c r="S357" s="10" t="n">
        <x:f>IF(K357&gt;0,R357/K357,"")</x:f>
        <x:v>0.2738461538461539</x:v>
      </x:c>
    </x:row>
    <x:row r="358">
      <x:c r="A358" s="7" t="n">
        <x:v>354</x:v>
      </x:c>
      <x:c r="B358" s="7" t="str">
        <x:v>Tata</x:v>
      </x:c>
      <x:c r="C358" s="7" t="str">
        <x:v>Tiago</x:v>
      </x:c>
      <x:c r="D358" s="7" t="str">
        <x:v>XT</x:v>
      </x:c>
      <x:c r="E358" s="7" t="str">
        <x:v>Petrol</x:v>
      </x:c>
      <x:c r="F358" s="7" t="str">
        <x:v>Manual</x:v>
      </x:c>
      <x:c r="G358" s="7" t="str">
        <x:v>Hatchback</x:v>
      </x:c>
      <x:c r="H358" s="7" t="n">
        <x:v>1199</x:v>
      </x:c>
      <x:c r="I358" s="7" t="n">
        <x:v>85</x:v>
      </x:c>
      <x:c r="J358" s="9" t="n">
        <x:v>20.1</x:v>
      </x:c>
      <x:c r="K358" s="9" t="n">
        <x:v>6.5</x:v>
      </x:c>
      <x:c r="L358" s="7" t="n">
        <x:v>2024</x:v>
      </x:c>
      <x:c r="M358" s="11" t="n">
        <x:v>37568</x:v>
      </x:c>
      <x:c r="N358" s="7" t="n">
        <x:v>1</x:v>
      </x:c>
      <x:c r="O358" s="7" t="n">
        <x:v>1</x:v>
      </x:c>
      <x:c r="P358" s="9" t="n">
        <x:v>4.58</x:v>
      </x:c>
      <x:c r="Q358" s="7" t="n">
        <x:f>'Guide'!$B$5-L358</x:f>
        <x:v>2</x:v>
      </x:c>
      <x:c r="R358" s="9" t="n">
        <x:f>K358-P358</x:f>
        <x:v>1.92</x:v>
      </x:c>
      <x:c r="S358" s="10" t="n">
        <x:f>IF(K358&gt;0,R358/K358,"")</x:f>
        <x:v>0.29538461538461536</x:v>
      </x:c>
    </x:row>
    <x:row r="359">
      <x:c r="A359" s="7" t="n">
        <x:v>355</x:v>
      </x:c>
      <x:c r="B359" s="7" t="str">
        <x:v>Tata</x:v>
      </x:c>
      <x:c r="C359" s="7" t="str">
        <x:v>Tiago</x:v>
      </x:c>
      <x:c r="D359" s="7" t="str">
        <x:v>XT</x:v>
      </x:c>
      <x:c r="E359" s="7" t="str">
        <x:v>Petrol</x:v>
      </x:c>
      <x:c r="F359" s="7" t="str">
        <x:v>Manual</x:v>
      </x:c>
      <x:c r="G359" s="7" t="str">
        <x:v>Hatchback</x:v>
      </x:c>
      <x:c r="H359" s="7" t="n">
        <x:v>1199</x:v>
      </x:c>
      <x:c r="I359" s="7" t="n">
        <x:v>85</x:v>
      </x:c>
      <x:c r="J359" s="9" t="n">
        <x:v>20.1</x:v>
      </x:c>
      <x:c r="K359" s="9" t="n">
        <x:v>6.5</x:v>
      </x:c>
      <x:c r="L359" s="7" t="n">
        <x:v>2022</x:v>
      </x:c>
      <x:c r="M359" s="11" t="n">
        <x:v>66686</x:v>
      </x:c>
      <x:c r="N359" s="7" t="n">
        <x:v>1</x:v>
      </x:c>
      <x:c r="O359" s="7" t="n">
        <x:v>0</x:v>
      </x:c>
      <x:c r="P359" s="9" t="n">
        <x:v>3.94</x:v>
      </x:c>
      <x:c r="Q359" s="7" t="n">
        <x:f>'Guide'!$B$5-L359</x:f>
        <x:v>4</x:v>
      </x:c>
      <x:c r="R359" s="9" t="n">
        <x:f>K359-P359</x:f>
        <x:v>2.56</x:v>
      </x:c>
      <x:c r="S359" s="10" t="n">
        <x:f>IF(K359&gt;0,R359/K359,"")</x:f>
        <x:v>0.39384615384615385</x:v>
      </x:c>
    </x:row>
    <x:row r="360">
      <x:c r="A360" s="7" t="n">
        <x:v>356</x:v>
      </x:c>
      <x:c r="B360" s="7" t="str">
        <x:v>Tata</x:v>
      </x:c>
      <x:c r="C360" s="7" t="str">
        <x:v>Tiago</x:v>
      </x:c>
      <x:c r="D360" s="7" t="str">
        <x:v>XT</x:v>
      </x:c>
      <x:c r="E360" s="7" t="str">
        <x:v>Petrol</x:v>
      </x:c>
      <x:c r="F360" s="7" t="str">
        <x:v>Manual</x:v>
      </x:c>
      <x:c r="G360" s="7" t="str">
        <x:v>Hatchback</x:v>
      </x:c>
      <x:c r="H360" s="7" t="n">
        <x:v>1199</x:v>
      </x:c>
      <x:c r="I360" s="7" t="n">
        <x:v>85</x:v>
      </x:c>
      <x:c r="J360" s="9" t="n">
        <x:v>20.1</x:v>
      </x:c>
      <x:c r="K360" s="9" t="n">
        <x:v>6.5</x:v>
      </x:c>
      <x:c r="L360" s="7" t="n">
        <x:v>2024</x:v>
      </x:c>
      <x:c r="M360" s="11" t="n">
        <x:v>35245</x:v>
      </x:c>
      <x:c r="N360" s="7" t="n">
        <x:v>3</x:v>
      </x:c>
      <x:c r="O360" s="7" t="n">
        <x:v>0</x:v>
      </x:c>
      <x:c r="P360" s="9" t="n">
        <x:v>4.3</x:v>
      </x:c>
      <x:c r="Q360" s="7" t="n">
        <x:f>'Guide'!$B$5-L360</x:f>
        <x:v>2</x:v>
      </x:c>
      <x:c r="R360" s="9" t="n">
        <x:f>K360-P360</x:f>
        <x:v>2.2</x:v>
      </x:c>
      <x:c r="S360" s="10" t="n">
        <x:f>IF(K360&gt;0,R360/K360,"")</x:f>
        <x:v>0.3384615384615385</x:v>
      </x:c>
    </x:row>
    <x:row r="361">
      <x:c r="A361" s="7" t="n">
        <x:v>357</x:v>
      </x:c>
      <x:c r="B361" s="7" t="str">
        <x:v>Tata</x:v>
      </x:c>
      <x:c r="C361" s="7" t="str">
        <x:v>Tiago</x:v>
      </x:c>
      <x:c r="D361" s="7" t="str">
        <x:v>XT</x:v>
      </x:c>
      <x:c r="E361" s="7" t="str">
        <x:v>Petrol</x:v>
      </x:c>
      <x:c r="F361" s="7" t="str">
        <x:v>Manual</x:v>
      </x:c>
      <x:c r="G361" s="7" t="str">
        <x:v>Hatchback</x:v>
      </x:c>
      <x:c r="H361" s="7" t="n">
        <x:v>1199</x:v>
      </x:c>
      <x:c r="I361" s="7" t="n">
        <x:v>85</x:v>
      </x:c>
      <x:c r="J361" s="9" t="n">
        <x:v>20.1</x:v>
      </x:c>
      <x:c r="K361" s="9" t="n">
        <x:v>6.5</x:v>
      </x:c>
      <x:c r="L361" s="7" t="n">
        <x:v>2021</x:v>
      </x:c>
      <x:c r="M361" s="11" t="n">
        <x:v>80378</x:v>
      </x:c>
      <x:c r="N361" s="7" t="n">
        <x:v>1</x:v>
      </x:c>
      <x:c r="O361" s="7" t="n">
        <x:v>0</x:v>
      </x:c>
      <x:c r="P361" s="9" t="n">
        <x:v>3.3</x:v>
      </x:c>
      <x:c r="Q361" s="7" t="n">
        <x:f>'Guide'!$B$5-L361</x:f>
        <x:v>5</x:v>
      </x:c>
      <x:c r="R361" s="9" t="n">
        <x:f>K361-P361</x:f>
        <x:v>3.2</x:v>
      </x:c>
      <x:c r="S361" s="10" t="n">
        <x:f>IF(K361&gt;0,R361/K361,"")</x:f>
        <x:v>0.49230769230769234</x:v>
      </x:c>
    </x:row>
    <x:row r="362">
      <x:c r="A362" s="7" t="n">
        <x:v>358</x:v>
      </x:c>
      <x:c r="B362" s="7" t="str">
        <x:v>Tata</x:v>
      </x:c>
      <x:c r="C362" s="7" t="str">
        <x:v>Tiago</x:v>
      </x:c>
      <x:c r="D362" s="7" t="str">
        <x:v>XT</x:v>
      </x:c>
      <x:c r="E362" s="7" t="str">
        <x:v>Petrol</x:v>
      </x:c>
      <x:c r="F362" s="7" t="str">
        <x:v>Manual</x:v>
      </x:c>
      <x:c r="G362" s="7" t="str">
        <x:v>Hatchback</x:v>
      </x:c>
      <x:c r="H362" s="7" t="n">
        <x:v>1199</x:v>
      </x:c>
      <x:c r="I362" s="7" t="n">
        <x:v>85</x:v>
      </x:c>
      <x:c r="J362" s="9" t="n">
        <x:v>20.1</x:v>
      </x:c>
      <x:c r="K362" s="9" t="n">
        <x:v>6.5</x:v>
      </x:c>
      <x:c r="L362" s="7" t="n">
        <x:v>2025</x:v>
      </x:c>
      <x:c r="M362" s="11" t="n">
        <x:v>16046</x:v>
      </x:c>
      <x:c r="N362" s="7" t="n">
        <x:v>1</x:v>
      </x:c>
      <x:c r="O362" s="7" t="n">
        <x:v>0</x:v>
      </x:c>
      <x:c r="P362" s="9" t="n">
        <x:v>6.2</x:v>
      </x:c>
      <x:c r="Q362" s="7" t="n">
        <x:f>'Guide'!$B$5-L362</x:f>
        <x:v>1</x:v>
      </x:c>
      <x:c r="R362" s="9" t="n">
        <x:f>K362-P362</x:f>
        <x:v>0.2999999999999998</x:v>
      </x:c>
      <x:c r="S362" s="10" t="n">
        <x:f>IF(K362&gt;0,R362/K362,"")</x:f>
        <x:v>0.04615384615384613</x:v>
      </x:c>
    </x:row>
    <x:row r="363">
      <x:c r="A363" s="7" t="n">
        <x:v>359</x:v>
      </x:c>
      <x:c r="B363" s="7" t="str">
        <x:v>Tata</x:v>
      </x:c>
      <x:c r="C363" s="7" t="str">
        <x:v>Tiago</x:v>
      </x:c>
      <x:c r="D363" s="7" t="str">
        <x:v>XT</x:v>
      </x:c>
      <x:c r="E363" s="7" t="str">
        <x:v>Petrol</x:v>
      </x:c>
      <x:c r="F363" s="7" t="str">
        <x:v>Manual</x:v>
      </x:c>
      <x:c r="G363" s="7" t="str">
        <x:v>Hatchback</x:v>
      </x:c>
      <x:c r="H363" s="7" t="n">
        <x:v>1199</x:v>
      </x:c>
      <x:c r="I363" s="7" t="n">
        <x:v>85</x:v>
      </x:c>
      <x:c r="J363" s="9" t="n">
        <x:v>20.1</x:v>
      </x:c>
      <x:c r="K363" s="9" t="n">
        <x:v>6.5</x:v>
      </x:c>
      <x:c r="L363" s="7" t="n">
        <x:v>2024</x:v>
      </x:c>
      <x:c r="M363" s="11" t="n">
        <x:v>26427</x:v>
      </x:c>
      <x:c r="N363" s="7" t="n">
        <x:v>1</x:v>
      </x:c>
      <x:c r="O363" s="7" t="n">
        <x:v>0</x:v>
      </x:c>
      <x:c r="P363" s="9" t="n">
        <x:v>4.96</x:v>
      </x:c>
      <x:c r="Q363" s="7" t="n">
        <x:f>'Guide'!$B$5-L363</x:f>
        <x:v>2</x:v>
      </x:c>
      <x:c r="R363" s="9" t="n">
        <x:f>K363-P363</x:f>
        <x:v>1.54</x:v>
      </x:c>
      <x:c r="S363" s="10" t="n">
        <x:f>IF(K363&gt;0,R363/K363,"")</x:f>
        <x:v>0.23692307692307693</x:v>
      </x:c>
    </x:row>
    <x:row r="364">
      <x:c r="A364" s="7" t="n">
        <x:v>360</x:v>
      </x:c>
      <x:c r="B364" s="7" t="str">
        <x:v>Tata</x:v>
      </x:c>
      <x:c r="C364" s="7" t="str">
        <x:v>Tiago</x:v>
      </x:c>
      <x:c r="D364" s="7" t="str">
        <x:v>XT</x:v>
      </x:c>
      <x:c r="E364" s="7" t="str">
        <x:v>Petrol</x:v>
      </x:c>
      <x:c r="F364" s="7" t="str">
        <x:v>Manual</x:v>
      </x:c>
      <x:c r="G364" s="7" t="str">
        <x:v>Hatchback</x:v>
      </x:c>
      <x:c r="H364" s="7" t="n">
        <x:v>1199</x:v>
      </x:c>
      <x:c r="I364" s="7" t="n">
        <x:v>85</x:v>
      </x:c>
      <x:c r="J364" s="9" t="n">
        <x:v>20.1</x:v>
      </x:c>
      <x:c r="K364" s="9" t="n">
        <x:v>6.5</x:v>
      </x:c>
      <x:c r="L364" s="7" t="n">
        <x:v>2022</x:v>
      </x:c>
      <x:c r="M364" s="11" t="n">
        <x:v>61154</x:v>
      </x:c>
      <x:c r="N364" s="7" t="n">
        <x:v>1</x:v>
      </x:c>
      <x:c r="O364" s="7" t="n">
        <x:v>0</x:v>
      </x:c>
      <x:c r="P364" s="9" t="n">
        <x:v>3.62</x:v>
      </x:c>
      <x:c r="Q364" s="7" t="n">
        <x:f>'Guide'!$B$5-L364</x:f>
        <x:v>4</x:v>
      </x:c>
      <x:c r="R364" s="9" t="n">
        <x:f>K364-P364</x:f>
        <x:v>2.88</x:v>
      </x:c>
      <x:c r="S364" s="10" t="n">
        <x:f>IF(K364&gt;0,R364/K364,"")</x:f>
        <x:v>0.44307692307692303</x:v>
      </x:c>
    </x:row>
    <x:row r="365">
      <x:c r="A365" s="7" t="n">
        <x:v>361</x:v>
      </x:c>
      <x:c r="B365" s="7" t="str">
        <x:v>Tata</x:v>
      </x:c>
      <x:c r="C365" s="7" t="str">
        <x:v>Tiago</x:v>
      </x:c>
      <x:c r="D365" s="7" t="str">
        <x:v>XT</x:v>
      </x:c>
      <x:c r="E365" s="7" t="str">
        <x:v>Petrol</x:v>
      </x:c>
      <x:c r="F365" s="7" t="str">
        <x:v>Manual</x:v>
      </x:c>
      <x:c r="G365" s="7" t="str">
        <x:v>Hatchback</x:v>
      </x:c>
      <x:c r="H365" s="7" t="n">
        <x:v>1199</x:v>
      </x:c>
      <x:c r="I365" s="7" t="n">
        <x:v>85</x:v>
      </x:c>
      <x:c r="J365" s="9" t="n">
        <x:v>20.1</x:v>
      </x:c>
      <x:c r="K365" s="9" t="n">
        <x:v>6.5</x:v>
      </x:c>
      <x:c r="L365" s="7" t="n">
        <x:v>2025</x:v>
      </x:c>
      <x:c r="M365" s="11" t="n">
        <x:v>23210</x:v>
      </x:c>
      <x:c r="N365" s="7" t="n">
        <x:v>1</x:v>
      </x:c>
      <x:c r="O365" s="7" t="n">
        <x:v>0</x:v>
      </x:c>
      <x:c r="P365" s="9" t="n">
        <x:v>5.54</x:v>
      </x:c>
      <x:c r="Q365" s="7" t="n">
        <x:f>'Guide'!$B$5-L365</x:f>
        <x:v>1</x:v>
      </x:c>
      <x:c r="R365" s="9" t="n">
        <x:f>K365-P365</x:f>
        <x:v>0.96</x:v>
      </x:c>
      <x:c r="S365" s="10" t="n">
        <x:f>IF(K365&gt;0,R365/K365,"")</x:f>
        <x:v>0.14769230769230768</x:v>
      </x:c>
    </x:row>
    <x:row r="366">
      <x:c r="A366" s="7" t="n">
        <x:v>362</x:v>
      </x:c>
      <x:c r="B366" s="7" t="str">
        <x:v>Tata</x:v>
      </x:c>
      <x:c r="C366" s="7" t="str">
        <x:v>Tiago</x:v>
      </x:c>
      <x:c r="D366" s="7" t="str">
        <x:v>XT</x:v>
      </x:c>
      <x:c r="E366" s="7" t="str">
        <x:v>Petrol</x:v>
      </x:c>
      <x:c r="F366" s="7" t="str">
        <x:v>Manual</x:v>
      </x:c>
      <x:c r="G366" s="7" t="str">
        <x:v>Hatchback</x:v>
      </x:c>
      <x:c r="H366" s="7" t="n">
        <x:v>1199</x:v>
      </x:c>
      <x:c r="I366" s="7" t="n">
        <x:v>85</x:v>
      </x:c>
      <x:c r="J366" s="9" t="n">
        <x:v>20.1</x:v>
      </x:c>
      <x:c r="K366" s="9" t="n">
        <x:v>6.5</x:v>
      </x:c>
      <x:c r="L366" s="7" t="n">
        <x:v>2021</x:v>
      </x:c>
      <x:c r="M366" s="11" t="n">
        <x:v>55627</x:v>
      </x:c>
      <x:c r="N366" s="7" t="n">
        <x:v>2</x:v>
      </x:c>
      <x:c r="O366" s="7" t="n">
        <x:v>0</x:v>
      </x:c>
      <x:c r="P366" s="9" t="n">
        <x:v>3.22</x:v>
      </x:c>
      <x:c r="Q366" s="7" t="n">
        <x:f>'Guide'!$B$5-L366</x:f>
        <x:v>5</x:v>
      </x:c>
      <x:c r="R366" s="9" t="n">
        <x:f>K366-P366</x:f>
        <x:v>3.28</x:v>
      </x:c>
      <x:c r="S366" s="10" t="n">
        <x:f>IF(K366&gt;0,R366/K366,"")</x:f>
        <x:v>0.5046153846153846</x:v>
      </x:c>
    </x:row>
    <x:row r="367">
      <x:c r="A367" s="7" t="n">
        <x:v>363</x:v>
      </x:c>
      <x:c r="B367" s="7" t="str">
        <x:v>Tata</x:v>
      </x:c>
      <x:c r="C367" s="7" t="str">
        <x:v>Tiago</x:v>
      </x:c>
      <x:c r="D367" s="7" t="str">
        <x:v>XT</x:v>
      </x:c>
      <x:c r="E367" s="7" t="str">
        <x:v>Petrol</x:v>
      </x:c>
      <x:c r="F367" s="7" t="str">
        <x:v>Manual</x:v>
      </x:c>
      <x:c r="G367" s="7" t="str">
        <x:v>Hatchback</x:v>
      </x:c>
      <x:c r="H367" s="7" t="n">
        <x:v>1199</x:v>
      </x:c>
      <x:c r="I367" s="7" t="n">
        <x:v>85</x:v>
      </x:c>
      <x:c r="J367" s="9" t="n">
        <x:v>20.1</x:v>
      </x:c>
      <x:c r="K367" s="9" t="n">
        <x:v>6.5</x:v>
      </x:c>
      <x:c r="L367" s="7" t="n">
        <x:v>2024</x:v>
      </x:c>
      <x:c r="M367" s="11" t="n">
        <x:v>48597</x:v>
      </x:c>
      <x:c r="N367" s="7" t="n">
        <x:v>2</x:v>
      </x:c>
      <x:c r="O367" s="7" t="n">
        <x:v>0</x:v>
      </x:c>
      <x:c r="P367" s="9" t="n">
        <x:v>5</x:v>
      </x:c>
      <x:c r="Q367" s="7" t="n">
        <x:f>'Guide'!$B$5-L367</x:f>
        <x:v>2</x:v>
      </x:c>
      <x:c r="R367" s="9" t="n">
        <x:f>K367-P367</x:f>
        <x:v>1.5</x:v>
      </x:c>
      <x:c r="S367" s="10" t="n">
        <x:f>IF(K367&gt;0,R367/K367,"")</x:f>
        <x:v>0.23076923076923078</x:v>
      </x:c>
    </x:row>
    <x:row r="368">
      <x:c r="A368" s="7" t="n">
        <x:v>364</x:v>
      </x:c>
      <x:c r="B368" s="7" t="str">
        <x:v>Tata</x:v>
      </x:c>
      <x:c r="C368" s="7" t="str">
        <x:v>Tiago</x:v>
      </x:c>
      <x:c r="D368" s="7" t="str">
        <x:v>XT</x:v>
      </x:c>
      <x:c r="E368" s="7" t="str">
        <x:v>Petrol</x:v>
      </x:c>
      <x:c r="F368" s="7" t="str">
        <x:v>Manual</x:v>
      </x:c>
      <x:c r="G368" s="7" t="str">
        <x:v>Hatchback</x:v>
      </x:c>
      <x:c r="H368" s="7" t="n">
        <x:v>1199</x:v>
      </x:c>
      <x:c r="I368" s="7" t="n">
        <x:v>85</x:v>
      </x:c>
      <x:c r="J368" s="9" t="n">
        <x:v>20.1</x:v>
      </x:c>
      <x:c r="K368" s="9" t="n">
        <x:v>6.5</x:v>
      </x:c>
      <x:c r="L368" s="7" t="n">
        <x:v>2020</x:v>
      </x:c>
      <x:c r="M368" s="11" t="n">
        <x:v>91655</x:v>
      </x:c>
      <x:c r="N368" s="7" t="n">
        <x:v>1</x:v>
      </x:c>
      <x:c r="O368" s="7" t="n">
        <x:v>0</x:v>
      </x:c>
      <x:c r="P368" s="9" t="n">
        <x:v>2.29</x:v>
      </x:c>
      <x:c r="Q368" s="7" t="n">
        <x:f>'Guide'!$B$5-L368</x:f>
        <x:v>6</x:v>
      </x:c>
      <x:c r="R368" s="9" t="n">
        <x:f>K368-P368</x:f>
        <x:v>4.21</x:v>
      </x:c>
      <x:c r="S368" s="10" t="n">
        <x:f>IF(K368&gt;0,R368/K368,"")</x:f>
        <x:v>0.6476923076923077</x:v>
      </x:c>
    </x:row>
    <x:row r="369">
      <x:c r="A369" s="7" t="n">
        <x:v>365</x:v>
      </x:c>
      <x:c r="B369" s="7" t="str">
        <x:v>Tata</x:v>
      </x:c>
      <x:c r="C369" s="7" t="str">
        <x:v>Tiago</x:v>
      </x:c>
      <x:c r="D369" s="7" t="str">
        <x:v>XT</x:v>
      </x:c>
      <x:c r="E369" s="7" t="str">
        <x:v>Petrol</x:v>
      </x:c>
      <x:c r="F369" s="7" t="str">
        <x:v>Manual</x:v>
      </x:c>
      <x:c r="G369" s="7" t="str">
        <x:v>Hatchback</x:v>
      </x:c>
      <x:c r="H369" s="7" t="n">
        <x:v>1199</x:v>
      </x:c>
      <x:c r="I369" s="7" t="n">
        <x:v>85</x:v>
      </x:c>
      <x:c r="J369" s="9" t="n">
        <x:v>20.1</x:v>
      </x:c>
      <x:c r="K369" s="9" t="n">
        <x:v>6.5</x:v>
      </x:c>
      <x:c r="L369" s="7" t="n">
        <x:v>2025</x:v>
      </x:c>
      <x:c r="M369" s="11" t="n">
        <x:v>16777</x:v>
      </x:c>
      <x:c r="N369" s="7" t="n">
        <x:v>2</x:v>
      </x:c>
      <x:c r="O369" s="7" t="n">
        <x:v>0</x:v>
      </x:c>
      <x:c r="P369" s="9" t="n">
        <x:v>5.61</x:v>
      </x:c>
      <x:c r="Q369" s="7" t="n">
        <x:f>'Guide'!$B$5-L369</x:f>
        <x:v>1</x:v>
      </x:c>
      <x:c r="R369" s="9" t="n">
        <x:f>K369-P369</x:f>
        <x:v>0.8899999999999997</x:v>
      </x:c>
      <x:c r="S369" s="10" t="n">
        <x:f>IF(K369&gt;0,R369/K369,"")</x:f>
        <x:v>0.13692307692307687</x:v>
      </x:c>
    </x:row>
    <x:row r="370">
      <x:c r="A370" s="7" t="n">
        <x:v>366</x:v>
      </x:c>
      <x:c r="B370" s="7" t="str">
        <x:v>Tata</x:v>
      </x:c>
      <x:c r="C370" s="7" t="str">
        <x:v>Tiago</x:v>
      </x:c>
      <x:c r="D370" s="7" t="str">
        <x:v>XT</x:v>
      </x:c>
      <x:c r="E370" s="7" t="str">
        <x:v>Petrol</x:v>
      </x:c>
      <x:c r="F370" s="7" t="str">
        <x:v>Manual</x:v>
      </x:c>
      <x:c r="G370" s="7" t="str">
        <x:v>Hatchback</x:v>
      </x:c>
      <x:c r="H370" s="7" t="n">
        <x:v>1199</x:v>
      </x:c>
      <x:c r="I370" s="7" t="n">
        <x:v>85</x:v>
      </x:c>
      <x:c r="J370" s="9" t="n">
        <x:v>20.1</x:v>
      </x:c>
      <x:c r="K370" s="9" t="n">
        <x:v>6.5</x:v>
      </x:c>
      <x:c r="L370" s="7" t="n">
        <x:v>2021</x:v>
      </x:c>
      <x:c r="M370" s="11" t="n">
        <x:v>47192</x:v>
      </x:c>
      <x:c r="N370" s="7" t="n">
        <x:v>2</x:v>
      </x:c>
      <x:c r="O370" s="7" t="n">
        <x:v>0</x:v>
      </x:c>
      <x:c r="P370" s="9" t="n">
        <x:v>3.46</x:v>
      </x:c>
      <x:c r="Q370" s="7" t="n">
        <x:f>'Guide'!$B$5-L370</x:f>
        <x:v>5</x:v>
      </x:c>
      <x:c r="R370" s="9" t="n">
        <x:f>K370-P370</x:f>
        <x:v>3.04</x:v>
      </x:c>
      <x:c r="S370" s="10" t="n">
        <x:f>IF(K370&gt;0,R370/K370,"")</x:f>
        <x:v>0.4676923076923077</x:v>
      </x:c>
    </x:row>
    <x:row r="371">
      <x:c r="A371" s="7" t="n">
        <x:v>367</x:v>
      </x:c>
      <x:c r="B371" s="7" t="str">
        <x:v>Tata</x:v>
      </x:c>
      <x:c r="C371" s="7" t="str">
        <x:v>Tiago</x:v>
      </x:c>
      <x:c r="D371" s="7" t="str">
        <x:v>XT</x:v>
      </x:c>
      <x:c r="E371" s="7" t="str">
        <x:v>Petrol</x:v>
      </x:c>
      <x:c r="F371" s="7" t="str">
        <x:v>Manual</x:v>
      </x:c>
      <x:c r="G371" s="7" t="str">
        <x:v>Hatchback</x:v>
      </x:c>
      <x:c r="H371" s="7" t="n">
        <x:v>1199</x:v>
      </x:c>
      <x:c r="I371" s="7" t="n">
        <x:v>85</x:v>
      </x:c>
      <x:c r="J371" s="9" t="n">
        <x:v>20.1</x:v>
      </x:c>
      <x:c r="K371" s="9" t="n">
        <x:v>6.5</x:v>
      </x:c>
      <x:c r="L371" s="7" t="n">
        <x:v>2025</x:v>
      </x:c>
      <x:c r="M371" s="11" t="n">
        <x:v>27355</x:v>
      </x:c>
      <x:c r="N371" s="7" t="n">
        <x:v>1</x:v>
      </x:c>
      <x:c r="O371" s="7" t="n">
        <x:v>0</x:v>
      </x:c>
      <x:c r="P371" s="9" t="n">
        <x:v>5.94</x:v>
      </x:c>
      <x:c r="Q371" s="7" t="n">
        <x:f>'Guide'!$B$5-L371</x:f>
        <x:v>1</x:v>
      </x:c>
      <x:c r="R371" s="9" t="n">
        <x:f>K371-P371</x:f>
        <x:v>0.5599999999999996</x:v>
      </x:c>
      <x:c r="S371" s="10" t="n">
        <x:f>IF(K371&gt;0,R371/K371,"")</x:f>
        <x:v>0.0861538461538461</x:v>
      </x:c>
    </x:row>
    <x:row r="372">
      <x:c r="A372" s="7" t="n">
        <x:v>368</x:v>
      </x:c>
      <x:c r="B372" s="7" t="str">
        <x:v>Tata</x:v>
      </x:c>
      <x:c r="C372" s="7" t="str">
        <x:v>Tiago</x:v>
      </x:c>
      <x:c r="D372" s="7" t="str">
        <x:v>XT</x:v>
      </x:c>
      <x:c r="E372" s="7" t="str">
        <x:v>Petrol</x:v>
      </x:c>
      <x:c r="F372" s="7" t="str">
        <x:v>Manual</x:v>
      </x:c>
      <x:c r="G372" s="7" t="str">
        <x:v>Hatchback</x:v>
      </x:c>
      <x:c r="H372" s="7" t="n">
        <x:v>1199</x:v>
      </x:c>
      <x:c r="I372" s="7" t="n">
        <x:v>85</x:v>
      </x:c>
      <x:c r="J372" s="9" t="n">
        <x:v>20.1</x:v>
      </x:c>
      <x:c r="K372" s="9" t="n">
        <x:v>6.5</x:v>
      </x:c>
      <x:c r="L372" s="7" t="n">
        <x:v>2020</x:v>
      </x:c>
      <x:c r="M372" s="11" t="n">
        <x:v>55370</x:v>
      </x:c>
      <x:c r="N372" s="7" t="n">
        <x:v>1</x:v>
      </x:c>
      <x:c r="O372" s="7" t="n">
        <x:v>0</x:v>
      </x:c>
      <x:c r="P372" s="9" t="n">
        <x:v>3.22</x:v>
      </x:c>
      <x:c r="Q372" s="7" t="n">
        <x:f>'Guide'!$B$5-L372</x:f>
        <x:v>6</x:v>
      </x:c>
      <x:c r="R372" s="9" t="n">
        <x:f>K372-P372</x:f>
        <x:v>3.28</x:v>
      </x:c>
      <x:c r="S372" s="10" t="n">
        <x:f>IF(K372&gt;0,R372/K372,"")</x:f>
        <x:v>0.5046153846153846</x:v>
      </x:c>
    </x:row>
    <x:row r="373">
      <x:c r="A373" s="7" t="n">
        <x:v>369</x:v>
      </x:c>
      <x:c r="B373" s="7" t="str">
        <x:v>Tata</x:v>
      </x:c>
      <x:c r="C373" s="7" t="str">
        <x:v>Tiago</x:v>
      </x:c>
      <x:c r="D373" s="7" t="str">
        <x:v>XT</x:v>
      </x:c>
      <x:c r="E373" s="7" t="str">
        <x:v>Petrol</x:v>
      </x:c>
      <x:c r="F373" s="7" t="str">
        <x:v>Manual</x:v>
      </x:c>
      <x:c r="G373" s="7" t="str">
        <x:v>Hatchback</x:v>
      </x:c>
      <x:c r="H373" s="7" t="n">
        <x:v>1199</x:v>
      </x:c>
      <x:c r="I373" s="7" t="n">
        <x:v>85</x:v>
      </x:c>
      <x:c r="J373" s="9" t="n">
        <x:v>20.1</x:v>
      </x:c>
      <x:c r="K373" s="9" t="n">
        <x:v>6.5</x:v>
      </x:c>
      <x:c r="L373" s="7" t="n">
        <x:v>2022</x:v>
      </x:c>
      <x:c r="M373" s="11" t="n">
        <x:v>37692</x:v>
      </x:c>
      <x:c r="N373" s="7" t="n">
        <x:v>1</x:v>
      </x:c>
      <x:c r="O373" s="7" t="n">
        <x:v>0</x:v>
      </x:c>
      <x:c r="P373" s="9" t="n">
        <x:v>3.8</x:v>
      </x:c>
      <x:c r="Q373" s="7" t="n">
        <x:f>'Guide'!$B$5-L373</x:f>
        <x:v>4</x:v>
      </x:c>
      <x:c r="R373" s="9" t="n">
        <x:f>K373-P373</x:f>
        <x:v>2.7</x:v>
      </x:c>
      <x:c r="S373" s="10" t="n">
        <x:f>IF(K373&gt;0,R373/K373,"")</x:f>
        <x:v>0.4153846153846154</x:v>
      </x:c>
    </x:row>
    <x:row r="374">
      <x:c r="A374" s="7" t="n">
        <x:v>370</x:v>
      </x:c>
      <x:c r="B374" s="7" t="str">
        <x:v>Tata</x:v>
      </x:c>
      <x:c r="C374" s="7" t="str">
        <x:v>Tiago</x:v>
      </x:c>
      <x:c r="D374" s="7" t="str">
        <x:v>XT</x:v>
      </x:c>
      <x:c r="E374" s="7" t="str">
        <x:v>Petrol</x:v>
      </x:c>
      <x:c r="F374" s="7" t="str">
        <x:v>Manual</x:v>
      </x:c>
      <x:c r="G374" s="7" t="str">
        <x:v>Hatchback</x:v>
      </x:c>
      <x:c r="H374" s="7" t="n">
        <x:v>1199</x:v>
      </x:c>
      <x:c r="I374" s="7" t="n">
        <x:v>85</x:v>
      </x:c>
      <x:c r="J374" s="9" t="n">
        <x:v>20.1</x:v>
      </x:c>
      <x:c r="K374" s="9" t="n">
        <x:v>6.5</x:v>
      </x:c>
      <x:c r="L374" s="7" t="n">
        <x:v>2021</x:v>
      </x:c>
      <x:c r="M374" s="11" t="n">
        <x:v>75493</x:v>
      </x:c>
      <x:c r="N374" s="7" t="n">
        <x:v>2</x:v>
      </x:c>
      <x:c r="O374" s="7" t="n">
        <x:v>0</x:v>
      </x:c>
      <x:c r="P374" s="9" t="n">
        <x:v>3.08</x:v>
      </x:c>
      <x:c r="Q374" s="7" t="n">
        <x:f>'Guide'!$B$5-L374</x:f>
        <x:v>5</x:v>
      </x:c>
      <x:c r="R374" s="9" t="n">
        <x:f>K374-P374</x:f>
        <x:v>3.42</x:v>
      </x:c>
      <x:c r="S374" s="10" t="n">
        <x:f>IF(K374&gt;0,R374/K374,"")</x:f>
        <x:v>0.5261538461538462</x:v>
      </x:c>
    </x:row>
    <x:row r="375">
      <x:c r="A375" s="7" t="n">
        <x:v>371</x:v>
      </x:c>
      <x:c r="B375" s="7" t="str">
        <x:v>Tata</x:v>
      </x:c>
      <x:c r="C375" s="7" t="str">
        <x:v>Tiago</x:v>
      </x:c>
      <x:c r="D375" s="7" t="str">
        <x:v>XT</x:v>
      </x:c>
      <x:c r="E375" s="7" t="str">
        <x:v>Petrol</x:v>
      </x:c>
      <x:c r="F375" s="7" t="str">
        <x:v>Manual</x:v>
      </x:c>
      <x:c r="G375" s="7" t="str">
        <x:v>Hatchback</x:v>
      </x:c>
      <x:c r="H375" s="7" t="n">
        <x:v>1199</x:v>
      </x:c>
      <x:c r="I375" s="7" t="n">
        <x:v>85</x:v>
      </x:c>
      <x:c r="J375" s="9" t="n">
        <x:v>20.1</x:v>
      </x:c>
      <x:c r="K375" s="9" t="n">
        <x:v>6.5</x:v>
      </x:c>
      <x:c r="L375" s="7" t="n">
        <x:v>2024</x:v>
      </x:c>
      <x:c r="M375" s="11" t="n">
        <x:v>31200</x:v>
      </x:c>
      <x:c r="N375" s="7" t="n">
        <x:v>1</x:v>
      </x:c>
      <x:c r="O375" s="7" t="n">
        <x:v>0</x:v>
      </x:c>
      <x:c r="P375" s="9" t="n">
        <x:v>5.2</x:v>
      </x:c>
      <x:c r="Q375" s="7" t="n">
        <x:f>'Guide'!$B$5-L375</x:f>
        <x:v>2</x:v>
      </x:c>
      <x:c r="R375" s="9" t="n">
        <x:f>K375-P375</x:f>
        <x:v>1.2999999999999998</x:v>
      </x:c>
      <x:c r="S375" s="10" t="n">
        <x:f>IF(K375&gt;0,R375/K375,"")</x:f>
        <x:v>0.19999999999999998</x:v>
      </x:c>
    </x:row>
    <x:row r="376">
      <x:c r="A376" s="7" t="n">
        <x:v>372</x:v>
      </x:c>
      <x:c r="B376" s="7" t="str">
        <x:v>Tata</x:v>
      </x:c>
      <x:c r="C376" s="7" t="str">
        <x:v>Tiago</x:v>
      </x:c>
      <x:c r="D376" s="7" t="str">
        <x:v>XT</x:v>
      </x:c>
      <x:c r="E376" s="7" t="str">
        <x:v>Petrol</x:v>
      </x:c>
      <x:c r="F376" s="7" t="str">
        <x:v>Manual</x:v>
      </x:c>
      <x:c r="G376" s="7" t="str">
        <x:v>Hatchback</x:v>
      </x:c>
      <x:c r="H376" s="7" t="n">
        <x:v>1199</x:v>
      </x:c>
      <x:c r="I376" s="7" t="n">
        <x:v>85</x:v>
      </x:c>
      <x:c r="J376" s="9" t="n">
        <x:v>20.1</x:v>
      </x:c>
      <x:c r="K376" s="9" t="n">
        <x:v>6.5</x:v>
      </x:c>
      <x:c r="L376" s="7" t="n">
        <x:v>2020</x:v>
      </x:c>
      <x:c r="M376" s="11" t="n">
        <x:v>92804</x:v>
      </x:c>
      <x:c r="N376" s="7" t="n">
        <x:v>2</x:v>
      </x:c>
      <x:c r="O376" s="7" t="n">
        <x:v>0</x:v>
      </x:c>
      <x:c r="P376" s="9" t="n">
        <x:v>2.23</x:v>
      </x:c>
      <x:c r="Q376" s="7" t="n">
        <x:f>'Guide'!$B$5-L376</x:f>
        <x:v>6</x:v>
      </x:c>
      <x:c r="R376" s="9" t="n">
        <x:f>K376-P376</x:f>
        <x:v>4.27</x:v>
      </x:c>
      <x:c r="S376" s="10" t="n">
        <x:f>IF(K376&gt;0,R376/K376,"")</x:f>
        <x:v>0.6569230769230768</x:v>
      </x:c>
    </x:row>
    <x:row r="377">
      <x:c r="A377" s="7" t="n">
        <x:v>373</x:v>
      </x:c>
      <x:c r="B377" s="7" t="str">
        <x:v>Tata</x:v>
      </x:c>
      <x:c r="C377" s="7" t="str">
        <x:v>Tiago</x:v>
      </x:c>
      <x:c r="D377" s="7" t="str">
        <x:v>XT</x:v>
      </x:c>
      <x:c r="E377" s="7" t="str">
        <x:v>Petrol</x:v>
      </x:c>
      <x:c r="F377" s="7" t="str">
        <x:v>Manual</x:v>
      </x:c>
      <x:c r="G377" s="7" t="str">
        <x:v>Hatchback</x:v>
      </x:c>
      <x:c r="H377" s="7" t="n">
        <x:v>1199</x:v>
      </x:c>
      <x:c r="I377" s="7" t="n">
        <x:v>85</x:v>
      </x:c>
      <x:c r="J377" s="9" t="n">
        <x:v>20.1</x:v>
      </x:c>
      <x:c r="K377" s="9" t="n">
        <x:v>6.5</x:v>
      </x:c>
      <x:c r="L377" s="7" t="n">
        <x:v>2024</x:v>
      </x:c>
      <x:c r="M377" s="11" t="n">
        <x:v>38597</x:v>
      </x:c>
      <x:c r="N377" s="7" t="n">
        <x:v>2</x:v>
      </x:c>
      <x:c r="O377" s="7" t="n">
        <x:v>0</x:v>
      </x:c>
      <x:c r="P377" s="9" t="n">
        <x:v>4.42</x:v>
      </x:c>
      <x:c r="Q377" s="7" t="n">
        <x:f>'Guide'!$B$5-L377</x:f>
        <x:v>2</x:v>
      </x:c>
      <x:c r="R377" s="9" t="n">
        <x:f>K377-P377</x:f>
        <x:v>2.08</x:v>
      </x:c>
      <x:c r="S377" s="10" t="n">
        <x:f>IF(K377&gt;0,R377/K377,"")</x:f>
        <x:v>0.32</x:v>
      </x:c>
    </x:row>
    <x:row r="378">
      <x:c r="A378" s="7" t="n">
        <x:v>374</x:v>
      </x:c>
      <x:c r="B378" s="7" t="str">
        <x:v>Tata</x:v>
      </x:c>
      <x:c r="C378" s="7" t="str">
        <x:v>Tiago</x:v>
      </x:c>
      <x:c r="D378" s="7" t="str">
        <x:v>XT</x:v>
      </x:c>
      <x:c r="E378" s="7" t="str">
        <x:v>Petrol</x:v>
      </x:c>
      <x:c r="F378" s="7" t="str">
        <x:v>Manual</x:v>
      </x:c>
      <x:c r="G378" s="7" t="str">
        <x:v>Hatchback</x:v>
      </x:c>
      <x:c r="H378" s="7" t="n">
        <x:v>1199</x:v>
      </x:c>
      <x:c r="I378" s="7" t="n">
        <x:v>85</x:v>
      </x:c>
      <x:c r="J378" s="9" t="n">
        <x:v>20.1</x:v>
      </x:c>
      <x:c r="K378" s="9" t="n">
        <x:v>6.5</x:v>
      </x:c>
      <x:c r="L378" s="7" t="n">
        <x:v>2026</x:v>
      </x:c>
      <x:c r="M378" s="11" t="n">
        <x:v>8328</x:v>
      </x:c>
      <x:c r="N378" s="7" t="n">
        <x:v>2</x:v>
      </x:c>
      <x:c r="O378" s="7" t="n">
        <x:v>1</x:v>
      </x:c>
      <x:c r="P378" s="9" t="n">
        <x:v>5.56</x:v>
      </x:c>
      <x:c r="Q378" s="7" t="n">
        <x:f>'Guide'!$B$5-L378</x:f>
        <x:v>0</x:v>
      </x:c>
      <x:c r="R378" s="9" t="n">
        <x:f>K378-P378</x:f>
        <x:v>0.9400000000000004</x:v>
      </x:c>
      <x:c r="S378" s="10" t="n">
        <x:f>IF(K378&gt;0,R378/K378,"")</x:f>
        <x:v>0.14461538461538467</x:v>
      </x:c>
    </x:row>
    <x:row r="379">
      <x:c r="A379" s="7" t="n">
        <x:v>375</x:v>
      </x:c>
      <x:c r="B379" s="7" t="str">
        <x:v>Tata</x:v>
      </x:c>
      <x:c r="C379" s="7" t="str">
        <x:v>Tiago</x:v>
      </x:c>
      <x:c r="D379" s="7" t="str">
        <x:v>XT</x:v>
      </x:c>
      <x:c r="E379" s="7" t="str">
        <x:v>Petrol</x:v>
      </x:c>
      <x:c r="F379" s="7" t="str">
        <x:v>Manual</x:v>
      </x:c>
      <x:c r="G379" s="7" t="str">
        <x:v>Hatchback</x:v>
      </x:c>
      <x:c r="H379" s="7" t="n">
        <x:v>1199</x:v>
      </x:c>
      <x:c r="I379" s="7" t="n">
        <x:v>85</x:v>
      </x:c>
      <x:c r="J379" s="9" t="n">
        <x:v>20.1</x:v>
      </x:c>
      <x:c r="K379" s="9" t="n">
        <x:v>6.5</x:v>
      </x:c>
      <x:c r="L379" s="7" t="n">
        <x:v>2022</x:v>
      </x:c>
      <x:c r="M379" s="11" t="n">
        <x:v>76374</x:v>
      </x:c>
      <x:c r="N379" s="7" t="n">
        <x:v>2</x:v>
      </x:c>
      <x:c r="O379" s="7" t="n">
        <x:v>0</x:v>
      </x:c>
      <x:c r="P379" s="9" t="n">
        <x:v>3.14</x:v>
      </x:c>
      <x:c r="Q379" s="7" t="n">
        <x:f>'Guide'!$B$5-L379</x:f>
        <x:v>4</x:v>
      </x:c>
      <x:c r="R379" s="9" t="n">
        <x:f>K379-P379</x:f>
        <x:v>3.36</x:v>
      </x:c>
      <x:c r="S379" s="10" t="n">
        <x:f>IF(K379&gt;0,R379/K379,"")</x:f>
        <x:v>0.5169230769230769</x:v>
      </x:c>
    </x:row>
    <x:row r="380">
      <x:c r="A380" s="7" t="n">
        <x:v>376</x:v>
      </x:c>
      <x:c r="B380" s="7" t="str">
        <x:v>Tata</x:v>
      </x:c>
      <x:c r="C380" s="7" t="str">
        <x:v>Tiago</x:v>
      </x:c>
      <x:c r="D380" s="7" t="str">
        <x:v>XT</x:v>
      </x:c>
      <x:c r="E380" s="7" t="str">
        <x:v>Petrol</x:v>
      </x:c>
      <x:c r="F380" s="7" t="str">
        <x:v>Manual</x:v>
      </x:c>
      <x:c r="G380" s="7" t="str">
        <x:v>Hatchback</x:v>
      </x:c>
      <x:c r="H380" s="7" t="n">
        <x:v>1199</x:v>
      </x:c>
      <x:c r="I380" s="7" t="n">
        <x:v>85</x:v>
      </x:c>
      <x:c r="J380" s="9" t="n">
        <x:v>20.1</x:v>
      </x:c>
      <x:c r="K380" s="9" t="n">
        <x:v>6.5</x:v>
      </x:c>
      <x:c r="L380" s="7" t="n">
        <x:v>2020</x:v>
      </x:c>
      <x:c r="M380" s="11" t="n">
        <x:v>125336</x:v>
      </x:c>
      <x:c r="N380" s="7" t="n">
        <x:v>2</x:v>
      </x:c>
      <x:c r="O380" s="7" t="n">
        <x:v>0</x:v>
      </x:c>
      <x:c r="P380" s="9" t="n">
        <x:v>2.1</x:v>
      </x:c>
      <x:c r="Q380" s="7" t="n">
        <x:f>'Guide'!$B$5-L380</x:f>
        <x:v>6</x:v>
      </x:c>
      <x:c r="R380" s="9" t="n">
        <x:f>K380-P380</x:f>
        <x:v>4.4</x:v>
      </x:c>
      <x:c r="S380" s="10" t="n">
        <x:f>IF(K380&gt;0,R380/K380,"")</x:f>
        <x:v>0.676923076923077</x:v>
      </x:c>
    </x:row>
    <x:row r="381">
      <x:c r="A381" s="7" t="n">
        <x:v>377</x:v>
      </x:c>
      <x:c r="B381" s="7" t="str">
        <x:v>Tata</x:v>
      </x:c>
      <x:c r="C381" s="7" t="str">
        <x:v>Tiago</x:v>
      </x:c>
      <x:c r="D381" s="7" t="str">
        <x:v>XT</x:v>
      </x:c>
      <x:c r="E381" s="7" t="str">
        <x:v>Petrol</x:v>
      </x:c>
      <x:c r="F381" s="7" t="str">
        <x:v>Manual</x:v>
      </x:c>
      <x:c r="G381" s="7" t="str">
        <x:v>Hatchback</x:v>
      </x:c>
      <x:c r="H381" s="7" t="n">
        <x:v>1199</x:v>
      </x:c>
      <x:c r="I381" s="7" t="n">
        <x:v>85</x:v>
      </x:c>
      <x:c r="J381" s="9" t="n">
        <x:v>20.1</x:v>
      </x:c>
      <x:c r="K381" s="9" t="n">
        <x:v>6.5</x:v>
      </x:c>
      <x:c r="L381" s="7" t="n">
        <x:v>2022</x:v>
      </x:c>
      <x:c r="M381" s="11" t="n">
        <x:v>82076</x:v>
      </x:c>
      <x:c r="N381" s="7" t="n">
        <x:v>2</x:v>
      </x:c>
      <x:c r="O381" s="7" t="n">
        <x:v>0</x:v>
      </x:c>
      <x:c r="P381" s="9" t="n">
        <x:v>3.12</x:v>
      </x:c>
      <x:c r="Q381" s="7" t="n">
        <x:f>'Guide'!$B$5-L381</x:f>
        <x:v>4</x:v>
      </x:c>
      <x:c r="R381" s="9" t="n">
        <x:f>K381-P381</x:f>
        <x:v>3.38</x:v>
      </x:c>
      <x:c r="S381" s="10" t="n">
        <x:f>IF(K381&gt;0,R381/K381,"")</x:f>
        <x:v>0.52</x:v>
      </x:c>
    </x:row>
    <x:row r="382">
      <x:c r="A382" s="7" t="n">
        <x:v>378</x:v>
      </x:c>
      <x:c r="B382" s="7" t="str">
        <x:v>Tata</x:v>
      </x:c>
      <x:c r="C382" s="7" t="str">
        <x:v>Tiago</x:v>
      </x:c>
      <x:c r="D382" s="7" t="str">
        <x:v>XT</x:v>
      </x:c>
      <x:c r="E382" s="7" t="str">
        <x:v>Petrol</x:v>
      </x:c>
      <x:c r="F382" s="7" t="str">
        <x:v>Manual</x:v>
      </x:c>
      <x:c r="G382" s="7" t="str">
        <x:v>Hatchback</x:v>
      </x:c>
      <x:c r="H382" s="7" t="n">
        <x:v>1199</x:v>
      </x:c>
      <x:c r="I382" s="7" t="n">
        <x:v>85</x:v>
      </x:c>
      <x:c r="J382" s="9" t="n">
        <x:v>20.1</x:v>
      </x:c>
      <x:c r="K382" s="9" t="n">
        <x:v>6.5</x:v>
      </x:c>
      <x:c r="L382" s="7" t="n">
        <x:v>2024</x:v>
      </x:c>
      <x:c r="M382" s="11" t="n">
        <x:v>49871</x:v>
      </x:c>
      <x:c r="N382" s="7" t="n">
        <x:v>1</x:v>
      </x:c>
      <x:c r="O382" s="7" t="n">
        <x:v>0</x:v>
      </x:c>
      <x:c r="P382" s="9" t="n">
        <x:v>5.2</x:v>
      </x:c>
      <x:c r="Q382" s="7" t="n">
        <x:f>'Guide'!$B$5-L382</x:f>
        <x:v>2</x:v>
      </x:c>
      <x:c r="R382" s="9" t="n">
        <x:f>K382-P382</x:f>
        <x:v>1.2999999999999998</x:v>
      </x:c>
      <x:c r="S382" s="10" t="n">
        <x:f>IF(K382&gt;0,R382/K382,"")</x:f>
        <x:v>0.19999999999999998</x:v>
      </x:c>
    </x:row>
    <x:row r="383">
      <x:c r="A383" s="7" t="n">
        <x:v>379</x:v>
      </x:c>
      <x:c r="B383" s="7" t="str">
        <x:v>Tata</x:v>
      </x:c>
      <x:c r="C383" s="7" t="str">
        <x:v>Tiago</x:v>
      </x:c>
      <x:c r="D383" s="7" t="str">
        <x:v>XT</x:v>
      </x:c>
      <x:c r="E383" s="7" t="str">
        <x:v>Petrol</x:v>
      </x:c>
      <x:c r="F383" s="7" t="str">
        <x:v>Manual</x:v>
      </x:c>
      <x:c r="G383" s="7" t="str">
        <x:v>Hatchback</x:v>
      </x:c>
      <x:c r="H383" s="7" t="n">
        <x:v>1199</x:v>
      </x:c>
      <x:c r="I383" s="7" t="n">
        <x:v>85</x:v>
      </x:c>
      <x:c r="J383" s="9" t="n">
        <x:v>20.1</x:v>
      </x:c>
      <x:c r="K383" s="9" t="n">
        <x:v>6.5</x:v>
      </x:c>
      <x:c r="L383" s="7" t="n">
        <x:v>2024</x:v>
      </x:c>
      <x:c r="M383" s="11" t="n">
        <x:v>25294</x:v>
      </x:c>
      <x:c r="N383" s="7" t="n">
        <x:v>1</x:v>
      </x:c>
      <x:c r="O383" s="7" t="n">
        <x:v>0</x:v>
      </x:c>
      <x:c r="P383" s="9" t="n">
        <x:v>5.11</x:v>
      </x:c>
      <x:c r="Q383" s="7" t="n">
        <x:f>'Guide'!$B$5-L383</x:f>
        <x:v>2</x:v>
      </x:c>
      <x:c r="R383" s="9" t="n">
        <x:f>K383-P383</x:f>
        <x:v>1.3899999999999997</x:v>
      </x:c>
      <x:c r="S383" s="10" t="n">
        <x:f>IF(K383&gt;0,R383/K383,"")</x:f>
        <x:v>0.2138461538461538</x:v>
      </x:c>
    </x:row>
    <x:row r="384">
      <x:c r="A384" s="7" t="n">
        <x:v>380</x:v>
      </x:c>
      <x:c r="B384" s="7" t="str">
        <x:v>Tata</x:v>
      </x:c>
      <x:c r="C384" s="7" t="str">
        <x:v>Tiago</x:v>
      </x:c>
      <x:c r="D384" s="7" t="str">
        <x:v>XT</x:v>
      </x:c>
      <x:c r="E384" s="7" t="str">
        <x:v>Petrol</x:v>
      </x:c>
      <x:c r="F384" s="7" t="str">
        <x:v>Manual</x:v>
      </x:c>
      <x:c r="G384" s="7" t="str">
        <x:v>Hatchback</x:v>
      </x:c>
      <x:c r="H384" s="7" t="n">
        <x:v>1199</x:v>
      </x:c>
      <x:c r="I384" s="7" t="n">
        <x:v>85</x:v>
      </x:c>
      <x:c r="J384" s="9" t="n">
        <x:v>20.1</x:v>
      </x:c>
      <x:c r="K384" s="9" t="n">
        <x:v>6.5</x:v>
      </x:c>
      <x:c r="L384" s="7" t="n">
        <x:v>2023</x:v>
      </x:c>
      <x:c r="M384" s="11" t="n">
        <x:v>53462</x:v>
      </x:c>
      <x:c r="N384" s="7" t="n">
        <x:v>1</x:v>
      </x:c>
      <x:c r="O384" s="7" t="n">
        <x:v>0</x:v>
      </x:c>
      <x:c r="P384" s="9" t="n">
        <x:v>4.47</x:v>
      </x:c>
      <x:c r="Q384" s="7" t="n">
        <x:f>'Guide'!$B$5-L384</x:f>
        <x:v>3</x:v>
      </x:c>
      <x:c r="R384" s="9" t="n">
        <x:f>K384-P384</x:f>
        <x:v>2.0300000000000002</x:v>
      </x:c>
      <x:c r="S384" s="10" t="n">
        <x:f>IF(K384&gt;0,R384/K384,"")</x:f>
        <x:v>0.31230769230769234</x:v>
      </x:c>
    </x:row>
    <x:row r="385">
      <x:c r="A385" s="7" t="n">
        <x:v>381</x:v>
      </x:c>
      <x:c r="B385" s="7" t="str">
        <x:v>Tata</x:v>
      </x:c>
      <x:c r="C385" s="7" t="str">
        <x:v>Tiago</x:v>
      </x:c>
      <x:c r="D385" s="7" t="str">
        <x:v>XT</x:v>
      </x:c>
      <x:c r="E385" s="7" t="str">
        <x:v>Petrol</x:v>
      </x:c>
      <x:c r="F385" s="7" t="str">
        <x:v>Manual</x:v>
      </x:c>
      <x:c r="G385" s="7" t="str">
        <x:v>Hatchback</x:v>
      </x:c>
      <x:c r="H385" s="7" t="n">
        <x:v>1199</x:v>
      </x:c>
      <x:c r="I385" s="7" t="n">
        <x:v>85</x:v>
      </x:c>
      <x:c r="J385" s="9" t="n">
        <x:v>20.1</x:v>
      </x:c>
      <x:c r="K385" s="9" t="n">
        <x:v>6.5</x:v>
      </x:c>
      <x:c r="L385" s="7" t="n">
        <x:v>2020</x:v>
      </x:c>
      <x:c r="M385" s="11" t="n">
        <x:v>57993</x:v>
      </x:c>
      <x:c r="N385" s="7" t="n">
        <x:v>1</x:v>
      </x:c>
      <x:c r="O385" s="7" t="n">
        <x:v>0</x:v>
      </x:c>
      <x:c r="P385" s="9" t="n">
        <x:v>2.74</x:v>
      </x:c>
      <x:c r="Q385" s="7" t="n">
        <x:f>'Guide'!$B$5-L385</x:f>
        <x:v>6</x:v>
      </x:c>
      <x:c r="R385" s="9" t="n">
        <x:f>K385-P385</x:f>
        <x:v>3.76</x:v>
      </x:c>
      <x:c r="S385" s="10" t="n">
        <x:f>IF(K385&gt;0,R385/K385,"")</x:f>
        <x:v>0.5784615384615385</x:v>
      </x:c>
    </x:row>
    <x:row r="386">
      <x:c r="A386" s="7" t="n">
        <x:v>382</x:v>
      </x:c>
      <x:c r="B386" s="7" t="str">
        <x:v>Tata</x:v>
      </x:c>
      <x:c r="C386" s="7" t="str">
        <x:v>Tiago</x:v>
      </x:c>
      <x:c r="D386" s="7" t="str">
        <x:v>XT</x:v>
      </x:c>
      <x:c r="E386" s="7" t="str">
        <x:v>Petrol</x:v>
      </x:c>
      <x:c r="F386" s="7" t="str">
        <x:v>Manual</x:v>
      </x:c>
      <x:c r="G386" s="7" t="str">
        <x:v>Hatchback</x:v>
      </x:c>
      <x:c r="H386" s="7" t="n">
        <x:v>1199</x:v>
      </x:c>
      <x:c r="I386" s="7" t="n">
        <x:v>85</x:v>
      </x:c>
      <x:c r="J386" s="9" t="n">
        <x:v>20.1</x:v>
      </x:c>
      <x:c r="K386" s="9" t="n">
        <x:v>6.5</x:v>
      </x:c>
      <x:c r="L386" s="7" t="n">
        <x:v>2023</x:v>
      </x:c>
      <x:c r="M386" s="11" t="n">
        <x:v>29940</x:v>
      </x:c>
      <x:c r="N386" s="7" t="n">
        <x:v>3</x:v>
      </x:c>
      <x:c r="O386" s="7" t="n">
        <x:v>0</x:v>
      </x:c>
      <x:c r="P386" s="9" t="n">
        <x:v>3.72</x:v>
      </x:c>
      <x:c r="Q386" s="7" t="n">
        <x:f>'Guide'!$B$5-L386</x:f>
        <x:v>3</x:v>
      </x:c>
      <x:c r="R386" s="9" t="n">
        <x:f>K386-P386</x:f>
        <x:v>2.78</x:v>
      </x:c>
      <x:c r="S386" s="10" t="n">
        <x:f>IF(K386&gt;0,R386/K386,"")</x:f>
        <x:v>0.42769230769230765</x:v>
      </x:c>
    </x:row>
    <x:row r="387">
      <x:c r="A387" s="7" t="n">
        <x:v>383</x:v>
      </x:c>
      <x:c r="B387" s="7" t="str">
        <x:v>Tata</x:v>
      </x:c>
      <x:c r="C387" s="7" t="str">
        <x:v>Tiago</x:v>
      </x:c>
      <x:c r="D387" s="7" t="str">
        <x:v>XT</x:v>
      </x:c>
      <x:c r="E387" s="7" t="str">
        <x:v>Petrol</x:v>
      </x:c>
      <x:c r="F387" s="7" t="str">
        <x:v>Manual</x:v>
      </x:c>
      <x:c r="G387" s="7" t="str">
        <x:v>Hatchback</x:v>
      </x:c>
      <x:c r="H387" s="7" t="n">
        <x:v>1199</x:v>
      </x:c>
      <x:c r="I387" s="7" t="n">
        <x:v>85</x:v>
      </x:c>
      <x:c r="J387" s="9" t="n">
        <x:v>20.1</x:v>
      </x:c>
      <x:c r="K387" s="9" t="n">
        <x:v>6.5</x:v>
      </x:c>
      <x:c r="L387" s="7" t="n">
        <x:v>2021</x:v>
      </x:c>
      <x:c r="M387" s="11" t="n">
        <x:v>85256</x:v>
      </x:c>
      <x:c r="N387" s="7" t="n">
        <x:v>1</x:v>
      </x:c>
      <x:c r="O387" s="7" t="n">
        <x:v>0</x:v>
      </x:c>
      <x:c r="P387" s="9" t="n">
        <x:v>3.11</x:v>
      </x:c>
      <x:c r="Q387" s="7" t="n">
        <x:f>'Guide'!$B$5-L387</x:f>
        <x:v>5</x:v>
      </x:c>
      <x:c r="R387" s="9" t="n">
        <x:f>K387-P387</x:f>
        <x:v>3.39</x:v>
      </x:c>
      <x:c r="S387" s="10" t="n">
        <x:f>IF(K387&gt;0,R387/K387,"")</x:f>
        <x:v>0.5215384615384615</x:v>
      </x:c>
    </x:row>
    <x:row r="388">
      <x:c r="A388" s="7" t="n">
        <x:v>384</x:v>
      </x:c>
      <x:c r="B388" s="7" t="str">
        <x:v>Tata</x:v>
      </x:c>
      <x:c r="C388" s="7" t="str">
        <x:v>Tiago</x:v>
      </x:c>
      <x:c r="D388" s="7" t="str">
        <x:v>XT</x:v>
      </x:c>
      <x:c r="E388" s="7" t="str">
        <x:v>Petrol</x:v>
      </x:c>
      <x:c r="F388" s="7" t="str">
        <x:v>Manual</x:v>
      </x:c>
      <x:c r="G388" s="7" t="str">
        <x:v>Hatchback</x:v>
      </x:c>
      <x:c r="H388" s="7" t="n">
        <x:v>1199</x:v>
      </x:c>
      <x:c r="I388" s="7" t="n">
        <x:v>85</x:v>
      </x:c>
      <x:c r="J388" s="9" t="n">
        <x:v>20.1</x:v>
      </x:c>
      <x:c r="K388" s="9" t="n">
        <x:v>6.5</x:v>
      </x:c>
      <x:c r="L388" s="7" t="n">
        <x:v>2026</x:v>
      </x:c>
      <x:c r="M388" s="11" t="n">
        <x:v>9845</x:v>
      </x:c>
      <x:c r="N388" s="7" t="n">
        <x:v>2</x:v>
      </x:c>
      <x:c r="O388" s="7" t="n">
        <x:v>1</x:v>
      </x:c>
      <x:c r="P388" s="9" t="n">
        <x:v>4.86</x:v>
      </x:c>
      <x:c r="Q388" s="7" t="n">
        <x:f>'Guide'!$B$5-L388</x:f>
        <x:v>0</x:v>
      </x:c>
      <x:c r="R388" s="9" t="n">
        <x:f>K388-P388</x:f>
        <x:v>1.6399999999999997</x:v>
      </x:c>
      <x:c r="S388" s="10" t="n">
        <x:f>IF(K388&gt;0,R388/K388,"")</x:f>
        <x:v>0.25230769230769223</x:v>
      </x:c>
    </x:row>
    <x:row r="389">
      <x:c r="A389" s="7" t="n">
        <x:v>385</x:v>
      </x:c>
      <x:c r="B389" s="7" t="str">
        <x:v>Tata</x:v>
      </x:c>
      <x:c r="C389" s="7" t="str">
        <x:v>Tiago</x:v>
      </x:c>
      <x:c r="D389" s="7" t="str">
        <x:v>XT</x:v>
      </x:c>
      <x:c r="E389" s="7" t="str">
        <x:v>Petrol</x:v>
      </x:c>
      <x:c r="F389" s="7" t="str">
        <x:v>Manual</x:v>
      </x:c>
      <x:c r="G389" s="7" t="str">
        <x:v>Hatchback</x:v>
      </x:c>
      <x:c r="H389" s="7" t="n">
        <x:v>1199</x:v>
      </x:c>
      <x:c r="I389" s="7" t="n">
        <x:v>85</x:v>
      </x:c>
      <x:c r="J389" s="9" t="n">
        <x:v>20.1</x:v>
      </x:c>
      <x:c r="K389" s="9" t="n">
        <x:v>6.5</x:v>
      </x:c>
      <x:c r="L389" s="7" t="n">
        <x:v>2026</x:v>
      </x:c>
      <x:c r="M389" s="11" t="n">
        <x:v>9770</x:v>
      </x:c>
      <x:c r="N389" s="7" t="n">
        <x:v>3</x:v>
      </x:c>
      <x:c r="O389" s="7" t="n">
        <x:v>0</x:v>
      </x:c>
      <x:c r="P389" s="9" t="n">
        <x:v>5.74</x:v>
      </x:c>
      <x:c r="Q389" s="7" t="n">
        <x:f>'Guide'!$B$5-L389</x:f>
        <x:v>0</x:v>
      </x:c>
      <x:c r="R389" s="9" t="n">
        <x:f>K389-P389</x:f>
        <x:v>0.7599999999999998</x:v>
      </x:c>
      <x:c r="S389" s="10" t="n">
        <x:f>IF(K389&gt;0,R389/K389,"")</x:f>
        <x:v>0.1169230769230769</x:v>
      </x:c>
    </x:row>
    <x:row r="390">
      <x:c r="A390" s="7" t="n">
        <x:v>386</x:v>
      </x:c>
      <x:c r="B390" s="7" t="str">
        <x:v>Tata</x:v>
      </x:c>
      <x:c r="C390" s="7" t="str">
        <x:v>Tiago</x:v>
      </x:c>
      <x:c r="D390" s="7" t="str">
        <x:v>XT</x:v>
      </x:c>
      <x:c r="E390" s="7" t="str">
        <x:v>Petrol</x:v>
      </x:c>
      <x:c r="F390" s="7" t="str">
        <x:v>Manual</x:v>
      </x:c>
      <x:c r="G390" s="7" t="str">
        <x:v>Hatchback</x:v>
      </x:c>
      <x:c r="H390" s="7" t="n">
        <x:v>1199</x:v>
      </x:c>
      <x:c r="I390" s="7" t="n">
        <x:v>85</x:v>
      </x:c>
      <x:c r="J390" s="9" t="n">
        <x:v>20.1</x:v>
      </x:c>
      <x:c r="K390" s="9" t="n">
        <x:v>6.5</x:v>
      </x:c>
      <x:c r="L390" s="7" t="n">
        <x:v>2024</x:v>
      </x:c>
      <x:c r="M390" s="11" t="n">
        <x:v>47623</x:v>
      </x:c>
      <x:c r="N390" s="7" t="n">
        <x:v>1</x:v>
      </x:c>
      <x:c r="O390" s="7" t="n">
        <x:v>0</x:v>
      </x:c>
      <x:c r="P390" s="9" t="n">
        <x:v>5.47</x:v>
      </x:c>
      <x:c r="Q390" s="7" t="n">
        <x:f>'Guide'!$B$5-L390</x:f>
        <x:v>2</x:v>
      </x:c>
      <x:c r="R390" s="9" t="n">
        <x:f>K390-P390</x:f>
        <x:v>1.0300000000000002</x:v>
      </x:c>
      <x:c r="S390" s="10" t="n">
        <x:f>IF(K390&gt;0,R390/K390,"")</x:f>
        <x:v>0.1584615384615385</x:v>
      </x:c>
    </x:row>
    <x:row r="391">
      <x:c r="A391" s="7" t="n">
        <x:v>387</x:v>
      </x:c>
      <x:c r="B391" s="7" t="str">
        <x:v>Tata</x:v>
      </x:c>
      <x:c r="C391" s="7" t="str">
        <x:v>Tiago</x:v>
      </x:c>
      <x:c r="D391" s="7" t="str">
        <x:v>XT</x:v>
      </x:c>
      <x:c r="E391" s="7" t="str">
        <x:v>Petrol</x:v>
      </x:c>
      <x:c r="F391" s="7" t="str">
        <x:v>Manual</x:v>
      </x:c>
      <x:c r="G391" s="7" t="str">
        <x:v>Hatchback</x:v>
      </x:c>
      <x:c r="H391" s="7" t="n">
        <x:v>1199</x:v>
      </x:c>
      <x:c r="I391" s="7" t="n">
        <x:v>85</x:v>
      </x:c>
      <x:c r="J391" s="9" t="n">
        <x:v>20.1</x:v>
      </x:c>
      <x:c r="K391" s="9" t="n">
        <x:v>6.5</x:v>
      </x:c>
      <x:c r="L391" s="7" t="n">
        <x:v>2026</x:v>
      </x:c>
      <x:c r="M391" s="11" t="n">
        <x:v>9932</x:v>
      </x:c>
      <x:c r="N391" s="7" t="n">
        <x:v>1</x:v>
      </x:c>
      <x:c r="O391" s="7" t="n">
        <x:v>0</x:v>
      </x:c>
      <x:c r="P391" s="9" t="n">
        <x:v>6.29</x:v>
      </x:c>
      <x:c r="Q391" s="7" t="n">
        <x:f>'Guide'!$B$5-L391</x:f>
        <x:v>0</x:v>
      </x:c>
      <x:c r="R391" s="9" t="n">
        <x:f>K391-P391</x:f>
        <x:v>0.20999999999999996</x:v>
      </x:c>
      <x:c r="S391" s="10" t="n">
        <x:f>IF(K391&gt;0,R391/K391,"")</x:f>
        <x:v>0.0323076923076923</x:v>
      </x:c>
    </x:row>
    <x:row r="392">
      <x:c r="A392" s="7" t="n">
        <x:v>388</x:v>
      </x:c>
      <x:c r="B392" s="7" t="str">
        <x:v>Tata</x:v>
      </x:c>
      <x:c r="C392" s="7" t="str">
        <x:v>Tiago</x:v>
      </x:c>
      <x:c r="D392" s="7" t="str">
        <x:v>XT</x:v>
      </x:c>
      <x:c r="E392" s="7" t="str">
        <x:v>Petrol</x:v>
      </x:c>
      <x:c r="F392" s="7" t="str">
        <x:v>Manual</x:v>
      </x:c>
      <x:c r="G392" s="7" t="str">
        <x:v>Hatchback</x:v>
      </x:c>
      <x:c r="H392" s="7" t="n">
        <x:v>1199</x:v>
      </x:c>
      <x:c r="I392" s="7" t="n">
        <x:v>85</x:v>
      </x:c>
      <x:c r="J392" s="9" t="n">
        <x:v>20.1</x:v>
      </x:c>
      <x:c r="K392" s="9" t="n">
        <x:v>6.5</x:v>
      </x:c>
      <x:c r="L392" s="7" t="n">
        <x:v>2026</x:v>
      </x:c>
      <x:c r="M392" s="11" t="n">
        <x:v>4701</x:v>
      </x:c>
      <x:c r="N392" s="7" t="n">
        <x:v>1</x:v>
      </x:c>
      <x:c r="O392" s="7" t="n">
        <x:v>0</x:v>
      </x:c>
      <x:c r="P392" s="9" t="n">
        <x:v>6.17</x:v>
      </x:c>
      <x:c r="Q392" s="7" t="n">
        <x:f>'Guide'!$B$5-L392</x:f>
        <x:v>0</x:v>
      </x:c>
      <x:c r="R392" s="9" t="n">
        <x:f>K392-P392</x:f>
        <x:v>0.33000000000000007</x:v>
      </x:c>
      <x:c r="S392" s="10" t="n">
        <x:f>IF(K392&gt;0,R392/K392,"")</x:f>
        <x:v>0.05076923076923078</x:v>
      </x:c>
    </x:row>
    <x:row r="393">
      <x:c r="A393" s="7" t="n">
        <x:v>389</x:v>
      </x:c>
      <x:c r="B393" s="7" t="str">
        <x:v>Tata</x:v>
      </x:c>
      <x:c r="C393" s="7" t="str">
        <x:v>Tiago</x:v>
      </x:c>
      <x:c r="D393" s="7" t="str">
        <x:v>XT</x:v>
      </x:c>
      <x:c r="E393" s="7" t="str">
        <x:v>Petrol</x:v>
      </x:c>
      <x:c r="F393" s="7" t="str">
        <x:v>Manual</x:v>
      </x:c>
      <x:c r="G393" s="7" t="str">
        <x:v>Hatchback</x:v>
      </x:c>
      <x:c r="H393" s="7" t="n">
        <x:v>1199</x:v>
      </x:c>
      <x:c r="I393" s="7" t="n">
        <x:v>85</x:v>
      </x:c>
      <x:c r="J393" s="9" t="n">
        <x:v>20.1</x:v>
      </x:c>
      <x:c r="K393" s="9" t="n">
        <x:v>6.5</x:v>
      </x:c>
      <x:c r="L393" s="7" t="n">
        <x:v>2023</x:v>
      </x:c>
      <x:c r="M393" s="11" t="n">
        <x:v>29746</x:v>
      </x:c>
      <x:c r="N393" s="7" t="n">
        <x:v>1</x:v>
      </x:c>
      <x:c r="O393" s="7" t="n">
        <x:v>0</x:v>
      </x:c>
      <x:c r="P393" s="9" t="n">
        <x:v>4.96</x:v>
      </x:c>
      <x:c r="Q393" s="7" t="n">
        <x:f>'Guide'!$B$5-L393</x:f>
        <x:v>3</x:v>
      </x:c>
      <x:c r="R393" s="9" t="n">
        <x:f>K393-P393</x:f>
        <x:v>1.54</x:v>
      </x:c>
      <x:c r="S393" s="10" t="n">
        <x:f>IF(K393&gt;0,R393/K393,"")</x:f>
        <x:v>0.23692307692307693</x:v>
      </x:c>
    </x:row>
    <x:row r="394">
      <x:c r="A394" s="7" t="n">
        <x:v>390</x:v>
      </x:c>
      <x:c r="B394" s="7" t="str">
        <x:v>Tata</x:v>
      </x:c>
      <x:c r="C394" s="7" t="str">
        <x:v>Tiago</x:v>
      </x:c>
      <x:c r="D394" s="7" t="str">
        <x:v>XT</x:v>
      </x:c>
      <x:c r="E394" s="7" t="str">
        <x:v>Petrol</x:v>
      </x:c>
      <x:c r="F394" s="7" t="str">
        <x:v>Manual</x:v>
      </x:c>
      <x:c r="G394" s="7" t="str">
        <x:v>Hatchback</x:v>
      </x:c>
      <x:c r="H394" s="7" t="n">
        <x:v>1199</x:v>
      </x:c>
      <x:c r="I394" s="7" t="n">
        <x:v>85</x:v>
      </x:c>
      <x:c r="J394" s="9" t="n">
        <x:v>20.1</x:v>
      </x:c>
      <x:c r="K394" s="9" t="n">
        <x:v>6.5</x:v>
      </x:c>
      <x:c r="L394" s="7" t="n">
        <x:v>2024</x:v>
      </x:c>
      <x:c r="M394" s="11" t="n">
        <x:v>22358</x:v>
      </x:c>
      <x:c r="N394" s="7" t="n">
        <x:v>2</x:v>
      </x:c>
      <x:c r="O394" s="7" t="n">
        <x:v>0</x:v>
      </x:c>
      <x:c r="P394" s="9" t="n">
        <x:v>5.22</x:v>
      </x:c>
      <x:c r="Q394" s="7" t="n">
        <x:f>'Guide'!$B$5-L394</x:f>
        <x:v>2</x:v>
      </x:c>
      <x:c r="R394" s="9" t="n">
        <x:f>K394-P394</x:f>
        <x:v>1.2800000000000002</x:v>
      </x:c>
      <x:c r="S394" s="10" t="n">
        <x:f>IF(K394&gt;0,R394/K394,"")</x:f>
        <x:v>0.19692307692307695</x:v>
      </x:c>
    </x:row>
    <x:row r="395">
      <x:c r="A395" s="7" t="n">
        <x:v>391</x:v>
      </x:c>
      <x:c r="B395" s="7" t="str">
        <x:v>Tata</x:v>
      </x:c>
      <x:c r="C395" s="7" t="str">
        <x:v>Tiago</x:v>
      </x:c>
      <x:c r="D395" s="7" t="str">
        <x:v>XT</x:v>
      </x:c>
      <x:c r="E395" s="7" t="str">
        <x:v>Petrol</x:v>
      </x:c>
      <x:c r="F395" s="7" t="str">
        <x:v>Manual</x:v>
      </x:c>
      <x:c r="G395" s="7" t="str">
        <x:v>Hatchback</x:v>
      </x:c>
      <x:c r="H395" s="7" t="n">
        <x:v>1199</x:v>
      </x:c>
      <x:c r="I395" s="7" t="n">
        <x:v>85</x:v>
      </x:c>
      <x:c r="J395" s="9" t="n">
        <x:v>20.1</x:v>
      </x:c>
      <x:c r="K395" s="9" t="n">
        <x:v>6.5</x:v>
      </x:c>
      <x:c r="L395" s="7" t="n">
        <x:v>2022</x:v>
      </x:c>
      <x:c r="M395" s="11" t="n">
        <x:v>64256</x:v>
      </x:c>
      <x:c r="N395" s="7" t="n">
        <x:v>2</x:v>
      </x:c>
      <x:c r="O395" s="7" t="n">
        <x:v>0</x:v>
      </x:c>
      <x:c r="P395" s="9" t="n">
        <x:v>3.16</x:v>
      </x:c>
      <x:c r="Q395" s="7" t="n">
        <x:f>'Guide'!$B$5-L395</x:f>
        <x:v>4</x:v>
      </x:c>
      <x:c r="R395" s="9" t="n">
        <x:f>K395-P395</x:f>
        <x:v>3.34</x:v>
      </x:c>
      <x:c r="S395" s="10" t="n">
        <x:f>IF(K395&gt;0,R395/K395,"")</x:f>
        <x:v>0.5138461538461538</x:v>
      </x:c>
    </x:row>
    <x:row r="396">
      <x:c r="A396" s="7" t="n">
        <x:v>392</x:v>
      </x:c>
      <x:c r="B396" s="7" t="str">
        <x:v>Tata</x:v>
      </x:c>
      <x:c r="C396" s="7" t="str">
        <x:v>Tiago</x:v>
      </x:c>
      <x:c r="D396" s="7" t="str">
        <x:v>XT</x:v>
      </x:c>
      <x:c r="E396" s="7" t="str">
        <x:v>Petrol</x:v>
      </x:c>
      <x:c r="F396" s="7" t="str">
        <x:v>Manual</x:v>
      </x:c>
      <x:c r="G396" s="7" t="str">
        <x:v>Hatchback</x:v>
      </x:c>
      <x:c r="H396" s="7" t="n">
        <x:v>1199</x:v>
      </x:c>
      <x:c r="I396" s="7" t="n">
        <x:v>85</x:v>
      </x:c>
      <x:c r="J396" s="9" t="n">
        <x:v>20.1</x:v>
      </x:c>
      <x:c r="K396" s="9" t="n">
        <x:v>6.5</x:v>
      </x:c>
      <x:c r="L396" s="7" t="n">
        <x:v>2020</x:v>
      </x:c>
      <x:c r="M396" s="11" t="n">
        <x:v>96239</x:v>
      </x:c>
      <x:c r="N396" s="7" t="n">
        <x:v>3</x:v>
      </x:c>
      <x:c r="O396" s="7" t="n">
        <x:v>0</x:v>
      </x:c>
      <x:c r="P396" s="9" t="n">
        <x:v>1.62</x:v>
      </x:c>
      <x:c r="Q396" s="7" t="n">
        <x:f>'Guide'!$B$5-L396</x:f>
        <x:v>6</x:v>
      </x:c>
      <x:c r="R396" s="9" t="n">
        <x:f>K396-P396</x:f>
        <x:v>4.88</x:v>
      </x:c>
      <x:c r="S396" s="10" t="n">
        <x:f>IF(K396&gt;0,R396/K396,"")</x:f>
        <x:v>0.7507692307692307</x:v>
      </x:c>
    </x:row>
    <x:row r="397">
      <x:c r="A397" s="7" t="n">
        <x:v>393</x:v>
      </x:c>
      <x:c r="B397" s="7" t="str">
        <x:v>Tata</x:v>
      </x:c>
      <x:c r="C397" s="7" t="str">
        <x:v>Tiago</x:v>
      </x:c>
      <x:c r="D397" s="7" t="str">
        <x:v>XT</x:v>
      </x:c>
      <x:c r="E397" s="7" t="str">
        <x:v>Petrol</x:v>
      </x:c>
      <x:c r="F397" s="7" t="str">
        <x:v>Manual</x:v>
      </x:c>
      <x:c r="G397" s="7" t="str">
        <x:v>Hatchback</x:v>
      </x:c>
      <x:c r="H397" s="7" t="n">
        <x:v>1199</x:v>
      </x:c>
      <x:c r="I397" s="7" t="n">
        <x:v>85</x:v>
      </x:c>
      <x:c r="J397" s="9" t="n">
        <x:v>20.1</x:v>
      </x:c>
      <x:c r="K397" s="9" t="n">
        <x:v>6.5</x:v>
      </x:c>
      <x:c r="L397" s="7" t="n">
        <x:v>2023</x:v>
      </x:c>
      <x:c r="M397" s="11" t="n">
        <x:v>35626</x:v>
      </x:c>
      <x:c r="N397" s="7" t="n">
        <x:v>1</x:v>
      </x:c>
      <x:c r="O397" s="7" t="n">
        <x:v>0</x:v>
      </x:c>
      <x:c r="P397" s="9" t="n">
        <x:v>4.66</x:v>
      </x:c>
      <x:c r="Q397" s="7" t="n">
        <x:f>'Guide'!$B$5-L397</x:f>
        <x:v>3</x:v>
      </x:c>
      <x:c r="R397" s="9" t="n">
        <x:f>K397-P397</x:f>
        <x:v>1.8399999999999999</x:v>
      </x:c>
      <x:c r="S397" s="10" t="n">
        <x:f>IF(K397&gt;0,R397/K397,"")</x:f>
        <x:v>0.28307692307692306</x:v>
      </x:c>
    </x:row>
    <x:row r="398">
      <x:c r="A398" s="7" t="n">
        <x:v>394</x:v>
      </x:c>
      <x:c r="B398" s="7" t="str">
        <x:v>Tata</x:v>
      </x:c>
      <x:c r="C398" s="7" t="str">
        <x:v>Tiago</x:v>
      </x:c>
      <x:c r="D398" s="7" t="str">
        <x:v>XT</x:v>
      </x:c>
      <x:c r="E398" s="7" t="str">
        <x:v>Petrol</x:v>
      </x:c>
      <x:c r="F398" s="7" t="str">
        <x:v>Manual</x:v>
      </x:c>
      <x:c r="G398" s="7" t="str">
        <x:v>Hatchback</x:v>
      </x:c>
      <x:c r="H398" s="7" t="n">
        <x:v>1199</x:v>
      </x:c>
      <x:c r="I398" s="7" t="n">
        <x:v>85</x:v>
      </x:c>
      <x:c r="J398" s="9" t="n">
        <x:v>20.1</x:v>
      </x:c>
      <x:c r="K398" s="9" t="n">
        <x:v>6.5</x:v>
      </x:c>
      <x:c r="L398" s="7" t="n">
        <x:v>2020</x:v>
      </x:c>
      <x:c r="M398" s="11" t="n">
        <x:v>70332</x:v>
      </x:c>
      <x:c r="N398" s="7" t="n">
        <x:v>2</x:v>
      </x:c>
      <x:c r="O398" s="7" t="n">
        <x:v>0</x:v>
      </x:c>
      <x:c r="P398" s="9" t="n">
        <x:v>2.04</x:v>
      </x:c>
      <x:c r="Q398" s="7" t="n">
        <x:f>'Guide'!$B$5-L398</x:f>
        <x:v>6</x:v>
      </x:c>
      <x:c r="R398" s="9" t="n">
        <x:f>K398-P398</x:f>
        <x:v>4.46</x:v>
      </x:c>
      <x:c r="S398" s="10" t="n">
        <x:f>IF(K398&gt;0,R398/K398,"")</x:f>
        <x:v>0.6861538461538461</x:v>
      </x:c>
    </x:row>
    <x:row r="399">
      <x:c r="A399" s="7" t="n">
        <x:v>395</x:v>
      </x:c>
      <x:c r="B399" s="7" t="str">
        <x:v>Tata</x:v>
      </x:c>
      <x:c r="C399" s="7" t="str">
        <x:v>Tiago</x:v>
      </x:c>
      <x:c r="D399" s="7" t="str">
        <x:v>XT</x:v>
      </x:c>
      <x:c r="E399" s="7" t="str">
        <x:v>Petrol</x:v>
      </x:c>
      <x:c r="F399" s="7" t="str">
        <x:v>Manual</x:v>
      </x:c>
      <x:c r="G399" s="7" t="str">
        <x:v>Hatchback</x:v>
      </x:c>
      <x:c r="H399" s="7" t="n">
        <x:v>1199</x:v>
      </x:c>
      <x:c r="I399" s="7" t="n">
        <x:v>85</x:v>
      </x:c>
      <x:c r="J399" s="9" t="n">
        <x:v>20.1</x:v>
      </x:c>
      <x:c r="K399" s="9" t="n">
        <x:v>6.5</x:v>
      </x:c>
      <x:c r="L399" s="7" t="n">
        <x:v>2022</x:v>
      </x:c>
      <x:c r="M399" s="11" t="n">
        <x:v>41297</x:v>
      </x:c>
      <x:c r="N399" s="7" t="n">
        <x:v>2</x:v>
      </x:c>
      <x:c r="O399" s="7" t="n">
        <x:v>0</x:v>
      </x:c>
      <x:c r="P399" s="9" t="n">
        <x:v>3.92</x:v>
      </x:c>
      <x:c r="Q399" s="7" t="n">
        <x:f>'Guide'!$B$5-L399</x:f>
        <x:v>4</x:v>
      </x:c>
      <x:c r="R399" s="9" t="n">
        <x:f>K399-P399</x:f>
        <x:v>2.58</x:v>
      </x:c>
      <x:c r="S399" s="10" t="n">
        <x:f>IF(K399&gt;0,R399/K399,"")</x:f>
        <x:v>0.39692307692307693</x:v>
      </x:c>
    </x:row>
    <x:row r="400">
      <x:c r="A400" s="7" t="n">
        <x:v>396</x:v>
      </x:c>
      <x:c r="B400" s="7" t="str">
        <x:v>Tata</x:v>
      </x:c>
      <x:c r="C400" s="7" t="str">
        <x:v>Tiago</x:v>
      </x:c>
      <x:c r="D400" s="7" t="str">
        <x:v>XT</x:v>
      </x:c>
      <x:c r="E400" s="7" t="str">
        <x:v>Petrol</x:v>
      </x:c>
      <x:c r="F400" s="7" t="str">
        <x:v>Manual</x:v>
      </x:c>
      <x:c r="G400" s="7" t="str">
        <x:v>Hatchback</x:v>
      </x:c>
      <x:c r="H400" s="7" t="n">
        <x:v>1199</x:v>
      </x:c>
      <x:c r="I400" s="7" t="n">
        <x:v>85</x:v>
      </x:c>
      <x:c r="J400" s="9" t="n">
        <x:v>20.1</x:v>
      </x:c>
      <x:c r="K400" s="9" t="n">
        <x:v>6.5</x:v>
      </x:c>
      <x:c r="L400" s="7" t="n">
        <x:v>2020</x:v>
      </x:c>
      <x:c r="M400" s="11" t="n">
        <x:v>126746</x:v>
      </x:c>
      <x:c r="N400" s="7" t="n">
        <x:v>1</x:v>
      </x:c>
      <x:c r="O400" s="7" t="n">
        <x:v>0</x:v>
      </x:c>
      <x:c r="P400" s="9" t="n">
        <x:v>2.67</x:v>
      </x:c>
      <x:c r="Q400" s="7" t="n">
        <x:f>'Guide'!$B$5-L400</x:f>
        <x:v>6</x:v>
      </x:c>
      <x:c r="R400" s="9" t="n">
        <x:f>K400-P400</x:f>
        <x:v>3.83</x:v>
      </x:c>
      <x:c r="S400" s="10" t="n">
        <x:f>IF(K400&gt;0,R400/K400,"")</x:f>
        <x:v>0.5892307692307692</x:v>
      </x:c>
    </x:row>
    <x:row r="401">
      <x:c r="A401" s="7" t="n">
        <x:v>397</x:v>
      </x:c>
      <x:c r="B401" s="7" t="str">
        <x:v>Tata</x:v>
      </x:c>
      <x:c r="C401" s="7" t="str">
        <x:v>Tiago</x:v>
      </x:c>
      <x:c r="D401" s="7" t="str">
        <x:v>XT</x:v>
      </x:c>
      <x:c r="E401" s="7" t="str">
        <x:v>Petrol</x:v>
      </x:c>
      <x:c r="F401" s="7" t="str">
        <x:v>Manual</x:v>
      </x:c>
      <x:c r="G401" s="7" t="str">
        <x:v>Hatchback</x:v>
      </x:c>
      <x:c r="H401" s="7" t="n">
        <x:v>1199</x:v>
      </x:c>
      <x:c r="I401" s="7" t="n">
        <x:v>85</x:v>
      </x:c>
      <x:c r="J401" s="9" t="n">
        <x:v>20.1</x:v>
      </x:c>
      <x:c r="K401" s="9" t="n">
        <x:v>6.5</x:v>
      </x:c>
      <x:c r="L401" s="7" t="n">
        <x:v>2026</x:v>
      </x:c>
      <x:c r="M401" s="11" t="n">
        <x:v>8507</x:v>
      </x:c>
      <x:c r="N401" s="7" t="n">
        <x:v>2</x:v>
      </x:c>
      <x:c r="O401" s="7" t="n">
        <x:v>0</x:v>
      </x:c>
      <x:c r="P401" s="9" t="n">
        <x:v>6.31</x:v>
      </x:c>
      <x:c r="Q401" s="7" t="n">
        <x:f>'Guide'!$B$5-L401</x:f>
        <x:v>0</x:v>
      </x:c>
      <x:c r="R401" s="9" t="n">
        <x:f>K401-P401</x:f>
        <x:v>0.1900000000000004</x:v>
      </x:c>
      <x:c r="S401" s="10" t="n">
        <x:f>IF(K401&gt;0,R401/K401,"")</x:f>
        <x:v>0.02923076923076929</x:v>
      </x:c>
    </x:row>
    <x:row r="402">
      <x:c r="A402" s="7" t="n">
        <x:v>398</x:v>
      </x:c>
      <x:c r="B402" s="7" t="str">
        <x:v>Tata</x:v>
      </x:c>
      <x:c r="C402" s="7" t="str">
        <x:v>Tiago</x:v>
      </x:c>
      <x:c r="D402" s="7" t="str">
        <x:v>XT</x:v>
      </x:c>
      <x:c r="E402" s="7" t="str">
        <x:v>Petrol</x:v>
      </x:c>
      <x:c r="F402" s="7" t="str">
        <x:v>Manual</x:v>
      </x:c>
      <x:c r="G402" s="7" t="str">
        <x:v>Hatchback</x:v>
      </x:c>
      <x:c r="H402" s="7" t="n">
        <x:v>1199</x:v>
      </x:c>
      <x:c r="I402" s="7" t="n">
        <x:v>85</x:v>
      </x:c>
      <x:c r="J402" s="9" t="n">
        <x:v>20.1</x:v>
      </x:c>
      <x:c r="K402" s="9" t="n">
        <x:v>6.5</x:v>
      </x:c>
      <x:c r="L402" s="7" t="n">
        <x:v>2020</x:v>
      </x:c>
      <x:c r="M402" s="11" t="n">
        <x:v>123358</x:v>
      </x:c>
      <x:c r="N402" s="7" t="n">
        <x:v>1</x:v>
      </x:c>
      <x:c r="O402" s="7" t="n">
        <x:v>0</x:v>
      </x:c>
      <x:c r="P402" s="9" t="n">
        <x:v>2.5</x:v>
      </x:c>
      <x:c r="Q402" s="7" t="n">
        <x:f>'Guide'!$B$5-L402</x:f>
        <x:v>6</x:v>
      </x:c>
      <x:c r="R402" s="9" t="n">
        <x:f>K402-P402</x:f>
        <x:v>4</x:v>
      </x:c>
      <x:c r="S402" s="10" t="n">
        <x:f>IF(K402&gt;0,R402/K402,"")</x:f>
        <x:v>0.6153846153846154</x:v>
      </x:c>
    </x:row>
    <x:row r="403">
      <x:c r="A403" s="7" t="n">
        <x:v>399</x:v>
      </x:c>
      <x:c r="B403" s="7" t="str">
        <x:v>Tata</x:v>
      </x:c>
      <x:c r="C403" s="7" t="str">
        <x:v>Tiago</x:v>
      </x:c>
      <x:c r="D403" s="7" t="str">
        <x:v>XT</x:v>
      </x:c>
      <x:c r="E403" s="7" t="str">
        <x:v>Petrol</x:v>
      </x:c>
      <x:c r="F403" s="7" t="str">
        <x:v>Manual</x:v>
      </x:c>
      <x:c r="G403" s="7" t="str">
        <x:v>Hatchback</x:v>
      </x:c>
      <x:c r="H403" s="7" t="n">
        <x:v>1199</x:v>
      </x:c>
      <x:c r="I403" s="7" t="n">
        <x:v>85</x:v>
      </x:c>
      <x:c r="J403" s="9" t="n">
        <x:v>20.1</x:v>
      </x:c>
      <x:c r="K403" s="9" t="n">
        <x:v>6.5</x:v>
      </x:c>
      <x:c r="L403" s="7" t="n">
        <x:v>2020</x:v>
      </x:c>
      <x:c r="M403" s="11" t="n">
        <x:v>54080</x:v>
      </x:c>
      <x:c r="N403" s="7" t="n">
        <x:v>1</x:v>
      </x:c>
      <x:c r="O403" s="7" t="n">
        <x:v>0</x:v>
      </x:c>
      <x:c r="P403" s="9" t="n">
        <x:v>2.93</x:v>
      </x:c>
      <x:c r="Q403" s="7" t="n">
        <x:f>'Guide'!$B$5-L403</x:f>
        <x:v>6</x:v>
      </x:c>
      <x:c r="R403" s="9" t="n">
        <x:f>K403-P403</x:f>
        <x:v>3.57</x:v>
      </x:c>
      <x:c r="S403" s="10" t="n">
        <x:f>IF(K403&gt;0,R403/K403,"")</x:f>
        <x:v>0.5492307692307692</x:v>
      </x:c>
    </x:row>
    <x:row r="404">
      <x:c r="A404" s="7" t="n">
        <x:v>400</x:v>
      </x:c>
      <x:c r="B404" s="7" t="str">
        <x:v>Tata</x:v>
      </x:c>
      <x:c r="C404" s="7" t="str">
        <x:v>Tiago</x:v>
      </x:c>
      <x:c r="D404" s="7" t="str">
        <x:v>XT</x:v>
      </x:c>
      <x:c r="E404" s="7" t="str">
        <x:v>Petrol</x:v>
      </x:c>
      <x:c r="F404" s="7" t="str">
        <x:v>Manual</x:v>
      </x:c>
      <x:c r="G404" s="7" t="str">
        <x:v>Hatchback</x:v>
      </x:c>
      <x:c r="H404" s="7" t="n">
        <x:v>1199</x:v>
      </x:c>
      <x:c r="I404" s="7" t="n">
        <x:v>85</x:v>
      </x:c>
      <x:c r="J404" s="9" t="n">
        <x:v>20.1</x:v>
      </x:c>
      <x:c r="K404" s="9" t="n">
        <x:v>6.5</x:v>
      </x:c>
      <x:c r="L404" s="7" t="n">
        <x:v>2023</x:v>
      </x:c>
      <x:c r="M404" s="11" t="n">
        <x:v>47633</x:v>
      </x:c>
      <x:c r="N404" s="7" t="n">
        <x:v>1</x:v>
      </x:c>
      <x:c r="O404" s="7" t="n">
        <x:v>0</x:v>
      </x:c>
      <x:c r="P404" s="9" t="n">
        <x:v>4.87</x:v>
      </x:c>
      <x:c r="Q404" s="7" t="n">
        <x:f>'Guide'!$B$5-L404</x:f>
        <x:v>3</x:v>
      </x:c>
      <x:c r="R404" s="9" t="n">
        <x:f>K404-P404</x:f>
        <x:v>1.63</x:v>
      </x:c>
      <x:c r="S404" s="10" t="n">
        <x:f>IF(K404&gt;0,R404/K404,"")</x:f>
        <x:v>0.25076923076923074</x:v>
      </x:c>
    </x:row>
    <x:row r="405">
      <x:c r="A405" s="7" t="n">
        <x:v>401</x:v>
      </x:c>
      <x:c r="B405" s="7" t="str">
        <x:v>Tata</x:v>
      </x:c>
      <x:c r="C405" s="7" t="str">
        <x:v>Tiago</x:v>
      </x:c>
      <x:c r="D405" s="7" t="str">
        <x:v>XTA</x:v>
      </x:c>
      <x:c r="E405" s="7" t="str">
        <x:v>Petrol</x:v>
      </x:c>
      <x:c r="F405" s="7" t="str">
        <x:v>Automatic</x:v>
      </x:c>
      <x:c r="G405" s="7" t="str">
        <x:v>Hatchback</x:v>
      </x:c>
      <x:c r="H405" s="7" t="n">
        <x:v>1199</x:v>
      </x:c>
      <x:c r="I405" s="7" t="n">
        <x:v>85</x:v>
      </x:c>
      <x:c r="J405" s="9" t="n">
        <x:v>19</x:v>
      </x:c>
      <x:c r="K405" s="9" t="n">
        <x:v>7.2</x:v>
      </x:c>
      <x:c r="L405" s="7" t="n">
        <x:v>2026</x:v>
      </x:c>
      <x:c r="M405" s="11" t="n">
        <x:v>7705</x:v>
      </x:c>
      <x:c r="N405" s="7" t="n">
        <x:v>1</x:v>
      </x:c>
      <x:c r="O405" s="7" t="n">
        <x:v>1</x:v>
      </x:c>
      <x:c r="P405" s="9" t="n">
        <x:v>6.46</x:v>
      </x:c>
      <x:c r="Q405" s="7" t="n">
        <x:f>'Guide'!$B$5-L405</x:f>
        <x:v>0</x:v>
      </x:c>
      <x:c r="R405" s="9" t="n">
        <x:f>K405-P405</x:f>
        <x:v>0.7400000000000002</x:v>
      </x:c>
      <x:c r="S405" s="10" t="n">
        <x:f>IF(K405&gt;0,R405/K405,"")</x:f>
        <x:v>0.1027777777777778</x:v>
      </x:c>
    </x:row>
    <x:row r="406">
      <x:c r="A406" s="7" t="n">
        <x:v>402</x:v>
      </x:c>
      <x:c r="B406" s="7" t="str">
        <x:v>Tata</x:v>
      </x:c>
      <x:c r="C406" s="7" t="str">
        <x:v>Tiago</x:v>
      </x:c>
      <x:c r="D406" s="7" t="str">
        <x:v>XTA</x:v>
      </x:c>
      <x:c r="E406" s="7" t="str">
        <x:v>Petrol</x:v>
      </x:c>
      <x:c r="F406" s="7" t="str">
        <x:v>Automatic</x:v>
      </x:c>
      <x:c r="G406" s="7" t="str">
        <x:v>Hatchback</x:v>
      </x:c>
      <x:c r="H406" s="7" t="n">
        <x:v>1199</x:v>
      </x:c>
      <x:c r="I406" s="7" t="n">
        <x:v>85</x:v>
      </x:c>
      <x:c r="J406" s="9" t="n">
        <x:v>19</x:v>
      </x:c>
      <x:c r="K406" s="9" t="n">
        <x:v>7.2</x:v>
      </x:c>
      <x:c r="L406" s="7" t="n">
        <x:v>2026</x:v>
      </x:c>
      <x:c r="M406" s="11" t="n">
        <x:v>9880</x:v>
      </x:c>
      <x:c r="N406" s="7" t="n">
        <x:v>1</x:v>
      </x:c>
      <x:c r="O406" s="7" t="n">
        <x:v>0</x:v>
      </x:c>
      <x:c r="P406" s="9" t="n">
        <x:v>7.05</x:v>
      </x:c>
      <x:c r="Q406" s="7" t="n">
        <x:f>'Guide'!$B$5-L406</x:f>
        <x:v>0</x:v>
      </x:c>
      <x:c r="R406" s="9" t="n">
        <x:f>K406-P406</x:f>
        <x:v>0.15000000000000036</x:v>
      </x:c>
      <x:c r="S406" s="10" t="n">
        <x:f>IF(K406&gt;0,R406/K406,"")</x:f>
        <x:v>0.02083333333333338</x:v>
      </x:c>
    </x:row>
    <x:row r="407">
      <x:c r="A407" s="7" t="n">
        <x:v>403</x:v>
      </x:c>
      <x:c r="B407" s="7" t="str">
        <x:v>Tata</x:v>
      </x:c>
      <x:c r="C407" s="7" t="str">
        <x:v>Tiago</x:v>
      </x:c>
      <x:c r="D407" s="7" t="str">
        <x:v>XTA</x:v>
      </x:c>
      <x:c r="E407" s="7" t="str">
        <x:v>Petrol</x:v>
      </x:c>
      <x:c r="F407" s="7" t="str">
        <x:v>Automatic</x:v>
      </x:c>
      <x:c r="G407" s="7" t="str">
        <x:v>Hatchback</x:v>
      </x:c>
      <x:c r="H407" s="7" t="n">
        <x:v>1199</x:v>
      </x:c>
      <x:c r="I407" s="7" t="n">
        <x:v>85</x:v>
      </x:c>
      <x:c r="J407" s="9" t="n">
        <x:v>19</x:v>
      </x:c>
      <x:c r="K407" s="9" t="n">
        <x:v>7.2</x:v>
      </x:c>
      <x:c r="L407" s="7" t="n">
        <x:v>2023</x:v>
      </x:c>
      <x:c r="M407" s="11" t="n">
        <x:v>32267</x:v>
      </x:c>
      <x:c r="N407" s="7" t="n">
        <x:v>1</x:v>
      </x:c>
      <x:c r="O407" s="7" t="n">
        <x:v>0</x:v>
      </x:c>
      <x:c r="P407" s="9" t="n">
        <x:v>4.9</x:v>
      </x:c>
      <x:c r="Q407" s="7" t="n">
        <x:f>'Guide'!$B$5-L407</x:f>
        <x:v>3</x:v>
      </x:c>
      <x:c r="R407" s="9" t="n">
        <x:f>K407-P407</x:f>
        <x:v>2.3</x:v>
      </x:c>
      <x:c r="S407" s="10" t="n">
        <x:f>IF(K407&gt;0,R407/K407,"")</x:f>
        <x:v>0.3194444444444444</x:v>
      </x:c>
    </x:row>
    <x:row r="408">
      <x:c r="A408" s="7" t="n">
        <x:v>404</x:v>
      </x:c>
      <x:c r="B408" s="7" t="str">
        <x:v>Tata</x:v>
      </x:c>
      <x:c r="C408" s="7" t="str">
        <x:v>Tiago</x:v>
      </x:c>
      <x:c r="D408" s="7" t="str">
        <x:v>XTA</x:v>
      </x:c>
      <x:c r="E408" s="7" t="str">
        <x:v>Petrol</x:v>
      </x:c>
      <x:c r="F408" s="7" t="str">
        <x:v>Automatic</x:v>
      </x:c>
      <x:c r="G408" s="7" t="str">
        <x:v>Hatchback</x:v>
      </x:c>
      <x:c r="H408" s="7" t="n">
        <x:v>1199</x:v>
      </x:c>
      <x:c r="I408" s="7" t="n">
        <x:v>85</x:v>
      </x:c>
      <x:c r="J408" s="9" t="n">
        <x:v>19</x:v>
      </x:c>
      <x:c r="K408" s="9" t="n">
        <x:v>7.2</x:v>
      </x:c>
      <x:c r="L408" s="7" t="n">
        <x:v>2022</x:v>
      </x:c>
      <x:c r="M408" s="11" t="n">
        <x:v>78456</x:v>
      </x:c>
      <x:c r="N408" s="7" t="n">
        <x:v>2</x:v>
      </x:c>
      <x:c r="O408" s="7" t="n">
        <x:v>0</x:v>
      </x:c>
      <x:c r="P408" s="9" t="n">
        <x:v>4.05</x:v>
      </x:c>
      <x:c r="Q408" s="7" t="n">
        <x:f>'Guide'!$B$5-L408</x:f>
        <x:v>4</x:v>
      </x:c>
      <x:c r="R408" s="9" t="n">
        <x:f>K408-P408</x:f>
        <x:v>3.1500000000000004</x:v>
      </x:c>
      <x:c r="S408" s="10" t="n">
        <x:f>IF(K408&gt;0,R408/K408,"")</x:f>
        <x:v>0.43750000000000006</x:v>
      </x:c>
    </x:row>
    <x:row r="409">
      <x:c r="A409" s="7" t="n">
        <x:v>405</x:v>
      </x:c>
      <x:c r="B409" s="7" t="str">
        <x:v>Tata</x:v>
      </x:c>
      <x:c r="C409" s="7" t="str">
        <x:v>Tiago</x:v>
      </x:c>
      <x:c r="D409" s="7" t="str">
        <x:v>XTA</x:v>
      </x:c>
      <x:c r="E409" s="7" t="str">
        <x:v>Petrol</x:v>
      </x:c>
      <x:c r="F409" s="7" t="str">
        <x:v>Automatic</x:v>
      </x:c>
      <x:c r="G409" s="7" t="str">
        <x:v>Hatchback</x:v>
      </x:c>
      <x:c r="H409" s="7" t="n">
        <x:v>1199</x:v>
      </x:c>
      <x:c r="I409" s="7" t="n">
        <x:v>85</x:v>
      </x:c>
      <x:c r="J409" s="9" t="n">
        <x:v>19</x:v>
      </x:c>
      <x:c r="K409" s="9" t="n">
        <x:v>7.2</x:v>
      </x:c>
      <x:c r="L409" s="7" t="n">
        <x:v>2020</x:v>
      </x:c>
      <x:c r="M409" s="11" t="n">
        <x:v>111986</x:v>
      </x:c>
      <x:c r="N409" s="7" t="n">
        <x:v>2</x:v>
      </x:c>
      <x:c r="O409" s="7" t="n">
        <x:v>1</x:v>
      </x:c>
      <x:c r="P409" s="9" t="n">
        <x:v>1.92</x:v>
      </x:c>
      <x:c r="Q409" s="7" t="n">
        <x:f>'Guide'!$B$5-L409</x:f>
        <x:v>6</x:v>
      </x:c>
      <x:c r="R409" s="9" t="n">
        <x:f>K409-P409</x:f>
        <x:v>5.28</x:v>
      </x:c>
      <x:c r="S409" s="10" t="n">
        <x:f>IF(K409&gt;0,R409/K409,"")</x:f>
        <x:v>0.7333333333333334</x:v>
      </x:c>
    </x:row>
    <x:row r="410">
      <x:c r="A410" s="7" t="n">
        <x:v>406</x:v>
      </x:c>
      <x:c r="B410" s="7" t="str">
        <x:v>Tata</x:v>
      </x:c>
      <x:c r="C410" s="7" t="str">
        <x:v>Tiago</x:v>
      </x:c>
      <x:c r="D410" s="7" t="str">
        <x:v>XTA</x:v>
      </x:c>
      <x:c r="E410" s="7" t="str">
        <x:v>Petrol</x:v>
      </x:c>
      <x:c r="F410" s="7" t="str">
        <x:v>Automatic</x:v>
      </x:c>
      <x:c r="G410" s="7" t="str">
        <x:v>Hatchback</x:v>
      </x:c>
      <x:c r="H410" s="7" t="n">
        <x:v>1199</x:v>
      </x:c>
      <x:c r="I410" s="7" t="n">
        <x:v>85</x:v>
      </x:c>
      <x:c r="J410" s="9" t="n">
        <x:v>19</x:v>
      </x:c>
      <x:c r="K410" s="9" t="n">
        <x:v>7.2</x:v>
      </x:c>
      <x:c r="L410" s="7" t="n">
        <x:v>2026</x:v>
      </x:c>
      <x:c r="M410" s="11" t="n">
        <x:v>4095</x:v>
      </x:c>
      <x:c r="N410" s="7" t="n">
        <x:v>2</x:v>
      </x:c>
      <x:c r="O410" s="7" t="n">
        <x:v>0</x:v>
      </x:c>
      <x:c r="P410" s="9" t="n">
        <x:v>6.53</x:v>
      </x:c>
      <x:c r="Q410" s="7" t="n">
        <x:f>'Guide'!$B$5-L410</x:f>
        <x:v>0</x:v>
      </x:c>
      <x:c r="R410" s="9" t="n">
        <x:f>K410-P410</x:f>
        <x:v>0.6699999999999999</x:v>
      </x:c>
      <x:c r="S410" s="10" t="n">
        <x:f>IF(K410&gt;0,R410/K410,"")</x:f>
        <x:v>0.09305555555555554</x:v>
      </x:c>
    </x:row>
    <x:row r="411">
      <x:c r="A411" s="7" t="n">
        <x:v>407</x:v>
      </x:c>
      <x:c r="B411" s="7" t="str">
        <x:v>Tata</x:v>
      </x:c>
      <x:c r="C411" s="7" t="str">
        <x:v>Tiago</x:v>
      </x:c>
      <x:c r="D411" s="7" t="str">
        <x:v>XTA</x:v>
      </x:c>
      <x:c r="E411" s="7" t="str">
        <x:v>Petrol</x:v>
      </x:c>
      <x:c r="F411" s="7" t="str">
        <x:v>Automatic</x:v>
      </x:c>
      <x:c r="G411" s="7" t="str">
        <x:v>Hatchback</x:v>
      </x:c>
      <x:c r="H411" s="7" t="n">
        <x:v>1199</x:v>
      </x:c>
      <x:c r="I411" s="7" t="n">
        <x:v>85</x:v>
      </x:c>
      <x:c r="J411" s="9" t="n">
        <x:v>19</x:v>
      </x:c>
      <x:c r="K411" s="9" t="n">
        <x:v>7.2</x:v>
      </x:c>
      <x:c r="L411" s="7" t="n">
        <x:v>2025</x:v>
      </x:c>
      <x:c r="M411" s="11" t="n">
        <x:v>24165</x:v>
      </x:c>
      <x:c r="N411" s="7" t="n">
        <x:v>1</x:v>
      </x:c>
      <x:c r="O411" s="7" t="n">
        <x:v>0</x:v>
      </x:c>
      <x:c r="P411" s="9" t="n">
        <x:v>6.43</x:v>
      </x:c>
      <x:c r="Q411" s="7" t="n">
        <x:f>'Guide'!$B$5-L411</x:f>
        <x:v>1</x:v>
      </x:c>
      <x:c r="R411" s="9" t="n">
        <x:f>K411-P411</x:f>
        <x:v>0.7700000000000005</x:v>
      </x:c>
      <x:c r="S411" s="10" t="n">
        <x:f>IF(K411&gt;0,R411/K411,"")</x:f>
        <x:v>0.10694444444444451</x:v>
      </x:c>
    </x:row>
    <x:row r="412">
      <x:c r="A412" s="7" t="n">
        <x:v>408</x:v>
      </x:c>
      <x:c r="B412" s="7" t="str">
        <x:v>Tata</x:v>
      </x:c>
      <x:c r="C412" s="7" t="str">
        <x:v>Tiago</x:v>
      </x:c>
      <x:c r="D412" s="7" t="str">
        <x:v>XTA</x:v>
      </x:c>
      <x:c r="E412" s="7" t="str">
        <x:v>Petrol</x:v>
      </x:c>
      <x:c r="F412" s="7" t="str">
        <x:v>Automatic</x:v>
      </x:c>
      <x:c r="G412" s="7" t="str">
        <x:v>Hatchback</x:v>
      </x:c>
      <x:c r="H412" s="7" t="n">
        <x:v>1199</x:v>
      </x:c>
      <x:c r="I412" s="7" t="n">
        <x:v>85</x:v>
      </x:c>
      <x:c r="J412" s="9" t="n">
        <x:v>19</x:v>
      </x:c>
      <x:c r="K412" s="9" t="n">
        <x:v>7.2</x:v>
      </x:c>
      <x:c r="L412" s="7" t="n">
        <x:v>2020</x:v>
      </x:c>
      <x:c r="M412" s="11" t="n">
        <x:v>126611</x:v>
      </x:c>
      <x:c r="N412" s="7" t="n">
        <x:v>2</x:v>
      </x:c>
      <x:c r="O412" s="7" t="n">
        <x:v>0</x:v>
      </x:c>
      <x:c r="P412" s="9" t="n">
        <x:v>1.92</x:v>
      </x:c>
      <x:c r="Q412" s="7" t="n">
        <x:f>'Guide'!$B$5-L412</x:f>
        <x:v>6</x:v>
      </x:c>
      <x:c r="R412" s="9" t="n">
        <x:f>K412-P412</x:f>
        <x:v>5.28</x:v>
      </x:c>
      <x:c r="S412" s="10" t="n">
        <x:f>IF(K412&gt;0,R412/K412,"")</x:f>
        <x:v>0.7333333333333334</x:v>
      </x:c>
    </x:row>
    <x:row r="413">
      <x:c r="A413" s="7" t="n">
        <x:v>409</x:v>
      </x:c>
      <x:c r="B413" s="7" t="str">
        <x:v>Tata</x:v>
      </x:c>
      <x:c r="C413" s="7" t="str">
        <x:v>Tiago</x:v>
      </x:c>
      <x:c r="D413" s="7" t="str">
        <x:v>XTA</x:v>
      </x:c>
      <x:c r="E413" s="7" t="str">
        <x:v>Petrol</x:v>
      </x:c>
      <x:c r="F413" s="7" t="str">
        <x:v>Automatic</x:v>
      </x:c>
      <x:c r="G413" s="7" t="str">
        <x:v>Hatchback</x:v>
      </x:c>
      <x:c r="H413" s="7" t="n">
        <x:v>1199</x:v>
      </x:c>
      <x:c r="I413" s="7" t="n">
        <x:v>85</x:v>
      </x:c>
      <x:c r="J413" s="9" t="n">
        <x:v>19</x:v>
      </x:c>
      <x:c r="K413" s="9" t="n">
        <x:v>7.2</x:v>
      </x:c>
      <x:c r="L413" s="7" t="n">
        <x:v>2024</x:v>
      </x:c>
      <x:c r="M413" s="11" t="n">
        <x:v>35069</x:v>
      </x:c>
      <x:c r="N413" s="7" t="n">
        <x:v>1</x:v>
      </x:c>
      <x:c r="O413" s="7" t="n">
        <x:v>0</x:v>
      </x:c>
      <x:c r="P413" s="9" t="n">
        <x:v>5.36</x:v>
      </x:c>
      <x:c r="Q413" s="7" t="n">
        <x:f>'Guide'!$B$5-L413</x:f>
        <x:v>2</x:v>
      </x:c>
      <x:c r="R413" s="9" t="n">
        <x:f>K413-P413</x:f>
        <x:v>1.8399999999999999</x:v>
      </x:c>
      <x:c r="S413" s="10" t="n">
        <x:f>IF(K413&gt;0,R413/K413,"")</x:f>
        <x:v>0.25555555555555554</x:v>
      </x:c>
    </x:row>
    <x:row r="414">
      <x:c r="A414" s="7" t="n">
        <x:v>410</x:v>
      </x:c>
      <x:c r="B414" s="7" t="str">
        <x:v>Tata</x:v>
      </x:c>
      <x:c r="C414" s="7" t="str">
        <x:v>Tiago</x:v>
      </x:c>
      <x:c r="D414" s="7" t="str">
        <x:v>XTA</x:v>
      </x:c>
      <x:c r="E414" s="7" t="str">
        <x:v>Petrol</x:v>
      </x:c>
      <x:c r="F414" s="7" t="str">
        <x:v>Automatic</x:v>
      </x:c>
      <x:c r="G414" s="7" t="str">
        <x:v>Hatchback</x:v>
      </x:c>
      <x:c r="H414" s="7" t="n">
        <x:v>1199</x:v>
      </x:c>
      <x:c r="I414" s="7" t="n">
        <x:v>85</x:v>
      </x:c>
      <x:c r="J414" s="9" t="n">
        <x:v>19</x:v>
      </x:c>
      <x:c r="K414" s="9" t="n">
        <x:v>7.2</x:v>
      </x:c>
      <x:c r="L414" s="7" t="n">
        <x:v>2026</x:v>
      </x:c>
      <x:c r="M414" s="11" t="n">
        <x:v>5398</x:v>
      </x:c>
      <x:c r="N414" s="7" t="n">
        <x:v>3</x:v>
      </x:c>
      <x:c r="O414" s="7" t="n">
        <x:v>0</x:v>
      </x:c>
      <x:c r="P414" s="9" t="n">
        <x:v>6.53</x:v>
      </x:c>
      <x:c r="Q414" s="7" t="n">
        <x:f>'Guide'!$B$5-L414</x:f>
        <x:v>0</x:v>
      </x:c>
      <x:c r="R414" s="9" t="n">
        <x:f>K414-P414</x:f>
        <x:v>0.6699999999999999</x:v>
      </x:c>
      <x:c r="S414" s="10" t="n">
        <x:f>IF(K414&gt;0,R414/K414,"")</x:f>
        <x:v>0.09305555555555554</x:v>
      </x:c>
    </x:row>
    <x:row r="415">
      <x:c r="A415" s="7" t="n">
        <x:v>411</x:v>
      </x:c>
      <x:c r="B415" s="7" t="str">
        <x:v>Tata</x:v>
      </x:c>
      <x:c r="C415" s="7" t="str">
        <x:v>Tiago</x:v>
      </x:c>
      <x:c r="D415" s="7" t="str">
        <x:v>XTA</x:v>
      </x:c>
      <x:c r="E415" s="7" t="str">
        <x:v>Petrol</x:v>
      </x:c>
      <x:c r="F415" s="7" t="str">
        <x:v>Automatic</x:v>
      </x:c>
      <x:c r="G415" s="7" t="str">
        <x:v>Hatchback</x:v>
      </x:c>
      <x:c r="H415" s="7" t="n">
        <x:v>1199</x:v>
      </x:c>
      <x:c r="I415" s="7" t="n">
        <x:v>85</x:v>
      </x:c>
      <x:c r="J415" s="9" t="n">
        <x:v>19</x:v>
      </x:c>
      <x:c r="K415" s="9" t="n">
        <x:v>7.2</x:v>
      </x:c>
      <x:c r="L415" s="7" t="n">
        <x:v>2023</x:v>
      </x:c>
      <x:c r="M415" s="11" t="n">
        <x:v>68047</x:v>
      </x:c>
      <x:c r="N415" s="7" t="n">
        <x:v>1</x:v>
      </x:c>
      <x:c r="O415" s="7" t="n">
        <x:v>0</x:v>
      </x:c>
      <x:c r="P415" s="9" t="n">
        <x:v>4.7</x:v>
      </x:c>
      <x:c r="Q415" s="7" t="n">
        <x:f>'Guide'!$B$5-L415</x:f>
        <x:v>3</x:v>
      </x:c>
      <x:c r="R415" s="9" t="n">
        <x:f>K415-P415</x:f>
        <x:v>2.5</x:v>
      </x:c>
      <x:c r="S415" s="10" t="n">
        <x:f>IF(K415&gt;0,R415/K415,"")</x:f>
        <x:v>0.3472222222222222</x:v>
      </x:c>
    </x:row>
    <x:row r="416">
      <x:c r="A416" s="7" t="n">
        <x:v>412</x:v>
      </x:c>
      <x:c r="B416" s="7" t="str">
        <x:v>Tata</x:v>
      </x:c>
      <x:c r="C416" s="7" t="str">
        <x:v>Tiago</x:v>
      </x:c>
      <x:c r="D416" s="7" t="str">
        <x:v>XTA</x:v>
      </x:c>
      <x:c r="E416" s="7" t="str">
        <x:v>Petrol</x:v>
      </x:c>
      <x:c r="F416" s="7" t="str">
        <x:v>Automatic</x:v>
      </x:c>
      <x:c r="G416" s="7" t="str">
        <x:v>Hatchback</x:v>
      </x:c>
      <x:c r="H416" s="7" t="n">
        <x:v>1199</x:v>
      </x:c>
      <x:c r="I416" s="7" t="n">
        <x:v>85</x:v>
      </x:c>
      <x:c r="J416" s="9" t="n">
        <x:v>19</x:v>
      </x:c>
      <x:c r="K416" s="9" t="n">
        <x:v>7.2</x:v>
      </x:c>
      <x:c r="L416" s="7" t="n">
        <x:v>2020</x:v>
      </x:c>
      <x:c r="M416" s="11" t="n">
        <x:v>52683</x:v>
      </x:c>
      <x:c r="N416" s="7" t="n">
        <x:v>1</x:v>
      </x:c>
      <x:c r="O416" s="7" t="n">
        <x:v>1</x:v>
      </x:c>
      <x:c r="P416" s="9" t="n">
        <x:v>2.27</x:v>
      </x:c>
      <x:c r="Q416" s="7" t="n">
        <x:f>'Guide'!$B$5-L416</x:f>
        <x:v>6</x:v>
      </x:c>
      <x:c r="R416" s="9" t="n">
        <x:f>K416-P416</x:f>
        <x:v>4.93</x:v>
      </x:c>
      <x:c r="S416" s="10" t="n">
        <x:f>IF(K416&gt;0,R416/K416,"")</x:f>
        <x:v>0.6847222222222221</x:v>
      </x:c>
    </x:row>
    <x:row r="417">
      <x:c r="A417" s="7" t="n">
        <x:v>413</x:v>
      </x:c>
      <x:c r="B417" s="7" t="str">
        <x:v>Tata</x:v>
      </x:c>
      <x:c r="C417" s="7" t="str">
        <x:v>Tiago</x:v>
      </x:c>
      <x:c r="D417" s="7" t="str">
        <x:v>XTA</x:v>
      </x:c>
      <x:c r="E417" s="7" t="str">
        <x:v>Petrol</x:v>
      </x:c>
      <x:c r="F417" s="7" t="str">
        <x:v>Automatic</x:v>
      </x:c>
      <x:c r="G417" s="7" t="str">
        <x:v>Hatchback</x:v>
      </x:c>
      <x:c r="H417" s="7" t="n">
        <x:v>1199</x:v>
      </x:c>
      <x:c r="I417" s="7" t="n">
        <x:v>85</x:v>
      </x:c>
      <x:c r="J417" s="9" t="n">
        <x:v>19</x:v>
      </x:c>
      <x:c r="K417" s="9" t="n">
        <x:v>7.2</x:v>
      </x:c>
      <x:c r="L417" s="7" t="n">
        <x:v>2023</x:v>
      </x:c>
      <x:c r="M417" s="11" t="n">
        <x:v>54782</x:v>
      </x:c>
      <x:c r="N417" s="7" t="n">
        <x:v>1</x:v>
      </x:c>
      <x:c r="O417" s="7" t="n">
        <x:v>1</x:v>
      </x:c>
      <x:c r="P417" s="9" t="n">
        <x:v>4.43</x:v>
      </x:c>
      <x:c r="Q417" s="7" t="n">
        <x:f>'Guide'!$B$5-L417</x:f>
        <x:v>3</x:v>
      </x:c>
      <x:c r="R417" s="9" t="n">
        <x:f>K417-P417</x:f>
        <x:v>2.7700000000000005</x:v>
      </x:c>
      <x:c r="S417" s="10" t="n">
        <x:f>IF(K417&gt;0,R417/K417,"")</x:f>
        <x:v>0.3847222222222223</x:v>
      </x:c>
    </x:row>
    <x:row r="418">
      <x:c r="A418" s="7" t="n">
        <x:v>414</x:v>
      </x:c>
      <x:c r="B418" s="7" t="str">
        <x:v>Tata</x:v>
      </x:c>
      <x:c r="C418" s="7" t="str">
        <x:v>Tiago</x:v>
      </x:c>
      <x:c r="D418" s="7" t="str">
        <x:v>XTA</x:v>
      </x:c>
      <x:c r="E418" s="7" t="str">
        <x:v>Petrol</x:v>
      </x:c>
      <x:c r="F418" s="7" t="str">
        <x:v>Automatic</x:v>
      </x:c>
      <x:c r="G418" s="7" t="str">
        <x:v>Hatchback</x:v>
      </x:c>
      <x:c r="H418" s="7" t="n">
        <x:v>1199</x:v>
      </x:c>
      <x:c r="I418" s="7" t="n">
        <x:v>85</x:v>
      </x:c>
      <x:c r="J418" s="9" t="n">
        <x:v>19</x:v>
      </x:c>
      <x:c r="K418" s="9" t="n">
        <x:v>7.2</x:v>
      </x:c>
      <x:c r="L418" s="7" t="n">
        <x:v>2025</x:v>
      </x:c>
      <x:c r="M418" s="11" t="n">
        <x:v>16880</x:v>
      </x:c>
      <x:c r="N418" s="7" t="n">
        <x:v>1</x:v>
      </x:c>
      <x:c r="O418" s="7" t="n">
        <x:v>0</x:v>
      </x:c>
      <x:c r="P418" s="9" t="n">
        <x:v>6.71</x:v>
      </x:c>
      <x:c r="Q418" s="7" t="n">
        <x:f>'Guide'!$B$5-L418</x:f>
        <x:v>1</x:v>
      </x:c>
      <x:c r="R418" s="9" t="n">
        <x:f>K418-P418</x:f>
        <x:v>0.4900000000000002</x:v>
      </x:c>
      <x:c r="S418" s="10" t="n">
        <x:f>IF(K418&gt;0,R418/K418,"")</x:f>
        <x:v>0.06805555555555558</x:v>
      </x:c>
    </x:row>
    <x:row r="419">
      <x:c r="A419" s="7" t="n">
        <x:v>415</x:v>
      </x:c>
      <x:c r="B419" s="7" t="str">
        <x:v>Tata</x:v>
      </x:c>
      <x:c r="C419" s="7" t="str">
        <x:v>Tiago</x:v>
      </x:c>
      <x:c r="D419" s="7" t="str">
        <x:v>XTA</x:v>
      </x:c>
      <x:c r="E419" s="7" t="str">
        <x:v>Petrol</x:v>
      </x:c>
      <x:c r="F419" s="7" t="str">
        <x:v>Automatic</x:v>
      </x:c>
      <x:c r="G419" s="7" t="str">
        <x:v>Hatchback</x:v>
      </x:c>
      <x:c r="H419" s="7" t="n">
        <x:v>1199</x:v>
      </x:c>
      <x:c r="I419" s="7" t="n">
        <x:v>85</x:v>
      </x:c>
      <x:c r="J419" s="9" t="n">
        <x:v>19</x:v>
      </x:c>
      <x:c r="K419" s="9" t="n">
        <x:v>7.2</x:v>
      </x:c>
      <x:c r="L419" s="7" t="n">
        <x:v>2021</x:v>
      </x:c>
      <x:c r="M419" s="11" t="n">
        <x:v>80093</x:v>
      </x:c>
      <x:c r="N419" s="7" t="n">
        <x:v>1</x:v>
      </x:c>
      <x:c r="O419" s="7" t="n">
        <x:v>0</x:v>
      </x:c>
      <x:c r="P419" s="9" t="n">
        <x:v>3.46</x:v>
      </x:c>
      <x:c r="Q419" s="7" t="n">
        <x:f>'Guide'!$B$5-L419</x:f>
        <x:v>5</x:v>
      </x:c>
      <x:c r="R419" s="9" t="n">
        <x:f>K419-P419</x:f>
        <x:v>3.74</x:v>
      </x:c>
      <x:c r="S419" s="10" t="n">
        <x:f>IF(K419&gt;0,R419/K419,"")</x:f>
        <x:v>0.5194444444444445</x:v>
      </x:c>
    </x:row>
    <x:row r="420">
      <x:c r="A420" s="7" t="n">
        <x:v>416</x:v>
      </x:c>
      <x:c r="B420" s="7" t="str">
        <x:v>Tata</x:v>
      </x:c>
      <x:c r="C420" s="7" t="str">
        <x:v>Tiago</x:v>
      </x:c>
      <x:c r="D420" s="7" t="str">
        <x:v>XTA</x:v>
      </x:c>
      <x:c r="E420" s="7" t="str">
        <x:v>Petrol</x:v>
      </x:c>
      <x:c r="F420" s="7" t="str">
        <x:v>Automatic</x:v>
      </x:c>
      <x:c r="G420" s="7" t="str">
        <x:v>Hatchback</x:v>
      </x:c>
      <x:c r="H420" s="7" t="n">
        <x:v>1199</x:v>
      </x:c>
      <x:c r="I420" s="7" t="n">
        <x:v>85</x:v>
      </x:c>
      <x:c r="J420" s="9" t="n">
        <x:v>19</x:v>
      </x:c>
      <x:c r="K420" s="9" t="n">
        <x:v>7.2</x:v>
      </x:c>
      <x:c r="L420" s="7" t="n">
        <x:v>2025</x:v>
      </x:c>
      <x:c r="M420" s="11" t="n">
        <x:v>20551</x:v>
      </x:c>
      <x:c r="N420" s="7" t="n">
        <x:v>2</x:v>
      </x:c>
      <x:c r="O420" s="7" t="n">
        <x:v>0</x:v>
      </x:c>
      <x:c r="P420" s="9" t="n">
        <x:v>5.98</x:v>
      </x:c>
      <x:c r="Q420" s="7" t="n">
        <x:f>'Guide'!$B$5-L420</x:f>
        <x:v>1</x:v>
      </x:c>
      <x:c r="R420" s="9" t="n">
        <x:f>K420-P420</x:f>
        <x:v>1.2199999999999998</x:v>
      </x:c>
      <x:c r="S420" s="10" t="n">
        <x:f>IF(K420&gt;0,R420/K420,"")</x:f>
        <x:v>0.1694444444444444</x:v>
      </x:c>
    </x:row>
    <x:row r="421">
      <x:c r="A421" s="7" t="n">
        <x:v>417</x:v>
      </x:c>
      <x:c r="B421" s="7" t="str">
        <x:v>Tata</x:v>
      </x:c>
      <x:c r="C421" s="7" t="str">
        <x:v>Tiago</x:v>
      </x:c>
      <x:c r="D421" s="7" t="str">
        <x:v>XTA</x:v>
      </x:c>
      <x:c r="E421" s="7" t="str">
        <x:v>Petrol</x:v>
      </x:c>
      <x:c r="F421" s="7" t="str">
        <x:v>Automatic</x:v>
      </x:c>
      <x:c r="G421" s="7" t="str">
        <x:v>Hatchback</x:v>
      </x:c>
      <x:c r="H421" s="7" t="n">
        <x:v>1199</x:v>
      </x:c>
      <x:c r="I421" s="7" t="n">
        <x:v>85</x:v>
      </x:c>
      <x:c r="J421" s="9" t="n">
        <x:v>19</x:v>
      </x:c>
      <x:c r="K421" s="9" t="n">
        <x:v>7.2</x:v>
      </x:c>
      <x:c r="L421" s="7" t="n">
        <x:v>2021</x:v>
      </x:c>
      <x:c r="M421" s="11" t="n">
        <x:v>62134</x:v>
      </x:c>
      <x:c r="N421" s="7" t="n">
        <x:v>1</x:v>
      </x:c>
      <x:c r="O421" s="7" t="n">
        <x:v>0</x:v>
      </x:c>
      <x:c r="P421" s="9" t="n">
        <x:v>4.07</x:v>
      </x:c>
      <x:c r="Q421" s="7" t="n">
        <x:f>'Guide'!$B$5-L421</x:f>
        <x:v>5</x:v>
      </x:c>
      <x:c r="R421" s="9" t="n">
        <x:f>K421-P421</x:f>
        <x:v>3.13</x:v>
      </x:c>
      <x:c r="S421" s="10" t="n">
        <x:f>IF(K421&gt;0,R421/K421,"")</x:f>
        <x:v>0.4347222222222222</x:v>
      </x:c>
    </x:row>
    <x:row r="422">
      <x:c r="A422" s="7" t="n">
        <x:v>418</x:v>
      </x:c>
      <x:c r="B422" s="7" t="str">
        <x:v>Tata</x:v>
      </x:c>
      <x:c r="C422" s="7" t="str">
        <x:v>Tiago</x:v>
      </x:c>
      <x:c r="D422" s="7" t="str">
        <x:v>XTA</x:v>
      </x:c>
      <x:c r="E422" s="7" t="str">
        <x:v>Petrol</x:v>
      </x:c>
      <x:c r="F422" s="7" t="str">
        <x:v>Automatic</x:v>
      </x:c>
      <x:c r="G422" s="7" t="str">
        <x:v>Hatchback</x:v>
      </x:c>
      <x:c r="H422" s="7" t="n">
        <x:v>1199</x:v>
      </x:c>
      <x:c r="I422" s="7" t="n">
        <x:v>85</x:v>
      </x:c>
      <x:c r="J422" s="9" t="n">
        <x:v>19</x:v>
      </x:c>
      <x:c r="K422" s="9" t="n">
        <x:v>7.2</x:v>
      </x:c>
      <x:c r="L422" s="7" t="n">
        <x:v>2023</x:v>
      </x:c>
      <x:c r="M422" s="11" t="n">
        <x:v>46586</x:v>
      </x:c>
      <x:c r="N422" s="7" t="n">
        <x:v>1</x:v>
      </x:c>
      <x:c r="O422" s="7" t="n">
        <x:v>0</x:v>
      </x:c>
      <x:c r="P422" s="9" t="n">
        <x:v>5.11</x:v>
      </x:c>
      <x:c r="Q422" s="7" t="n">
        <x:f>'Guide'!$B$5-L422</x:f>
        <x:v>3</x:v>
      </x:c>
      <x:c r="R422" s="9" t="n">
        <x:f>K422-P422</x:f>
        <x:v>2.09</x:v>
      </x:c>
      <x:c r="S422" s="10" t="n">
        <x:f>IF(K422&gt;0,R422/K422,"")</x:f>
        <x:v>0.29027777777777775</x:v>
      </x:c>
    </x:row>
    <x:row r="423">
      <x:c r="A423" s="7" t="n">
        <x:v>419</x:v>
      </x:c>
      <x:c r="B423" s="7" t="str">
        <x:v>Tata</x:v>
      </x:c>
      <x:c r="C423" s="7" t="str">
        <x:v>Tiago</x:v>
      </x:c>
      <x:c r="D423" s="7" t="str">
        <x:v>XTA</x:v>
      </x:c>
      <x:c r="E423" s="7" t="str">
        <x:v>Petrol</x:v>
      </x:c>
      <x:c r="F423" s="7" t="str">
        <x:v>Automatic</x:v>
      </x:c>
      <x:c r="G423" s="7" t="str">
        <x:v>Hatchback</x:v>
      </x:c>
      <x:c r="H423" s="7" t="n">
        <x:v>1199</x:v>
      </x:c>
      <x:c r="I423" s="7" t="n">
        <x:v>85</x:v>
      </x:c>
      <x:c r="J423" s="9" t="n">
        <x:v>19</x:v>
      </x:c>
      <x:c r="K423" s="9" t="n">
        <x:v>7.2</x:v>
      </x:c>
      <x:c r="L423" s="7" t="n">
        <x:v>2024</x:v>
      </x:c>
      <x:c r="M423" s="11" t="n">
        <x:v>36737</x:v>
      </x:c>
      <x:c r="N423" s="7" t="n">
        <x:v>1</x:v>
      </x:c>
      <x:c r="O423" s="7" t="n">
        <x:v>0</x:v>
      </x:c>
      <x:c r="P423" s="9" t="n">
        <x:v>5.66</x:v>
      </x:c>
      <x:c r="Q423" s="7" t="n">
        <x:f>'Guide'!$B$5-L423</x:f>
        <x:v>2</x:v>
      </x:c>
      <x:c r="R423" s="9" t="n">
        <x:f>K423-P423</x:f>
        <x:v>1.54</x:v>
      </x:c>
      <x:c r="S423" s="10" t="n">
        <x:f>IF(K423&gt;0,R423/K423,"")</x:f>
        <x:v>0.21388888888888888</x:v>
      </x:c>
    </x:row>
    <x:row r="424">
      <x:c r="A424" s="7" t="n">
        <x:v>420</x:v>
      </x:c>
      <x:c r="B424" s="7" t="str">
        <x:v>Tata</x:v>
      </x:c>
      <x:c r="C424" s="7" t="str">
        <x:v>Tiago</x:v>
      </x:c>
      <x:c r="D424" s="7" t="str">
        <x:v>XTA</x:v>
      </x:c>
      <x:c r="E424" s="7" t="str">
        <x:v>Petrol</x:v>
      </x:c>
      <x:c r="F424" s="7" t="str">
        <x:v>Automatic</x:v>
      </x:c>
      <x:c r="G424" s="7" t="str">
        <x:v>Hatchback</x:v>
      </x:c>
      <x:c r="H424" s="7" t="n">
        <x:v>1199</x:v>
      </x:c>
      <x:c r="I424" s="7" t="n">
        <x:v>85</x:v>
      </x:c>
      <x:c r="J424" s="9" t="n">
        <x:v>19</x:v>
      </x:c>
      <x:c r="K424" s="9" t="n">
        <x:v>7.2</x:v>
      </x:c>
      <x:c r="L424" s="7" t="n">
        <x:v>2025</x:v>
      </x:c>
      <x:c r="M424" s="11" t="n">
        <x:v>24113</x:v>
      </x:c>
      <x:c r="N424" s="7" t="n">
        <x:v>1</x:v>
      </x:c>
      <x:c r="O424" s="7" t="n">
        <x:v>0</x:v>
      </x:c>
      <x:c r="P424" s="9" t="n">
        <x:v>6.18</x:v>
      </x:c>
      <x:c r="Q424" s="7" t="n">
        <x:f>'Guide'!$B$5-L424</x:f>
        <x:v>1</x:v>
      </x:c>
      <x:c r="R424" s="9" t="n">
        <x:f>K424-P424</x:f>
        <x:v>1.0200000000000005</x:v>
      </x:c>
      <x:c r="S424" s="10" t="n">
        <x:f>IF(K424&gt;0,R424/K424,"")</x:f>
        <x:v>0.14166666666666672</x:v>
      </x:c>
    </x:row>
    <x:row r="425">
      <x:c r="A425" s="7" t="n">
        <x:v>421</x:v>
      </x:c>
      <x:c r="B425" s="7" t="str">
        <x:v>Tata</x:v>
      </x:c>
      <x:c r="C425" s="7" t="str">
        <x:v>Tiago</x:v>
      </x:c>
      <x:c r="D425" s="7" t="str">
        <x:v>XTA</x:v>
      </x:c>
      <x:c r="E425" s="7" t="str">
        <x:v>Petrol</x:v>
      </x:c>
      <x:c r="F425" s="7" t="str">
        <x:v>Automatic</x:v>
      </x:c>
      <x:c r="G425" s="7" t="str">
        <x:v>Hatchback</x:v>
      </x:c>
      <x:c r="H425" s="7" t="n">
        <x:v>1199</x:v>
      </x:c>
      <x:c r="I425" s="7" t="n">
        <x:v>85</x:v>
      </x:c>
      <x:c r="J425" s="9" t="n">
        <x:v>19</x:v>
      </x:c>
      <x:c r="K425" s="9" t="n">
        <x:v>7.2</x:v>
      </x:c>
      <x:c r="L425" s="7" t="n">
        <x:v>2022</x:v>
      </x:c>
      <x:c r="M425" s="11" t="n">
        <x:v>40946</x:v>
      </x:c>
      <x:c r="N425" s="7" t="n">
        <x:v>2</x:v>
      </x:c>
      <x:c r="O425" s="7" t="n">
        <x:v>0</x:v>
      </x:c>
      <x:c r="P425" s="9" t="n">
        <x:v>3.8</x:v>
      </x:c>
      <x:c r="Q425" s="7" t="n">
        <x:f>'Guide'!$B$5-L425</x:f>
        <x:v>4</x:v>
      </x:c>
      <x:c r="R425" s="9" t="n">
        <x:f>K425-P425</x:f>
        <x:v>3.4000000000000004</x:v>
      </x:c>
      <x:c r="S425" s="10" t="n">
        <x:f>IF(K425&gt;0,R425/K425,"")</x:f>
        <x:v>0.47222222222222227</x:v>
      </x:c>
    </x:row>
    <x:row r="426">
      <x:c r="A426" s="7" t="n">
        <x:v>422</x:v>
      </x:c>
      <x:c r="B426" s="7" t="str">
        <x:v>Tata</x:v>
      </x:c>
      <x:c r="C426" s="7" t="str">
        <x:v>Tiago</x:v>
      </x:c>
      <x:c r="D426" s="7" t="str">
        <x:v>XTA</x:v>
      </x:c>
      <x:c r="E426" s="7" t="str">
        <x:v>Petrol</x:v>
      </x:c>
      <x:c r="F426" s="7" t="str">
        <x:v>Automatic</x:v>
      </x:c>
      <x:c r="G426" s="7" t="str">
        <x:v>Hatchback</x:v>
      </x:c>
      <x:c r="H426" s="7" t="n">
        <x:v>1199</x:v>
      </x:c>
      <x:c r="I426" s="7" t="n">
        <x:v>85</x:v>
      </x:c>
      <x:c r="J426" s="9" t="n">
        <x:v>19</x:v>
      </x:c>
      <x:c r="K426" s="9" t="n">
        <x:v>7.2</x:v>
      </x:c>
      <x:c r="L426" s="7" t="n">
        <x:v>2025</x:v>
      </x:c>
      <x:c r="M426" s="11" t="n">
        <x:v>25215</x:v>
      </x:c>
      <x:c r="N426" s="7" t="n">
        <x:v>3</x:v>
      </x:c>
      <x:c r="O426" s="7" t="n">
        <x:v>0</x:v>
      </x:c>
      <x:c r="P426" s="9" t="n">
        <x:v>6</x:v>
      </x:c>
      <x:c r="Q426" s="7" t="n">
        <x:f>'Guide'!$B$5-L426</x:f>
        <x:v>1</x:v>
      </x:c>
      <x:c r="R426" s="9" t="n">
        <x:f>K426-P426</x:f>
        <x:v>1.2000000000000002</x:v>
      </x:c>
      <x:c r="S426" s="10" t="n">
        <x:f>IF(K426&gt;0,R426/K426,"")</x:f>
        <x:v>0.16666666666666669</x:v>
      </x:c>
    </x:row>
    <x:row r="427">
      <x:c r="A427" s="7" t="n">
        <x:v>423</x:v>
      </x:c>
      <x:c r="B427" s="7" t="str">
        <x:v>Tata</x:v>
      </x:c>
      <x:c r="C427" s="7" t="str">
        <x:v>Tiago</x:v>
      </x:c>
      <x:c r="D427" s="7" t="str">
        <x:v>XTA</x:v>
      </x:c>
      <x:c r="E427" s="7" t="str">
        <x:v>Petrol</x:v>
      </x:c>
      <x:c r="F427" s="7" t="str">
        <x:v>Automatic</x:v>
      </x:c>
      <x:c r="G427" s="7" t="str">
        <x:v>Hatchback</x:v>
      </x:c>
      <x:c r="H427" s="7" t="n">
        <x:v>1199</x:v>
      </x:c>
      <x:c r="I427" s="7" t="n">
        <x:v>85</x:v>
      </x:c>
      <x:c r="J427" s="9" t="n">
        <x:v>19</x:v>
      </x:c>
      <x:c r="K427" s="9" t="n">
        <x:v>7.2</x:v>
      </x:c>
      <x:c r="L427" s="7" t="n">
        <x:v>2024</x:v>
      </x:c>
      <x:c r="M427" s="11" t="n">
        <x:v>37442</x:v>
      </x:c>
      <x:c r="N427" s="7" t="n">
        <x:v>2</x:v>
      </x:c>
      <x:c r="O427" s="7" t="n">
        <x:v>0</x:v>
      </x:c>
      <x:c r="P427" s="9" t="n">
        <x:v>5.55</x:v>
      </x:c>
      <x:c r="Q427" s="7" t="n">
        <x:f>'Guide'!$B$5-L427</x:f>
        <x:v>2</x:v>
      </x:c>
      <x:c r="R427" s="9" t="n">
        <x:f>K427-P427</x:f>
        <x:v>1.6500000000000004</x:v>
      </x:c>
      <x:c r="S427" s="10" t="n">
        <x:f>IF(K427&gt;0,R427/K427,"")</x:f>
        <x:v>0.2291666666666667</x:v>
      </x:c>
    </x:row>
    <x:row r="428">
      <x:c r="A428" s="7" t="n">
        <x:v>424</x:v>
      </x:c>
      <x:c r="B428" s="7" t="str">
        <x:v>Tata</x:v>
      </x:c>
      <x:c r="C428" s="7" t="str">
        <x:v>Tiago</x:v>
      </x:c>
      <x:c r="D428" s="7" t="str">
        <x:v>XTA</x:v>
      </x:c>
      <x:c r="E428" s="7" t="str">
        <x:v>Petrol</x:v>
      </x:c>
      <x:c r="F428" s="7" t="str">
        <x:v>Automatic</x:v>
      </x:c>
      <x:c r="G428" s="7" t="str">
        <x:v>Hatchback</x:v>
      </x:c>
      <x:c r="H428" s="7" t="n">
        <x:v>1199</x:v>
      </x:c>
      <x:c r="I428" s="7" t="n">
        <x:v>85</x:v>
      </x:c>
      <x:c r="J428" s="9" t="n">
        <x:v>19</x:v>
      </x:c>
      <x:c r="K428" s="9" t="n">
        <x:v>7.2</x:v>
      </x:c>
      <x:c r="L428" s="7" t="n">
        <x:v>2025</x:v>
      </x:c>
      <x:c r="M428" s="11" t="n">
        <x:v>16611</x:v>
      </x:c>
      <x:c r="N428" s="7" t="n">
        <x:v>1</x:v>
      </x:c>
      <x:c r="O428" s="7" t="n">
        <x:v>0</x:v>
      </x:c>
      <x:c r="P428" s="9" t="n">
        <x:v>6.14</x:v>
      </x:c>
      <x:c r="Q428" s="7" t="n">
        <x:f>'Guide'!$B$5-L428</x:f>
        <x:v>1</x:v>
      </x:c>
      <x:c r="R428" s="9" t="n">
        <x:f>K428-P428</x:f>
        <x:v>1.0600000000000005</x:v>
      </x:c>
      <x:c r="S428" s="10" t="n">
        <x:f>IF(K428&gt;0,R428/K428,"")</x:f>
        <x:v>0.14722222222222228</x:v>
      </x:c>
    </x:row>
    <x:row r="429">
      <x:c r="A429" s="7" t="n">
        <x:v>425</x:v>
      </x:c>
      <x:c r="B429" s="7" t="str">
        <x:v>Tata</x:v>
      </x:c>
      <x:c r="C429" s="7" t="str">
        <x:v>Tiago</x:v>
      </x:c>
      <x:c r="D429" s="7" t="str">
        <x:v>XTA</x:v>
      </x:c>
      <x:c r="E429" s="7" t="str">
        <x:v>Petrol</x:v>
      </x:c>
      <x:c r="F429" s="7" t="str">
        <x:v>Automatic</x:v>
      </x:c>
      <x:c r="G429" s="7" t="str">
        <x:v>Hatchback</x:v>
      </x:c>
      <x:c r="H429" s="7" t="n">
        <x:v>1199</x:v>
      </x:c>
      <x:c r="I429" s="7" t="n">
        <x:v>85</x:v>
      </x:c>
      <x:c r="J429" s="9" t="n">
        <x:v>19</x:v>
      </x:c>
      <x:c r="K429" s="9" t="n">
        <x:v>7.2</x:v>
      </x:c>
      <x:c r="L429" s="7" t="n">
        <x:v>2023</x:v>
      </x:c>
      <x:c r="M429" s="11" t="n">
        <x:v>64005</x:v>
      </x:c>
      <x:c r="N429" s="7" t="n">
        <x:v>1</x:v>
      </x:c>
      <x:c r="O429" s="7" t="n">
        <x:v>0</x:v>
      </x:c>
      <x:c r="P429" s="9" t="n">
        <x:v>4.58</x:v>
      </x:c>
      <x:c r="Q429" s="7" t="n">
        <x:f>'Guide'!$B$5-L429</x:f>
        <x:v>3</x:v>
      </x:c>
      <x:c r="R429" s="9" t="n">
        <x:f>K429-P429</x:f>
        <x:v>2.62</x:v>
      </x:c>
      <x:c r="S429" s="10" t="n">
        <x:f>IF(K429&gt;0,R429/K429,"")</x:f>
        <x:v>0.3638888888888889</x:v>
      </x:c>
    </x:row>
    <x:row r="430">
      <x:c r="A430" s="7" t="n">
        <x:v>426</x:v>
      </x:c>
      <x:c r="B430" s="7" t="str">
        <x:v>Tata</x:v>
      </x:c>
      <x:c r="C430" s="7" t="str">
        <x:v>Tiago</x:v>
      </x:c>
      <x:c r="D430" s="7" t="str">
        <x:v>XTA</x:v>
      </x:c>
      <x:c r="E430" s="7" t="str">
        <x:v>Petrol</x:v>
      </x:c>
      <x:c r="F430" s="7" t="str">
        <x:v>Automatic</x:v>
      </x:c>
      <x:c r="G430" s="7" t="str">
        <x:v>Hatchback</x:v>
      </x:c>
      <x:c r="H430" s="7" t="n">
        <x:v>1199</x:v>
      </x:c>
      <x:c r="I430" s="7" t="n">
        <x:v>85</x:v>
      </x:c>
      <x:c r="J430" s="9" t="n">
        <x:v>19</x:v>
      </x:c>
      <x:c r="K430" s="9" t="n">
        <x:v>7.2</x:v>
      </x:c>
      <x:c r="L430" s="7" t="n">
        <x:v>2021</x:v>
      </x:c>
      <x:c r="M430" s="11" t="n">
        <x:v>54097</x:v>
      </x:c>
      <x:c r="N430" s="7" t="n">
        <x:v>1</x:v>
      </x:c>
      <x:c r="O430" s="7" t="n">
        <x:v>0</x:v>
      </x:c>
      <x:c r="P430" s="9" t="n">
        <x:v>3.58</x:v>
      </x:c>
      <x:c r="Q430" s="7" t="n">
        <x:f>'Guide'!$B$5-L430</x:f>
        <x:v>5</x:v>
      </x:c>
      <x:c r="R430" s="9" t="n">
        <x:f>K430-P430</x:f>
        <x:v>3.62</x:v>
      </x:c>
      <x:c r="S430" s="10" t="n">
        <x:f>IF(K430&gt;0,R430/K430,"")</x:f>
        <x:v>0.5027777777777778</x:v>
      </x:c>
    </x:row>
    <x:row r="431">
      <x:c r="A431" s="7" t="n">
        <x:v>427</x:v>
      </x:c>
      <x:c r="B431" s="7" t="str">
        <x:v>Tata</x:v>
      </x:c>
      <x:c r="C431" s="7" t="str">
        <x:v>Tiago</x:v>
      </x:c>
      <x:c r="D431" s="7" t="str">
        <x:v>XTA</x:v>
      </x:c>
      <x:c r="E431" s="7" t="str">
        <x:v>Petrol</x:v>
      </x:c>
      <x:c r="F431" s="7" t="str">
        <x:v>Automatic</x:v>
      </x:c>
      <x:c r="G431" s="7" t="str">
        <x:v>Hatchback</x:v>
      </x:c>
      <x:c r="H431" s="7" t="n">
        <x:v>1199</x:v>
      </x:c>
      <x:c r="I431" s="7" t="n">
        <x:v>85</x:v>
      </x:c>
      <x:c r="J431" s="9" t="n">
        <x:v>19</x:v>
      </x:c>
      <x:c r="K431" s="9" t="n">
        <x:v>7.2</x:v>
      </x:c>
      <x:c r="L431" s="7" t="n">
        <x:v>2021</x:v>
      </x:c>
      <x:c r="M431" s="11" t="n">
        <x:v>64480</x:v>
      </x:c>
      <x:c r="N431" s="7" t="n">
        <x:v>1</x:v>
      </x:c>
      <x:c r="O431" s="7" t="n">
        <x:v>0</x:v>
      </x:c>
      <x:c r="P431" s="9" t="n">
        <x:v>3.65</x:v>
      </x:c>
      <x:c r="Q431" s="7" t="n">
        <x:f>'Guide'!$B$5-L431</x:f>
        <x:v>5</x:v>
      </x:c>
      <x:c r="R431" s="9" t="n">
        <x:f>K431-P431</x:f>
        <x:v>3.5500000000000003</x:v>
      </x:c>
      <x:c r="S431" s="10" t="n">
        <x:f>IF(K431&gt;0,R431/K431,"")</x:f>
        <x:v>0.4930555555555556</x:v>
      </x:c>
    </x:row>
    <x:row r="432">
      <x:c r="A432" s="7" t="n">
        <x:v>428</x:v>
      </x:c>
      <x:c r="B432" s="7" t="str">
        <x:v>Tata</x:v>
      </x:c>
      <x:c r="C432" s="7" t="str">
        <x:v>Tiago</x:v>
      </x:c>
      <x:c r="D432" s="7" t="str">
        <x:v>XTA</x:v>
      </x:c>
      <x:c r="E432" s="7" t="str">
        <x:v>Petrol</x:v>
      </x:c>
      <x:c r="F432" s="7" t="str">
        <x:v>Automatic</x:v>
      </x:c>
      <x:c r="G432" s="7" t="str">
        <x:v>Hatchback</x:v>
      </x:c>
      <x:c r="H432" s="7" t="n">
        <x:v>1199</x:v>
      </x:c>
      <x:c r="I432" s="7" t="n">
        <x:v>85</x:v>
      </x:c>
      <x:c r="J432" s="9" t="n">
        <x:v>19</x:v>
      </x:c>
      <x:c r="K432" s="9" t="n">
        <x:v>7.2</x:v>
      </x:c>
      <x:c r="L432" s="7" t="n">
        <x:v>2020</x:v>
      </x:c>
      <x:c r="M432" s="11" t="n">
        <x:v>89480</x:v>
      </x:c>
      <x:c r="N432" s="7" t="n">
        <x:v>2</x:v>
      </x:c>
      <x:c r="O432" s="7" t="n">
        <x:v>0</x:v>
      </x:c>
      <x:c r="P432" s="9" t="n">
        <x:v>2.46</x:v>
      </x:c>
      <x:c r="Q432" s="7" t="n">
        <x:f>'Guide'!$B$5-L432</x:f>
        <x:v>6</x:v>
      </x:c>
      <x:c r="R432" s="9" t="n">
        <x:f>K432-P432</x:f>
        <x:v>4.74</x:v>
      </x:c>
      <x:c r="S432" s="10" t="n">
        <x:f>IF(K432&gt;0,R432/K432,"")</x:f>
        <x:v>0.6583333333333333</x:v>
      </x:c>
    </x:row>
    <x:row r="433">
      <x:c r="A433" s="7" t="n">
        <x:v>429</x:v>
      </x:c>
      <x:c r="B433" s="7" t="str">
        <x:v>Tata</x:v>
      </x:c>
      <x:c r="C433" s="7" t="str">
        <x:v>Tiago</x:v>
      </x:c>
      <x:c r="D433" s="7" t="str">
        <x:v>XTA</x:v>
      </x:c>
      <x:c r="E433" s="7" t="str">
        <x:v>Petrol</x:v>
      </x:c>
      <x:c r="F433" s="7" t="str">
        <x:v>Automatic</x:v>
      </x:c>
      <x:c r="G433" s="7" t="str">
        <x:v>Hatchback</x:v>
      </x:c>
      <x:c r="H433" s="7" t="n">
        <x:v>1199</x:v>
      </x:c>
      <x:c r="I433" s="7" t="n">
        <x:v>85</x:v>
      </x:c>
      <x:c r="J433" s="9" t="n">
        <x:v>19</x:v>
      </x:c>
      <x:c r="K433" s="9" t="n">
        <x:v>7.2</x:v>
      </x:c>
      <x:c r="L433" s="7" t="n">
        <x:v>2025</x:v>
      </x:c>
      <x:c r="M433" s="11" t="n">
        <x:v>15690</x:v>
      </x:c>
      <x:c r="N433" s="7" t="n">
        <x:v>1</x:v>
      </x:c>
      <x:c r="O433" s="7" t="n">
        <x:v>0</x:v>
      </x:c>
      <x:c r="P433" s="9" t="n">
        <x:v>6.3</x:v>
      </x:c>
      <x:c r="Q433" s="7" t="n">
        <x:f>'Guide'!$B$5-L433</x:f>
        <x:v>1</x:v>
      </x:c>
      <x:c r="R433" s="9" t="n">
        <x:f>K433-P433</x:f>
        <x:v>0.9000000000000004</x:v>
      </x:c>
      <x:c r="S433" s="10" t="n">
        <x:f>IF(K433&gt;0,R433/K433,"")</x:f>
        <x:v>0.12500000000000006</x:v>
      </x:c>
    </x:row>
    <x:row r="434">
      <x:c r="A434" s="7" t="n">
        <x:v>430</x:v>
      </x:c>
      <x:c r="B434" s="7" t="str">
        <x:v>Tata</x:v>
      </x:c>
      <x:c r="C434" s="7" t="str">
        <x:v>Tiago</x:v>
      </x:c>
      <x:c r="D434" s="7" t="str">
        <x:v>XTA</x:v>
      </x:c>
      <x:c r="E434" s="7" t="str">
        <x:v>Petrol</x:v>
      </x:c>
      <x:c r="F434" s="7" t="str">
        <x:v>Automatic</x:v>
      </x:c>
      <x:c r="G434" s="7" t="str">
        <x:v>Hatchback</x:v>
      </x:c>
      <x:c r="H434" s="7" t="n">
        <x:v>1199</x:v>
      </x:c>
      <x:c r="I434" s="7" t="n">
        <x:v>85</x:v>
      </x:c>
      <x:c r="J434" s="9" t="n">
        <x:v>19</x:v>
      </x:c>
      <x:c r="K434" s="9" t="n">
        <x:v>7.2</x:v>
      </x:c>
      <x:c r="L434" s="7" t="n">
        <x:v>2026</x:v>
      </x:c>
      <x:c r="M434" s="11" t="n">
        <x:v>9857</x:v>
      </x:c>
      <x:c r="N434" s="7" t="n">
        <x:v>1</x:v>
      </x:c>
      <x:c r="O434" s="7" t="n">
        <x:v>0</x:v>
      </x:c>
      <x:c r="P434" s="9" t="n">
        <x:v>7.19</x:v>
      </x:c>
      <x:c r="Q434" s="7" t="n">
        <x:f>'Guide'!$B$5-L434</x:f>
        <x:v>0</x:v>
      </x:c>
      <x:c r="R434" s="9" t="n">
        <x:f>K434-P434</x:f>
        <x:v>0.009999999999999787</x:v>
      </x:c>
      <x:c r="S434" s="10" t="n">
        <x:f>IF(K434&gt;0,R434/K434,"")</x:f>
        <x:v>0.0013888888888888592</x:v>
      </x:c>
    </x:row>
    <x:row r="435">
      <x:c r="A435" s="7" t="n">
        <x:v>431</x:v>
      </x:c>
      <x:c r="B435" s="7" t="str">
        <x:v>Tata</x:v>
      </x:c>
      <x:c r="C435" s="7" t="str">
        <x:v>Tiago</x:v>
      </x:c>
      <x:c r="D435" s="7" t="str">
        <x:v>XTA</x:v>
      </x:c>
      <x:c r="E435" s="7" t="str">
        <x:v>Petrol</x:v>
      </x:c>
      <x:c r="F435" s="7" t="str">
        <x:v>Automatic</x:v>
      </x:c>
      <x:c r="G435" s="7" t="str">
        <x:v>Hatchback</x:v>
      </x:c>
      <x:c r="H435" s="7" t="n">
        <x:v>1199</x:v>
      </x:c>
      <x:c r="I435" s="7" t="n">
        <x:v>85</x:v>
      </x:c>
      <x:c r="J435" s="9" t="n">
        <x:v>19</x:v>
      </x:c>
      <x:c r="K435" s="9" t="n">
        <x:v>7.2</x:v>
      </x:c>
      <x:c r="L435" s="7" t="n">
        <x:v>2025</x:v>
      </x:c>
      <x:c r="M435" s="11" t="n">
        <x:v>22705</x:v>
      </x:c>
      <x:c r="N435" s="7" t="n">
        <x:v>1</x:v>
      </x:c>
      <x:c r="O435" s="7" t="n">
        <x:v>0</x:v>
      </x:c>
      <x:c r="P435" s="9" t="n">
        <x:v>6.25</x:v>
      </x:c>
      <x:c r="Q435" s="7" t="n">
        <x:f>'Guide'!$B$5-L435</x:f>
        <x:v>1</x:v>
      </x:c>
      <x:c r="R435" s="9" t="n">
        <x:f>K435-P435</x:f>
        <x:v>0.9500000000000002</x:v>
      </x:c>
      <x:c r="S435" s="10" t="n">
        <x:f>IF(K435&gt;0,R435/K435,"")</x:f>
        <x:v>0.13194444444444448</x:v>
      </x:c>
    </x:row>
    <x:row r="436">
      <x:c r="A436" s="7" t="n">
        <x:v>432</x:v>
      </x:c>
      <x:c r="B436" s="7" t="str">
        <x:v>Tata</x:v>
      </x:c>
      <x:c r="C436" s="7" t="str">
        <x:v>Tiago</x:v>
      </x:c>
      <x:c r="D436" s="7" t="str">
        <x:v>XTA</x:v>
      </x:c>
      <x:c r="E436" s="7" t="str">
        <x:v>Petrol</x:v>
      </x:c>
      <x:c r="F436" s="7" t="str">
        <x:v>Automatic</x:v>
      </x:c>
      <x:c r="G436" s="7" t="str">
        <x:v>Hatchback</x:v>
      </x:c>
      <x:c r="H436" s="7" t="n">
        <x:v>1199</x:v>
      </x:c>
      <x:c r="I436" s="7" t="n">
        <x:v>85</x:v>
      </x:c>
      <x:c r="J436" s="9" t="n">
        <x:v>19</x:v>
      </x:c>
      <x:c r="K436" s="9" t="n">
        <x:v>7.2</x:v>
      </x:c>
      <x:c r="L436" s="7" t="n">
        <x:v>2023</x:v>
      </x:c>
      <x:c r="M436" s="11" t="n">
        <x:v>60172</x:v>
      </x:c>
      <x:c r="N436" s="7" t="n">
        <x:v>2</x:v>
      </x:c>
      <x:c r="O436" s="7" t="n">
        <x:v>0</x:v>
      </x:c>
      <x:c r="P436" s="9" t="n">
        <x:v>4.39</x:v>
      </x:c>
      <x:c r="Q436" s="7" t="n">
        <x:f>'Guide'!$B$5-L436</x:f>
        <x:v>3</x:v>
      </x:c>
      <x:c r="R436" s="9" t="n">
        <x:f>K436-P436</x:f>
        <x:v>2.8100000000000005</x:v>
      </x:c>
      <x:c r="S436" s="10" t="n">
        <x:f>IF(K436&gt;0,R436/K436,"")</x:f>
        <x:v>0.39027777777777783</x:v>
      </x:c>
    </x:row>
    <x:row r="437">
      <x:c r="A437" s="7" t="n">
        <x:v>433</x:v>
      </x:c>
      <x:c r="B437" s="7" t="str">
        <x:v>Tata</x:v>
      </x:c>
      <x:c r="C437" s="7" t="str">
        <x:v>Tiago</x:v>
      </x:c>
      <x:c r="D437" s="7" t="str">
        <x:v>XTA</x:v>
      </x:c>
      <x:c r="E437" s="7" t="str">
        <x:v>Petrol</x:v>
      </x:c>
      <x:c r="F437" s="7" t="str">
        <x:v>Automatic</x:v>
      </x:c>
      <x:c r="G437" s="7" t="str">
        <x:v>Hatchback</x:v>
      </x:c>
      <x:c r="H437" s="7" t="n">
        <x:v>1199</x:v>
      </x:c>
      <x:c r="I437" s="7" t="n">
        <x:v>85</x:v>
      </x:c>
      <x:c r="J437" s="9" t="n">
        <x:v>19</x:v>
      </x:c>
      <x:c r="K437" s="9" t="n">
        <x:v>7.2</x:v>
      </x:c>
      <x:c r="L437" s="7" t="n">
        <x:v>2026</x:v>
      </x:c>
      <x:c r="M437" s="11" t="n">
        <x:v>5904</x:v>
      </x:c>
      <x:c r="N437" s="7" t="n">
        <x:v>2</x:v>
      </x:c>
      <x:c r="O437" s="7" t="n">
        <x:v>0</x:v>
      </x:c>
      <x:c r="P437" s="9" t="n">
        <x:v>6.73</x:v>
      </x:c>
      <x:c r="Q437" s="7" t="n">
        <x:f>'Guide'!$B$5-L437</x:f>
        <x:v>0</x:v>
      </x:c>
      <x:c r="R437" s="9" t="n">
        <x:f>K437-P437</x:f>
        <x:v>0.46999999999999975</x:v>
      </x:c>
      <x:c r="S437" s="10" t="n">
        <x:f>IF(K437&gt;0,R437/K437,"")</x:f>
        <x:v>0.06527777777777774</x:v>
      </x:c>
    </x:row>
    <x:row r="438">
      <x:c r="A438" s="7" t="n">
        <x:v>434</x:v>
      </x:c>
      <x:c r="B438" s="7" t="str">
        <x:v>Tata</x:v>
      </x:c>
      <x:c r="C438" s="7" t="str">
        <x:v>Tiago</x:v>
      </x:c>
      <x:c r="D438" s="7" t="str">
        <x:v>XTA</x:v>
      </x:c>
      <x:c r="E438" s="7" t="str">
        <x:v>Petrol</x:v>
      </x:c>
      <x:c r="F438" s="7" t="str">
        <x:v>Automatic</x:v>
      </x:c>
      <x:c r="G438" s="7" t="str">
        <x:v>Hatchback</x:v>
      </x:c>
      <x:c r="H438" s="7" t="n">
        <x:v>1199</x:v>
      </x:c>
      <x:c r="I438" s="7" t="n">
        <x:v>85</x:v>
      </x:c>
      <x:c r="J438" s="9" t="n">
        <x:v>19</x:v>
      </x:c>
      <x:c r="K438" s="9" t="n">
        <x:v>7.2</x:v>
      </x:c>
      <x:c r="L438" s="7" t="n">
        <x:v>2023</x:v>
      </x:c>
      <x:c r="M438" s="11" t="n">
        <x:v>58204</x:v>
      </x:c>
      <x:c r="N438" s="7" t="n">
        <x:v>1</x:v>
      </x:c>
      <x:c r="O438" s="7" t="n">
        <x:v>0</x:v>
      </x:c>
      <x:c r="P438" s="9" t="n">
        <x:v>5.19</x:v>
      </x:c>
      <x:c r="Q438" s="7" t="n">
        <x:f>'Guide'!$B$5-L438</x:f>
        <x:v>3</x:v>
      </x:c>
      <x:c r="R438" s="9" t="n">
        <x:f>K438-P438</x:f>
        <x:v>2.01</x:v>
      </x:c>
      <x:c r="S438" s="10" t="n">
        <x:f>IF(K438&gt;0,R438/K438,"")</x:f>
        <x:v>0.2791666666666666</x:v>
      </x:c>
    </x:row>
    <x:row r="439">
      <x:c r="A439" s="7" t="n">
        <x:v>435</x:v>
      </x:c>
      <x:c r="B439" s="7" t="str">
        <x:v>Tata</x:v>
      </x:c>
      <x:c r="C439" s="7" t="str">
        <x:v>Tiago</x:v>
      </x:c>
      <x:c r="D439" s="7" t="str">
        <x:v>XTA</x:v>
      </x:c>
      <x:c r="E439" s="7" t="str">
        <x:v>Petrol</x:v>
      </x:c>
      <x:c r="F439" s="7" t="str">
        <x:v>Automatic</x:v>
      </x:c>
      <x:c r="G439" s="7" t="str">
        <x:v>Hatchback</x:v>
      </x:c>
      <x:c r="H439" s="7" t="n">
        <x:v>1199</x:v>
      </x:c>
      <x:c r="I439" s="7" t="n">
        <x:v>85</x:v>
      </x:c>
      <x:c r="J439" s="9" t="n">
        <x:v>19</x:v>
      </x:c>
      <x:c r="K439" s="9" t="n">
        <x:v>7.2</x:v>
      </x:c>
      <x:c r="L439" s="7" t="n">
        <x:v>2025</x:v>
      </x:c>
      <x:c r="M439" s="11" t="n">
        <x:v>27052</x:v>
      </x:c>
      <x:c r="N439" s="7" t="n">
        <x:v>1</x:v>
      </x:c>
      <x:c r="O439" s="7" t="n">
        <x:v>0</x:v>
      </x:c>
      <x:c r="P439" s="9" t="n">
        <x:v>6.15</x:v>
      </x:c>
      <x:c r="Q439" s="7" t="n">
        <x:f>'Guide'!$B$5-L439</x:f>
        <x:v>1</x:v>
      </x:c>
      <x:c r="R439" s="9" t="n">
        <x:f>K439-P439</x:f>
        <x:v>1.0499999999999998</x:v>
      </x:c>
      <x:c r="S439" s="10" t="n">
        <x:f>IF(K439&gt;0,R439/K439,"")</x:f>
        <x:v>0.14583333333333331</x:v>
      </x:c>
    </x:row>
    <x:row r="440">
      <x:c r="A440" s="7" t="n">
        <x:v>436</x:v>
      </x:c>
      <x:c r="B440" s="7" t="str">
        <x:v>Tata</x:v>
      </x:c>
      <x:c r="C440" s="7" t="str">
        <x:v>Tiago</x:v>
      </x:c>
      <x:c r="D440" s="7" t="str">
        <x:v>XTA</x:v>
      </x:c>
      <x:c r="E440" s="7" t="str">
        <x:v>Petrol</x:v>
      </x:c>
      <x:c r="F440" s="7" t="str">
        <x:v>Automatic</x:v>
      </x:c>
      <x:c r="G440" s="7" t="str">
        <x:v>Hatchback</x:v>
      </x:c>
      <x:c r="H440" s="7" t="n">
        <x:v>1199</x:v>
      </x:c>
      <x:c r="I440" s="7" t="n">
        <x:v>85</x:v>
      </x:c>
      <x:c r="J440" s="9" t="n">
        <x:v>19</x:v>
      </x:c>
      <x:c r="K440" s="9" t="n">
        <x:v>7.2</x:v>
      </x:c>
      <x:c r="L440" s="7" t="n">
        <x:v>2026</x:v>
      </x:c>
      <x:c r="M440" s="11" t="n">
        <x:v>9584</x:v>
      </x:c>
      <x:c r="N440" s="7" t="n">
        <x:v>2</x:v>
      </x:c>
      <x:c r="O440" s="7" t="n">
        <x:v>0</x:v>
      </x:c>
      <x:c r="P440" s="9" t="n">
        <x:v>7.06</x:v>
      </x:c>
      <x:c r="Q440" s="7" t="n">
        <x:f>'Guide'!$B$5-L440</x:f>
        <x:v>0</x:v>
      </x:c>
      <x:c r="R440" s="9" t="n">
        <x:f>K440-P440</x:f>
        <x:v>0.14000000000000057</x:v>
      </x:c>
      <x:c r="S440" s="10" t="n">
        <x:f>IF(K440&gt;0,R440/K440,"")</x:f>
        <x:v>0.019444444444444525</x:v>
      </x:c>
    </x:row>
    <x:row r="441">
      <x:c r="A441" s="7" t="n">
        <x:v>437</x:v>
      </x:c>
      <x:c r="B441" s="7" t="str">
        <x:v>Tata</x:v>
      </x:c>
      <x:c r="C441" s="7" t="str">
        <x:v>Tiago</x:v>
      </x:c>
      <x:c r="D441" s="7" t="str">
        <x:v>XTA</x:v>
      </x:c>
      <x:c r="E441" s="7" t="str">
        <x:v>Petrol</x:v>
      </x:c>
      <x:c r="F441" s="7" t="str">
        <x:v>Automatic</x:v>
      </x:c>
      <x:c r="G441" s="7" t="str">
        <x:v>Hatchback</x:v>
      </x:c>
      <x:c r="H441" s="7" t="n">
        <x:v>1199</x:v>
      </x:c>
      <x:c r="I441" s="7" t="n">
        <x:v>85</x:v>
      </x:c>
      <x:c r="J441" s="9" t="n">
        <x:v>19</x:v>
      </x:c>
      <x:c r="K441" s="9" t="n">
        <x:v>7.2</x:v>
      </x:c>
      <x:c r="L441" s="7" t="n">
        <x:v>2024</x:v>
      </x:c>
      <x:c r="M441" s="11" t="n">
        <x:v>43096</x:v>
      </x:c>
      <x:c r="N441" s="7" t="n">
        <x:v>1</x:v>
      </x:c>
      <x:c r="O441" s="7" t="n">
        <x:v>0</x:v>
      </x:c>
      <x:c r="P441" s="9" t="n">
        <x:v>5.38</x:v>
      </x:c>
      <x:c r="Q441" s="7" t="n">
        <x:f>'Guide'!$B$5-L441</x:f>
        <x:v>2</x:v>
      </x:c>
      <x:c r="R441" s="9" t="n">
        <x:f>K441-P441</x:f>
        <x:v>1.8200000000000003</x:v>
      </x:c>
      <x:c r="S441" s="10" t="n">
        <x:f>IF(K441&gt;0,R441/K441,"")</x:f>
        <x:v>0.2527777777777778</x:v>
      </x:c>
    </x:row>
    <x:row r="442">
      <x:c r="A442" s="7" t="n">
        <x:v>438</x:v>
      </x:c>
      <x:c r="B442" s="7" t="str">
        <x:v>Tata</x:v>
      </x:c>
      <x:c r="C442" s="7" t="str">
        <x:v>Tiago</x:v>
      </x:c>
      <x:c r="D442" s="7" t="str">
        <x:v>XTA</x:v>
      </x:c>
      <x:c r="E442" s="7" t="str">
        <x:v>Petrol</x:v>
      </x:c>
      <x:c r="F442" s="7" t="str">
        <x:v>Automatic</x:v>
      </x:c>
      <x:c r="G442" s="7" t="str">
        <x:v>Hatchback</x:v>
      </x:c>
      <x:c r="H442" s="7" t="n">
        <x:v>1199</x:v>
      </x:c>
      <x:c r="I442" s="7" t="n">
        <x:v>85</x:v>
      </x:c>
      <x:c r="J442" s="9" t="n">
        <x:v>19</x:v>
      </x:c>
      <x:c r="K442" s="9" t="n">
        <x:v>7.2</x:v>
      </x:c>
      <x:c r="L442" s="7" t="n">
        <x:v>2026</x:v>
      </x:c>
      <x:c r="M442" s="11" t="n">
        <x:v>5365</x:v>
      </x:c>
      <x:c r="N442" s="7" t="n">
        <x:v>1</x:v>
      </x:c>
      <x:c r="O442" s="7" t="n">
        <x:v>0</x:v>
      </x:c>
      <x:c r="P442" s="9" t="n">
        <x:v>7.14</x:v>
      </x:c>
      <x:c r="Q442" s="7" t="n">
        <x:f>'Guide'!$B$5-L442</x:f>
        <x:v>0</x:v>
      </x:c>
      <x:c r="R442" s="9" t="n">
        <x:f>K442-P442</x:f>
        <x:v>0.0600000000000005</x:v>
      </x:c>
      <x:c r="S442" s="10" t="n">
        <x:f>IF(K442&gt;0,R442/K442,"")</x:f>
        <x:v>0.008333333333333403</x:v>
      </x:c>
    </x:row>
    <x:row r="443">
      <x:c r="A443" s="7" t="n">
        <x:v>439</x:v>
      </x:c>
      <x:c r="B443" s="7" t="str">
        <x:v>Tata</x:v>
      </x:c>
      <x:c r="C443" s="7" t="str">
        <x:v>Tiago</x:v>
      </x:c>
      <x:c r="D443" s="7" t="str">
        <x:v>XTA</x:v>
      </x:c>
      <x:c r="E443" s="7" t="str">
        <x:v>Petrol</x:v>
      </x:c>
      <x:c r="F443" s="7" t="str">
        <x:v>Automatic</x:v>
      </x:c>
      <x:c r="G443" s="7" t="str">
        <x:v>Hatchback</x:v>
      </x:c>
      <x:c r="H443" s="7" t="n">
        <x:v>1199</x:v>
      </x:c>
      <x:c r="I443" s="7" t="n">
        <x:v>85</x:v>
      </x:c>
      <x:c r="J443" s="9" t="n">
        <x:v>19</x:v>
      </x:c>
      <x:c r="K443" s="9" t="n">
        <x:v>7.2</x:v>
      </x:c>
      <x:c r="L443" s="7" t="n">
        <x:v>2020</x:v>
      </x:c>
      <x:c r="M443" s="11" t="n">
        <x:v>91362</x:v>
      </x:c>
      <x:c r="N443" s="7" t="n">
        <x:v>1</x:v>
      </x:c>
      <x:c r="O443" s="7" t="n">
        <x:v>0</x:v>
      </x:c>
      <x:c r="P443" s="9" t="n">
        <x:v>3.28</x:v>
      </x:c>
      <x:c r="Q443" s="7" t="n">
        <x:f>'Guide'!$B$5-L443</x:f>
        <x:v>6</x:v>
      </x:c>
      <x:c r="R443" s="9" t="n">
        <x:f>K443-P443</x:f>
        <x:v>3.9200000000000004</x:v>
      </x:c>
      <x:c r="S443" s="10" t="n">
        <x:f>IF(K443&gt;0,R443/K443,"")</x:f>
        <x:v>0.5444444444444445</x:v>
      </x:c>
    </x:row>
    <x:row r="444">
      <x:c r="A444" s="7" t="n">
        <x:v>440</x:v>
      </x:c>
      <x:c r="B444" s="7" t="str">
        <x:v>Tata</x:v>
      </x:c>
      <x:c r="C444" s="7" t="str">
        <x:v>Tiago</x:v>
      </x:c>
      <x:c r="D444" s="7" t="str">
        <x:v>XTA</x:v>
      </x:c>
      <x:c r="E444" s="7" t="str">
        <x:v>Petrol</x:v>
      </x:c>
      <x:c r="F444" s="7" t="str">
        <x:v>Automatic</x:v>
      </x:c>
      <x:c r="G444" s="7" t="str">
        <x:v>Hatchback</x:v>
      </x:c>
      <x:c r="H444" s="7" t="n">
        <x:v>1199</x:v>
      </x:c>
      <x:c r="I444" s="7" t="n">
        <x:v>85</x:v>
      </x:c>
      <x:c r="J444" s="9" t="n">
        <x:v>19</x:v>
      </x:c>
      <x:c r="K444" s="9" t="n">
        <x:v>7.2</x:v>
      </x:c>
      <x:c r="L444" s="7" t="n">
        <x:v>2024</x:v>
      </x:c>
      <x:c r="M444" s="11" t="n">
        <x:v>42792</x:v>
      </x:c>
      <x:c r="N444" s="7" t="n">
        <x:v>1</x:v>
      </x:c>
      <x:c r="O444" s="7" t="n">
        <x:v>0</x:v>
      </x:c>
      <x:c r="P444" s="9" t="n">
        <x:v>5.98</x:v>
      </x:c>
      <x:c r="Q444" s="7" t="n">
        <x:f>'Guide'!$B$5-L444</x:f>
        <x:v>2</x:v>
      </x:c>
      <x:c r="R444" s="9" t="n">
        <x:f>K444-P444</x:f>
        <x:v>1.2199999999999998</x:v>
      </x:c>
      <x:c r="S444" s="10" t="n">
        <x:f>IF(K444&gt;0,R444/K444,"")</x:f>
        <x:v>0.1694444444444444</x:v>
      </x:c>
    </x:row>
    <x:row r="445">
      <x:c r="A445" s="7" t="n">
        <x:v>441</x:v>
      </x:c>
      <x:c r="B445" s="7" t="str">
        <x:v>Tata</x:v>
      </x:c>
      <x:c r="C445" s="7" t="str">
        <x:v>Tiago</x:v>
      </x:c>
      <x:c r="D445" s="7" t="str">
        <x:v>XTA</x:v>
      </x:c>
      <x:c r="E445" s="7" t="str">
        <x:v>Petrol</x:v>
      </x:c>
      <x:c r="F445" s="7" t="str">
        <x:v>Automatic</x:v>
      </x:c>
      <x:c r="G445" s="7" t="str">
        <x:v>Hatchback</x:v>
      </x:c>
      <x:c r="H445" s="7" t="n">
        <x:v>1199</x:v>
      </x:c>
      <x:c r="I445" s="7" t="n">
        <x:v>85</x:v>
      </x:c>
      <x:c r="J445" s="9" t="n">
        <x:v>19</x:v>
      </x:c>
      <x:c r="K445" s="9" t="n">
        <x:v>7.2</x:v>
      </x:c>
      <x:c r="L445" s="7" t="n">
        <x:v>2024</x:v>
      </x:c>
      <x:c r="M445" s="11" t="n">
        <x:v>26813</x:v>
      </x:c>
      <x:c r="N445" s="7" t="n">
        <x:v>1</x:v>
      </x:c>
      <x:c r="O445" s="7" t="n">
        <x:v>0</x:v>
      </x:c>
      <x:c r="P445" s="9" t="n">
        <x:v>5.69</x:v>
      </x:c>
      <x:c r="Q445" s="7" t="n">
        <x:f>'Guide'!$B$5-L445</x:f>
        <x:v>2</x:v>
      </x:c>
      <x:c r="R445" s="9" t="n">
        <x:f>K445-P445</x:f>
        <x:v>1.5099999999999998</x:v>
      </x:c>
      <x:c r="S445" s="10" t="n">
        <x:f>IF(K445&gt;0,R445/K445,"")</x:f>
        <x:v>0.2097222222222222</x:v>
      </x:c>
    </x:row>
    <x:row r="446">
      <x:c r="A446" s="7" t="n">
        <x:v>442</x:v>
      </x:c>
      <x:c r="B446" s="7" t="str">
        <x:v>Tata</x:v>
      </x:c>
      <x:c r="C446" s="7" t="str">
        <x:v>Tiago</x:v>
      </x:c>
      <x:c r="D446" s="7" t="str">
        <x:v>XTA</x:v>
      </x:c>
      <x:c r="E446" s="7" t="str">
        <x:v>Petrol</x:v>
      </x:c>
      <x:c r="F446" s="7" t="str">
        <x:v>Automatic</x:v>
      </x:c>
      <x:c r="G446" s="7" t="str">
        <x:v>Hatchback</x:v>
      </x:c>
      <x:c r="H446" s="7" t="n">
        <x:v>1199</x:v>
      </x:c>
      <x:c r="I446" s="7" t="n">
        <x:v>85</x:v>
      </x:c>
      <x:c r="J446" s="9" t="n">
        <x:v>19</x:v>
      </x:c>
      <x:c r="K446" s="9" t="n">
        <x:v>7.2</x:v>
      </x:c>
      <x:c r="L446" s="7" t="n">
        <x:v>2025</x:v>
      </x:c>
      <x:c r="M446" s="11" t="n">
        <x:v>19713</x:v>
      </x:c>
      <x:c r="N446" s="7" t="n">
        <x:v>2</x:v>
      </x:c>
      <x:c r="O446" s="7" t="n">
        <x:v>0</x:v>
      </x:c>
      <x:c r="P446" s="9" t="n">
        <x:v>6.06</x:v>
      </x:c>
      <x:c r="Q446" s="7" t="n">
        <x:f>'Guide'!$B$5-L446</x:f>
        <x:v>1</x:v>
      </x:c>
      <x:c r="R446" s="9" t="n">
        <x:f>K446-P446</x:f>
        <x:v>1.1400000000000006</x:v>
      </x:c>
      <x:c r="S446" s="10" t="n">
        <x:f>IF(K446&gt;0,R446/K446,"")</x:f>
        <x:v>0.1583333333333334</x:v>
      </x:c>
    </x:row>
    <x:row r="447">
      <x:c r="A447" s="7" t="n">
        <x:v>443</x:v>
      </x:c>
      <x:c r="B447" s="7" t="str">
        <x:v>Tata</x:v>
      </x:c>
      <x:c r="C447" s="7" t="str">
        <x:v>Tiago</x:v>
      </x:c>
      <x:c r="D447" s="7" t="str">
        <x:v>XTA</x:v>
      </x:c>
      <x:c r="E447" s="7" t="str">
        <x:v>Petrol</x:v>
      </x:c>
      <x:c r="F447" s="7" t="str">
        <x:v>Automatic</x:v>
      </x:c>
      <x:c r="G447" s="7" t="str">
        <x:v>Hatchback</x:v>
      </x:c>
      <x:c r="H447" s="7" t="n">
        <x:v>1199</x:v>
      </x:c>
      <x:c r="I447" s="7" t="n">
        <x:v>85</x:v>
      </x:c>
      <x:c r="J447" s="9" t="n">
        <x:v>19</x:v>
      </x:c>
      <x:c r="K447" s="9" t="n">
        <x:v>7.2</x:v>
      </x:c>
      <x:c r="L447" s="7" t="n">
        <x:v>2021</x:v>
      </x:c>
      <x:c r="M447" s="11" t="n">
        <x:v>53717</x:v>
      </x:c>
      <x:c r="N447" s="7" t="n">
        <x:v>1</x:v>
      </x:c>
      <x:c r="O447" s="7" t="n">
        <x:v>0</x:v>
      </x:c>
      <x:c r="P447" s="9" t="n">
        <x:v>4.05</x:v>
      </x:c>
      <x:c r="Q447" s="7" t="n">
        <x:f>'Guide'!$B$5-L447</x:f>
        <x:v>5</x:v>
      </x:c>
      <x:c r="R447" s="9" t="n">
        <x:f>K447-P447</x:f>
        <x:v>3.1500000000000004</x:v>
      </x:c>
      <x:c r="S447" s="10" t="n">
        <x:f>IF(K447&gt;0,R447/K447,"")</x:f>
        <x:v>0.43750000000000006</x:v>
      </x:c>
    </x:row>
    <x:row r="448">
      <x:c r="A448" s="7" t="n">
        <x:v>444</x:v>
      </x:c>
      <x:c r="B448" s="7" t="str">
        <x:v>Tata</x:v>
      </x:c>
      <x:c r="C448" s="7" t="str">
        <x:v>Tiago</x:v>
      </x:c>
      <x:c r="D448" s="7" t="str">
        <x:v>XTA</x:v>
      </x:c>
      <x:c r="E448" s="7" t="str">
        <x:v>Petrol</x:v>
      </x:c>
      <x:c r="F448" s="7" t="str">
        <x:v>Automatic</x:v>
      </x:c>
      <x:c r="G448" s="7" t="str">
        <x:v>Hatchback</x:v>
      </x:c>
      <x:c r="H448" s="7" t="n">
        <x:v>1199</x:v>
      </x:c>
      <x:c r="I448" s="7" t="n">
        <x:v>85</x:v>
      </x:c>
      <x:c r="J448" s="9" t="n">
        <x:v>19</x:v>
      </x:c>
      <x:c r="K448" s="9" t="n">
        <x:v>7.2</x:v>
      </x:c>
      <x:c r="L448" s="7" t="n">
        <x:v>2026</x:v>
      </x:c>
      <x:c r="M448" s="11" t="n">
        <x:v>8945</x:v>
      </x:c>
      <x:c r="N448" s="7" t="n">
        <x:v>2</x:v>
      </x:c>
      <x:c r="O448" s="7" t="n">
        <x:v>0</x:v>
      </x:c>
      <x:c r="P448" s="9" t="n">
        <x:v>6.5</x:v>
      </x:c>
      <x:c r="Q448" s="7" t="n">
        <x:f>'Guide'!$B$5-L448</x:f>
        <x:v>0</x:v>
      </x:c>
      <x:c r="R448" s="9" t="n">
        <x:f>K448-P448</x:f>
        <x:v>0.7000000000000002</x:v>
      </x:c>
      <x:c r="S448" s="10" t="n">
        <x:f>IF(K448&gt;0,R448/K448,"")</x:f>
        <x:v>0.09722222222222224</x:v>
      </x:c>
    </x:row>
    <x:row r="449">
      <x:c r="A449" s="7" t="n">
        <x:v>445</x:v>
      </x:c>
      <x:c r="B449" s="7" t="str">
        <x:v>Tata</x:v>
      </x:c>
      <x:c r="C449" s="7" t="str">
        <x:v>Tiago</x:v>
      </x:c>
      <x:c r="D449" s="7" t="str">
        <x:v>XTA</x:v>
      </x:c>
      <x:c r="E449" s="7" t="str">
        <x:v>Petrol</x:v>
      </x:c>
      <x:c r="F449" s="7" t="str">
        <x:v>Automatic</x:v>
      </x:c>
      <x:c r="G449" s="7" t="str">
        <x:v>Hatchback</x:v>
      </x:c>
      <x:c r="H449" s="7" t="n">
        <x:v>1199</x:v>
      </x:c>
      <x:c r="I449" s="7" t="n">
        <x:v>85</x:v>
      </x:c>
      <x:c r="J449" s="9" t="n">
        <x:v>19</x:v>
      </x:c>
      <x:c r="K449" s="9" t="n">
        <x:v>7.2</x:v>
      </x:c>
      <x:c r="L449" s="7" t="n">
        <x:v>2020</x:v>
      </x:c>
      <x:c r="M449" s="11" t="n">
        <x:v>106740</x:v>
      </x:c>
      <x:c r="N449" s="7" t="n">
        <x:v>2</x:v>
      </x:c>
      <x:c r="O449" s="7" t="n">
        <x:v>0</x:v>
      </x:c>
      <x:c r="P449" s="9" t="n">
        <x:v>2.25</x:v>
      </x:c>
      <x:c r="Q449" s="7" t="n">
        <x:f>'Guide'!$B$5-L449</x:f>
        <x:v>6</x:v>
      </x:c>
      <x:c r="R449" s="9" t="n">
        <x:f>K449-P449</x:f>
        <x:v>4.95</x:v>
      </x:c>
      <x:c r="S449" s="10" t="n">
        <x:f>IF(K449&gt;0,R449/K449,"")</x:f>
        <x:v>0.6875</x:v>
      </x:c>
    </x:row>
    <x:row r="450">
      <x:c r="A450" s="7" t="n">
        <x:v>446</x:v>
      </x:c>
      <x:c r="B450" s="7" t="str">
        <x:v>Tata</x:v>
      </x:c>
      <x:c r="C450" s="7" t="str">
        <x:v>Tiago</x:v>
      </x:c>
      <x:c r="D450" s="7" t="str">
        <x:v>XTA</x:v>
      </x:c>
      <x:c r="E450" s="7" t="str">
        <x:v>Petrol</x:v>
      </x:c>
      <x:c r="F450" s="7" t="str">
        <x:v>Automatic</x:v>
      </x:c>
      <x:c r="G450" s="7" t="str">
        <x:v>Hatchback</x:v>
      </x:c>
      <x:c r="H450" s="7" t="n">
        <x:v>1199</x:v>
      </x:c>
      <x:c r="I450" s="7" t="n">
        <x:v>85</x:v>
      </x:c>
      <x:c r="J450" s="9" t="n">
        <x:v>19</x:v>
      </x:c>
      <x:c r="K450" s="9" t="n">
        <x:v>7.2</x:v>
      </x:c>
      <x:c r="L450" s="7" t="n">
        <x:v>2024</x:v>
      </x:c>
      <x:c r="M450" s="11" t="n">
        <x:v>47251</x:v>
      </x:c>
      <x:c r="N450" s="7" t="n">
        <x:v>1</x:v>
      </x:c>
      <x:c r="O450" s="7" t="n">
        <x:v>0</x:v>
      </x:c>
      <x:c r="P450" s="9" t="n">
        <x:v>5.91</x:v>
      </x:c>
      <x:c r="Q450" s="7" t="n">
        <x:f>'Guide'!$B$5-L450</x:f>
        <x:v>2</x:v>
      </x:c>
      <x:c r="R450" s="9" t="n">
        <x:f>K450-P450</x:f>
        <x:v>1.29</x:v>
      </x:c>
      <x:c r="S450" s="10" t="n">
        <x:f>IF(K450&gt;0,R450/K450,"")</x:f>
        <x:v>0.17916666666666667</x:v>
      </x:c>
    </x:row>
    <x:row r="451">
      <x:c r="A451" s="7" t="n">
        <x:v>447</x:v>
      </x:c>
      <x:c r="B451" s="7" t="str">
        <x:v>Tata</x:v>
      </x:c>
      <x:c r="C451" s="7" t="str">
        <x:v>Tiago</x:v>
      </x:c>
      <x:c r="D451" s="7" t="str">
        <x:v>XTA</x:v>
      </x:c>
      <x:c r="E451" s="7" t="str">
        <x:v>Petrol</x:v>
      </x:c>
      <x:c r="F451" s="7" t="str">
        <x:v>Automatic</x:v>
      </x:c>
      <x:c r="G451" s="7" t="str">
        <x:v>Hatchback</x:v>
      </x:c>
      <x:c r="H451" s="7" t="n">
        <x:v>1199</x:v>
      </x:c>
      <x:c r="I451" s="7" t="n">
        <x:v>85</x:v>
      </x:c>
      <x:c r="J451" s="9" t="n">
        <x:v>19</x:v>
      </x:c>
      <x:c r="K451" s="9" t="n">
        <x:v>7.2</x:v>
      </x:c>
      <x:c r="L451" s="7" t="n">
        <x:v>2020</x:v>
      </x:c>
      <x:c r="M451" s="11" t="n">
        <x:v>107021</x:v>
      </x:c>
      <x:c r="N451" s="7" t="n">
        <x:v>1</x:v>
      </x:c>
      <x:c r="O451" s="7" t="n">
        <x:v>1</x:v>
      </x:c>
      <x:c r="P451" s="9" t="n">
        <x:v>1.69</x:v>
      </x:c>
      <x:c r="Q451" s="7" t="n">
        <x:f>'Guide'!$B$5-L451</x:f>
        <x:v>6</x:v>
      </x:c>
      <x:c r="R451" s="9" t="n">
        <x:f>K451-P451</x:f>
        <x:v>5.51</x:v>
      </x:c>
      <x:c r="S451" s="10" t="n">
        <x:f>IF(K451&gt;0,R451/K451,"")</x:f>
        <x:v>0.7652777777777777</x:v>
      </x:c>
    </x:row>
    <x:row r="452">
      <x:c r="A452" s="7" t="n">
        <x:v>448</x:v>
      </x:c>
      <x:c r="B452" s="7" t="str">
        <x:v>Tata</x:v>
      </x:c>
      <x:c r="C452" s="7" t="str">
        <x:v>Tiago</x:v>
      </x:c>
      <x:c r="D452" s="7" t="str">
        <x:v>XTA</x:v>
      </x:c>
      <x:c r="E452" s="7" t="str">
        <x:v>Petrol</x:v>
      </x:c>
      <x:c r="F452" s="7" t="str">
        <x:v>Automatic</x:v>
      </x:c>
      <x:c r="G452" s="7" t="str">
        <x:v>Hatchback</x:v>
      </x:c>
      <x:c r="H452" s="7" t="n">
        <x:v>1199</x:v>
      </x:c>
      <x:c r="I452" s="7" t="n">
        <x:v>85</x:v>
      </x:c>
      <x:c r="J452" s="9" t="n">
        <x:v>19</x:v>
      </x:c>
      <x:c r="K452" s="9" t="n">
        <x:v>7.2</x:v>
      </x:c>
      <x:c r="L452" s="7" t="n">
        <x:v>2025</x:v>
      </x:c>
      <x:c r="M452" s="11" t="n">
        <x:v>24451</x:v>
      </x:c>
      <x:c r="N452" s="7" t="n">
        <x:v>1</x:v>
      </x:c>
      <x:c r="O452" s="7" t="n">
        <x:v>0</x:v>
      </x:c>
      <x:c r="P452" s="9" t="n">
        <x:v>6.22</x:v>
      </x:c>
      <x:c r="Q452" s="7" t="n">
        <x:f>'Guide'!$B$5-L452</x:f>
        <x:v>1</x:v>
      </x:c>
      <x:c r="R452" s="9" t="n">
        <x:f>K452-P452</x:f>
        <x:v>0.9800000000000004</x:v>
      </x:c>
      <x:c r="S452" s="10" t="n">
        <x:f>IF(K452&gt;0,R452/K452,"")</x:f>
        <x:v>0.13611111111111115</x:v>
      </x:c>
    </x:row>
    <x:row r="453">
      <x:c r="A453" s="7" t="n">
        <x:v>449</x:v>
      </x:c>
      <x:c r="B453" s="7" t="str">
        <x:v>Tata</x:v>
      </x:c>
      <x:c r="C453" s="7" t="str">
        <x:v>Tiago</x:v>
      </x:c>
      <x:c r="D453" s="7" t="str">
        <x:v>XTA</x:v>
      </x:c>
      <x:c r="E453" s="7" t="str">
        <x:v>Petrol</x:v>
      </x:c>
      <x:c r="F453" s="7" t="str">
        <x:v>Automatic</x:v>
      </x:c>
      <x:c r="G453" s="7" t="str">
        <x:v>Hatchback</x:v>
      </x:c>
      <x:c r="H453" s="7" t="n">
        <x:v>1199</x:v>
      </x:c>
      <x:c r="I453" s="7" t="n">
        <x:v>85</x:v>
      </x:c>
      <x:c r="J453" s="9" t="n">
        <x:v>19</x:v>
      </x:c>
      <x:c r="K453" s="9" t="n">
        <x:v>7.2</x:v>
      </x:c>
      <x:c r="L453" s="7" t="n">
        <x:v>2020</x:v>
      </x:c>
      <x:c r="M453" s="11" t="n">
        <x:v>63235</x:v>
      </x:c>
      <x:c r="N453" s="7" t="n">
        <x:v>1</x:v>
      </x:c>
      <x:c r="O453" s="7" t="n">
        <x:v>1</x:v>
      </x:c>
      <x:c r="P453" s="9" t="n">
        <x:v>2.03</x:v>
      </x:c>
      <x:c r="Q453" s="7" t="n">
        <x:f>'Guide'!$B$5-L453</x:f>
        <x:v>6</x:v>
      </x:c>
      <x:c r="R453" s="9" t="n">
        <x:f>K453-P453</x:f>
        <x:v>5.17</x:v>
      </x:c>
      <x:c r="S453" s="10" t="n">
        <x:f>IF(K453&gt;0,R453/K453,"")</x:f>
        <x:v>0.7180555555555556</x:v>
      </x:c>
    </x:row>
    <x:row r="454">
      <x:c r="A454" s="7" t="n">
        <x:v>450</x:v>
      </x:c>
      <x:c r="B454" s="7" t="str">
        <x:v>Tata</x:v>
      </x:c>
      <x:c r="C454" s="7" t="str">
        <x:v>Tiago</x:v>
      </x:c>
      <x:c r="D454" s="7" t="str">
        <x:v>XTA</x:v>
      </x:c>
      <x:c r="E454" s="7" t="str">
        <x:v>Petrol</x:v>
      </x:c>
      <x:c r="F454" s="7" t="str">
        <x:v>Automatic</x:v>
      </x:c>
      <x:c r="G454" s="7" t="str">
        <x:v>Hatchback</x:v>
      </x:c>
      <x:c r="H454" s="7" t="n">
        <x:v>1199</x:v>
      </x:c>
      <x:c r="I454" s="7" t="n">
        <x:v>85</x:v>
      </x:c>
      <x:c r="J454" s="9" t="n">
        <x:v>19</x:v>
      </x:c>
      <x:c r="K454" s="9" t="n">
        <x:v>7.2</x:v>
      </x:c>
      <x:c r="L454" s="7" t="n">
        <x:v>2022</x:v>
      </x:c>
      <x:c r="M454" s="11" t="n">
        <x:v>69153</x:v>
      </x:c>
      <x:c r="N454" s="7" t="n">
        <x:v>1</x:v>
      </x:c>
      <x:c r="O454" s="7" t="n">
        <x:v>0</x:v>
      </x:c>
      <x:c r="P454" s="9" t="n">
        <x:v>4.49</x:v>
      </x:c>
      <x:c r="Q454" s="7" t="n">
        <x:f>'Guide'!$B$5-L454</x:f>
        <x:v>4</x:v>
      </x:c>
      <x:c r="R454" s="9" t="n">
        <x:f>K454-P454</x:f>
        <x:v>2.71</x:v>
      </x:c>
      <x:c r="S454" s="10" t="n">
        <x:f>IF(K454&gt;0,R454/K454,"")</x:f>
        <x:v>0.3763888888888889</x:v>
      </x:c>
    </x:row>
    <x:row r="455">
      <x:c r="A455" s="7" t="n">
        <x:v>451</x:v>
      </x:c>
      <x:c r="B455" s="7" t="str">
        <x:v>Tata</x:v>
      </x:c>
      <x:c r="C455" s="7" t="str">
        <x:v>Tiago</x:v>
      </x:c>
      <x:c r="D455" s="7" t="str">
        <x:v>XTA</x:v>
      </x:c>
      <x:c r="E455" s="7" t="str">
        <x:v>Petrol</x:v>
      </x:c>
      <x:c r="F455" s="7" t="str">
        <x:v>Automatic</x:v>
      </x:c>
      <x:c r="G455" s="7" t="str">
        <x:v>Hatchback</x:v>
      </x:c>
      <x:c r="H455" s="7" t="n">
        <x:v>1199</x:v>
      </x:c>
      <x:c r="I455" s="7" t="n">
        <x:v>85</x:v>
      </x:c>
      <x:c r="J455" s="9" t="n">
        <x:v>19</x:v>
      </x:c>
      <x:c r="K455" s="9" t="n">
        <x:v>7.2</x:v>
      </x:c>
      <x:c r="L455" s="7" t="n">
        <x:v>2023</x:v>
      </x:c>
      <x:c r="M455" s="11" t="n">
        <x:v>28698</x:v>
      </x:c>
      <x:c r="N455" s="7" t="n">
        <x:v>2</x:v>
      </x:c>
      <x:c r="O455" s="7" t="n">
        <x:v>0</x:v>
      </x:c>
      <x:c r="P455" s="9" t="n">
        <x:v>4.83</x:v>
      </x:c>
      <x:c r="Q455" s="7" t="n">
        <x:f>'Guide'!$B$5-L455</x:f>
        <x:v>3</x:v>
      </x:c>
      <x:c r="R455" s="9" t="n">
        <x:f>K455-P455</x:f>
        <x:v>2.37</x:v>
      </x:c>
      <x:c r="S455" s="10" t="n">
        <x:f>IF(K455&gt;0,R455/K455,"")</x:f>
        <x:v>0.32916666666666666</x:v>
      </x:c>
    </x:row>
    <x:row r="456">
      <x:c r="A456" s="7" t="n">
        <x:v>452</x:v>
      </x:c>
      <x:c r="B456" s="7" t="str">
        <x:v>Tata</x:v>
      </x:c>
      <x:c r="C456" s="7" t="str">
        <x:v>Tiago</x:v>
      </x:c>
      <x:c r="D456" s="7" t="str">
        <x:v>XTA</x:v>
      </x:c>
      <x:c r="E456" s="7" t="str">
        <x:v>Petrol</x:v>
      </x:c>
      <x:c r="F456" s="7" t="str">
        <x:v>Automatic</x:v>
      </x:c>
      <x:c r="G456" s="7" t="str">
        <x:v>Hatchback</x:v>
      </x:c>
      <x:c r="H456" s="7" t="n">
        <x:v>1199</x:v>
      </x:c>
      <x:c r="I456" s="7" t="n">
        <x:v>85</x:v>
      </x:c>
      <x:c r="J456" s="9" t="n">
        <x:v>19</x:v>
      </x:c>
      <x:c r="K456" s="9" t="n">
        <x:v>7.2</x:v>
      </x:c>
      <x:c r="L456" s="7" t="n">
        <x:v>2021</x:v>
      </x:c>
      <x:c r="M456" s="11" t="n">
        <x:v>97186</x:v>
      </x:c>
      <x:c r="N456" s="7" t="n">
        <x:v>1</x:v>
      </x:c>
      <x:c r="O456" s="7" t="n">
        <x:v>0</x:v>
      </x:c>
      <x:c r="P456" s="9" t="n">
        <x:v>3.49</x:v>
      </x:c>
      <x:c r="Q456" s="7" t="n">
        <x:f>'Guide'!$B$5-L456</x:f>
        <x:v>5</x:v>
      </x:c>
      <x:c r="R456" s="9" t="n">
        <x:f>K456-P456</x:f>
        <x:v>3.71</x:v>
      </x:c>
      <x:c r="S456" s="10" t="n">
        <x:f>IF(K456&gt;0,R456/K456,"")</x:f>
        <x:v>0.5152777777777777</x:v>
      </x:c>
    </x:row>
    <x:row r="457">
      <x:c r="A457" s="7" t="n">
        <x:v>453</x:v>
      </x:c>
      <x:c r="B457" s="7" t="str">
        <x:v>Tata</x:v>
      </x:c>
      <x:c r="C457" s="7" t="str">
        <x:v>Tiago</x:v>
      </x:c>
      <x:c r="D457" s="7" t="str">
        <x:v>XTA</x:v>
      </x:c>
      <x:c r="E457" s="7" t="str">
        <x:v>Petrol</x:v>
      </x:c>
      <x:c r="F457" s="7" t="str">
        <x:v>Automatic</x:v>
      </x:c>
      <x:c r="G457" s="7" t="str">
        <x:v>Hatchback</x:v>
      </x:c>
      <x:c r="H457" s="7" t="n">
        <x:v>1199</x:v>
      </x:c>
      <x:c r="I457" s="7" t="n">
        <x:v>85</x:v>
      </x:c>
      <x:c r="J457" s="9" t="n">
        <x:v>19</x:v>
      </x:c>
      <x:c r="K457" s="9" t="n">
        <x:v>7.2</x:v>
      </x:c>
      <x:c r="L457" s="7" t="n">
        <x:v>2022</x:v>
      </x:c>
      <x:c r="M457" s="11" t="n">
        <x:v>65836</x:v>
      </x:c>
      <x:c r="N457" s="7" t="n">
        <x:v>2</x:v>
      </x:c>
      <x:c r="O457" s="7" t="n">
        <x:v>0</x:v>
      </x:c>
      <x:c r="P457" s="9" t="n">
        <x:v>4.05</x:v>
      </x:c>
      <x:c r="Q457" s="7" t="n">
        <x:f>'Guide'!$B$5-L457</x:f>
        <x:v>4</x:v>
      </x:c>
      <x:c r="R457" s="9" t="n">
        <x:f>K457-P457</x:f>
        <x:v>3.1500000000000004</x:v>
      </x:c>
      <x:c r="S457" s="10" t="n">
        <x:f>IF(K457&gt;0,R457/K457,"")</x:f>
        <x:v>0.43750000000000006</x:v>
      </x:c>
    </x:row>
    <x:row r="458">
      <x:c r="A458" s="7" t="n">
        <x:v>454</x:v>
      </x:c>
      <x:c r="B458" s="7" t="str">
        <x:v>Tata</x:v>
      </x:c>
      <x:c r="C458" s="7" t="str">
        <x:v>Tiago</x:v>
      </x:c>
      <x:c r="D458" s="7" t="str">
        <x:v>XTA</x:v>
      </x:c>
      <x:c r="E458" s="7" t="str">
        <x:v>Petrol</x:v>
      </x:c>
      <x:c r="F458" s="7" t="str">
        <x:v>Automatic</x:v>
      </x:c>
      <x:c r="G458" s="7" t="str">
        <x:v>Hatchback</x:v>
      </x:c>
      <x:c r="H458" s="7" t="n">
        <x:v>1199</x:v>
      </x:c>
      <x:c r="I458" s="7" t="n">
        <x:v>85</x:v>
      </x:c>
      <x:c r="J458" s="9" t="n">
        <x:v>19</x:v>
      </x:c>
      <x:c r="K458" s="9" t="n">
        <x:v>7.2</x:v>
      </x:c>
      <x:c r="L458" s="7" t="n">
        <x:v>2023</x:v>
      </x:c>
      <x:c r="M458" s="11" t="n">
        <x:v>47275</x:v>
      </x:c>
      <x:c r="N458" s="7" t="n">
        <x:v>1</x:v>
      </x:c>
      <x:c r="O458" s="7" t="n">
        <x:v>1</x:v>
      </x:c>
      <x:c r="P458" s="9" t="n">
        <x:v>3.87</x:v>
      </x:c>
      <x:c r="Q458" s="7" t="n">
        <x:f>'Guide'!$B$5-L458</x:f>
        <x:v>3</x:v>
      </x:c>
      <x:c r="R458" s="9" t="n">
        <x:f>K458-P458</x:f>
        <x:v>3.33</x:v>
      </x:c>
      <x:c r="S458" s="10" t="n">
        <x:f>IF(K458&gt;0,R458/K458,"")</x:f>
        <x:v>0.4625</x:v>
      </x:c>
    </x:row>
    <x:row r="459">
      <x:c r="A459" s="7" t="n">
        <x:v>455</x:v>
      </x:c>
      <x:c r="B459" s="7" t="str">
        <x:v>Tata</x:v>
      </x:c>
      <x:c r="C459" s="7" t="str">
        <x:v>Tiago</x:v>
      </x:c>
      <x:c r="D459" s="7" t="str">
        <x:v>XTA</x:v>
      </x:c>
      <x:c r="E459" s="7" t="str">
        <x:v>Petrol</x:v>
      </x:c>
      <x:c r="F459" s="7" t="str">
        <x:v>Automatic</x:v>
      </x:c>
      <x:c r="G459" s="7" t="str">
        <x:v>Hatchback</x:v>
      </x:c>
      <x:c r="H459" s="7" t="n">
        <x:v>1199</x:v>
      </x:c>
      <x:c r="I459" s="7" t="n">
        <x:v>85</x:v>
      </x:c>
      <x:c r="J459" s="9" t="n">
        <x:v>19</x:v>
      </x:c>
      <x:c r="K459" s="9" t="n">
        <x:v>7.2</x:v>
      </x:c>
      <x:c r="L459" s="7" t="n">
        <x:v>2025</x:v>
      </x:c>
      <x:c r="M459" s="11" t="n">
        <x:v>21486</x:v>
      </x:c>
      <x:c r="N459" s="7" t="n">
        <x:v>1</x:v>
      </x:c>
      <x:c r="O459" s="7" t="n">
        <x:v>0</x:v>
      </x:c>
      <x:c r="P459" s="9" t="n">
        <x:v>6.78</x:v>
      </x:c>
      <x:c r="Q459" s="7" t="n">
        <x:f>'Guide'!$B$5-L459</x:f>
        <x:v>1</x:v>
      </x:c>
      <x:c r="R459" s="9" t="n">
        <x:f>K459-P459</x:f>
        <x:v>0.41999999999999993</x:v>
      </x:c>
      <x:c r="S459" s="10" t="n">
        <x:f>IF(K459&gt;0,R459/K459,"")</x:f>
        <x:v>0.05833333333333332</x:v>
      </x:c>
    </x:row>
    <x:row r="460">
      <x:c r="A460" s="7" t="n">
        <x:v>456</x:v>
      </x:c>
      <x:c r="B460" s="7" t="str">
        <x:v>Tata</x:v>
      </x:c>
      <x:c r="C460" s="7" t="str">
        <x:v>Tiago</x:v>
      </x:c>
      <x:c r="D460" s="7" t="str">
        <x:v>XTA</x:v>
      </x:c>
      <x:c r="E460" s="7" t="str">
        <x:v>Petrol</x:v>
      </x:c>
      <x:c r="F460" s="7" t="str">
        <x:v>Automatic</x:v>
      </x:c>
      <x:c r="G460" s="7" t="str">
        <x:v>Hatchback</x:v>
      </x:c>
      <x:c r="H460" s="7" t="n">
        <x:v>1199</x:v>
      </x:c>
      <x:c r="I460" s="7" t="n">
        <x:v>85</x:v>
      </x:c>
      <x:c r="J460" s="9" t="n">
        <x:v>19</x:v>
      </x:c>
      <x:c r="K460" s="9" t="n">
        <x:v>7.2</x:v>
      </x:c>
      <x:c r="L460" s="7" t="n">
        <x:v>2022</x:v>
      </x:c>
      <x:c r="M460" s="11" t="n">
        <x:v>89098</x:v>
      </x:c>
      <x:c r="N460" s="7" t="n">
        <x:v>1</x:v>
      </x:c>
      <x:c r="O460" s="7" t="n">
        <x:v>0</x:v>
      </x:c>
      <x:c r="P460" s="9" t="n">
        <x:v>4.47</x:v>
      </x:c>
      <x:c r="Q460" s="7" t="n">
        <x:f>'Guide'!$B$5-L460</x:f>
        <x:v>4</x:v>
      </x:c>
      <x:c r="R460" s="9" t="n">
        <x:f>K460-P460</x:f>
        <x:v>2.7300000000000004</x:v>
      </x:c>
      <x:c r="S460" s="10" t="n">
        <x:f>IF(K460&gt;0,R460/K460,"")</x:f>
        <x:v>0.3791666666666667</x:v>
      </x:c>
    </x:row>
    <x:row r="461">
      <x:c r="A461" s="7" t="n">
        <x:v>457</x:v>
      </x:c>
      <x:c r="B461" s="7" t="str">
        <x:v>Tata</x:v>
      </x:c>
      <x:c r="C461" s="7" t="str">
        <x:v>Tiago</x:v>
      </x:c>
      <x:c r="D461" s="7" t="str">
        <x:v>XTA</x:v>
      </x:c>
      <x:c r="E461" s="7" t="str">
        <x:v>Petrol</x:v>
      </x:c>
      <x:c r="F461" s="7" t="str">
        <x:v>Automatic</x:v>
      </x:c>
      <x:c r="G461" s="7" t="str">
        <x:v>Hatchback</x:v>
      </x:c>
      <x:c r="H461" s="7" t="n">
        <x:v>1199</x:v>
      </x:c>
      <x:c r="I461" s="7" t="n">
        <x:v>85</x:v>
      </x:c>
      <x:c r="J461" s="9" t="n">
        <x:v>19</x:v>
      </x:c>
      <x:c r="K461" s="9" t="n">
        <x:v>7.2</x:v>
      </x:c>
      <x:c r="L461" s="7" t="n">
        <x:v>2020</x:v>
      </x:c>
      <x:c r="M461" s="11" t="n">
        <x:v>53975</x:v>
      </x:c>
      <x:c r="N461" s="7" t="n">
        <x:v>1</x:v>
      </x:c>
      <x:c r="O461" s="7" t="n">
        <x:v>0</x:v>
      </x:c>
      <x:c r="P461" s="9" t="n">
        <x:v>3.31</x:v>
      </x:c>
      <x:c r="Q461" s="7" t="n">
        <x:f>'Guide'!$B$5-L461</x:f>
        <x:v>6</x:v>
      </x:c>
      <x:c r="R461" s="9" t="n">
        <x:f>K461-P461</x:f>
        <x:v>3.89</x:v>
      </x:c>
      <x:c r="S461" s="10" t="n">
        <x:f>IF(K461&gt;0,R461/K461,"")</x:f>
        <x:v>0.5402777777777777</x:v>
      </x:c>
    </x:row>
    <x:row r="462">
      <x:c r="A462" s="7" t="n">
        <x:v>458</x:v>
      </x:c>
      <x:c r="B462" s="7" t="str">
        <x:v>Tata</x:v>
      </x:c>
      <x:c r="C462" s="7" t="str">
        <x:v>Tiago</x:v>
      </x:c>
      <x:c r="D462" s="7" t="str">
        <x:v>XTA</x:v>
      </x:c>
      <x:c r="E462" s="7" t="str">
        <x:v>Petrol</x:v>
      </x:c>
      <x:c r="F462" s="7" t="str">
        <x:v>Automatic</x:v>
      </x:c>
      <x:c r="G462" s="7" t="str">
        <x:v>Hatchback</x:v>
      </x:c>
      <x:c r="H462" s="7" t="n">
        <x:v>1199</x:v>
      </x:c>
      <x:c r="I462" s="7" t="n">
        <x:v>85</x:v>
      </x:c>
      <x:c r="J462" s="9" t="n">
        <x:v>19</x:v>
      </x:c>
      <x:c r="K462" s="9" t="n">
        <x:v>7.2</x:v>
      </x:c>
      <x:c r="L462" s="7" t="n">
        <x:v>2020</x:v>
      </x:c>
      <x:c r="M462" s="11" t="n">
        <x:v>96746</x:v>
      </x:c>
      <x:c r="N462" s="7" t="n">
        <x:v>1</x:v>
      </x:c>
      <x:c r="O462" s="7" t="n">
        <x:v>0</x:v>
      </x:c>
      <x:c r="P462" s="9" t="n">
        <x:v>3.21</x:v>
      </x:c>
      <x:c r="Q462" s="7" t="n">
        <x:f>'Guide'!$B$5-L462</x:f>
        <x:v>6</x:v>
      </x:c>
      <x:c r="R462" s="9" t="n">
        <x:f>K462-P462</x:f>
        <x:v>3.99</x:v>
      </x:c>
      <x:c r="S462" s="10" t="n">
        <x:f>IF(K462&gt;0,R462/K462,"")</x:f>
        <x:v>0.5541666666666667</x:v>
      </x:c>
    </x:row>
    <x:row r="463">
      <x:c r="A463" s="7" t="n">
        <x:v>459</x:v>
      </x:c>
      <x:c r="B463" s="7" t="str">
        <x:v>Tata</x:v>
      </x:c>
      <x:c r="C463" s="7" t="str">
        <x:v>Tiago</x:v>
      </x:c>
      <x:c r="D463" s="7" t="str">
        <x:v>XTA</x:v>
      </x:c>
      <x:c r="E463" s="7" t="str">
        <x:v>Petrol</x:v>
      </x:c>
      <x:c r="F463" s="7" t="str">
        <x:v>Automatic</x:v>
      </x:c>
      <x:c r="G463" s="7" t="str">
        <x:v>Hatchback</x:v>
      </x:c>
      <x:c r="H463" s="7" t="n">
        <x:v>1199</x:v>
      </x:c>
      <x:c r="I463" s="7" t="n">
        <x:v>85</x:v>
      </x:c>
      <x:c r="J463" s="9" t="n">
        <x:v>19</x:v>
      </x:c>
      <x:c r="K463" s="9" t="n">
        <x:v>7.2</x:v>
      </x:c>
      <x:c r="L463" s="7" t="n">
        <x:v>2020</x:v>
      </x:c>
      <x:c r="M463" s="11" t="n">
        <x:v>125689</x:v>
      </x:c>
      <x:c r="N463" s="7" t="n">
        <x:v>1</x:v>
      </x:c>
      <x:c r="O463" s="7" t="n">
        <x:v>0</x:v>
      </x:c>
      <x:c r="P463" s="9" t="n">
        <x:v>2.81</x:v>
      </x:c>
      <x:c r="Q463" s="7" t="n">
        <x:f>'Guide'!$B$5-L463</x:f>
        <x:v>6</x:v>
      </x:c>
      <x:c r="R463" s="9" t="n">
        <x:f>K463-P463</x:f>
        <x:v>4.390000000000001</x:v>
      </x:c>
      <x:c r="S463" s="10" t="n">
        <x:f>IF(K463&gt;0,R463/K463,"")</x:f>
        <x:v>0.6097222222222223</x:v>
      </x:c>
    </x:row>
    <x:row r="464">
      <x:c r="A464" s="7" t="n">
        <x:v>460</x:v>
      </x:c>
      <x:c r="B464" s="7" t="str">
        <x:v>Tata</x:v>
      </x:c>
      <x:c r="C464" s="7" t="str">
        <x:v>Tiago</x:v>
      </x:c>
      <x:c r="D464" s="7" t="str">
        <x:v>XTA</x:v>
      </x:c>
      <x:c r="E464" s="7" t="str">
        <x:v>Petrol</x:v>
      </x:c>
      <x:c r="F464" s="7" t="str">
        <x:v>Automatic</x:v>
      </x:c>
      <x:c r="G464" s="7" t="str">
        <x:v>Hatchback</x:v>
      </x:c>
      <x:c r="H464" s="7" t="n">
        <x:v>1199</x:v>
      </x:c>
      <x:c r="I464" s="7" t="n">
        <x:v>85</x:v>
      </x:c>
      <x:c r="J464" s="9" t="n">
        <x:v>19</x:v>
      </x:c>
      <x:c r="K464" s="9" t="n">
        <x:v>7.2</x:v>
      </x:c>
      <x:c r="L464" s="7" t="n">
        <x:v>2026</x:v>
      </x:c>
      <x:c r="M464" s="11" t="n">
        <x:v>6139</x:v>
      </x:c>
      <x:c r="N464" s="7" t="n">
        <x:v>1</x:v>
      </x:c>
      <x:c r="O464" s="7" t="n">
        <x:v>0</x:v>
      </x:c>
      <x:c r="P464" s="9" t="n">
        <x:v>7.48</x:v>
      </x:c>
      <x:c r="Q464" s="7" t="n">
        <x:f>'Guide'!$B$5-L464</x:f>
        <x:v>0</x:v>
      </x:c>
      <x:c r="R464" s="9" t="n">
        <x:f>K464-P464</x:f>
        <x:v>-0.28000000000000025</x:v>
      </x:c>
      <x:c r="S464" s="10" t="n">
        <x:f>IF(K464&gt;0,R464/K464,"")</x:f>
        <x:v>-0.038888888888888924</x:v>
      </x:c>
    </x:row>
    <x:row r="465">
      <x:c r="A465" s="7" t="n">
        <x:v>461</x:v>
      </x:c>
      <x:c r="B465" s="7" t="str">
        <x:v>Tata</x:v>
      </x:c>
      <x:c r="C465" s="7" t="str">
        <x:v>Tiago</x:v>
      </x:c>
      <x:c r="D465" s="7" t="str">
        <x:v>XTA</x:v>
      </x:c>
      <x:c r="E465" s="7" t="str">
        <x:v>Petrol</x:v>
      </x:c>
      <x:c r="F465" s="7" t="str">
        <x:v>Automatic</x:v>
      </x:c>
      <x:c r="G465" s="7" t="str">
        <x:v>Hatchback</x:v>
      </x:c>
      <x:c r="H465" s="7" t="n">
        <x:v>1199</x:v>
      </x:c>
      <x:c r="I465" s="7" t="n">
        <x:v>85</x:v>
      </x:c>
      <x:c r="J465" s="9" t="n">
        <x:v>19</x:v>
      </x:c>
      <x:c r="K465" s="9" t="n">
        <x:v>7.2</x:v>
      </x:c>
      <x:c r="L465" s="7" t="n">
        <x:v>2026</x:v>
      </x:c>
      <x:c r="M465" s="11" t="n">
        <x:v>9005</x:v>
      </x:c>
      <x:c r="N465" s="7" t="n">
        <x:v>1</x:v>
      </x:c>
      <x:c r="O465" s="7" t="n">
        <x:v>1</x:v>
      </x:c>
      <x:c r="P465" s="9" t="n">
        <x:v>6.22</x:v>
      </x:c>
      <x:c r="Q465" s="7" t="n">
        <x:f>'Guide'!$B$5-L465</x:f>
        <x:v>0</x:v>
      </x:c>
      <x:c r="R465" s="9" t="n">
        <x:f>K465-P465</x:f>
        <x:v>0.9800000000000004</x:v>
      </x:c>
      <x:c r="S465" s="10" t="n">
        <x:f>IF(K465&gt;0,R465/K465,"")</x:f>
        <x:v>0.13611111111111115</x:v>
      </x:c>
    </x:row>
    <x:row r="466">
      <x:c r="A466" s="7" t="n">
        <x:v>462</x:v>
      </x:c>
      <x:c r="B466" s="7" t="str">
        <x:v>Tata</x:v>
      </x:c>
      <x:c r="C466" s="7" t="str">
        <x:v>Tiago</x:v>
      </x:c>
      <x:c r="D466" s="7" t="str">
        <x:v>XTA</x:v>
      </x:c>
      <x:c r="E466" s="7" t="str">
        <x:v>Petrol</x:v>
      </x:c>
      <x:c r="F466" s="7" t="str">
        <x:v>Automatic</x:v>
      </x:c>
      <x:c r="G466" s="7" t="str">
        <x:v>Hatchback</x:v>
      </x:c>
      <x:c r="H466" s="7" t="n">
        <x:v>1199</x:v>
      </x:c>
      <x:c r="I466" s="7" t="n">
        <x:v>85</x:v>
      </x:c>
      <x:c r="J466" s="9" t="n">
        <x:v>19</x:v>
      </x:c>
      <x:c r="K466" s="9" t="n">
        <x:v>7.2</x:v>
      </x:c>
      <x:c r="L466" s="7" t="n">
        <x:v>2025</x:v>
      </x:c>
      <x:c r="M466" s="11" t="n">
        <x:v>24165</x:v>
      </x:c>
      <x:c r="N466" s="7" t="n">
        <x:v>1</x:v>
      </x:c>
      <x:c r="O466" s="7" t="n">
        <x:v>0</x:v>
      </x:c>
      <x:c r="P466" s="9" t="n">
        <x:v>6.06</x:v>
      </x:c>
      <x:c r="Q466" s="7" t="n">
        <x:f>'Guide'!$B$5-L466</x:f>
        <x:v>1</x:v>
      </x:c>
      <x:c r="R466" s="9" t="n">
        <x:f>K466-P466</x:f>
        <x:v>1.1400000000000006</x:v>
      </x:c>
      <x:c r="S466" s="10" t="n">
        <x:f>IF(K466&gt;0,R466/K466,"")</x:f>
        <x:v>0.1583333333333334</x:v>
      </x:c>
    </x:row>
    <x:row r="467">
      <x:c r="A467" s="7" t="n">
        <x:v>463</x:v>
      </x:c>
      <x:c r="B467" s="7" t="str">
        <x:v>Tata</x:v>
      </x:c>
      <x:c r="C467" s="7" t="str">
        <x:v>Tiago</x:v>
      </x:c>
      <x:c r="D467" s="7" t="str">
        <x:v>XTA</x:v>
      </x:c>
      <x:c r="E467" s="7" t="str">
        <x:v>Petrol</x:v>
      </x:c>
      <x:c r="F467" s="7" t="str">
        <x:v>Automatic</x:v>
      </x:c>
      <x:c r="G467" s="7" t="str">
        <x:v>Hatchback</x:v>
      </x:c>
      <x:c r="H467" s="7" t="n">
        <x:v>1199</x:v>
      </x:c>
      <x:c r="I467" s="7" t="n">
        <x:v>85</x:v>
      </x:c>
      <x:c r="J467" s="9" t="n">
        <x:v>19</x:v>
      </x:c>
      <x:c r="K467" s="9" t="n">
        <x:v>7.2</x:v>
      </x:c>
      <x:c r="L467" s="7" t="n">
        <x:v>2020</x:v>
      </x:c>
      <x:c r="M467" s="11" t="n">
        <x:v>107607</x:v>
      </x:c>
      <x:c r="N467" s="7" t="n">
        <x:v>1</x:v>
      </x:c>
      <x:c r="O467" s="7" t="n">
        <x:v>0</x:v>
      </x:c>
      <x:c r="P467" s="9" t="n">
        <x:v>2.95</x:v>
      </x:c>
      <x:c r="Q467" s="7" t="n">
        <x:f>'Guide'!$B$5-L467</x:f>
        <x:v>6</x:v>
      </x:c>
      <x:c r="R467" s="9" t="n">
        <x:f>K467-P467</x:f>
        <x:v>4.25</x:v>
      </x:c>
      <x:c r="S467" s="10" t="n">
        <x:f>IF(K467&gt;0,R467/K467,"")</x:f>
        <x:v>0.5902777777777778</x:v>
      </x:c>
    </x:row>
    <x:row r="468">
      <x:c r="A468" s="7" t="n">
        <x:v>464</x:v>
      </x:c>
      <x:c r="B468" s="7" t="str">
        <x:v>Tata</x:v>
      </x:c>
      <x:c r="C468" s="7" t="str">
        <x:v>Tiago</x:v>
      </x:c>
      <x:c r="D468" s="7" t="str">
        <x:v>XTA</x:v>
      </x:c>
      <x:c r="E468" s="7" t="str">
        <x:v>Petrol</x:v>
      </x:c>
      <x:c r="F468" s="7" t="str">
        <x:v>Automatic</x:v>
      </x:c>
      <x:c r="G468" s="7" t="str">
        <x:v>Hatchback</x:v>
      </x:c>
      <x:c r="H468" s="7" t="n">
        <x:v>1199</x:v>
      </x:c>
      <x:c r="I468" s="7" t="n">
        <x:v>85</x:v>
      </x:c>
      <x:c r="J468" s="9" t="n">
        <x:v>19</x:v>
      </x:c>
      <x:c r="K468" s="9" t="n">
        <x:v>7.2</x:v>
      </x:c>
      <x:c r="L468" s="7" t="n">
        <x:v>2021</x:v>
      </x:c>
      <x:c r="M468" s="11" t="n">
        <x:v>93054</x:v>
      </x:c>
      <x:c r="N468" s="7" t="n">
        <x:v>1</x:v>
      </x:c>
      <x:c r="O468" s="7" t="n">
        <x:v>0</x:v>
      </x:c>
      <x:c r="P468" s="9" t="n">
        <x:v>3.43</x:v>
      </x:c>
      <x:c r="Q468" s="7" t="n">
        <x:f>'Guide'!$B$5-L468</x:f>
        <x:v>5</x:v>
      </x:c>
      <x:c r="R468" s="9" t="n">
        <x:f>K468-P468</x:f>
        <x:v>3.77</x:v>
      </x:c>
      <x:c r="S468" s="10" t="n">
        <x:f>IF(K468&gt;0,R468/K468,"")</x:f>
        <x:v>0.5236111111111111</x:v>
      </x:c>
    </x:row>
    <x:row r="469">
      <x:c r="A469" s="7" t="n">
        <x:v>465</x:v>
      </x:c>
      <x:c r="B469" s="7" t="str">
        <x:v>Tata</x:v>
      </x:c>
      <x:c r="C469" s="7" t="str">
        <x:v>Tiago</x:v>
      </x:c>
      <x:c r="D469" s="7" t="str">
        <x:v>XTA</x:v>
      </x:c>
      <x:c r="E469" s="7" t="str">
        <x:v>Petrol</x:v>
      </x:c>
      <x:c r="F469" s="7" t="str">
        <x:v>Automatic</x:v>
      </x:c>
      <x:c r="G469" s="7" t="str">
        <x:v>Hatchback</x:v>
      </x:c>
      <x:c r="H469" s="7" t="n">
        <x:v>1199</x:v>
      </x:c>
      <x:c r="I469" s="7" t="n">
        <x:v>85</x:v>
      </x:c>
      <x:c r="J469" s="9" t="n">
        <x:v>19</x:v>
      </x:c>
      <x:c r="K469" s="9" t="n">
        <x:v>7.2</x:v>
      </x:c>
      <x:c r="L469" s="7" t="n">
        <x:v>2020</x:v>
      </x:c>
      <x:c r="M469" s="11" t="n">
        <x:v>55145</x:v>
      </x:c>
      <x:c r="N469" s="7" t="n">
        <x:v>1</x:v>
      </x:c>
      <x:c r="O469" s="7" t="n">
        <x:v>0</x:v>
      </x:c>
      <x:c r="P469" s="9" t="n">
        <x:v>3.61</x:v>
      </x:c>
      <x:c r="Q469" s="7" t="n">
        <x:f>'Guide'!$B$5-L469</x:f>
        <x:v>6</x:v>
      </x:c>
      <x:c r="R469" s="9" t="n">
        <x:f>K469-P469</x:f>
        <x:v>3.5900000000000003</x:v>
      </x:c>
      <x:c r="S469" s="10" t="n">
        <x:f>IF(K469&gt;0,R469/K469,"")</x:f>
        <x:v>0.4986111111111111</x:v>
      </x:c>
    </x:row>
    <x:row r="470">
      <x:c r="A470" s="7" t="n">
        <x:v>466</x:v>
      </x:c>
      <x:c r="B470" s="7" t="str">
        <x:v>Tata</x:v>
      </x:c>
      <x:c r="C470" s="7" t="str">
        <x:v>Tiago</x:v>
      </x:c>
      <x:c r="D470" s="7" t="str">
        <x:v>XTA</x:v>
      </x:c>
      <x:c r="E470" s="7" t="str">
        <x:v>Petrol</x:v>
      </x:c>
      <x:c r="F470" s="7" t="str">
        <x:v>Automatic</x:v>
      </x:c>
      <x:c r="G470" s="7" t="str">
        <x:v>Hatchback</x:v>
      </x:c>
      <x:c r="H470" s="7" t="n">
        <x:v>1199</x:v>
      </x:c>
      <x:c r="I470" s="7" t="n">
        <x:v>85</x:v>
      </x:c>
      <x:c r="J470" s="9" t="n">
        <x:v>19</x:v>
      </x:c>
      <x:c r="K470" s="9" t="n">
        <x:v>7.2</x:v>
      </x:c>
      <x:c r="L470" s="7" t="n">
        <x:v>2024</x:v>
      </x:c>
      <x:c r="M470" s="11" t="n">
        <x:v>38392</x:v>
      </x:c>
      <x:c r="N470" s="7" t="n">
        <x:v>1</x:v>
      </x:c>
      <x:c r="O470" s="7" t="n">
        <x:v>0</x:v>
      </x:c>
      <x:c r="P470" s="9" t="n">
        <x:v>5.95</x:v>
      </x:c>
      <x:c r="Q470" s="7" t="n">
        <x:f>'Guide'!$B$5-L470</x:f>
        <x:v>2</x:v>
      </x:c>
      <x:c r="R470" s="9" t="n">
        <x:f>K470-P470</x:f>
        <x:v>1.25</x:v>
      </x:c>
      <x:c r="S470" s="10" t="n">
        <x:f>IF(K470&gt;0,R470/K470,"")</x:f>
        <x:v>0.1736111111111111</x:v>
      </x:c>
    </x:row>
    <x:row r="471">
      <x:c r="A471" s="7" t="n">
        <x:v>467</x:v>
      </x:c>
      <x:c r="B471" s="7" t="str">
        <x:v>Tata</x:v>
      </x:c>
      <x:c r="C471" s="7" t="str">
        <x:v>Tiago</x:v>
      </x:c>
      <x:c r="D471" s="7" t="str">
        <x:v>XTA</x:v>
      </x:c>
      <x:c r="E471" s="7" t="str">
        <x:v>Petrol</x:v>
      </x:c>
      <x:c r="F471" s="7" t="str">
        <x:v>Automatic</x:v>
      </x:c>
      <x:c r="G471" s="7" t="str">
        <x:v>Hatchback</x:v>
      </x:c>
      <x:c r="H471" s="7" t="n">
        <x:v>1199</x:v>
      </x:c>
      <x:c r="I471" s="7" t="n">
        <x:v>85</x:v>
      </x:c>
      <x:c r="J471" s="9" t="n">
        <x:v>19</x:v>
      </x:c>
      <x:c r="K471" s="9" t="n">
        <x:v>7.2</x:v>
      </x:c>
      <x:c r="L471" s="7" t="n">
        <x:v>2020</x:v>
      </x:c>
      <x:c r="M471" s="11" t="n">
        <x:v>102841</x:v>
      </x:c>
      <x:c r="N471" s="7" t="n">
        <x:v>2</x:v>
      </x:c>
      <x:c r="O471" s="7" t="n">
        <x:v>0</x:v>
      </x:c>
      <x:c r="P471" s="9" t="n">
        <x:v>2.47</x:v>
      </x:c>
      <x:c r="Q471" s="7" t="n">
        <x:f>'Guide'!$B$5-L471</x:f>
        <x:v>6</x:v>
      </x:c>
      <x:c r="R471" s="9" t="n">
        <x:f>K471-P471</x:f>
        <x:v>4.73</x:v>
      </x:c>
      <x:c r="S471" s="10" t="n">
        <x:f>IF(K471&gt;0,R471/K471,"")</x:f>
        <x:v>0.6569444444444444</x:v>
      </x:c>
    </x:row>
    <x:row r="472">
      <x:c r="A472" s="7" t="n">
        <x:v>468</x:v>
      </x:c>
      <x:c r="B472" s="7" t="str">
        <x:v>Tata</x:v>
      </x:c>
      <x:c r="C472" s="7" t="str">
        <x:v>Tiago</x:v>
      </x:c>
      <x:c r="D472" s="7" t="str">
        <x:v>XTA</x:v>
      </x:c>
      <x:c r="E472" s="7" t="str">
        <x:v>Petrol</x:v>
      </x:c>
      <x:c r="F472" s="7" t="str">
        <x:v>Automatic</x:v>
      </x:c>
      <x:c r="G472" s="7" t="str">
        <x:v>Hatchback</x:v>
      </x:c>
      <x:c r="H472" s="7" t="n">
        <x:v>1199</x:v>
      </x:c>
      <x:c r="I472" s="7" t="n">
        <x:v>85</x:v>
      </x:c>
      <x:c r="J472" s="9" t="n">
        <x:v>19</x:v>
      </x:c>
      <x:c r="K472" s="9" t="n">
        <x:v>7.2</x:v>
      </x:c>
      <x:c r="L472" s="7" t="n">
        <x:v>2024</x:v>
      </x:c>
      <x:c r="M472" s="11" t="n">
        <x:v>44483</x:v>
      </x:c>
      <x:c r="N472" s="7" t="n">
        <x:v>1</x:v>
      </x:c>
      <x:c r="O472" s="7" t="n">
        <x:v>0</x:v>
      </x:c>
      <x:c r="P472" s="9" t="n">
        <x:v>5.94</x:v>
      </x:c>
      <x:c r="Q472" s="7" t="n">
        <x:f>'Guide'!$B$5-L472</x:f>
        <x:v>2</x:v>
      </x:c>
      <x:c r="R472" s="9" t="n">
        <x:f>K472-P472</x:f>
        <x:v>1.2599999999999998</x:v>
      </x:c>
      <x:c r="S472" s="10" t="n">
        <x:f>IF(K472&gt;0,R472/K472,"")</x:f>
        <x:v>0.17499999999999996</x:v>
      </x:c>
    </x:row>
    <x:row r="473">
      <x:c r="A473" s="7" t="n">
        <x:v>469</x:v>
      </x:c>
      <x:c r="B473" s="7" t="str">
        <x:v>Tata</x:v>
      </x:c>
      <x:c r="C473" s="7" t="str">
        <x:v>Tiago</x:v>
      </x:c>
      <x:c r="D473" s="7" t="str">
        <x:v>XTA</x:v>
      </x:c>
      <x:c r="E473" s="7" t="str">
        <x:v>Petrol</x:v>
      </x:c>
      <x:c r="F473" s="7" t="str">
        <x:v>Automatic</x:v>
      </x:c>
      <x:c r="G473" s="7" t="str">
        <x:v>Hatchback</x:v>
      </x:c>
      <x:c r="H473" s="7" t="n">
        <x:v>1199</x:v>
      </x:c>
      <x:c r="I473" s="7" t="n">
        <x:v>85</x:v>
      </x:c>
      <x:c r="J473" s="9" t="n">
        <x:v>19</x:v>
      </x:c>
      <x:c r="K473" s="9" t="n">
        <x:v>7.2</x:v>
      </x:c>
      <x:c r="L473" s="7" t="n">
        <x:v>2026</x:v>
      </x:c>
      <x:c r="M473" s="11" t="n">
        <x:v>5713</x:v>
      </x:c>
      <x:c r="N473" s="7" t="n">
        <x:v>1</x:v>
      </x:c>
      <x:c r="O473" s="7" t="n">
        <x:v>1</x:v>
      </x:c>
      <x:c r="P473" s="9" t="n">
        <x:v>6.57</x:v>
      </x:c>
      <x:c r="Q473" s="7" t="n">
        <x:f>'Guide'!$B$5-L473</x:f>
        <x:v>0</x:v>
      </x:c>
      <x:c r="R473" s="9" t="n">
        <x:f>K473-P473</x:f>
        <x:v>0.6299999999999999</x:v>
      </x:c>
      <x:c r="S473" s="10" t="n">
        <x:f>IF(K473&gt;0,R473/K473,"")</x:f>
        <x:v>0.08749999999999998</x:v>
      </x:c>
    </x:row>
    <x:row r="474">
      <x:c r="A474" s="7" t="n">
        <x:v>470</x:v>
      </x:c>
      <x:c r="B474" s="7" t="str">
        <x:v>Tata</x:v>
      </x:c>
      <x:c r="C474" s="7" t="str">
        <x:v>Tiago</x:v>
      </x:c>
      <x:c r="D474" s="7" t="str">
        <x:v>XTA</x:v>
      </x:c>
      <x:c r="E474" s="7" t="str">
        <x:v>Petrol</x:v>
      </x:c>
      <x:c r="F474" s="7" t="str">
        <x:v>Automatic</x:v>
      </x:c>
      <x:c r="G474" s="7" t="str">
        <x:v>Hatchback</x:v>
      </x:c>
      <x:c r="H474" s="7" t="n">
        <x:v>1199</x:v>
      </x:c>
      <x:c r="I474" s="7" t="n">
        <x:v>85</x:v>
      </x:c>
      <x:c r="J474" s="9" t="n">
        <x:v>19</x:v>
      </x:c>
      <x:c r="K474" s="9" t="n">
        <x:v>7.2</x:v>
      </x:c>
      <x:c r="L474" s="7" t="n">
        <x:v>2025</x:v>
      </x:c>
      <x:c r="M474" s="11" t="n">
        <x:v>27387</x:v>
      </x:c>
      <x:c r="N474" s="7" t="n">
        <x:v>2</x:v>
      </x:c>
      <x:c r="O474" s="7" t="n">
        <x:v>0</x:v>
      </x:c>
      <x:c r="P474" s="9" t="n">
        <x:v>5.63</x:v>
      </x:c>
      <x:c r="Q474" s="7" t="n">
        <x:f>'Guide'!$B$5-L474</x:f>
        <x:v>1</x:v>
      </x:c>
      <x:c r="R474" s="9" t="n">
        <x:f>K474-P474</x:f>
        <x:v>1.5700000000000003</x:v>
      </x:c>
      <x:c r="S474" s="10" t="n">
        <x:f>IF(K474&gt;0,R474/K474,"")</x:f>
        <x:v>0.21805555555555559</x:v>
      </x:c>
    </x:row>
    <x:row r="475">
      <x:c r="A475" s="7" t="n">
        <x:v>471</x:v>
      </x:c>
      <x:c r="B475" s="7" t="str">
        <x:v>Tata</x:v>
      </x:c>
      <x:c r="C475" s="7" t="str">
        <x:v>Tiago</x:v>
      </x:c>
      <x:c r="D475" s="7" t="str">
        <x:v>XTA</x:v>
      </x:c>
      <x:c r="E475" s="7" t="str">
        <x:v>Petrol</x:v>
      </x:c>
      <x:c r="F475" s="7" t="str">
        <x:v>Automatic</x:v>
      </x:c>
      <x:c r="G475" s="7" t="str">
        <x:v>Hatchback</x:v>
      </x:c>
      <x:c r="H475" s="7" t="n">
        <x:v>1199</x:v>
      </x:c>
      <x:c r="I475" s="7" t="n">
        <x:v>85</x:v>
      </x:c>
      <x:c r="J475" s="9" t="n">
        <x:v>19</x:v>
      </x:c>
      <x:c r="K475" s="9" t="n">
        <x:v>7.2</x:v>
      </x:c>
      <x:c r="L475" s="7" t="n">
        <x:v>2026</x:v>
      </x:c>
      <x:c r="M475" s="11" t="n">
        <x:v>6911</x:v>
      </x:c>
      <x:c r="N475" s="7" t="n">
        <x:v>2</x:v>
      </x:c>
      <x:c r="O475" s="7" t="n">
        <x:v>0</x:v>
      </x:c>
      <x:c r="P475" s="9" t="n">
        <x:v>6.37</x:v>
      </x:c>
      <x:c r="Q475" s="7" t="n">
        <x:f>'Guide'!$B$5-L475</x:f>
        <x:v>0</x:v>
      </x:c>
      <x:c r="R475" s="9" t="n">
        <x:f>K475-P475</x:f>
        <x:v>0.8300000000000001</x:v>
      </x:c>
      <x:c r="S475" s="10" t="n">
        <x:f>IF(K475&gt;0,R475/K475,"")</x:f>
        <x:v>0.11527777777777778</x:v>
      </x:c>
    </x:row>
    <x:row r="476">
      <x:c r="A476" s="7" t="n">
        <x:v>472</x:v>
      </x:c>
      <x:c r="B476" s="7" t="str">
        <x:v>Tata</x:v>
      </x:c>
      <x:c r="C476" s="7" t="str">
        <x:v>Tiago</x:v>
      </x:c>
      <x:c r="D476" s="7" t="str">
        <x:v>XTA</x:v>
      </x:c>
      <x:c r="E476" s="7" t="str">
        <x:v>Petrol</x:v>
      </x:c>
      <x:c r="F476" s="7" t="str">
        <x:v>Automatic</x:v>
      </x:c>
      <x:c r="G476" s="7" t="str">
        <x:v>Hatchback</x:v>
      </x:c>
      <x:c r="H476" s="7" t="n">
        <x:v>1199</x:v>
      </x:c>
      <x:c r="I476" s="7" t="n">
        <x:v>85</x:v>
      </x:c>
      <x:c r="J476" s="9" t="n">
        <x:v>19</x:v>
      </x:c>
      <x:c r="K476" s="9" t="n">
        <x:v>7.2</x:v>
      </x:c>
      <x:c r="L476" s="7" t="n">
        <x:v>2020</x:v>
      </x:c>
      <x:c r="M476" s="11" t="n">
        <x:v>65632</x:v>
      </x:c>
      <x:c r="N476" s="7" t="n">
        <x:v>2</x:v>
      </x:c>
      <x:c r="O476" s="7" t="n">
        <x:v>0</x:v>
      </x:c>
      <x:c r="P476" s="9" t="n">
        <x:v>2.84</x:v>
      </x:c>
      <x:c r="Q476" s="7" t="n">
        <x:f>'Guide'!$B$5-L476</x:f>
        <x:v>6</x:v>
      </x:c>
      <x:c r="R476" s="9" t="n">
        <x:f>K476-P476</x:f>
        <x:v>4.36</x:v>
      </x:c>
      <x:c r="S476" s="10" t="n">
        <x:f>IF(K476&gt;0,R476/K476,"")</x:f>
        <x:v>0.6055555555555556</x:v>
      </x:c>
    </x:row>
    <x:row r="477">
      <x:c r="A477" s="7" t="n">
        <x:v>473</x:v>
      </x:c>
      <x:c r="B477" s="7" t="str">
        <x:v>Tata</x:v>
      </x:c>
      <x:c r="C477" s="7" t="str">
        <x:v>Tiago</x:v>
      </x:c>
      <x:c r="D477" s="7" t="str">
        <x:v>XTA</x:v>
      </x:c>
      <x:c r="E477" s="7" t="str">
        <x:v>Petrol</x:v>
      </x:c>
      <x:c r="F477" s="7" t="str">
        <x:v>Automatic</x:v>
      </x:c>
      <x:c r="G477" s="7" t="str">
        <x:v>Hatchback</x:v>
      </x:c>
      <x:c r="H477" s="7" t="n">
        <x:v>1199</x:v>
      </x:c>
      <x:c r="I477" s="7" t="n">
        <x:v>85</x:v>
      </x:c>
      <x:c r="J477" s="9" t="n">
        <x:v>19</x:v>
      </x:c>
      <x:c r="K477" s="9" t="n">
        <x:v>7.2</x:v>
      </x:c>
      <x:c r="L477" s="7" t="n">
        <x:v>2026</x:v>
      </x:c>
      <x:c r="M477" s="11" t="n">
        <x:v>7332</x:v>
      </x:c>
      <x:c r="N477" s="7" t="n">
        <x:v>1</x:v>
      </x:c>
      <x:c r="O477" s="7" t="n">
        <x:v>0</x:v>
      </x:c>
      <x:c r="P477" s="9" t="n">
        <x:v>7.16</x:v>
      </x:c>
      <x:c r="Q477" s="7" t="n">
        <x:f>'Guide'!$B$5-L477</x:f>
        <x:v>0</x:v>
      </x:c>
      <x:c r="R477" s="9" t="n">
        <x:f>K477-P477</x:f>
        <x:v>0.040000000000000036</x:v>
      </x:c>
      <x:c r="S477" s="10" t="n">
        <x:f>IF(K477&gt;0,R477/K477,"")</x:f>
        <x:v>0.00555555555555556</x:v>
      </x:c>
    </x:row>
    <x:row r="478">
      <x:c r="A478" s="7" t="n">
        <x:v>474</x:v>
      </x:c>
      <x:c r="B478" s="7" t="str">
        <x:v>Tata</x:v>
      </x:c>
      <x:c r="C478" s="7" t="str">
        <x:v>Tiago</x:v>
      </x:c>
      <x:c r="D478" s="7" t="str">
        <x:v>XTA</x:v>
      </x:c>
      <x:c r="E478" s="7" t="str">
        <x:v>Petrol</x:v>
      </x:c>
      <x:c r="F478" s="7" t="str">
        <x:v>Automatic</x:v>
      </x:c>
      <x:c r="G478" s="7" t="str">
        <x:v>Hatchback</x:v>
      </x:c>
      <x:c r="H478" s="7" t="n">
        <x:v>1199</x:v>
      </x:c>
      <x:c r="I478" s="7" t="n">
        <x:v>85</x:v>
      </x:c>
      <x:c r="J478" s="9" t="n">
        <x:v>19</x:v>
      </x:c>
      <x:c r="K478" s="9" t="n">
        <x:v>7.2</x:v>
      </x:c>
      <x:c r="L478" s="7" t="n">
        <x:v>2022</x:v>
      </x:c>
      <x:c r="M478" s="11" t="n">
        <x:v>84725</x:v>
      </x:c>
      <x:c r="N478" s="7" t="n">
        <x:v>1</x:v>
      </x:c>
      <x:c r="O478" s="7" t="n">
        <x:v>0</x:v>
      </x:c>
      <x:c r="P478" s="9" t="n">
        <x:v>4.33</x:v>
      </x:c>
      <x:c r="Q478" s="7" t="n">
        <x:f>'Guide'!$B$5-L478</x:f>
        <x:v>4</x:v>
      </x:c>
      <x:c r="R478" s="9" t="n">
        <x:f>K478-P478</x:f>
        <x:v>2.87</x:v>
      </x:c>
      <x:c r="S478" s="10" t="n">
        <x:f>IF(K478&gt;0,R478/K478,"")</x:f>
        <x:v>0.39861111111111114</x:v>
      </x:c>
    </x:row>
    <x:row r="479">
      <x:c r="A479" s="7" t="n">
        <x:v>475</x:v>
      </x:c>
      <x:c r="B479" s="7" t="str">
        <x:v>Tata</x:v>
      </x:c>
      <x:c r="C479" s="7" t="str">
        <x:v>Tiago</x:v>
      </x:c>
      <x:c r="D479" s="7" t="str">
        <x:v>XTA</x:v>
      </x:c>
      <x:c r="E479" s="7" t="str">
        <x:v>Petrol</x:v>
      </x:c>
      <x:c r="F479" s="7" t="str">
        <x:v>Automatic</x:v>
      </x:c>
      <x:c r="G479" s="7" t="str">
        <x:v>Hatchback</x:v>
      </x:c>
      <x:c r="H479" s="7" t="n">
        <x:v>1199</x:v>
      </x:c>
      <x:c r="I479" s="7" t="n">
        <x:v>85</x:v>
      </x:c>
      <x:c r="J479" s="9" t="n">
        <x:v>19</x:v>
      </x:c>
      <x:c r="K479" s="9" t="n">
        <x:v>7.2</x:v>
      </x:c>
      <x:c r="L479" s="7" t="n">
        <x:v>2023</x:v>
      </x:c>
      <x:c r="M479" s="11" t="n">
        <x:v>49078</x:v>
      </x:c>
      <x:c r="N479" s="7" t="n">
        <x:v>1</x:v>
      </x:c>
      <x:c r="O479" s="7" t="n">
        <x:v>0</x:v>
      </x:c>
      <x:c r="P479" s="9" t="n">
        <x:v>5.06</x:v>
      </x:c>
      <x:c r="Q479" s="7" t="n">
        <x:f>'Guide'!$B$5-L479</x:f>
        <x:v>3</x:v>
      </x:c>
      <x:c r="R479" s="9" t="n">
        <x:f>K479-P479</x:f>
        <x:v>2.1400000000000006</x:v>
      </x:c>
      <x:c r="S479" s="10" t="n">
        <x:f>IF(K479&gt;0,R479/K479,"")</x:f>
        <x:v>0.2972222222222223</x:v>
      </x:c>
    </x:row>
    <x:row r="480">
      <x:c r="A480" s="7" t="n">
        <x:v>476</x:v>
      </x:c>
      <x:c r="B480" s="7" t="str">
        <x:v>Tata</x:v>
      </x:c>
      <x:c r="C480" s="7" t="str">
        <x:v>Tiago</x:v>
      </x:c>
      <x:c r="D480" s="7" t="str">
        <x:v>XTA</x:v>
      </x:c>
      <x:c r="E480" s="7" t="str">
        <x:v>Petrol</x:v>
      </x:c>
      <x:c r="F480" s="7" t="str">
        <x:v>Automatic</x:v>
      </x:c>
      <x:c r="G480" s="7" t="str">
        <x:v>Hatchback</x:v>
      </x:c>
      <x:c r="H480" s="7" t="n">
        <x:v>1199</x:v>
      </x:c>
      <x:c r="I480" s="7" t="n">
        <x:v>85</x:v>
      </x:c>
      <x:c r="J480" s="9" t="n">
        <x:v>19</x:v>
      </x:c>
      <x:c r="K480" s="9" t="n">
        <x:v>7.2</x:v>
      </x:c>
      <x:c r="L480" s="7" t="n">
        <x:v>2021</x:v>
      </x:c>
      <x:c r="M480" s="11" t="n">
        <x:v>87617</x:v>
      </x:c>
      <x:c r="N480" s="7" t="n">
        <x:v>1</x:v>
      </x:c>
      <x:c r="O480" s="7" t="n">
        <x:v>0</x:v>
      </x:c>
      <x:c r="P480" s="9" t="n">
        <x:v>3.63</x:v>
      </x:c>
      <x:c r="Q480" s="7" t="n">
        <x:f>'Guide'!$B$5-L480</x:f>
        <x:v>5</x:v>
      </x:c>
      <x:c r="R480" s="9" t="n">
        <x:f>K480-P480</x:f>
        <x:v>3.5700000000000003</x:v>
      </x:c>
      <x:c r="S480" s="10" t="n">
        <x:f>IF(K480&gt;0,R480/K480,"")</x:f>
        <x:v>0.49583333333333335</x:v>
      </x:c>
    </x:row>
    <x:row r="481">
      <x:c r="A481" s="7" t="n">
        <x:v>477</x:v>
      </x:c>
      <x:c r="B481" s="7" t="str">
        <x:v>Tata</x:v>
      </x:c>
      <x:c r="C481" s="7" t="str">
        <x:v>Tiago</x:v>
      </x:c>
      <x:c r="D481" s="7" t="str">
        <x:v>XTA</x:v>
      </x:c>
      <x:c r="E481" s="7" t="str">
        <x:v>Petrol</x:v>
      </x:c>
      <x:c r="F481" s="7" t="str">
        <x:v>Automatic</x:v>
      </x:c>
      <x:c r="G481" s="7" t="str">
        <x:v>Hatchback</x:v>
      </x:c>
      <x:c r="H481" s="7" t="n">
        <x:v>1199</x:v>
      </x:c>
      <x:c r="I481" s="7" t="n">
        <x:v>85</x:v>
      </x:c>
      <x:c r="J481" s="9" t="n">
        <x:v>19</x:v>
      </x:c>
      <x:c r="K481" s="9" t="n">
        <x:v>7.2</x:v>
      </x:c>
      <x:c r="L481" s="7" t="n">
        <x:v>2026</x:v>
      </x:c>
      <x:c r="M481" s="11" t="n">
        <x:v>6997</x:v>
      </x:c>
      <x:c r="N481" s="7" t="n">
        <x:v>1</x:v>
      </x:c>
      <x:c r="O481" s="7" t="n">
        <x:v>0</x:v>
      </x:c>
      <x:c r="P481" s="9" t="n">
        <x:v>7.32</x:v>
      </x:c>
      <x:c r="Q481" s="7" t="n">
        <x:f>'Guide'!$B$5-L481</x:f>
        <x:v>0</x:v>
      </x:c>
      <x:c r="R481" s="9" t="n">
        <x:f>K481-P481</x:f>
        <x:v>-0.1200000000000001</x:v>
      </x:c>
      <x:c r="S481" s="10" t="n">
        <x:f>IF(K481&gt;0,R481/K481,"")</x:f>
        <x:v>-0.01666666666666668</x:v>
      </x:c>
    </x:row>
    <x:row r="482">
      <x:c r="A482" s="7" t="n">
        <x:v>478</x:v>
      </x:c>
      <x:c r="B482" s="7" t="str">
        <x:v>Tata</x:v>
      </x:c>
      <x:c r="C482" s="7" t="str">
        <x:v>Tiago</x:v>
      </x:c>
      <x:c r="D482" s="7" t="str">
        <x:v>XTA</x:v>
      </x:c>
      <x:c r="E482" s="7" t="str">
        <x:v>Petrol</x:v>
      </x:c>
      <x:c r="F482" s="7" t="str">
        <x:v>Automatic</x:v>
      </x:c>
      <x:c r="G482" s="7" t="str">
        <x:v>Hatchback</x:v>
      </x:c>
      <x:c r="H482" s="7" t="n">
        <x:v>1199</x:v>
      </x:c>
      <x:c r="I482" s="7" t="n">
        <x:v>85</x:v>
      </x:c>
      <x:c r="J482" s="9" t="n">
        <x:v>19</x:v>
      </x:c>
      <x:c r="K482" s="9" t="n">
        <x:v>7.2</x:v>
      </x:c>
      <x:c r="L482" s="7" t="n">
        <x:v>2023</x:v>
      </x:c>
      <x:c r="M482" s="11" t="n">
        <x:v>45137</x:v>
      </x:c>
      <x:c r="N482" s="7" t="n">
        <x:v>1</x:v>
      </x:c>
      <x:c r="O482" s="7" t="n">
        <x:v>0</x:v>
      </x:c>
      <x:c r="P482" s="9" t="n">
        <x:v>5.11</x:v>
      </x:c>
      <x:c r="Q482" s="7" t="n">
        <x:f>'Guide'!$B$5-L482</x:f>
        <x:v>3</x:v>
      </x:c>
      <x:c r="R482" s="9" t="n">
        <x:f>K482-P482</x:f>
        <x:v>2.09</x:v>
      </x:c>
      <x:c r="S482" s="10" t="n">
        <x:f>IF(K482&gt;0,R482/K482,"")</x:f>
        <x:v>0.29027777777777775</x:v>
      </x:c>
    </x:row>
    <x:row r="483">
      <x:c r="A483" s="7" t="n">
        <x:v>479</x:v>
      </x:c>
      <x:c r="B483" s="7" t="str">
        <x:v>Tata</x:v>
      </x:c>
      <x:c r="C483" s="7" t="str">
        <x:v>Tiago</x:v>
      </x:c>
      <x:c r="D483" s="7" t="str">
        <x:v>XTA</x:v>
      </x:c>
      <x:c r="E483" s="7" t="str">
        <x:v>Petrol</x:v>
      </x:c>
      <x:c r="F483" s="7" t="str">
        <x:v>Automatic</x:v>
      </x:c>
      <x:c r="G483" s="7" t="str">
        <x:v>Hatchback</x:v>
      </x:c>
      <x:c r="H483" s="7" t="n">
        <x:v>1199</x:v>
      </x:c>
      <x:c r="I483" s="7" t="n">
        <x:v>85</x:v>
      </x:c>
      <x:c r="J483" s="9" t="n">
        <x:v>19</x:v>
      </x:c>
      <x:c r="K483" s="9" t="n">
        <x:v>7.2</x:v>
      </x:c>
      <x:c r="L483" s="7" t="n">
        <x:v>2021</x:v>
      </x:c>
      <x:c r="M483" s="11" t="n">
        <x:v>74736</x:v>
      </x:c>
      <x:c r="N483" s="7" t="n">
        <x:v>1</x:v>
      </x:c>
      <x:c r="O483" s="7" t="n">
        <x:v>0</x:v>
      </x:c>
      <x:c r="P483" s="9" t="n">
        <x:v>3.41</x:v>
      </x:c>
      <x:c r="Q483" s="7" t="n">
        <x:f>'Guide'!$B$5-L483</x:f>
        <x:v>5</x:v>
      </x:c>
      <x:c r="R483" s="9" t="n">
        <x:f>K483-P483</x:f>
        <x:v>3.79</x:v>
      </x:c>
      <x:c r="S483" s="10" t="n">
        <x:f>IF(K483&gt;0,R483/K483,"")</x:f>
        <x:v>0.5263888888888889</x:v>
      </x:c>
    </x:row>
    <x:row r="484">
      <x:c r="A484" s="7" t="n">
        <x:v>480</x:v>
      </x:c>
      <x:c r="B484" s="7" t="str">
        <x:v>Tata</x:v>
      </x:c>
      <x:c r="C484" s="7" t="str">
        <x:v>Tiago</x:v>
      </x:c>
      <x:c r="D484" s="7" t="str">
        <x:v>XTA</x:v>
      </x:c>
      <x:c r="E484" s="7" t="str">
        <x:v>Petrol</x:v>
      </x:c>
      <x:c r="F484" s="7" t="str">
        <x:v>Automatic</x:v>
      </x:c>
      <x:c r="G484" s="7" t="str">
        <x:v>Hatchback</x:v>
      </x:c>
      <x:c r="H484" s="7" t="n">
        <x:v>1199</x:v>
      </x:c>
      <x:c r="I484" s="7" t="n">
        <x:v>85</x:v>
      </x:c>
      <x:c r="J484" s="9" t="n">
        <x:v>19</x:v>
      </x:c>
      <x:c r="K484" s="9" t="n">
        <x:v>7.2</x:v>
      </x:c>
      <x:c r="L484" s="7" t="n">
        <x:v>2022</x:v>
      </x:c>
      <x:c r="M484" s="11" t="n">
        <x:v>37572</x:v>
      </x:c>
      <x:c r="N484" s="7" t="n">
        <x:v>1</x:v>
      </x:c>
      <x:c r="O484" s="7" t="n">
        <x:v>0</x:v>
      </x:c>
      <x:c r="P484" s="9" t="n">
        <x:v>4.47</x:v>
      </x:c>
      <x:c r="Q484" s="7" t="n">
        <x:f>'Guide'!$B$5-L484</x:f>
        <x:v>4</x:v>
      </x:c>
      <x:c r="R484" s="9" t="n">
        <x:f>K484-P484</x:f>
        <x:v>2.7300000000000004</x:v>
      </x:c>
      <x:c r="S484" s="10" t="n">
        <x:f>IF(K484&gt;0,R484/K484,"")</x:f>
        <x:v>0.3791666666666667</x:v>
      </x:c>
    </x:row>
    <x:row r="485">
      <x:c r="A485" s="7" t="n">
        <x:v>481</x:v>
      </x:c>
      <x:c r="B485" s="7" t="str">
        <x:v>Tata</x:v>
      </x:c>
      <x:c r="C485" s="7" t="str">
        <x:v>Tiago</x:v>
      </x:c>
      <x:c r="D485" s="7" t="str">
        <x:v>XTA</x:v>
      </x:c>
      <x:c r="E485" s="7" t="str">
        <x:v>Petrol</x:v>
      </x:c>
      <x:c r="F485" s="7" t="str">
        <x:v>Automatic</x:v>
      </x:c>
      <x:c r="G485" s="7" t="str">
        <x:v>Hatchback</x:v>
      </x:c>
      <x:c r="H485" s="7" t="n">
        <x:v>1199</x:v>
      </x:c>
      <x:c r="I485" s="7" t="n">
        <x:v>85</x:v>
      </x:c>
      <x:c r="J485" s="9" t="n">
        <x:v>19</x:v>
      </x:c>
      <x:c r="K485" s="9" t="n">
        <x:v>7.2</x:v>
      </x:c>
      <x:c r="L485" s="7" t="n">
        <x:v>2026</x:v>
      </x:c>
      <x:c r="M485" s="11" t="n">
        <x:v>8565</x:v>
      </x:c>
      <x:c r="N485" s="7" t="n">
        <x:v>1</x:v>
      </x:c>
      <x:c r="O485" s="7" t="n">
        <x:v>0</x:v>
      </x:c>
      <x:c r="P485" s="9" t="n">
        <x:v>7.46</x:v>
      </x:c>
      <x:c r="Q485" s="7" t="n">
        <x:f>'Guide'!$B$5-L485</x:f>
        <x:v>0</x:v>
      </x:c>
      <x:c r="R485" s="9" t="n">
        <x:f>K485-P485</x:f>
        <x:v>-0.2599999999999998</x:v>
      </x:c>
      <x:c r="S485" s="10" t="n">
        <x:f>IF(K485&gt;0,R485/K485,"")</x:f>
        <x:v>-0.03611111111111108</x:v>
      </x:c>
    </x:row>
    <x:row r="486">
      <x:c r="A486" s="7" t="n">
        <x:v>482</x:v>
      </x:c>
      <x:c r="B486" s="7" t="str">
        <x:v>Tata</x:v>
      </x:c>
      <x:c r="C486" s="7" t="str">
        <x:v>Tiago</x:v>
      </x:c>
      <x:c r="D486" s="7" t="str">
        <x:v>XTA</x:v>
      </x:c>
      <x:c r="E486" s="7" t="str">
        <x:v>Petrol</x:v>
      </x:c>
      <x:c r="F486" s="7" t="str">
        <x:v>Automatic</x:v>
      </x:c>
      <x:c r="G486" s="7" t="str">
        <x:v>Hatchback</x:v>
      </x:c>
      <x:c r="H486" s="7" t="n">
        <x:v>1199</x:v>
      </x:c>
      <x:c r="I486" s="7" t="n">
        <x:v>85</x:v>
      </x:c>
      <x:c r="J486" s="9" t="n">
        <x:v>19</x:v>
      </x:c>
      <x:c r="K486" s="9" t="n">
        <x:v>7.2</x:v>
      </x:c>
      <x:c r="L486" s="7" t="n">
        <x:v>2021</x:v>
      </x:c>
      <x:c r="M486" s="11" t="n">
        <x:v>57131</x:v>
      </x:c>
      <x:c r="N486" s="7" t="n">
        <x:v>1</x:v>
      </x:c>
      <x:c r="O486" s="7" t="n">
        <x:v>0</x:v>
      </x:c>
      <x:c r="P486" s="9" t="n">
        <x:v>4.16</x:v>
      </x:c>
      <x:c r="Q486" s="7" t="n">
        <x:f>'Guide'!$B$5-L486</x:f>
        <x:v>5</x:v>
      </x:c>
      <x:c r="R486" s="9" t="n">
        <x:f>K486-P486</x:f>
        <x:v>3.04</x:v>
      </x:c>
      <x:c r="S486" s="10" t="n">
        <x:f>IF(K486&gt;0,R486/K486,"")</x:f>
        <x:v>0.4222222222222222</x:v>
      </x:c>
    </x:row>
    <x:row r="487">
      <x:c r="A487" s="7" t="n">
        <x:v>483</x:v>
      </x:c>
      <x:c r="B487" s="7" t="str">
        <x:v>Tata</x:v>
      </x:c>
      <x:c r="C487" s="7" t="str">
        <x:v>Tiago</x:v>
      </x:c>
      <x:c r="D487" s="7" t="str">
        <x:v>XTA</x:v>
      </x:c>
      <x:c r="E487" s="7" t="str">
        <x:v>Petrol</x:v>
      </x:c>
      <x:c r="F487" s="7" t="str">
        <x:v>Automatic</x:v>
      </x:c>
      <x:c r="G487" s="7" t="str">
        <x:v>Hatchback</x:v>
      </x:c>
      <x:c r="H487" s="7" t="n">
        <x:v>1199</x:v>
      </x:c>
      <x:c r="I487" s="7" t="n">
        <x:v>85</x:v>
      </x:c>
      <x:c r="J487" s="9" t="n">
        <x:v>19</x:v>
      </x:c>
      <x:c r="K487" s="9" t="n">
        <x:v>7.2</x:v>
      </x:c>
      <x:c r="L487" s="7" t="n">
        <x:v>2021</x:v>
      </x:c>
      <x:c r="M487" s="11" t="n">
        <x:v>75490</x:v>
      </x:c>
      <x:c r="N487" s="7" t="n">
        <x:v>2</x:v>
      </x:c>
      <x:c r="O487" s="7" t="n">
        <x:v>1</x:v>
      </x:c>
      <x:c r="P487" s="9" t="n">
        <x:v>2.29</x:v>
      </x:c>
      <x:c r="Q487" s="7" t="n">
        <x:f>'Guide'!$B$5-L487</x:f>
        <x:v>5</x:v>
      </x:c>
      <x:c r="R487" s="9" t="n">
        <x:f>K487-P487</x:f>
        <x:v>4.91</x:v>
      </x:c>
      <x:c r="S487" s="10" t="n">
        <x:f>IF(K487&gt;0,R487/K487,"")</x:f>
        <x:v>0.6819444444444445</x:v>
      </x:c>
    </x:row>
    <x:row r="488">
      <x:c r="A488" s="7" t="n">
        <x:v>484</x:v>
      </x:c>
      <x:c r="B488" s="7" t="str">
        <x:v>Tata</x:v>
      </x:c>
      <x:c r="C488" s="7" t="str">
        <x:v>Tiago</x:v>
      </x:c>
      <x:c r="D488" s="7" t="str">
        <x:v>XTA</x:v>
      </x:c>
      <x:c r="E488" s="7" t="str">
        <x:v>Petrol</x:v>
      </x:c>
      <x:c r="F488" s="7" t="str">
        <x:v>Automatic</x:v>
      </x:c>
      <x:c r="G488" s="7" t="str">
        <x:v>Hatchback</x:v>
      </x:c>
      <x:c r="H488" s="7" t="n">
        <x:v>1199</x:v>
      </x:c>
      <x:c r="I488" s="7" t="n">
        <x:v>85</x:v>
      </x:c>
      <x:c r="J488" s="9" t="n">
        <x:v>19</x:v>
      </x:c>
      <x:c r="K488" s="9" t="n">
        <x:v>7.2</x:v>
      </x:c>
      <x:c r="L488" s="7" t="n">
        <x:v>2023</x:v>
      </x:c>
      <x:c r="M488" s="11" t="n">
        <x:v>47045</x:v>
      </x:c>
      <x:c r="N488" s="7" t="n">
        <x:v>2</x:v>
      </x:c>
      <x:c r="O488" s="7" t="n">
        <x:v>0</x:v>
      </x:c>
      <x:c r="P488" s="9" t="n">
        <x:v>4.73</x:v>
      </x:c>
      <x:c r="Q488" s="7" t="n">
        <x:f>'Guide'!$B$5-L488</x:f>
        <x:v>3</x:v>
      </x:c>
      <x:c r="R488" s="9" t="n">
        <x:f>K488-P488</x:f>
        <x:v>2.4699999999999998</x:v>
      </x:c>
      <x:c r="S488" s="10" t="n">
        <x:f>IF(K488&gt;0,R488/K488,"")</x:f>
        <x:v>0.3430555555555555</x:v>
      </x:c>
    </x:row>
    <x:row r="489">
      <x:c r="A489" s="7" t="n">
        <x:v>485</x:v>
      </x:c>
      <x:c r="B489" s="7" t="str">
        <x:v>Tata</x:v>
      </x:c>
      <x:c r="C489" s="7" t="str">
        <x:v>Tiago</x:v>
      </x:c>
      <x:c r="D489" s="7" t="str">
        <x:v>XTA</x:v>
      </x:c>
      <x:c r="E489" s="7" t="str">
        <x:v>Petrol</x:v>
      </x:c>
      <x:c r="F489" s="7" t="str">
        <x:v>Automatic</x:v>
      </x:c>
      <x:c r="G489" s="7" t="str">
        <x:v>Hatchback</x:v>
      </x:c>
      <x:c r="H489" s="7" t="n">
        <x:v>1199</x:v>
      </x:c>
      <x:c r="I489" s="7" t="n">
        <x:v>85</x:v>
      </x:c>
      <x:c r="J489" s="9" t="n">
        <x:v>19</x:v>
      </x:c>
      <x:c r="K489" s="9" t="n">
        <x:v>7.2</x:v>
      </x:c>
      <x:c r="L489" s="7" t="n">
        <x:v>2022</x:v>
      </x:c>
      <x:c r="M489" s="11" t="n">
        <x:v>56174</x:v>
      </x:c>
      <x:c r="N489" s="7" t="n">
        <x:v>2</x:v>
      </x:c>
      <x:c r="O489" s="7" t="n">
        <x:v>0</x:v>
      </x:c>
      <x:c r="P489" s="9" t="n">
        <x:v>4.04</x:v>
      </x:c>
      <x:c r="Q489" s="7" t="n">
        <x:f>'Guide'!$B$5-L489</x:f>
        <x:v>4</x:v>
      </x:c>
      <x:c r="R489" s="9" t="n">
        <x:f>K489-P489</x:f>
        <x:v>3.16</x:v>
      </x:c>
      <x:c r="S489" s="10" t="n">
        <x:f>IF(K489&gt;0,R489/K489,"")</x:f>
        <x:v>0.4388888888888889</x:v>
      </x:c>
    </x:row>
    <x:row r="490">
      <x:c r="A490" s="7" t="n">
        <x:v>486</x:v>
      </x:c>
      <x:c r="B490" s="7" t="str">
        <x:v>Tata</x:v>
      </x:c>
      <x:c r="C490" s="7" t="str">
        <x:v>Tiago</x:v>
      </x:c>
      <x:c r="D490" s="7" t="str">
        <x:v>XTA</x:v>
      </x:c>
      <x:c r="E490" s="7" t="str">
        <x:v>Petrol</x:v>
      </x:c>
      <x:c r="F490" s="7" t="str">
        <x:v>Automatic</x:v>
      </x:c>
      <x:c r="G490" s="7" t="str">
        <x:v>Hatchback</x:v>
      </x:c>
      <x:c r="H490" s="7" t="n">
        <x:v>1199</x:v>
      </x:c>
      <x:c r="I490" s="7" t="n">
        <x:v>85</x:v>
      </x:c>
      <x:c r="J490" s="9" t="n">
        <x:v>19</x:v>
      </x:c>
      <x:c r="K490" s="9" t="n">
        <x:v>7.2</x:v>
      </x:c>
      <x:c r="L490" s="7" t="n">
        <x:v>2024</x:v>
      </x:c>
      <x:c r="M490" s="11" t="n">
        <x:v>25015</x:v>
      </x:c>
      <x:c r="N490" s="7" t="n">
        <x:v>1</x:v>
      </x:c>
      <x:c r="O490" s="7" t="n">
        <x:v>0</x:v>
      </x:c>
      <x:c r="P490" s="9" t="n">
        <x:v>5.87</x:v>
      </x:c>
      <x:c r="Q490" s="7" t="n">
        <x:f>'Guide'!$B$5-L490</x:f>
        <x:v>2</x:v>
      </x:c>
      <x:c r="R490" s="9" t="n">
        <x:f>K490-P490</x:f>
        <x:v>1.33</x:v>
      </x:c>
      <x:c r="S490" s="10" t="n">
        <x:f>IF(K490&gt;0,R490/K490,"")</x:f>
        <x:v>0.18472222222222223</x:v>
      </x:c>
    </x:row>
    <x:row r="491">
      <x:c r="A491" s="7" t="n">
        <x:v>487</x:v>
      </x:c>
      <x:c r="B491" s="7" t="str">
        <x:v>Tata</x:v>
      </x:c>
      <x:c r="C491" s="7" t="str">
        <x:v>Tiago</x:v>
      </x:c>
      <x:c r="D491" s="7" t="str">
        <x:v>XTA</x:v>
      </x:c>
      <x:c r="E491" s="7" t="str">
        <x:v>Petrol</x:v>
      </x:c>
      <x:c r="F491" s="7" t="str">
        <x:v>Automatic</x:v>
      </x:c>
      <x:c r="G491" s="7" t="str">
        <x:v>Hatchback</x:v>
      </x:c>
      <x:c r="H491" s="7" t="n">
        <x:v>1199</x:v>
      </x:c>
      <x:c r="I491" s="7" t="n">
        <x:v>85</x:v>
      </x:c>
      <x:c r="J491" s="9" t="n">
        <x:v>19</x:v>
      </x:c>
      <x:c r="K491" s="9" t="n">
        <x:v>7.2</x:v>
      </x:c>
      <x:c r="L491" s="7" t="n">
        <x:v>2021</x:v>
      </x:c>
      <x:c r="M491" s="11" t="n">
        <x:v>104126</x:v>
      </x:c>
      <x:c r="N491" s="7" t="n">
        <x:v>1</x:v>
      </x:c>
      <x:c r="O491" s="7" t="n">
        <x:v>0</x:v>
      </x:c>
      <x:c r="P491" s="9" t="n">
        <x:v>3.72</x:v>
      </x:c>
      <x:c r="Q491" s="7" t="n">
        <x:f>'Guide'!$B$5-L491</x:f>
        <x:v>5</x:v>
      </x:c>
      <x:c r="R491" s="9" t="n">
        <x:f>K491-P491</x:f>
        <x:v>3.48</x:v>
      </x:c>
      <x:c r="S491" s="10" t="n">
        <x:f>IF(K491&gt;0,R491/K491,"")</x:f>
        <x:v>0.48333333333333334</x:v>
      </x:c>
    </x:row>
    <x:row r="492">
      <x:c r="A492" s="7" t="n">
        <x:v>488</x:v>
      </x:c>
      <x:c r="B492" s="7" t="str">
        <x:v>Tata</x:v>
      </x:c>
      <x:c r="C492" s="7" t="str">
        <x:v>Tiago</x:v>
      </x:c>
      <x:c r="D492" s="7" t="str">
        <x:v>XTA</x:v>
      </x:c>
      <x:c r="E492" s="7" t="str">
        <x:v>Petrol</x:v>
      </x:c>
      <x:c r="F492" s="7" t="str">
        <x:v>Automatic</x:v>
      </x:c>
      <x:c r="G492" s="7" t="str">
        <x:v>Hatchback</x:v>
      </x:c>
      <x:c r="H492" s="7" t="n">
        <x:v>1199</x:v>
      </x:c>
      <x:c r="I492" s="7" t="n">
        <x:v>85</x:v>
      </x:c>
      <x:c r="J492" s="9" t="n">
        <x:v>19</x:v>
      </x:c>
      <x:c r="K492" s="9" t="n">
        <x:v>7.2</x:v>
      </x:c>
      <x:c r="L492" s="7" t="n">
        <x:v>2025</x:v>
      </x:c>
      <x:c r="M492" s="11" t="n">
        <x:v>19032</x:v>
      </x:c>
      <x:c r="N492" s="7" t="n">
        <x:v>2</x:v>
      </x:c>
      <x:c r="O492" s="7" t="n">
        <x:v>0</x:v>
      </x:c>
      <x:c r="P492" s="9" t="n">
        <x:v>6.43</x:v>
      </x:c>
      <x:c r="Q492" s="7" t="n">
        <x:f>'Guide'!$B$5-L492</x:f>
        <x:v>1</x:v>
      </x:c>
      <x:c r="R492" s="9" t="n">
        <x:f>K492-P492</x:f>
        <x:v>0.7700000000000005</x:v>
      </x:c>
      <x:c r="S492" s="10" t="n">
        <x:f>IF(K492&gt;0,R492/K492,"")</x:f>
        <x:v>0.10694444444444451</x:v>
      </x:c>
    </x:row>
    <x:row r="493">
      <x:c r="A493" s="7" t="n">
        <x:v>489</x:v>
      </x:c>
      <x:c r="B493" s="7" t="str">
        <x:v>Tata</x:v>
      </x:c>
      <x:c r="C493" s="7" t="str">
        <x:v>Tiago</x:v>
      </x:c>
      <x:c r="D493" s="7" t="str">
        <x:v>XTA</x:v>
      </x:c>
      <x:c r="E493" s="7" t="str">
        <x:v>Petrol</x:v>
      </x:c>
      <x:c r="F493" s="7" t="str">
        <x:v>Automatic</x:v>
      </x:c>
      <x:c r="G493" s="7" t="str">
        <x:v>Hatchback</x:v>
      </x:c>
      <x:c r="H493" s="7" t="n">
        <x:v>1199</x:v>
      </x:c>
      <x:c r="I493" s="7" t="n">
        <x:v>85</x:v>
      </x:c>
      <x:c r="J493" s="9" t="n">
        <x:v>19</x:v>
      </x:c>
      <x:c r="K493" s="9" t="n">
        <x:v>7.2</x:v>
      </x:c>
      <x:c r="L493" s="7" t="n">
        <x:v>2025</x:v>
      </x:c>
      <x:c r="M493" s="11" t="n">
        <x:v>27488</x:v>
      </x:c>
      <x:c r="N493" s="7" t="n">
        <x:v>1</x:v>
      </x:c>
      <x:c r="O493" s="7" t="n">
        <x:v>0</x:v>
      </x:c>
      <x:c r="P493" s="9" t="n">
        <x:v>6.07</x:v>
      </x:c>
      <x:c r="Q493" s="7" t="n">
        <x:f>'Guide'!$B$5-L493</x:f>
        <x:v>1</x:v>
      </x:c>
      <x:c r="R493" s="9" t="n">
        <x:f>K493-P493</x:f>
        <x:v>1.13</x:v>
      </x:c>
      <x:c r="S493" s="10" t="n">
        <x:f>IF(K493&gt;0,R493/K493,"")</x:f>
        <x:v>0.15694444444444441</x:v>
      </x:c>
    </x:row>
    <x:row r="494">
      <x:c r="A494" s="7" t="n">
        <x:v>490</x:v>
      </x:c>
      <x:c r="B494" s="7" t="str">
        <x:v>Tata</x:v>
      </x:c>
      <x:c r="C494" s="7" t="str">
        <x:v>Tiago</x:v>
      </x:c>
      <x:c r="D494" s="7" t="str">
        <x:v>XTA</x:v>
      </x:c>
      <x:c r="E494" s="7" t="str">
        <x:v>Petrol</x:v>
      </x:c>
      <x:c r="F494" s="7" t="str">
        <x:v>Automatic</x:v>
      </x:c>
      <x:c r="G494" s="7" t="str">
        <x:v>Hatchback</x:v>
      </x:c>
      <x:c r="H494" s="7" t="n">
        <x:v>1199</x:v>
      </x:c>
      <x:c r="I494" s="7" t="n">
        <x:v>85</x:v>
      </x:c>
      <x:c r="J494" s="9" t="n">
        <x:v>19</x:v>
      </x:c>
      <x:c r="K494" s="9" t="n">
        <x:v>7.2</x:v>
      </x:c>
      <x:c r="L494" s="7" t="n">
        <x:v>2024</x:v>
      </x:c>
      <x:c r="M494" s="11" t="n">
        <x:v>26819</x:v>
      </x:c>
      <x:c r="N494" s="7" t="n">
        <x:v>1</x:v>
      </x:c>
      <x:c r="O494" s="7" t="n">
        <x:v>0</x:v>
      </x:c>
      <x:c r="P494" s="9" t="n">
        <x:v>6.03</x:v>
      </x:c>
      <x:c r="Q494" s="7" t="n">
        <x:f>'Guide'!$B$5-L494</x:f>
        <x:v>2</x:v>
      </x:c>
      <x:c r="R494" s="9" t="n">
        <x:f>K494-P494</x:f>
        <x:v>1.17</x:v>
      </x:c>
      <x:c r="S494" s="10" t="n">
        <x:f>IF(K494&gt;0,R494/K494,"")</x:f>
        <x:v>0.16249999999999998</x:v>
      </x:c>
    </x:row>
    <x:row r="495">
      <x:c r="A495" s="7" t="n">
        <x:v>491</x:v>
      </x:c>
      <x:c r="B495" s="7" t="str">
        <x:v>Tata</x:v>
      </x:c>
      <x:c r="C495" s="7" t="str">
        <x:v>Tiago</x:v>
      </x:c>
      <x:c r="D495" s="7" t="str">
        <x:v>XTA</x:v>
      </x:c>
      <x:c r="E495" s="7" t="str">
        <x:v>Petrol</x:v>
      </x:c>
      <x:c r="F495" s="7" t="str">
        <x:v>Automatic</x:v>
      </x:c>
      <x:c r="G495" s="7" t="str">
        <x:v>Hatchback</x:v>
      </x:c>
      <x:c r="H495" s="7" t="n">
        <x:v>1199</x:v>
      </x:c>
      <x:c r="I495" s="7" t="n">
        <x:v>85</x:v>
      </x:c>
      <x:c r="J495" s="9" t="n">
        <x:v>19</x:v>
      </x:c>
      <x:c r="K495" s="9" t="n">
        <x:v>7.2</x:v>
      </x:c>
      <x:c r="L495" s="7" t="n">
        <x:v>2020</x:v>
      </x:c>
      <x:c r="M495" s="11" t="n">
        <x:v>59034</x:v>
      </x:c>
      <x:c r="N495" s="7" t="n">
        <x:v>1</x:v>
      </x:c>
      <x:c r="O495" s="7" t="n">
        <x:v>0</x:v>
      </x:c>
      <x:c r="P495" s="9" t="n">
        <x:v>3.53</x:v>
      </x:c>
      <x:c r="Q495" s="7" t="n">
        <x:f>'Guide'!$B$5-L495</x:f>
        <x:v>6</x:v>
      </x:c>
      <x:c r="R495" s="9" t="n">
        <x:f>K495-P495</x:f>
        <x:v>3.6700000000000004</x:v>
      </x:c>
      <x:c r="S495" s="10" t="n">
        <x:f>IF(K495&gt;0,R495/K495,"")</x:f>
        <x:v>0.5097222222222223</x:v>
      </x:c>
    </x:row>
    <x:row r="496">
      <x:c r="A496" s="7" t="n">
        <x:v>492</x:v>
      </x:c>
      <x:c r="B496" s="7" t="str">
        <x:v>Tata</x:v>
      </x:c>
      <x:c r="C496" s="7" t="str">
        <x:v>Tiago</x:v>
      </x:c>
      <x:c r="D496" s="7" t="str">
        <x:v>XTA</x:v>
      </x:c>
      <x:c r="E496" s="7" t="str">
        <x:v>Petrol</x:v>
      </x:c>
      <x:c r="F496" s="7" t="str">
        <x:v>Automatic</x:v>
      </x:c>
      <x:c r="G496" s="7" t="str">
        <x:v>Hatchback</x:v>
      </x:c>
      <x:c r="H496" s="7" t="n">
        <x:v>1199</x:v>
      </x:c>
      <x:c r="I496" s="7" t="n">
        <x:v>85</x:v>
      </x:c>
      <x:c r="J496" s="9" t="n">
        <x:v>19</x:v>
      </x:c>
      <x:c r="K496" s="9" t="n">
        <x:v>7.2</x:v>
      </x:c>
      <x:c r="L496" s="7" t="n">
        <x:v>2023</x:v>
      </x:c>
      <x:c r="M496" s="11" t="n">
        <x:v>69281</x:v>
      </x:c>
      <x:c r="N496" s="7" t="n">
        <x:v>1</x:v>
      </x:c>
      <x:c r="O496" s="7" t="n">
        <x:v>0</x:v>
      </x:c>
      <x:c r="P496" s="9" t="n">
        <x:v>4.84</x:v>
      </x:c>
      <x:c r="Q496" s="7" t="n">
        <x:f>'Guide'!$B$5-L496</x:f>
        <x:v>3</x:v>
      </x:c>
      <x:c r="R496" s="9" t="n">
        <x:f>K496-P496</x:f>
        <x:v>2.3600000000000003</x:v>
      </x:c>
      <x:c r="S496" s="10" t="n">
        <x:f>IF(K496&gt;0,R496/K496,"")</x:f>
        <x:v>0.32777777777777783</x:v>
      </x:c>
    </x:row>
    <x:row r="497">
      <x:c r="A497" s="7" t="n">
        <x:v>493</x:v>
      </x:c>
      <x:c r="B497" s="7" t="str">
        <x:v>Tata</x:v>
      </x:c>
      <x:c r="C497" s="7" t="str">
        <x:v>Tiago</x:v>
      </x:c>
      <x:c r="D497" s="7" t="str">
        <x:v>XTA</x:v>
      </x:c>
      <x:c r="E497" s="7" t="str">
        <x:v>Petrol</x:v>
      </x:c>
      <x:c r="F497" s="7" t="str">
        <x:v>Automatic</x:v>
      </x:c>
      <x:c r="G497" s="7" t="str">
        <x:v>Hatchback</x:v>
      </x:c>
      <x:c r="H497" s="7" t="n">
        <x:v>1199</x:v>
      </x:c>
      <x:c r="I497" s="7" t="n">
        <x:v>85</x:v>
      </x:c>
      <x:c r="J497" s="9" t="n">
        <x:v>19</x:v>
      </x:c>
      <x:c r="K497" s="9" t="n">
        <x:v>7.2</x:v>
      </x:c>
      <x:c r="L497" s="7" t="n">
        <x:v>2020</x:v>
      </x:c>
      <x:c r="M497" s="11" t="n">
        <x:v>104296</x:v>
      </x:c>
      <x:c r="N497" s="7" t="n">
        <x:v>1</x:v>
      </x:c>
      <x:c r="O497" s="7" t="n">
        <x:v>0</x:v>
      </x:c>
      <x:c r="P497" s="9" t="n">
        <x:v>2.7</x:v>
      </x:c>
      <x:c r="Q497" s="7" t="n">
        <x:f>'Guide'!$B$5-L497</x:f>
        <x:v>6</x:v>
      </x:c>
      <x:c r="R497" s="9" t="n">
        <x:f>K497-P497</x:f>
        <x:v>4.5</x:v>
      </x:c>
      <x:c r="S497" s="10" t="n">
        <x:f>IF(K497&gt;0,R497/K497,"")</x:f>
        <x:v>0.625</x:v>
      </x:c>
    </x:row>
    <x:row r="498">
      <x:c r="A498" s="7" t="n">
        <x:v>494</x:v>
      </x:c>
      <x:c r="B498" s="7" t="str">
        <x:v>Tata</x:v>
      </x:c>
      <x:c r="C498" s="7" t="str">
        <x:v>Tiago</x:v>
      </x:c>
      <x:c r="D498" s="7" t="str">
        <x:v>XTA</x:v>
      </x:c>
      <x:c r="E498" s="7" t="str">
        <x:v>Petrol</x:v>
      </x:c>
      <x:c r="F498" s="7" t="str">
        <x:v>Automatic</x:v>
      </x:c>
      <x:c r="G498" s="7" t="str">
        <x:v>Hatchback</x:v>
      </x:c>
      <x:c r="H498" s="7" t="n">
        <x:v>1199</x:v>
      </x:c>
      <x:c r="I498" s="7" t="n">
        <x:v>85</x:v>
      </x:c>
      <x:c r="J498" s="9" t="n">
        <x:v>19</x:v>
      </x:c>
      <x:c r="K498" s="9" t="n">
        <x:v>7.2</x:v>
      </x:c>
      <x:c r="L498" s="7" t="n">
        <x:v>2022</x:v>
      </x:c>
      <x:c r="M498" s="11" t="n">
        <x:v>84023</x:v>
      </x:c>
      <x:c r="N498" s="7" t="n">
        <x:v>1</x:v>
      </x:c>
      <x:c r="O498" s="7" t="n">
        <x:v>0</x:v>
      </x:c>
      <x:c r="P498" s="9" t="n">
        <x:v>4.55</x:v>
      </x:c>
      <x:c r="Q498" s="7" t="n">
        <x:f>'Guide'!$B$5-L498</x:f>
        <x:v>4</x:v>
      </x:c>
      <x:c r="R498" s="9" t="n">
        <x:f>K498-P498</x:f>
        <x:v>2.6500000000000004</x:v>
      </x:c>
      <x:c r="S498" s="10" t="n">
        <x:f>IF(K498&gt;0,R498/K498,"")</x:f>
        <x:v>0.3680555555555556</x:v>
      </x:c>
    </x:row>
    <x:row r="499">
      <x:c r="A499" s="7" t="n">
        <x:v>495</x:v>
      </x:c>
      <x:c r="B499" s="7" t="str">
        <x:v>Tata</x:v>
      </x:c>
      <x:c r="C499" s="7" t="str">
        <x:v>Tiago</x:v>
      </x:c>
      <x:c r="D499" s="7" t="str">
        <x:v>XTA</x:v>
      </x:c>
      <x:c r="E499" s="7" t="str">
        <x:v>Petrol</x:v>
      </x:c>
      <x:c r="F499" s="7" t="str">
        <x:v>Automatic</x:v>
      </x:c>
      <x:c r="G499" s="7" t="str">
        <x:v>Hatchback</x:v>
      </x:c>
      <x:c r="H499" s="7" t="n">
        <x:v>1199</x:v>
      </x:c>
      <x:c r="I499" s="7" t="n">
        <x:v>85</x:v>
      </x:c>
      <x:c r="J499" s="9" t="n">
        <x:v>19</x:v>
      </x:c>
      <x:c r="K499" s="9" t="n">
        <x:v>7.2</x:v>
      </x:c>
      <x:c r="L499" s="7" t="n">
        <x:v>2022</x:v>
      </x:c>
      <x:c r="M499" s="11" t="n">
        <x:v>41239</x:v>
      </x:c>
      <x:c r="N499" s="7" t="n">
        <x:v>1</x:v>
      </x:c>
      <x:c r="O499" s="7" t="n">
        <x:v>0</x:v>
      </x:c>
      <x:c r="P499" s="9" t="n">
        <x:v>4.75</x:v>
      </x:c>
      <x:c r="Q499" s="7" t="n">
        <x:f>'Guide'!$B$5-L499</x:f>
        <x:v>4</x:v>
      </x:c>
      <x:c r="R499" s="9" t="n">
        <x:f>K499-P499</x:f>
        <x:v>2.45</x:v>
      </x:c>
      <x:c r="S499" s="10" t="n">
        <x:f>IF(K499&gt;0,R499/K499,"")</x:f>
        <x:v>0.3402777777777778</x:v>
      </x:c>
    </x:row>
    <x:row r="500">
      <x:c r="A500" s="7" t="n">
        <x:v>496</x:v>
      </x:c>
      <x:c r="B500" s="7" t="str">
        <x:v>Tata</x:v>
      </x:c>
      <x:c r="C500" s="7" t="str">
        <x:v>Tiago</x:v>
      </x:c>
      <x:c r="D500" s="7" t="str">
        <x:v>XTA</x:v>
      </x:c>
      <x:c r="E500" s="7" t="str">
        <x:v>Petrol</x:v>
      </x:c>
      <x:c r="F500" s="7" t="str">
        <x:v>Automatic</x:v>
      </x:c>
      <x:c r="G500" s="7" t="str">
        <x:v>Hatchback</x:v>
      </x:c>
      <x:c r="H500" s="7" t="n">
        <x:v>1199</x:v>
      </x:c>
      <x:c r="I500" s="7" t="n">
        <x:v>85</x:v>
      </x:c>
      <x:c r="J500" s="9" t="n">
        <x:v>19</x:v>
      </x:c>
      <x:c r="K500" s="9" t="n">
        <x:v>7.2</x:v>
      </x:c>
      <x:c r="L500" s="7" t="n">
        <x:v>2024</x:v>
      </x:c>
      <x:c r="M500" s="11" t="n">
        <x:v>27346</x:v>
      </x:c>
      <x:c r="N500" s="7" t="n">
        <x:v>1</x:v>
      </x:c>
      <x:c r="O500" s="7" t="n">
        <x:v>0</x:v>
      </x:c>
      <x:c r="P500" s="9" t="n">
        <x:v>5.42</x:v>
      </x:c>
      <x:c r="Q500" s="7" t="n">
        <x:f>'Guide'!$B$5-L500</x:f>
        <x:v>2</x:v>
      </x:c>
      <x:c r="R500" s="9" t="n">
        <x:f>K500-P500</x:f>
        <x:v>1.7800000000000002</x:v>
      </x:c>
      <x:c r="S500" s="10" t="n">
        <x:f>IF(K500&gt;0,R500/K500,"")</x:f>
        <x:v>0.24722222222222226</x:v>
      </x:c>
    </x:row>
    <x:row r="501">
      <x:c r="A501" s="7" t="n">
        <x:v>497</x:v>
      </x:c>
      <x:c r="B501" s="7" t="str">
        <x:v>Tata</x:v>
      </x:c>
      <x:c r="C501" s="7" t="str">
        <x:v>Tiago</x:v>
      </x:c>
      <x:c r="D501" s="7" t="str">
        <x:v>XTA</x:v>
      </x:c>
      <x:c r="E501" s="7" t="str">
        <x:v>Petrol</x:v>
      </x:c>
      <x:c r="F501" s="7" t="str">
        <x:v>Automatic</x:v>
      </x:c>
      <x:c r="G501" s="7" t="str">
        <x:v>Hatchback</x:v>
      </x:c>
      <x:c r="H501" s="7" t="n">
        <x:v>1199</x:v>
      </x:c>
      <x:c r="I501" s="7" t="n">
        <x:v>85</x:v>
      </x:c>
      <x:c r="J501" s="9" t="n">
        <x:v>19</x:v>
      </x:c>
      <x:c r="K501" s="9" t="n">
        <x:v>7.2</x:v>
      </x:c>
      <x:c r="L501" s="7" t="n">
        <x:v>2020</x:v>
      </x:c>
      <x:c r="M501" s="11" t="n">
        <x:v>71892</x:v>
      </x:c>
      <x:c r="N501" s="7" t="n">
        <x:v>2</x:v>
      </x:c>
      <x:c r="O501" s="7" t="n">
        <x:v>0</x:v>
      </x:c>
      <x:c r="P501" s="9" t="n">
        <x:v>2.64</x:v>
      </x:c>
      <x:c r="Q501" s="7" t="n">
        <x:f>'Guide'!$B$5-L501</x:f>
        <x:v>6</x:v>
      </x:c>
      <x:c r="R501" s="9" t="n">
        <x:f>K501-P501</x:f>
        <x:v>4.5600000000000005</x:v>
      </x:c>
      <x:c r="S501" s="10" t="n">
        <x:f>IF(K501&gt;0,R501/K501,"")</x:f>
        <x:v>0.6333333333333334</x:v>
      </x:c>
    </x:row>
    <x:row r="502">
      <x:c r="A502" s="7" t="n">
        <x:v>498</x:v>
      </x:c>
      <x:c r="B502" s="7" t="str">
        <x:v>Tata</x:v>
      </x:c>
      <x:c r="C502" s="7" t="str">
        <x:v>Tiago</x:v>
      </x:c>
      <x:c r="D502" s="7" t="str">
        <x:v>XTA</x:v>
      </x:c>
      <x:c r="E502" s="7" t="str">
        <x:v>Petrol</x:v>
      </x:c>
      <x:c r="F502" s="7" t="str">
        <x:v>Automatic</x:v>
      </x:c>
      <x:c r="G502" s="7" t="str">
        <x:v>Hatchback</x:v>
      </x:c>
      <x:c r="H502" s="7" t="n">
        <x:v>1199</x:v>
      </x:c>
      <x:c r="I502" s="7" t="n">
        <x:v>85</x:v>
      </x:c>
      <x:c r="J502" s="9" t="n">
        <x:v>19</x:v>
      </x:c>
      <x:c r="K502" s="9" t="n">
        <x:v>7.2</x:v>
      </x:c>
      <x:c r="L502" s="7" t="n">
        <x:v>2023</x:v>
      </x:c>
      <x:c r="M502" s="11" t="n">
        <x:v>67450</x:v>
      </x:c>
      <x:c r="N502" s="7" t="n">
        <x:v>1</x:v>
      </x:c>
      <x:c r="O502" s="7" t="n">
        <x:v>0</x:v>
      </x:c>
      <x:c r="P502" s="9" t="n">
        <x:v>4.95</x:v>
      </x:c>
      <x:c r="Q502" s="7" t="n">
        <x:f>'Guide'!$B$5-L502</x:f>
        <x:v>3</x:v>
      </x:c>
      <x:c r="R502" s="9" t="n">
        <x:f>K502-P502</x:f>
        <x:v>2.25</x:v>
      </x:c>
      <x:c r="S502" s="10" t="n">
        <x:f>IF(K502&gt;0,R502/K502,"")</x:f>
        <x:v>0.3125</x:v>
      </x:c>
    </x:row>
    <x:row r="503">
      <x:c r="A503" s="7" t="n">
        <x:v>499</x:v>
      </x:c>
      <x:c r="B503" s="7" t="str">
        <x:v>Tata</x:v>
      </x:c>
      <x:c r="C503" s="7" t="str">
        <x:v>Tiago</x:v>
      </x:c>
      <x:c r="D503" s="7" t="str">
        <x:v>XTA</x:v>
      </x:c>
      <x:c r="E503" s="7" t="str">
        <x:v>Petrol</x:v>
      </x:c>
      <x:c r="F503" s="7" t="str">
        <x:v>Automatic</x:v>
      </x:c>
      <x:c r="G503" s="7" t="str">
        <x:v>Hatchback</x:v>
      </x:c>
      <x:c r="H503" s="7" t="n">
        <x:v>1199</x:v>
      </x:c>
      <x:c r="I503" s="7" t="n">
        <x:v>85</x:v>
      </x:c>
      <x:c r="J503" s="9" t="n">
        <x:v>19</x:v>
      </x:c>
      <x:c r="K503" s="9" t="n">
        <x:v>7.2</x:v>
      </x:c>
      <x:c r="L503" s="7" t="n">
        <x:v>2024</x:v>
      </x:c>
      <x:c r="M503" s="11" t="n">
        <x:v>48396</x:v>
      </x:c>
      <x:c r="N503" s="7" t="n">
        <x:v>1</x:v>
      </x:c>
      <x:c r="O503" s="7" t="n">
        <x:v>0</x:v>
      </x:c>
      <x:c r="P503" s="9" t="n">
        <x:v>5.45</x:v>
      </x:c>
      <x:c r="Q503" s="7" t="n">
        <x:f>'Guide'!$B$5-L503</x:f>
        <x:v>2</x:v>
      </x:c>
      <x:c r="R503" s="9" t="n">
        <x:f>K503-P503</x:f>
        <x:v>1.75</x:v>
      </x:c>
      <x:c r="S503" s="10" t="n">
        <x:f>IF(K503&gt;0,R503/K503,"")</x:f>
        <x:v>0.24305555555555555</x:v>
      </x:c>
    </x:row>
    <x:row r="504">
      <x:c r="A504" s="7" t="n">
        <x:v>500</x:v>
      </x:c>
      <x:c r="B504" s="7" t="str">
        <x:v>Tata</x:v>
      </x:c>
      <x:c r="C504" s="7" t="str">
        <x:v>Tiago</x:v>
      </x:c>
      <x:c r="D504" s="7" t="str">
        <x:v>XTA</x:v>
      </x:c>
      <x:c r="E504" s="7" t="str">
        <x:v>Petrol</x:v>
      </x:c>
      <x:c r="F504" s="7" t="str">
        <x:v>Automatic</x:v>
      </x:c>
      <x:c r="G504" s="7" t="str">
        <x:v>Hatchback</x:v>
      </x:c>
      <x:c r="H504" s="7" t="n">
        <x:v>1199</x:v>
      </x:c>
      <x:c r="I504" s="7" t="n">
        <x:v>85</x:v>
      </x:c>
      <x:c r="J504" s="9" t="n">
        <x:v>19</x:v>
      </x:c>
      <x:c r="K504" s="9" t="n">
        <x:v>7.2</x:v>
      </x:c>
      <x:c r="L504" s="7" t="n">
        <x:v>2021</x:v>
      </x:c>
      <x:c r="M504" s="11" t="n">
        <x:v>59177</x:v>
      </x:c>
      <x:c r="N504" s="7" t="n">
        <x:v>1</x:v>
      </x:c>
      <x:c r="O504" s="7" t="n">
        <x:v>0</x:v>
      </x:c>
      <x:c r="P504" s="9" t="n">
        <x:v>4.1</x:v>
      </x:c>
      <x:c r="Q504" s="7" t="n">
        <x:f>'Guide'!$B$5-L504</x:f>
        <x:v>5</x:v>
      </x:c>
      <x:c r="R504" s="9" t="n">
        <x:f>K504-P504</x:f>
        <x:v>3.1000000000000005</x:v>
      </x:c>
      <x:c r="S504" s="10" t="n">
        <x:f>IF(K504&gt;0,R504/K504,"")</x:f>
        <x:v>0.43055555555555564</x:v>
      </x:c>
    </x:row>
    <x:row r="505">
      <x:c r="A505" s="7" t="n">
        <x:v>501</x:v>
      </x:c>
      <x:c r="B505" s="7" t="str">
        <x:v>Tata</x:v>
      </x:c>
      <x:c r="C505" s="7" t="str">
        <x:v>Tiago</x:v>
      </x:c>
      <x:c r="D505" s="7" t="str">
        <x:v>XTA</x:v>
      </x:c>
      <x:c r="E505" s="7" t="str">
        <x:v>Petrol</x:v>
      </x:c>
      <x:c r="F505" s="7" t="str">
        <x:v>Automatic</x:v>
      </x:c>
      <x:c r="G505" s="7" t="str">
        <x:v>Hatchback</x:v>
      </x:c>
      <x:c r="H505" s="7" t="n">
        <x:v>1199</x:v>
      </x:c>
      <x:c r="I505" s="7" t="n">
        <x:v>85</x:v>
      </x:c>
      <x:c r="J505" s="9" t="n">
        <x:v>19</x:v>
      </x:c>
      <x:c r="K505" s="9" t="n">
        <x:v>7.2</x:v>
      </x:c>
      <x:c r="L505" s="7" t="n">
        <x:v>2026</x:v>
      </x:c>
      <x:c r="M505" s="11" t="n">
        <x:v>9763</x:v>
      </x:c>
      <x:c r="N505" s="7" t="n">
        <x:v>2</x:v>
      </x:c>
      <x:c r="O505" s="7" t="n">
        <x:v>1</x:v>
      </x:c>
      <x:c r="P505" s="9" t="n">
        <x:v>5.59</x:v>
      </x:c>
      <x:c r="Q505" s="7" t="n">
        <x:f>'Guide'!$B$5-L505</x:f>
        <x:v>0</x:v>
      </x:c>
      <x:c r="R505" s="9" t="n">
        <x:f>K505-P505</x:f>
        <x:v>1.6100000000000003</x:v>
      </x:c>
      <x:c r="S505" s="10" t="n">
        <x:f>IF(K505&gt;0,R505/K505,"")</x:f>
        <x:v>0.22361111111111115</x:v>
      </x:c>
    </x:row>
    <x:row r="506">
      <x:c r="A506" s="7" t="n">
        <x:v>502</x:v>
      </x:c>
      <x:c r="B506" s="7" t="str">
        <x:v>Tata</x:v>
      </x:c>
      <x:c r="C506" s="7" t="str">
        <x:v>Tiago</x:v>
      </x:c>
      <x:c r="D506" s="7" t="str">
        <x:v>XTA</x:v>
      </x:c>
      <x:c r="E506" s="7" t="str">
        <x:v>Petrol</x:v>
      </x:c>
      <x:c r="F506" s="7" t="str">
        <x:v>Automatic</x:v>
      </x:c>
      <x:c r="G506" s="7" t="str">
        <x:v>Hatchback</x:v>
      </x:c>
      <x:c r="H506" s="7" t="n">
        <x:v>1199</x:v>
      </x:c>
      <x:c r="I506" s="7" t="n">
        <x:v>85</x:v>
      </x:c>
      <x:c r="J506" s="9" t="n">
        <x:v>19</x:v>
      </x:c>
      <x:c r="K506" s="9" t="n">
        <x:v>7.2</x:v>
      </x:c>
      <x:c r="L506" s="7" t="n">
        <x:v>2026</x:v>
      </x:c>
      <x:c r="M506" s="11" t="n">
        <x:v>4425</x:v>
      </x:c>
      <x:c r="N506" s="7" t="n">
        <x:v>2</x:v>
      </x:c>
      <x:c r="O506" s="7" t="n">
        <x:v>0</x:v>
      </x:c>
      <x:c r="P506" s="9" t="n">
        <x:v>6.59</x:v>
      </x:c>
      <x:c r="Q506" s="7" t="n">
        <x:f>'Guide'!$B$5-L506</x:f>
        <x:v>0</x:v>
      </x:c>
      <x:c r="R506" s="9" t="n">
        <x:f>K506-P506</x:f>
        <x:v>0.6100000000000003</x:v>
      </x:c>
      <x:c r="S506" s="10" t="n">
        <x:f>IF(K506&gt;0,R506/K506,"")</x:f>
        <x:v>0.08472222222222227</x:v>
      </x:c>
    </x:row>
    <x:row r="507">
      <x:c r="A507" s="7" t="n">
        <x:v>503</x:v>
      </x:c>
      <x:c r="B507" s="7" t="str">
        <x:v>Tata</x:v>
      </x:c>
      <x:c r="C507" s="7" t="str">
        <x:v>Tiago</x:v>
      </x:c>
      <x:c r="D507" s="7" t="str">
        <x:v>XTA</x:v>
      </x:c>
      <x:c r="E507" s="7" t="str">
        <x:v>Petrol</x:v>
      </x:c>
      <x:c r="F507" s="7" t="str">
        <x:v>Automatic</x:v>
      </x:c>
      <x:c r="G507" s="7" t="str">
        <x:v>Hatchback</x:v>
      </x:c>
      <x:c r="H507" s="7" t="n">
        <x:v>1199</x:v>
      </x:c>
      <x:c r="I507" s="7" t="n">
        <x:v>85</x:v>
      </x:c>
      <x:c r="J507" s="9" t="n">
        <x:v>19</x:v>
      </x:c>
      <x:c r="K507" s="9" t="n">
        <x:v>7.2</x:v>
      </x:c>
      <x:c r="L507" s="7" t="n">
        <x:v>2022</x:v>
      </x:c>
      <x:c r="M507" s="11" t="n">
        <x:v>66018</x:v>
      </x:c>
      <x:c r="N507" s="7" t="n">
        <x:v>1</x:v>
      </x:c>
      <x:c r="O507" s="7" t="n">
        <x:v>0</x:v>
      </x:c>
      <x:c r="P507" s="9" t="n">
        <x:v>4.65</x:v>
      </x:c>
      <x:c r="Q507" s="7" t="n">
        <x:f>'Guide'!$B$5-L507</x:f>
        <x:v>4</x:v>
      </x:c>
      <x:c r="R507" s="9" t="n">
        <x:f>K507-P507</x:f>
        <x:v>2.55</x:v>
      </x:c>
      <x:c r="S507" s="10" t="n">
        <x:f>IF(K507&gt;0,R507/K507,"")</x:f>
        <x:v>0.35416666666666663</x:v>
      </x:c>
    </x:row>
    <x:row r="508">
      <x:c r="A508" s="7" t="n">
        <x:v>504</x:v>
      </x:c>
      <x:c r="B508" s="7" t="str">
        <x:v>Tata</x:v>
      </x:c>
      <x:c r="C508" s="7" t="str">
        <x:v>Tiago</x:v>
      </x:c>
      <x:c r="D508" s="7" t="str">
        <x:v>XTA</x:v>
      </x:c>
      <x:c r="E508" s="7" t="str">
        <x:v>Petrol</x:v>
      </x:c>
      <x:c r="F508" s="7" t="str">
        <x:v>Automatic</x:v>
      </x:c>
      <x:c r="G508" s="7" t="str">
        <x:v>Hatchback</x:v>
      </x:c>
      <x:c r="H508" s="7" t="n">
        <x:v>1199</x:v>
      </x:c>
      <x:c r="I508" s="7" t="n">
        <x:v>85</x:v>
      </x:c>
      <x:c r="J508" s="9" t="n">
        <x:v>19</x:v>
      </x:c>
      <x:c r="K508" s="9" t="n">
        <x:v>7.2</x:v>
      </x:c>
      <x:c r="L508" s="7" t="n">
        <x:v>2025</x:v>
      </x:c>
      <x:c r="M508" s="11" t="n">
        <x:v>24237</x:v>
      </x:c>
      <x:c r="N508" s="7" t="n">
        <x:v>1</x:v>
      </x:c>
      <x:c r="O508" s="7" t="n">
        <x:v>0</x:v>
      </x:c>
      <x:c r="P508" s="9" t="n">
        <x:v>6.71</x:v>
      </x:c>
      <x:c r="Q508" s="7" t="n">
        <x:f>'Guide'!$B$5-L508</x:f>
        <x:v>1</x:v>
      </x:c>
      <x:c r="R508" s="9" t="n">
        <x:f>K508-P508</x:f>
        <x:v>0.4900000000000002</x:v>
      </x:c>
      <x:c r="S508" s="10" t="n">
        <x:f>IF(K508&gt;0,R508/K508,"")</x:f>
        <x:v>0.06805555555555558</x:v>
      </x:c>
    </x:row>
    <x:row r="509">
      <x:c r="A509" s="7" t="n">
        <x:v>505</x:v>
      </x:c>
      <x:c r="B509" s="7" t="str">
        <x:v>Tata</x:v>
      </x:c>
      <x:c r="C509" s="7" t="str">
        <x:v>Tiago</x:v>
      </x:c>
      <x:c r="D509" s="7" t="str">
        <x:v>XTA</x:v>
      </x:c>
      <x:c r="E509" s="7" t="str">
        <x:v>Petrol</x:v>
      </x:c>
      <x:c r="F509" s="7" t="str">
        <x:v>Automatic</x:v>
      </x:c>
      <x:c r="G509" s="7" t="str">
        <x:v>Hatchback</x:v>
      </x:c>
      <x:c r="H509" s="7" t="n">
        <x:v>1199</x:v>
      </x:c>
      <x:c r="I509" s="7" t="n">
        <x:v>85</x:v>
      </x:c>
      <x:c r="J509" s="9" t="n">
        <x:v>19</x:v>
      </x:c>
      <x:c r="K509" s="9" t="n">
        <x:v>7.2</x:v>
      </x:c>
      <x:c r="L509" s="7" t="n">
        <x:v>2022</x:v>
      </x:c>
      <x:c r="M509" s="11" t="n">
        <x:v>75115</x:v>
      </x:c>
      <x:c r="N509" s="7" t="n">
        <x:v>1</x:v>
      </x:c>
      <x:c r="O509" s="7" t="n">
        <x:v>0</x:v>
      </x:c>
      <x:c r="P509" s="9" t="n">
        <x:v>4.63</x:v>
      </x:c>
      <x:c r="Q509" s="7" t="n">
        <x:f>'Guide'!$B$5-L509</x:f>
        <x:v>4</x:v>
      </x:c>
      <x:c r="R509" s="9" t="n">
        <x:f>K509-P509</x:f>
        <x:v>2.5700000000000003</x:v>
      </x:c>
      <x:c r="S509" s="10" t="n">
        <x:f>IF(K509&gt;0,R509/K509,"")</x:f>
        <x:v>0.35694444444444445</x:v>
      </x:c>
    </x:row>
    <x:row r="510">
      <x:c r="A510" s="7" t="n">
        <x:v>506</x:v>
      </x:c>
      <x:c r="B510" s="7" t="str">
        <x:v>Tata</x:v>
      </x:c>
      <x:c r="C510" s="7" t="str">
        <x:v>Tiago</x:v>
      </x:c>
      <x:c r="D510" s="7" t="str">
        <x:v>XTA</x:v>
      </x:c>
      <x:c r="E510" s="7" t="str">
        <x:v>Petrol</x:v>
      </x:c>
      <x:c r="F510" s="7" t="str">
        <x:v>Automatic</x:v>
      </x:c>
      <x:c r="G510" s="7" t="str">
        <x:v>Hatchback</x:v>
      </x:c>
      <x:c r="H510" s="7" t="n">
        <x:v>1199</x:v>
      </x:c>
      <x:c r="I510" s="7" t="n">
        <x:v>85</x:v>
      </x:c>
      <x:c r="J510" s="9" t="n">
        <x:v>19</x:v>
      </x:c>
      <x:c r="K510" s="9" t="n">
        <x:v>7.2</x:v>
      </x:c>
      <x:c r="L510" s="7" t="n">
        <x:v>2022</x:v>
      </x:c>
      <x:c r="M510" s="11" t="n">
        <x:v>46724</x:v>
      </x:c>
      <x:c r="N510" s="7" t="n">
        <x:v>2</x:v>
      </x:c>
      <x:c r="O510" s="7" t="n">
        <x:v>0</x:v>
      </x:c>
      <x:c r="P510" s="9" t="n">
        <x:v>3.87</x:v>
      </x:c>
      <x:c r="Q510" s="7" t="n">
        <x:f>'Guide'!$B$5-L510</x:f>
        <x:v>4</x:v>
      </x:c>
      <x:c r="R510" s="9" t="n">
        <x:f>K510-P510</x:f>
        <x:v>3.33</x:v>
      </x:c>
      <x:c r="S510" s="10" t="n">
        <x:f>IF(K510&gt;0,R510/K510,"")</x:f>
        <x:v>0.4625</x:v>
      </x:c>
    </x:row>
    <x:row r="511">
      <x:c r="A511" s="7" t="n">
        <x:v>507</x:v>
      </x:c>
      <x:c r="B511" s="7" t="str">
        <x:v>Tata</x:v>
      </x:c>
      <x:c r="C511" s="7" t="str">
        <x:v>Tiago</x:v>
      </x:c>
      <x:c r="D511" s="7" t="str">
        <x:v>XTA</x:v>
      </x:c>
      <x:c r="E511" s="7" t="str">
        <x:v>Petrol</x:v>
      </x:c>
      <x:c r="F511" s="7" t="str">
        <x:v>Automatic</x:v>
      </x:c>
      <x:c r="G511" s="7" t="str">
        <x:v>Hatchback</x:v>
      </x:c>
      <x:c r="H511" s="7" t="n">
        <x:v>1199</x:v>
      </x:c>
      <x:c r="I511" s="7" t="n">
        <x:v>85</x:v>
      </x:c>
      <x:c r="J511" s="9" t="n">
        <x:v>19</x:v>
      </x:c>
      <x:c r="K511" s="9" t="n">
        <x:v>7.2</x:v>
      </x:c>
      <x:c r="L511" s="7" t="n">
        <x:v>2020</x:v>
      </x:c>
      <x:c r="M511" s="11" t="n">
        <x:v>88925</x:v>
      </x:c>
      <x:c r="N511" s="7" t="n">
        <x:v>2</x:v>
      </x:c>
      <x:c r="O511" s="7" t="n">
        <x:v>0</x:v>
      </x:c>
      <x:c r="P511" s="9" t="n">
        <x:v>2.78</x:v>
      </x:c>
      <x:c r="Q511" s="7" t="n">
        <x:f>'Guide'!$B$5-L511</x:f>
        <x:v>6</x:v>
      </x:c>
      <x:c r="R511" s="9" t="n">
        <x:f>K511-P511</x:f>
        <x:v>4.42</x:v>
      </x:c>
      <x:c r="S511" s="10" t="n">
        <x:f>IF(K511&gt;0,R511/K511,"")</x:f>
        <x:v>0.6138888888888888</x:v>
      </x:c>
    </x:row>
    <x:row r="512">
      <x:c r="A512" s="7" t="n">
        <x:v>508</x:v>
      </x:c>
      <x:c r="B512" s="7" t="str">
        <x:v>Tata</x:v>
      </x:c>
      <x:c r="C512" s="7" t="str">
        <x:v>Tiago</x:v>
      </x:c>
      <x:c r="D512" s="7" t="str">
        <x:v>XTA</x:v>
      </x:c>
      <x:c r="E512" s="7" t="str">
        <x:v>Petrol</x:v>
      </x:c>
      <x:c r="F512" s="7" t="str">
        <x:v>Automatic</x:v>
      </x:c>
      <x:c r="G512" s="7" t="str">
        <x:v>Hatchback</x:v>
      </x:c>
      <x:c r="H512" s="7" t="n">
        <x:v>1199</x:v>
      </x:c>
      <x:c r="I512" s="7" t="n">
        <x:v>85</x:v>
      </x:c>
      <x:c r="J512" s="9" t="n">
        <x:v>19</x:v>
      </x:c>
      <x:c r="K512" s="9" t="n">
        <x:v>7.2</x:v>
      </x:c>
      <x:c r="L512" s="7" t="n">
        <x:v>2021</x:v>
      </x:c>
      <x:c r="M512" s="11" t="n">
        <x:v>74734</x:v>
      </x:c>
      <x:c r="N512" s="7" t="n">
        <x:v>2</x:v>
      </x:c>
      <x:c r="O512" s="7" t="n">
        <x:v>0</x:v>
      </x:c>
      <x:c r="P512" s="9" t="n">
        <x:v>3.37</x:v>
      </x:c>
      <x:c r="Q512" s="7" t="n">
        <x:f>'Guide'!$B$5-L512</x:f>
        <x:v>5</x:v>
      </x:c>
      <x:c r="R512" s="9" t="n">
        <x:f>K512-P512</x:f>
        <x:v>3.83</x:v>
      </x:c>
      <x:c r="S512" s="10" t="n">
        <x:f>IF(K512&gt;0,R512/K512,"")</x:f>
        <x:v>0.5319444444444444</x:v>
      </x:c>
    </x:row>
    <x:row r="513">
      <x:c r="A513" s="7" t="n">
        <x:v>509</x:v>
      </x:c>
      <x:c r="B513" s="7" t="str">
        <x:v>Tata</x:v>
      </x:c>
      <x:c r="C513" s="7" t="str">
        <x:v>Tiago</x:v>
      </x:c>
      <x:c r="D513" s="7" t="str">
        <x:v>XTA</x:v>
      </x:c>
      <x:c r="E513" s="7" t="str">
        <x:v>Petrol</x:v>
      </x:c>
      <x:c r="F513" s="7" t="str">
        <x:v>Automatic</x:v>
      </x:c>
      <x:c r="G513" s="7" t="str">
        <x:v>Hatchback</x:v>
      </x:c>
      <x:c r="H513" s="7" t="n">
        <x:v>1199</x:v>
      </x:c>
      <x:c r="I513" s="7" t="n">
        <x:v>85</x:v>
      </x:c>
      <x:c r="J513" s="9" t="n">
        <x:v>19</x:v>
      </x:c>
      <x:c r="K513" s="9" t="n">
        <x:v>7.2</x:v>
      </x:c>
      <x:c r="L513" s="7" t="n">
        <x:v>2021</x:v>
      </x:c>
      <x:c r="M513" s="11" t="n">
        <x:v>102210</x:v>
      </x:c>
      <x:c r="N513" s="7" t="n">
        <x:v>1</x:v>
      </x:c>
      <x:c r="O513" s="7" t="n">
        <x:v>0</x:v>
      </x:c>
      <x:c r="P513" s="9" t="n">
        <x:v>3.43</x:v>
      </x:c>
      <x:c r="Q513" s="7" t="n">
        <x:f>'Guide'!$B$5-L513</x:f>
        <x:v>5</x:v>
      </x:c>
      <x:c r="R513" s="9" t="n">
        <x:f>K513-P513</x:f>
        <x:v>3.77</x:v>
      </x:c>
      <x:c r="S513" s="10" t="n">
        <x:f>IF(K513&gt;0,R513/K513,"")</x:f>
        <x:v>0.5236111111111111</x:v>
      </x:c>
    </x:row>
    <x:row r="514">
      <x:c r="A514" s="7" t="n">
        <x:v>510</x:v>
      </x:c>
      <x:c r="B514" s="7" t="str">
        <x:v>Tata</x:v>
      </x:c>
      <x:c r="C514" s="7" t="str">
        <x:v>Tiago</x:v>
      </x:c>
      <x:c r="D514" s="7" t="str">
        <x:v>XTA</x:v>
      </x:c>
      <x:c r="E514" s="7" t="str">
        <x:v>Petrol</x:v>
      </x:c>
      <x:c r="F514" s="7" t="str">
        <x:v>Automatic</x:v>
      </x:c>
      <x:c r="G514" s="7" t="str">
        <x:v>Hatchback</x:v>
      </x:c>
      <x:c r="H514" s="7" t="n">
        <x:v>1199</x:v>
      </x:c>
      <x:c r="I514" s="7" t="n">
        <x:v>85</x:v>
      </x:c>
      <x:c r="J514" s="9" t="n">
        <x:v>19</x:v>
      </x:c>
      <x:c r="K514" s="9" t="n">
        <x:v>7.2</x:v>
      </x:c>
      <x:c r="L514" s="7" t="n">
        <x:v>2022</x:v>
      </x:c>
      <x:c r="M514" s="11" t="n">
        <x:v>75552</x:v>
      </x:c>
      <x:c r="N514" s="7" t="n">
        <x:v>1</x:v>
      </x:c>
      <x:c r="O514" s="7" t="n">
        <x:v>0</x:v>
      </x:c>
      <x:c r="P514" s="9" t="n">
        <x:v>4.11</x:v>
      </x:c>
      <x:c r="Q514" s="7" t="n">
        <x:f>'Guide'!$B$5-L514</x:f>
        <x:v>4</x:v>
      </x:c>
      <x:c r="R514" s="9" t="n">
        <x:f>K514-P514</x:f>
        <x:v>3.09</x:v>
      </x:c>
      <x:c r="S514" s="10" t="n">
        <x:f>IF(K514&gt;0,R514/K514,"")</x:f>
        <x:v>0.42916666666666664</x:v>
      </x:c>
    </x:row>
    <x:row r="515">
      <x:c r="A515" s="7" t="n">
        <x:v>511</x:v>
      </x:c>
      <x:c r="B515" s="7" t="str">
        <x:v>Tata</x:v>
      </x:c>
      <x:c r="C515" s="7" t="str">
        <x:v>Tiago</x:v>
      </x:c>
      <x:c r="D515" s="7" t="str">
        <x:v>XTA</x:v>
      </x:c>
      <x:c r="E515" s="7" t="str">
        <x:v>Petrol</x:v>
      </x:c>
      <x:c r="F515" s="7" t="str">
        <x:v>Automatic</x:v>
      </x:c>
      <x:c r="G515" s="7" t="str">
        <x:v>Hatchback</x:v>
      </x:c>
      <x:c r="H515" s="7" t="n">
        <x:v>1199</x:v>
      </x:c>
      <x:c r="I515" s="7" t="n">
        <x:v>85</x:v>
      </x:c>
      <x:c r="J515" s="9" t="n">
        <x:v>19</x:v>
      </x:c>
      <x:c r="K515" s="9" t="n">
        <x:v>7.2</x:v>
      </x:c>
      <x:c r="L515" s="7" t="n">
        <x:v>2025</x:v>
      </x:c>
      <x:c r="M515" s="11" t="n">
        <x:v>22557</x:v>
      </x:c>
      <x:c r="N515" s="7" t="n">
        <x:v>1</x:v>
      </x:c>
      <x:c r="O515" s="7" t="n">
        <x:v>0</x:v>
      </x:c>
      <x:c r="P515" s="9" t="n">
        <x:v>6.3</x:v>
      </x:c>
      <x:c r="Q515" s="7" t="n">
        <x:f>'Guide'!$B$5-L515</x:f>
        <x:v>1</x:v>
      </x:c>
      <x:c r="R515" s="9" t="n">
        <x:f>K515-P515</x:f>
        <x:v>0.9000000000000004</x:v>
      </x:c>
      <x:c r="S515" s="10" t="n">
        <x:f>IF(K515&gt;0,R515/K515,"")</x:f>
        <x:v>0.12500000000000006</x:v>
      </x:c>
    </x:row>
    <x:row r="516">
      <x:c r="A516" s="7" t="n">
        <x:v>512</x:v>
      </x:c>
      <x:c r="B516" s="7" t="str">
        <x:v>Tata</x:v>
      </x:c>
      <x:c r="C516" s="7" t="str">
        <x:v>Tiago</x:v>
      </x:c>
      <x:c r="D516" s="7" t="str">
        <x:v>XTA</x:v>
      </x:c>
      <x:c r="E516" s="7" t="str">
        <x:v>Petrol</x:v>
      </x:c>
      <x:c r="F516" s="7" t="str">
        <x:v>Automatic</x:v>
      </x:c>
      <x:c r="G516" s="7" t="str">
        <x:v>Hatchback</x:v>
      </x:c>
      <x:c r="H516" s="7" t="n">
        <x:v>1199</x:v>
      </x:c>
      <x:c r="I516" s="7" t="n">
        <x:v>85</x:v>
      </x:c>
      <x:c r="J516" s="9" t="n">
        <x:v>19</x:v>
      </x:c>
      <x:c r="K516" s="9" t="n">
        <x:v>7.2</x:v>
      </x:c>
      <x:c r="L516" s="7" t="n">
        <x:v>2026</x:v>
      </x:c>
      <x:c r="M516" s="11" t="n">
        <x:v>4653</x:v>
      </x:c>
      <x:c r="N516" s="7" t="n">
        <x:v>1</x:v>
      </x:c>
      <x:c r="O516" s="7" t="n">
        <x:v>0</x:v>
      </x:c>
      <x:c r="P516" s="9" t="n">
        <x:v>7.14</x:v>
      </x:c>
      <x:c r="Q516" s="7" t="n">
        <x:f>'Guide'!$B$5-L516</x:f>
        <x:v>0</x:v>
      </x:c>
      <x:c r="R516" s="9" t="n">
        <x:f>K516-P516</x:f>
        <x:v>0.0600000000000005</x:v>
      </x:c>
      <x:c r="S516" s="10" t="n">
        <x:f>IF(K516&gt;0,R516/K516,"")</x:f>
        <x:v>0.008333333333333403</x:v>
      </x:c>
    </x:row>
    <x:row r="517">
      <x:c r="A517" s="7" t="n">
        <x:v>513</x:v>
      </x:c>
      <x:c r="B517" s="7" t="str">
        <x:v>Tata</x:v>
      </x:c>
      <x:c r="C517" s="7" t="str">
        <x:v>Tiago</x:v>
      </x:c>
      <x:c r="D517" s="7" t="str">
        <x:v>XTA</x:v>
      </x:c>
      <x:c r="E517" s="7" t="str">
        <x:v>Petrol</x:v>
      </x:c>
      <x:c r="F517" s="7" t="str">
        <x:v>Automatic</x:v>
      </x:c>
      <x:c r="G517" s="7" t="str">
        <x:v>Hatchback</x:v>
      </x:c>
      <x:c r="H517" s="7" t="n">
        <x:v>1199</x:v>
      </x:c>
      <x:c r="I517" s="7" t="n">
        <x:v>85</x:v>
      </x:c>
      <x:c r="J517" s="9" t="n">
        <x:v>19</x:v>
      </x:c>
      <x:c r="K517" s="9" t="n">
        <x:v>7.2</x:v>
      </x:c>
      <x:c r="L517" s="7" t="n">
        <x:v>2020</x:v>
      </x:c>
      <x:c r="M517" s="11" t="n">
        <x:v>71844</x:v>
      </x:c>
      <x:c r="N517" s="7" t="n">
        <x:v>3</x:v>
      </x:c>
      <x:c r="O517" s="7" t="n">
        <x:v>0</x:v>
      </x:c>
      <x:c r="P517" s="9" t="n">
        <x:v>2.24</x:v>
      </x:c>
      <x:c r="Q517" s="7" t="n">
        <x:f>'Guide'!$B$5-L517</x:f>
        <x:v>6</x:v>
      </x:c>
      <x:c r="R517" s="9" t="n">
        <x:f>K517-P517</x:f>
        <x:v>4.96</x:v>
      </x:c>
      <x:c r="S517" s="10" t="n">
        <x:f>IF(K517&gt;0,R517/K517,"")</x:f>
        <x:v>0.6888888888888889</x:v>
      </x:c>
    </x:row>
    <x:row r="518">
      <x:c r="A518" s="7" t="n">
        <x:v>514</x:v>
      </x:c>
      <x:c r="B518" s="7" t="str">
        <x:v>Tata</x:v>
      </x:c>
      <x:c r="C518" s="7" t="str">
        <x:v>Tiago</x:v>
      </x:c>
      <x:c r="D518" s="7" t="str">
        <x:v>XTA</x:v>
      </x:c>
      <x:c r="E518" s="7" t="str">
        <x:v>Petrol</x:v>
      </x:c>
      <x:c r="F518" s="7" t="str">
        <x:v>Automatic</x:v>
      </x:c>
      <x:c r="G518" s="7" t="str">
        <x:v>Hatchback</x:v>
      </x:c>
      <x:c r="H518" s="7" t="n">
        <x:v>1199</x:v>
      </x:c>
      <x:c r="I518" s="7" t="n">
        <x:v>85</x:v>
      </x:c>
      <x:c r="J518" s="9" t="n">
        <x:v>19</x:v>
      </x:c>
      <x:c r="K518" s="9" t="n">
        <x:v>7.2</x:v>
      </x:c>
      <x:c r="L518" s="7" t="n">
        <x:v>2023</x:v>
      </x:c>
      <x:c r="M518" s="11" t="n">
        <x:v>63671</x:v>
      </x:c>
      <x:c r="N518" s="7" t="n">
        <x:v>1</x:v>
      </x:c>
      <x:c r="O518" s="7" t="n">
        <x:v>1</x:v>
      </x:c>
      <x:c r="P518" s="9" t="n">
        <x:v>4.51</x:v>
      </x:c>
      <x:c r="Q518" s="7" t="n">
        <x:f>'Guide'!$B$5-L518</x:f>
        <x:v>3</x:v>
      </x:c>
      <x:c r="R518" s="9" t="n">
        <x:f>K518-P518</x:f>
        <x:v>2.6900000000000004</x:v>
      </x:c>
      <x:c r="S518" s="10" t="n">
        <x:f>IF(K518&gt;0,R518/K518,"")</x:f>
        <x:v>0.37361111111111117</x:v>
      </x:c>
    </x:row>
    <x:row r="519">
      <x:c r="A519" s="7" t="n">
        <x:v>515</x:v>
      </x:c>
      <x:c r="B519" s="7" t="str">
        <x:v>Tata</x:v>
      </x:c>
      <x:c r="C519" s="7" t="str">
        <x:v>Tiago</x:v>
      </x:c>
      <x:c r="D519" s="7" t="str">
        <x:v>XTA</x:v>
      </x:c>
      <x:c r="E519" s="7" t="str">
        <x:v>Petrol</x:v>
      </x:c>
      <x:c r="F519" s="7" t="str">
        <x:v>Automatic</x:v>
      </x:c>
      <x:c r="G519" s="7" t="str">
        <x:v>Hatchback</x:v>
      </x:c>
      <x:c r="H519" s="7" t="n">
        <x:v>1199</x:v>
      </x:c>
      <x:c r="I519" s="7" t="n">
        <x:v>85</x:v>
      </x:c>
      <x:c r="J519" s="9" t="n">
        <x:v>19</x:v>
      </x:c>
      <x:c r="K519" s="9" t="n">
        <x:v>7.2</x:v>
      </x:c>
      <x:c r="L519" s="7" t="n">
        <x:v>2025</x:v>
      </x:c>
      <x:c r="M519" s="11" t="n">
        <x:v>13504</x:v>
      </x:c>
      <x:c r="N519" s="7" t="n">
        <x:v>2</x:v>
      </x:c>
      <x:c r="O519" s="7" t="n">
        <x:v>0</x:v>
      </x:c>
      <x:c r="P519" s="9" t="n">
        <x:v>6.36</x:v>
      </x:c>
      <x:c r="Q519" s="7" t="n">
        <x:f>'Guide'!$B$5-L519</x:f>
        <x:v>1</x:v>
      </x:c>
      <x:c r="R519" s="9" t="n">
        <x:f>K519-P519</x:f>
        <x:v>0.8399999999999999</x:v>
      </x:c>
      <x:c r="S519" s="10" t="n">
        <x:f>IF(K519&gt;0,R519/K519,"")</x:f>
        <x:v>0.11666666666666664</x:v>
      </x:c>
    </x:row>
    <x:row r="520">
      <x:c r="A520" s="7" t="n">
        <x:v>516</x:v>
      </x:c>
      <x:c r="B520" s="7" t="str">
        <x:v>Tata</x:v>
      </x:c>
      <x:c r="C520" s="7" t="str">
        <x:v>Tiago</x:v>
      </x:c>
      <x:c r="D520" s="7" t="str">
        <x:v>XTA</x:v>
      </x:c>
      <x:c r="E520" s="7" t="str">
        <x:v>Petrol</x:v>
      </x:c>
      <x:c r="F520" s="7" t="str">
        <x:v>Automatic</x:v>
      </x:c>
      <x:c r="G520" s="7" t="str">
        <x:v>Hatchback</x:v>
      </x:c>
      <x:c r="H520" s="7" t="n">
        <x:v>1199</x:v>
      </x:c>
      <x:c r="I520" s="7" t="n">
        <x:v>85</x:v>
      </x:c>
      <x:c r="J520" s="9" t="n">
        <x:v>19</x:v>
      </x:c>
      <x:c r="K520" s="9" t="n">
        <x:v>7.2</x:v>
      </x:c>
      <x:c r="L520" s="7" t="n">
        <x:v>2023</x:v>
      </x:c>
      <x:c r="M520" s="11" t="n">
        <x:v>60974</x:v>
      </x:c>
      <x:c r="N520" s="7" t="n">
        <x:v>1</x:v>
      </x:c>
      <x:c r="O520" s="7" t="n">
        <x:v>0</x:v>
      </x:c>
      <x:c r="P520" s="9" t="n">
        <x:v>4.96</x:v>
      </x:c>
      <x:c r="Q520" s="7" t="n">
        <x:f>'Guide'!$B$5-L520</x:f>
        <x:v>3</x:v>
      </x:c>
      <x:c r="R520" s="9" t="n">
        <x:f>K520-P520</x:f>
        <x:v>2.24</x:v>
      </x:c>
      <x:c r="S520" s="10" t="n">
        <x:f>IF(K520&gt;0,R520/K520,"")</x:f>
        <x:v>0.3111111111111111</x:v>
      </x:c>
    </x:row>
    <x:row r="521">
      <x:c r="A521" s="7" t="n">
        <x:v>517</x:v>
      </x:c>
      <x:c r="B521" s="7" t="str">
        <x:v>Tata</x:v>
      </x:c>
      <x:c r="C521" s="7" t="str">
        <x:v>Tiago</x:v>
      </x:c>
      <x:c r="D521" s="7" t="str">
        <x:v>XTA</x:v>
      </x:c>
      <x:c r="E521" s="7" t="str">
        <x:v>Petrol</x:v>
      </x:c>
      <x:c r="F521" s="7" t="str">
        <x:v>Automatic</x:v>
      </x:c>
      <x:c r="G521" s="7" t="str">
        <x:v>Hatchback</x:v>
      </x:c>
      <x:c r="H521" s="7" t="n">
        <x:v>1199</x:v>
      </x:c>
      <x:c r="I521" s="7" t="n">
        <x:v>85</x:v>
      </x:c>
      <x:c r="J521" s="9" t="n">
        <x:v>19</x:v>
      </x:c>
      <x:c r="K521" s="9" t="n">
        <x:v>7.2</x:v>
      </x:c>
      <x:c r="L521" s="7" t="n">
        <x:v>2023</x:v>
      </x:c>
      <x:c r="M521" s="11" t="n">
        <x:v>50296</x:v>
      </x:c>
      <x:c r="N521" s="7" t="n">
        <x:v>3</x:v>
      </x:c>
      <x:c r="O521" s="7" t="n">
        <x:v>0</x:v>
      </x:c>
      <x:c r="P521" s="9" t="n">
        <x:v>4.55</x:v>
      </x:c>
      <x:c r="Q521" s="7" t="n">
        <x:f>'Guide'!$B$5-L521</x:f>
        <x:v>3</x:v>
      </x:c>
      <x:c r="R521" s="9" t="n">
        <x:f>K521-P521</x:f>
        <x:v>2.6500000000000004</x:v>
      </x:c>
      <x:c r="S521" s="10" t="n">
        <x:f>IF(K521&gt;0,R521/K521,"")</x:f>
        <x:v>0.3680555555555556</x:v>
      </x:c>
    </x:row>
    <x:row r="522">
      <x:c r="A522" s="7" t="n">
        <x:v>518</x:v>
      </x:c>
      <x:c r="B522" s="7" t="str">
        <x:v>Tata</x:v>
      </x:c>
      <x:c r="C522" s="7" t="str">
        <x:v>Tiago</x:v>
      </x:c>
      <x:c r="D522" s="7" t="str">
        <x:v>XTA</x:v>
      </x:c>
      <x:c r="E522" s="7" t="str">
        <x:v>Petrol</x:v>
      </x:c>
      <x:c r="F522" s="7" t="str">
        <x:v>Automatic</x:v>
      </x:c>
      <x:c r="G522" s="7" t="str">
        <x:v>Hatchback</x:v>
      </x:c>
      <x:c r="H522" s="7" t="n">
        <x:v>1199</x:v>
      </x:c>
      <x:c r="I522" s="7" t="n">
        <x:v>85</x:v>
      </x:c>
      <x:c r="J522" s="9" t="n">
        <x:v>19</x:v>
      </x:c>
      <x:c r="K522" s="9" t="n">
        <x:v>7.2</x:v>
      </x:c>
      <x:c r="L522" s="7" t="n">
        <x:v>2023</x:v>
      </x:c>
      <x:c r="M522" s="11" t="n">
        <x:v>29385</x:v>
      </x:c>
      <x:c r="N522" s="7" t="n">
        <x:v>1</x:v>
      </x:c>
      <x:c r="O522" s="7" t="n">
        <x:v>0</x:v>
      </x:c>
      <x:c r="P522" s="9" t="n">
        <x:v>4.95</x:v>
      </x:c>
      <x:c r="Q522" s="7" t="n">
        <x:f>'Guide'!$B$5-L522</x:f>
        <x:v>3</x:v>
      </x:c>
      <x:c r="R522" s="9" t="n">
        <x:f>K522-P522</x:f>
        <x:v>2.25</x:v>
      </x:c>
      <x:c r="S522" s="10" t="n">
        <x:f>IF(K522&gt;0,R522/K522,"")</x:f>
        <x:v>0.3125</x:v>
      </x:c>
    </x:row>
    <x:row r="523">
      <x:c r="A523" s="7" t="n">
        <x:v>519</x:v>
      </x:c>
      <x:c r="B523" s="7" t="str">
        <x:v>Tata</x:v>
      </x:c>
      <x:c r="C523" s="7" t="str">
        <x:v>Tiago</x:v>
      </x:c>
      <x:c r="D523" s="7" t="str">
        <x:v>XTA</x:v>
      </x:c>
      <x:c r="E523" s="7" t="str">
        <x:v>Petrol</x:v>
      </x:c>
      <x:c r="F523" s="7" t="str">
        <x:v>Automatic</x:v>
      </x:c>
      <x:c r="G523" s="7" t="str">
        <x:v>Hatchback</x:v>
      </x:c>
      <x:c r="H523" s="7" t="n">
        <x:v>1199</x:v>
      </x:c>
      <x:c r="I523" s="7" t="n">
        <x:v>85</x:v>
      </x:c>
      <x:c r="J523" s="9" t="n">
        <x:v>19</x:v>
      </x:c>
      <x:c r="K523" s="9" t="n">
        <x:v>7.2</x:v>
      </x:c>
      <x:c r="L523" s="7" t="n">
        <x:v>2025</x:v>
      </x:c>
      <x:c r="M523" s="11" t="n">
        <x:v>22675</x:v>
      </x:c>
      <x:c r="N523" s="7" t="n">
        <x:v>1</x:v>
      </x:c>
      <x:c r="O523" s="7" t="n">
        <x:v>0</x:v>
      </x:c>
      <x:c r="P523" s="9" t="n">
        <x:v>6.44</x:v>
      </x:c>
      <x:c r="Q523" s="7" t="n">
        <x:f>'Guide'!$B$5-L523</x:f>
        <x:v>1</x:v>
      </x:c>
      <x:c r="R523" s="9" t="n">
        <x:f>K523-P523</x:f>
        <x:v>0.7599999999999998</x:v>
      </x:c>
      <x:c r="S523" s="10" t="n">
        <x:f>IF(K523&gt;0,R523/K523,"")</x:f>
        <x:v>0.10555555555555553</x:v>
      </x:c>
    </x:row>
    <x:row r="524">
      <x:c r="A524" s="7" t="n">
        <x:v>520</x:v>
      </x:c>
      <x:c r="B524" s="7" t="str">
        <x:v>Tata</x:v>
      </x:c>
      <x:c r="C524" s="7" t="str">
        <x:v>Tiago</x:v>
      </x:c>
      <x:c r="D524" s="7" t="str">
        <x:v>XTA</x:v>
      </x:c>
      <x:c r="E524" s="7" t="str">
        <x:v>Petrol</x:v>
      </x:c>
      <x:c r="F524" s="7" t="str">
        <x:v>Automatic</x:v>
      </x:c>
      <x:c r="G524" s="7" t="str">
        <x:v>Hatchback</x:v>
      </x:c>
      <x:c r="H524" s="7" t="n">
        <x:v>1199</x:v>
      </x:c>
      <x:c r="I524" s="7" t="n">
        <x:v>85</x:v>
      </x:c>
      <x:c r="J524" s="9" t="n">
        <x:v>19</x:v>
      </x:c>
      <x:c r="K524" s="9" t="n">
        <x:v>7.2</x:v>
      </x:c>
      <x:c r="L524" s="7" t="n">
        <x:v>2021</x:v>
      </x:c>
      <x:c r="M524" s="11" t="n">
        <x:v>68988</x:v>
      </x:c>
      <x:c r="N524" s="7" t="n">
        <x:v>1</x:v>
      </x:c>
      <x:c r="O524" s="7" t="n">
        <x:v>0</x:v>
      </x:c>
      <x:c r="P524" s="9" t="n">
        <x:v>3.59</x:v>
      </x:c>
      <x:c r="Q524" s="7" t="n">
        <x:f>'Guide'!$B$5-L524</x:f>
        <x:v>5</x:v>
      </x:c>
      <x:c r="R524" s="9" t="n">
        <x:f>K524-P524</x:f>
        <x:v>3.6100000000000003</x:v>
      </x:c>
      <x:c r="S524" s="10" t="n">
        <x:f>IF(K524&gt;0,R524/K524,"")</x:f>
        <x:v>0.5013888888888889</x:v>
      </x:c>
    </x:row>
    <x:row r="525">
      <x:c r="A525" s="7" t="n">
        <x:v>521</x:v>
      </x:c>
      <x:c r="B525" s="7" t="str">
        <x:v>Tata</x:v>
      </x:c>
      <x:c r="C525" s="7" t="str">
        <x:v>Tiago</x:v>
      </x:c>
      <x:c r="D525" s="7" t="str">
        <x:v>XTA</x:v>
      </x:c>
      <x:c r="E525" s="7" t="str">
        <x:v>Petrol</x:v>
      </x:c>
      <x:c r="F525" s="7" t="str">
        <x:v>Automatic</x:v>
      </x:c>
      <x:c r="G525" s="7" t="str">
        <x:v>Hatchback</x:v>
      </x:c>
      <x:c r="H525" s="7" t="n">
        <x:v>1199</x:v>
      </x:c>
      <x:c r="I525" s="7" t="n">
        <x:v>85</x:v>
      </x:c>
      <x:c r="J525" s="9" t="n">
        <x:v>19</x:v>
      </x:c>
      <x:c r="K525" s="9" t="n">
        <x:v>7.2</x:v>
      </x:c>
      <x:c r="L525" s="7" t="n">
        <x:v>2024</x:v>
      </x:c>
      <x:c r="M525" s="11" t="n">
        <x:v>38026</x:v>
      </x:c>
      <x:c r="N525" s="7" t="n">
        <x:v>2</x:v>
      </x:c>
      <x:c r="O525" s="7" t="n">
        <x:v>0</x:v>
      </x:c>
      <x:c r="P525" s="9" t="n">
        <x:v>5.27</x:v>
      </x:c>
      <x:c r="Q525" s="7" t="n">
        <x:f>'Guide'!$B$5-L525</x:f>
        <x:v>2</x:v>
      </x:c>
      <x:c r="R525" s="9" t="n">
        <x:f>K525-P525</x:f>
        <x:v>1.9300000000000006</x:v>
      </x:c>
      <x:c r="S525" s="10" t="n">
        <x:f>IF(K525&gt;0,R525/K525,"")</x:f>
        <x:v>0.26805555555555566</x:v>
      </x:c>
    </x:row>
    <x:row r="526">
      <x:c r="A526" s="7" t="n">
        <x:v>522</x:v>
      </x:c>
      <x:c r="B526" s="7" t="str">
        <x:v>Tata</x:v>
      </x:c>
      <x:c r="C526" s="7" t="str">
        <x:v>Tiago</x:v>
      </x:c>
      <x:c r="D526" s="7" t="str">
        <x:v>XTA</x:v>
      </x:c>
      <x:c r="E526" s="7" t="str">
        <x:v>Petrol</x:v>
      </x:c>
      <x:c r="F526" s="7" t="str">
        <x:v>Automatic</x:v>
      </x:c>
      <x:c r="G526" s="7" t="str">
        <x:v>Hatchback</x:v>
      </x:c>
      <x:c r="H526" s="7" t="n">
        <x:v>1199</x:v>
      </x:c>
      <x:c r="I526" s="7" t="n">
        <x:v>85</x:v>
      </x:c>
      <x:c r="J526" s="9" t="n">
        <x:v>19</x:v>
      </x:c>
      <x:c r="K526" s="9" t="n">
        <x:v>7.2</x:v>
      </x:c>
      <x:c r="L526" s="7" t="n">
        <x:v>2020</x:v>
      </x:c>
      <x:c r="M526" s="11" t="n">
        <x:v>120538</x:v>
      </x:c>
      <x:c r="N526" s="7" t="n">
        <x:v>1</x:v>
      </x:c>
      <x:c r="O526" s="7" t="n">
        <x:v>0</x:v>
      </x:c>
      <x:c r="P526" s="9" t="n">
        <x:v>2.81</x:v>
      </x:c>
      <x:c r="Q526" s="7" t="n">
        <x:f>'Guide'!$B$5-L526</x:f>
        <x:v>6</x:v>
      </x:c>
      <x:c r="R526" s="9" t="n">
        <x:f>K526-P526</x:f>
        <x:v>4.390000000000001</x:v>
      </x:c>
      <x:c r="S526" s="10" t="n">
        <x:f>IF(K526&gt;0,R526/K526,"")</x:f>
        <x:v>0.6097222222222223</x:v>
      </x:c>
    </x:row>
    <x:row r="527">
      <x:c r="A527" s="7" t="n">
        <x:v>523</x:v>
      </x:c>
      <x:c r="B527" s="7" t="str">
        <x:v>Tata</x:v>
      </x:c>
      <x:c r="C527" s="7" t="str">
        <x:v>Tiago</x:v>
      </x:c>
      <x:c r="D527" s="7" t="str">
        <x:v>XTA</x:v>
      </x:c>
      <x:c r="E527" s="7" t="str">
        <x:v>Petrol</x:v>
      </x:c>
      <x:c r="F527" s="7" t="str">
        <x:v>Automatic</x:v>
      </x:c>
      <x:c r="G527" s="7" t="str">
        <x:v>Hatchback</x:v>
      </x:c>
      <x:c r="H527" s="7" t="n">
        <x:v>1199</x:v>
      </x:c>
      <x:c r="I527" s="7" t="n">
        <x:v>85</x:v>
      </x:c>
      <x:c r="J527" s="9" t="n">
        <x:v>19</x:v>
      </x:c>
      <x:c r="K527" s="9" t="n">
        <x:v>7.2</x:v>
      </x:c>
      <x:c r="L527" s="7" t="n">
        <x:v>2021</x:v>
      </x:c>
      <x:c r="M527" s="11" t="n">
        <x:v>62090</x:v>
      </x:c>
      <x:c r="N527" s="7" t="n">
        <x:v>3</x:v>
      </x:c>
      <x:c r="O527" s="7" t="n">
        <x:v>0</x:v>
      </x:c>
      <x:c r="P527" s="9" t="n">
        <x:v>3.01</x:v>
      </x:c>
      <x:c r="Q527" s="7" t="n">
        <x:f>'Guide'!$B$5-L527</x:f>
        <x:v>5</x:v>
      </x:c>
      <x:c r="R527" s="9" t="n">
        <x:f>K527-P527</x:f>
        <x:v>4.19</x:v>
      </x:c>
      <x:c r="S527" s="10" t="n">
        <x:f>IF(K527&gt;0,R527/K527,"")</x:f>
        <x:v>0.5819444444444445</x:v>
      </x:c>
    </x:row>
    <x:row r="528">
      <x:c r="A528" s="7" t="n">
        <x:v>524</x:v>
      </x:c>
      <x:c r="B528" s="7" t="str">
        <x:v>Tata</x:v>
      </x:c>
      <x:c r="C528" s="7" t="str">
        <x:v>Tiago</x:v>
      </x:c>
      <x:c r="D528" s="7" t="str">
        <x:v>XTA</x:v>
      </x:c>
      <x:c r="E528" s="7" t="str">
        <x:v>Petrol</x:v>
      </x:c>
      <x:c r="F528" s="7" t="str">
        <x:v>Automatic</x:v>
      </x:c>
      <x:c r="G528" s="7" t="str">
        <x:v>Hatchback</x:v>
      </x:c>
      <x:c r="H528" s="7" t="n">
        <x:v>1199</x:v>
      </x:c>
      <x:c r="I528" s="7" t="n">
        <x:v>85</x:v>
      </x:c>
      <x:c r="J528" s="9" t="n">
        <x:v>19</x:v>
      </x:c>
      <x:c r="K528" s="9" t="n">
        <x:v>7.2</x:v>
      </x:c>
      <x:c r="L528" s="7" t="n">
        <x:v>2024</x:v>
      </x:c>
      <x:c r="M528" s="11" t="n">
        <x:v>33163</x:v>
      </x:c>
      <x:c r="N528" s="7" t="n">
        <x:v>1</x:v>
      </x:c>
      <x:c r="O528" s="7" t="n">
        <x:v>1</x:v>
      </x:c>
      <x:c r="P528" s="9" t="n">
        <x:v>5.34</x:v>
      </x:c>
      <x:c r="Q528" s="7" t="n">
        <x:f>'Guide'!$B$5-L528</x:f>
        <x:v>2</x:v>
      </x:c>
      <x:c r="R528" s="9" t="n">
        <x:f>K528-P528</x:f>
        <x:v>1.8600000000000003</x:v>
      </x:c>
      <x:c r="S528" s="10" t="n">
        <x:f>IF(K528&gt;0,R528/K528,"")</x:f>
        <x:v>0.25833333333333336</x:v>
      </x:c>
    </x:row>
    <x:row r="529">
      <x:c r="A529" s="7" t="n">
        <x:v>525</x:v>
      </x:c>
      <x:c r="B529" s="7" t="str">
        <x:v>Tata</x:v>
      </x:c>
      <x:c r="C529" s="7" t="str">
        <x:v>Tiago</x:v>
      </x:c>
      <x:c r="D529" s="7" t="str">
        <x:v>XTA</x:v>
      </x:c>
      <x:c r="E529" s="7" t="str">
        <x:v>Petrol</x:v>
      </x:c>
      <x:c r="F529" s="7" t="str">
        <x:v>Automatic</x:v>
      </x:c>
      <x:c r="G529" s="7" t="str">
        <x:v>Hatchback</x:v>
      </x:c>
      <x:c r="H529" s="7" t="n">
        <x:v>1199</x:v>
      </x:c>
      <x:c r="I529" s="7" t="n">
        <x:v>85</x:v>
      </x:c>
      <x:c r="J529" s="9" t="n">
        <x:v>19</x:v>
      </x:c>
      <x:c r="K529" s="9" t="n">
        <x:v>7.2</x:v>
      </x:c>
      <x:c r="L529" s="7" t="n">
        <x:v>2025</x:v>
      </x:c>
      <x:c r="M529" s="11" t="n">
        <x:v>12887</x:v>
      </x:c>
      <x:c r="N529" s="7" t="n">
        <x:v>3</x:v>
      </x:c>
      <x:c r="O529" s="7" t="n">
        <x:v>0</x:v>
      </x:c>
      <x:c r="P529" s="9" t="n">
        <x:v>5.41</x:v>
      </x:c>
      <x:c r="Q529" s="7" t="n">
        <x:f>'Guide'!$B$5-L529</x:f>
        <x:v>1</x:v>
      </x:c>
      <x:c r="R529" s="9" t="n">
        <x:f>K529-P529</x:f>
        <x:v>1.79</x:v>
      </x:c>
      <x:c r="S529" s="10" t="n">
        <x:f>IF(K529&gt;0,R529/K529,"")</x:f>
        <x:v>0.24861111111111112</x:v>
      </x:c>
    </x:row>
    <x:row r="530">
      <x:c r="A530" s="7" t="n">
        <x:v>526</x:v>
      </x:c>
      <x:c r="B530" s="7" t="str">
        <x:v>Tata</x:v>
      </x:c>
      <x:c r="C530" s="7" t="str">
        <x:v>Tiago</x:v>
      </x:c>
      <x:c r="D530" s="7" t="str">
        <x:v>XTA</x:v>
      </x:c>
      <x:c r="E530" s="7" t="str">
        <x:v>Petrol</x:v>
      </x:c>
      <x:c r="F530" s="7" t="str">
        <x:v>Automatic</x:v>
      </x:c>
      <x:c r="G530" s="7" t="str">
        <x:v>Hatchback</x:v>
      </x:c>
      <x:c r="H530" s="7" t="n">
        <x:v>1199</x:v>
      </x:c>
      <x:c r="I530" s="7" t="n">
        <x:v>85</x:v>
      </x:c>
      <x:c r="J530" s="9" t="n">
        <x:v>19</x:v>
      </x:c>
      <x:c r="K530" s="9" t="n">
        <x:v>7.2</x:v>
      </x:c>
      <x:c r="L530" s="7" t="n">
        <x:v>2023</x:v>
      </x:c>
      <x:c r="M530" s="11" t="n">
        <x:v>48227</x:v>
      </x:c>
      <x:c r="N530" s="7" t="n">
        <x:v>1</x:v>
      </x:c>
      <x:c r="O530" s="7" t="n">
        <x:v>0</x:v>
      </x:c>
      <x:c r="P530" s="9" t="n">
        <x:v>5.26</x:v>
      </x:c>
      <x:c r="Q530" s="7" t="n">
        <x:f>'Guide'!$B$5-L530</x:f>
        <x:v>3</x:v>
      </x:c>
      <x:c r="R530" s="9" t="n">
        <x:f>K530-P530</x:f>
        <x:v>1.9400000000000004</x:v>
      </x:c>
      <x:c r="S530" s="10" t="n">
        <x:f>IF(K530&gt;0,R530/K530,"")</x:f>
        <x:v>0.2694444444444445</x:v>
      </x:c>
    </x:row>
    <x:row r="531">
      <x:c r="A531" s="7" t="n">
        <x:v>527</x:v>
      </x:c>
      <x:c r="B531" s="7" t="str">
        <x:v>Tata</x:v>
      </x:c>
      <x:c r="C531" s="7" t="str">
        <x:v>Tiago</x:v>
      </x:c>
      <x:c r="D531" s="7" t="str">
        <x:v>XTA</x:v>
      </x:c>
      <x:c r="E531" s="7" t="str">
        <x:v>Petrol</x:v>
      </x:c>
      <x:c r="F531" s="7" t="str">
        <x:v>Automatic</x:v>
      </x:c>
      <x:c r="G531" s="7" t="str">
        <x:v>Hatchback</x:v>
      </x:c>
      <x:c r="H531" s="7" t="n">
        <x:v>1199</x:v>
      </x:c>
      <x:c r="I531" s="7" t="n">
        <x:v>85</x:v>
      </x:c>
      <x:c r="J531" s="9" t="n">
        <x:v>19</x:v>
      </x:c>
      <x:c r="K531" s="9" t="n">
        <x:v>7.2</x:v>
      </x:c>
      <x:c r="L531" s="7" t="n">
        <x:v>2020</x:v>
      </x:c>
      <x:c r="M531" s="11" t="n">
        <x:v>127334</x:v>
      </x:c>
      <x:c r="N531" s="7" t="n">
        <x:v>2</x:v>
      </x:c>
      <x:c r="O531" s="7" t="n">
        <x:v>0</x:v>
      </x:c>
      <x:c r="P531" s="9" t="n">
        <x:v>2.51</x:v>
      </x:c>
      <x:c r="Q531" s="7" t="n">
        <x:f>'Guide'!$B$5-L531</x:f>
        <x:v>6</x:v>
      </x:c>
      <x:c r="R531" s="9" t="n">
        <x:f>K531-P531</x:f>
        <x:v>4.69</x:v>
      </x:c>
      <x:c r="S531" s="10" t="n">
        <x:f>IF(K531&gt;0,R531/K531,"")</x:f>
        <x:v>0.6513888888888889</x:v>
      </x:c>
    </x:row>
    <x:row r="532">
      <x:c r="A532" s="7" t="n">
        <x:v>528</x:v>
      </x:c>
      <x:c r="B532" s="7" t="str">
        <x:v>Tata</x:v>
      </x:c>
      <x:c r="C532" s="7" t="str">
        <x:v>Tiago</x:v>
      </x:c>
      <x:c r="D532" s="7" t="str">
        <x:v>XTA</x:v>
      </x:c>
      <x:c r="E532" s="7" t="str">
        <x:v>Petrol</x:v>
      </x:c>
      <x:c r="F532" s="7" t="str">
        <x:v>Automatic</x:v>
      </x:c>
      <x:c r="G532" s="7" t="str">
        <x:v>Hatchback</x:v>
      </x:c>
      <x:c r="H532" s="7" t="n">
        <x:v>1199</x:v>
      </x:c>
      <x:c r="I532" s="7" t="n">
        <x:v>85</x:v>
      </x:c>
      <x:c r="J532" s="9" t="n">
        <x:v>19</x:v>
      </x:c>
      <x:c r="K532" s="9" t="n">
        <x:v>7.2</x:v>
      </x:c>
      <x:c r="L532" s="7" t="n">
        <x:v>2022</x:v>
      </x:c>
      <x:c r="M532" s="11" t="n">
        <x:v>82402</x:v>
      </x:c>
      <x:c r="N532" s="7" t="n">
        <x:v>1</x:v>
      </x:c>
      <x:c r="O532" s="7" t="n">
        <x:v>0</x:v>
      </x:c>
      <x:c r="P532" s="9" t="n">
        <x:v>4.42</x:v>
      </x:c>
      <x:c r="Q532" s="7" t="n">
        <x:f>'Guide'!$B$5-L532</x:f>
        <x:v>4</x:v>
      </x:c>
      <x:c r="R532" s="9" t="n">
        <x:f>K532-P532</x:f>
        <x:v>2.7800000000000002</x:v>
      </x:c>
      <x:c r="S532" s="10" t="n">
        <x:f>IF(K532&gt;0,R532/K532,"")</x:f>
        <x:v>0.3861111111111111</x:v>
      </x:c>
    </x:row>
    <x:row r="533">
      <x:c r="A533" s="7" t="n">
        <x:v>529</x:v>
      </x:c>
      <x:c r="B533" s="7" t="str">
        <x:v>Tata</x:v>
      </x:c>
      <x:c r="C533" s="7" t="str">
        <x:v>Tiago</x:v>
      </x:c>
      <x:c r="D533" s="7" t="str">
        <x:v>XTA</x:v>
      </x:c>
      <x:c r="E533" s="7" t="str">
        <x:v>Petrol</x:v>
      </x:c>
      <x:c r="F533" s="7" t="str">
        <x:v>Automatic</x:v>
      </x:c>
      <x:c r="G533" s="7" t="str">
        <x:v>Hatchback</x:v>
      </x:c>
      <x:c r="H533" s="7" t="n">
        <x:v>1199</x:v>
      </x:c>
      <x:c r="I533" s="7" t="n">
        <x:v>85</x:v>
      </x:c>
      <x:c r="J533" s="9" t="n">
        <x:v>19</x:v>
      </x:c>
      <x:c r="K533" s="9" t="n">
        <x:v>7.2</x:v>
      </x:c>
      <x:c r="L533" s="7" t="n">
        <x:v>2026</x:v>
      </x:c>
      <x:c r="M533" s="11" t="n">
        <x:v>5960</x:v>
      </x:c>
      <x:c r="N533" s="7" t="n">
        <x:v>1</x:v>
      </x:c>
      <x:c r="O533" s="7" t="n">
        <x:v>0</x:v>
      </x:c>
      <x:c r="P533" s="9" t="n">
        <x:v>6.79</x:v>
      </x:c>
      <x:c r="Q533" s="7" t="n">
        <x:f>'Guide'!$B$5-L533</x:f>
        <x:v>0</x:v>
      </x:c>
      <x:c r="R533" s="9" t="n">
        <x:f>K533-P533</x:f>
        <x:v>0.41000000000000014</x:v>
      </x:c>
      <x:c r="S533" s="10" t="n">
        <x:f>IF(K533&gt;0,R533/K533,"")</x:f>
        <x:v>0.056944444444444464</x:v>
      </x:c>
    </x:row>
    <x:row r="534">
      <x:c r="A534" s="7" t="n">
        <x:v>530</x:v>
      </x:c>
      <x:c r="B534" s="7" t="str">
        <x:v>Tata</x:v>
      </x:c>
      <x:c r="C534" s="7" t="str">
        <x:v>Tiago</x:v>
      </x:c>
      <x:c r="D534" s="7" t="str">
        <x:v>XTA</x:v>
      </x:c>
      <x:c r="E534" s="7" t="str">
        <x:v>Petrol</x:v>
      </x:c>
      <x:c r="F534" s="7" t="str">
        <x:v>Automatic</x:v>
      </x:c>
      <x:c r="G534" s="7" t="str">
        <x:v>Hatchback</x:v>
      </x:c>
      <x:c r="H534" s="7" t="n">
        <x:v>1199</x:v>
      </x:c>
      <x:c r="I534" s="7" t="n">
        <x:v>85</x:v>
      </x:c>
      <x:c r="J534" s="9" t="n">
        <x:v>19</x:v>
      </x:c>
      <x:c r="K534" s="9" t="n">
        <x:v>7.2</x:v>
      </x:c>
      <x:c r="L534" s="7" t="n">
        <x:v>2026</x:v>
      </x:c>
      <x:c r="M534" s="11" t="n">
        <x:v>5337</x:v>
      </x:c>
      <x:c r="N534" s="7" t="n">
        <x:v>1</x:v>
      </x:c>
      <x:c r="O534" s="7" t="n">
        <x:v>0</x:v>
      </x:c>
      <x:c r="P534" s="9" t="n">
        <x:v>7.46</x:v>
      </x:c>
      <x:c r="Q534" s="7" t="n">
        <x:f>'Guide'!$B$5-L534</x:f>
        <x:v>0</x:v>
      </x:c>
      <x:c r="R534" s="9" t="n">
        <x:f>K534-P534</x:f>
        <x:v>-0.2599999999999998</x:v>
      </x:c>
      <x:c r="S534" s="10" t="n">
        <x:f>IF(K534&gt;0,R534/K534,"")</x:f>
        <x:v>-0.03611111111111108</x:v>
      </x:c>
    </x:row>
    <x:row r="535">
      <x:c r="A535" s="7" t="n">
        <x:v>531</x:v>
      </x:c>
      <x:c r="B535" s="7" t="str">
        <x:v>Tata</x:v>
      </x:c>
      <x:c r="C535" s="7" t="str">
        <x:v>Tiago</x:v>
      </x:c>
      <x:c r="D535" s="7" t="str">
        <x:v>XTA</x:v>
      </x:c>
      <x:c r="E535" s="7" t="str">
        <x:v>Petrol</x:v>
      </x:c>
      <x:c r="F535" s="7" t="str">
        <x:v>Automatic</x:v>
      </x:c>
      <x:c r="G535" s="7" t="str">
        <x:v>Hatchback</x:v>
      </x:c>
      <x:c r="H535" s="7" t="n">
        <x:v>1199</x:v>
      </x:c>
      <x:c r="I535" s="7" t="n">
        <x:v>85</x:v>
      </x:c>
      <x:c r="J535" s="9" t="n">
        <x:v>19</x:v>
      </x:c>
      <x:c r="K535" s="9" t="n">
        <x:v>7.2</x:v>
      </x:c>
      <x:c r="L535" s="7" t="n">
        <x:v>2026</x:v>
      </x:c>
      <x:c r="M535" s="11" t="n">
        <x:v>8648</x:v>
      </x:c>
      <x:c r="N535" s="7" t="n">
        <x:v>2</x:v>
      </x:c>
      <x:c r="O535" s="7" t="n">
        <x:v>0</x:v>
      </x:c>
      <x:c r="P535" s="9" t="n">
        <x:v>6.38</x:v>
      </x:c>
      <x:c r="Q535" s="7" t="n">
        <x:f>'Guide'!$B$5-L535</x:f>
        <x:v>0</x:v>
      </x:c>
      <x:c r="R535" s="9" t="n">
        <x:f>K535-P535</x:f>
        <x:v>0.8200000000000003</x:v>
      </x:c>
      <x:c r="S535" s="10" t="n">
        <x:f>IF(K535&gt;0,R535/K535,"")</x:f>
        <x:v>0.11388888888888893</x:v>
      </x:c>
    </x:row>
    <x:row r="536">
      <x:c r="A536" s="7" t="n">
        <x:v>532</x:v>
      </x:c>
      <x:c r="B536" s="7" t="str">
        <x:v>Tata</x:v>
      </x:c>
      <x:c r="C536" s="7" t="str">
        <x:v>Tiago</x:v>
      </x:c>
      <x:c r="D536" s="7" t="str">
        <x:v>XTA</x:v>
      </x:c>
      <x:c r="E536" s="7" t="str">
        <x:v>Petrol</x:v>
      </x:c>
      <x:c r="F536" s="7" t="str">
        <x:v>Automatic</x:v>
      </x:c>
      <x:c r="G536" s="7" t="str">
        <x:v>Hatchback</x:v>
      </x:c>
      <x:c r="H536" s="7" t="n">
        <x:v>1199</x:v>
      </x:c>
      <x:c r="I536" s="7" t="n">
        <x:v>85</x:v>
      </x:c>
      <x:c r="J536" s="9" t="n">
        <x:v>19</x:v>
      </x:c>
      <x:c r="K536" s="9" t="n">
        <x:v>7.2</x:v>
      </x:c>
      <x:c r="L536" s="7" t="n">
        <x:v>2021</x:v>
      </x:c>
      <x:c r="M536" s="11" t="n">
        <x:v>82974</x:v>
      </x:c>
      <x:c r="N536" s="7" t="n">
        <x:v>1</x:v>
      </x:c>
      <x:c r="O536" s="7" t="n">
        <x:v>1</x:v>
      </x:c>
      <x:c r="P536" s="9" t="n">
        <x:v>2.54</x:v>
      </x:c>
      <x:c r="Q536" s="7" t="n">
        <x:f>'Guide'!$B$5-L536</x:f>
        <x:v>5</x:v>
      </x:c>
      <x:c r="R536" s="9" t="n">
        <x:f>K536-P536</x:f>
        <x:v>4.66</x:v>
      </x:c>
      <x:c r="S536" s="10" t="n">
        <x:f>IF(K536&gt;0,R536/K536,"")</x:f>
        <x:v>0.6472222222222223</x:v>
      </x:c>
    </x:row>
    <x:row r="537">
      <x:c r="A537" s="7" t="n">
        <x:v>533</x:v>
      </x:c>
      <x:c r="B537" s="7" t="str">
        <x:v>Tata</x:v>
      </x:c>
      <x:c r="C537" s="7" t="str">
        <x:v>Tiago</x:v>
      </x:c>
      <x:c r="D537" s="7" t="str">
        <x:v>XTA</x:v>
      </x:c>
      <x:c r="E537" s="7" t="str">
        <x:v>Petrol</x:v>
      </x:c>
      <x:c r="F537" s="7" t="str">
        <x:v>Automatic</x:v>
      </x:c>
      <x:c r="G537" s="7" t="str">
        <x:v>Hatchback</x:v>
      </x:c>
      <x:c r="H537" s="7" t="n">
        <x:v>1199</x:v>
      </x:c>
      <x:c r="I537" s="7" t="n">
        <x:v>85</x:v>
      </x:c>
      <x:c r="J537" s="9" t="n">
        <x:v>19</x:v>
      </x:c>
      <x:c r="K537" s="9" t="n">
        <x:v>7.2</x:v>
      </x:c>
      <x:c r="L537" s="7" t="n">
        <x:v>2024</x:v>
      </x:c>
      <x:c r="M537" s="11" t="n">
        <x:v>39857</x:v>
      </x:c>
      <x:c r="N537" s="7" t="n">
        <x:v>2</x:v>
      </x:c>
      <x:c r="O537" s="7" t="n">
        <x:v>0</x:v>
      </x:c>
      <x:c r="P537" s="9" t="n">
        <x:v>5.15</x:v>
      </x:c>
      <x:c r="Q537" s="7" t="n">
        <x:f>'Guide'!$B$5-L537</x:f>
        <x:v>2</x:v>
      </x:c>
      <x:c r="R537" s="9" t="n">
        <x:f>K537-P537</x:f>
        <x:v>2.05</x:v>
      </x:c>
      <x:c r="S537" s="10" t="n">
        <x:f>IF(K537&gt;0,R537/K537,"")</x:f>
        <x:v>0.2847222222222222</x:v>
      </x:c>
    </x:row>
    <x:row r="538">
      <x:c r="A538" s="7" t="n">
        <x:v>534</x:v>
      </x:c>
      <x:c r="B538" s="7" t="str">
        <x:v>Tata</x:v>
      </x:c>
      <x:c r="C538" s="7" t="str">
        <x:v>Tiago</x:v>
      </x:c>
      <x:c r="D538" s="7" t="str">
        <x:v>XTA</x:v>
      </x:c>
      <x:c r="E538" s="7" t="str">
        <x:v>Petrol</x:v>
      </x:c>
      <x:c r="F538" s="7" t="str">
        <x:v>Automatic</x:v>
      </x:c>
      <x:c r="G538" s="7" t="str">
        <x:v>Hatchback</x:v>
      </x:c>
      <x:c r="H538" s="7" t="n">
        <x:v>1199</x:v>
      </x:c>
      <x:c r="I538" s="7" t="n">
        <x:v>85</x:v>
      </x:c>
      <x:c r="J538" s="9" t="n">
        <x:v>19</x:v>
      </x:c>
      <x:c r="K538" s="9" t="n">
        <x:v>7.2</x:v>
      </x:c>
      <x:c r="L538" s="7" t="n">
        <x:v>2022</x:v>
      </x:c>
      <x:c r="M538" s="11" t="n">
        <x:v>74696</x:v>
      </x:c>
      <x:c r="N538" s="7" t="n">
        <x:v>2</x:v>
      </x:c>
      <x:c r="O538" s="7" t="n">
        <x:v>1</x:v>
      </x:c>
      <x:c r="P538" s="9" t="n">
        <x:v>3.02</x:v>
      </x:c>
      <x:c r="Q538" s="7" t="n">
        <x:f>'Guide'!$B$5-L538</x:f>
        <x:v>4</x:v>
      </x:c>
      <x:c r="R538" s="9" t="n">
        <x:f>K538-P538</x:f>
        <x:v>4.18</x:v>
      </x:c>
      <x:c r="S538" s="10" t="n">
        <x:f>IF(K538&gt;0,R538/K538,"")</x:f>
        <x:v>0.5805555555555555</x:v>
      </x:c>
    </x:row>
    <x:row r="539">
      <x:c r="A539" s="7" t="n">
        <x:v>535</x:v>
      </x:c>
      <x:c r="B539" s="7" t="str">
        <x:v>Tata</x:v>
      </x:c>
      <x:c r="C539" s="7" t="str">
        <x:v>Tiago</x:v>
      </x:c>
      <x:c r="D539" s="7" t="str">
        <x:v>XTA</x:v>
      </x:c>
      <x:c r="E539" s="7" t="str">
        <x:v>Petrol</x:v>
      </x:c>
      <x:c r="F539" s="7" t="str">
        <x:v>Automatic</x:v>
      </x:c>
      <x:c r="G539" s="7" t="str">
        <x:v>Hatchback</x:v>
      </x:c>
      <x:c r="H539" s="7" t="n">
        <x:v>1199</x:v>
      </x:c>
      <x:c r="I539" s="7" t="n">
        <x:v>85</x:v>
      </x:c>
      <x:c r="J539" s="9" t="n">
        <x:v>19</x:v>
      </x:c>
      <x:c r="K539" s="9" t="n">
        <x:v>7.2</x:v>
      </x:c>
      <x:c r="L539" s="7" t="n">
        <x:v>2020</x:v>
      </x:c>
      <x:c r="M539" s="11" t="n">
        <x:v>97534</x:v>
      </x:c>
      <x:c r="N539" s="7" t="n">
        <x:v>2</x:v>
      </x:c>
      <x:c r="O539" s="7" t="n">
        <x:v>0</x:v>
      </x:c>
      <x:c r="P539" s="9" t="n">
        <x:v>2.78</x:v>
      </x:c>
      <x:c r="Q539" s="7" t="n">
        <x:f>'Guide'!$B$5-L539</x:f>
        <x:v>6</x:v>
      </x:c>
      <x:c r="R539" s="9" t="n">
        <x:f>K539-P539</x:f>
        <x:v>4.42</x:v>
      </x:c>
      <x:c r="S539" s="10" t="n">
        <x:f>IF(K539&gt;0,R539/K539,"")</x:f>
        <x:v>0.6138888888888888</x:v>
      </x:c>
    </x:row>
    <x:row r="540">
      <x:c r="A540" s="7" t="n">
        <x:v>536</x:v>
      </x:c>
      <x:c r="B540" s="7" t="str">
        <x:v>Tata</x:v>
      </x:c>
      <x:c r="C540" s="7" t="str">
        <x:v>Tiago</x:v>
      </x:c>
      <x:c r="D540" s="7" t="str">
        <x:v>XTA</x:v>
      </x:c>
      <x:c r="E540" s="7" t="str">
        <x:v>Petrol</x:v>
      </x:c>
      <x:c r="F540" s="7" t="str">
        <x:v>Automatic</x:v>
      </x:c>
      <x:c r="G540" s="7" t="str">
        <x:v>Hatchback</x:v>
      </x:c>
      <x:c r="H540" s="7" t="n">
        <x:v>1199</x:v>
      </x:c>
      <x:c r="I540" s="7" t="n">
        <x:v>85</x:v>
      </x:c>
      <x:c r="J540" s="9" t="n">
        <x:v>19</x:v>
      </x:c>
      <x:c r="K540" s="9" t="n">
        <x:v>7.2</x:v>
      </x:c>
      <x:c r="L540" s="7" t="n">
        <x:v>2022</x:v>
      </x:c>
      <x:c r="M540" s="11" t="n">
        <x:v>58567</x:v>
      </x:c>
      <x:c r="N540" s="7" t="n">
        <x:v>1</x:v>
      </x:c>
      <x:c r="O540" s="7" t="n">
        <x:v>1</x:v>
      </x:c>
      <x:c r="P540" s="9" t="n">
        <x:v>3.39</x:v>
      </x:c>
      <x:c r="Q540" s="7" t="n">
        <x:f>'Guide'!$B$5-L540</x:f>
        <x:v>4</x:v>
      </x:c>
      <x:c r="R540" s="9" t="n">
        <x:f>K540-P540</x:f>
        <x:v>3.81</x:v>
      </x:c>
      <x:c r="S540" s="10" t="n">
        <x:f>IF(K540&gt;0,R540/K540,"")</x:f>
        <x:v>0.5291666666666667</x:v>
      </x:c>
    </x:row>
    <x:row r="541">
      <x:c r="A541" s="7" t="n">
        <x:v>537</x:v>
      </x:c>
      <x:c r="B541" s="7" t="str">
        <x:v>Tata</x:v>
      </x:c>
      <x:c r="C541" s="7" t="str">
        <x:v>Tiago</x:v>
      </x:c>
      <x:c r="D541" s="7" t="str">
        <x:v>XTA</x:v>
      </x:c>
      <x:c r="E541" s="7" t="str">
        <x:v>Petrol</x:v>
      </x:c>
      <x:c r="F541" s="7" t="str">
        <x:v>Automatic</x:v>
      </x:c>
      <x:c r="G541" s="7" t="str">
        <x:v>Hatchback</x:v>
      </x:c>
      <x:c r="H541" s="7" t="n">
        <x:v>1199</x:v>
      </x:c>
      <x:c r="I541" s="7" t="n">
        <x:v>85</x:v>
      </x:c>
      <x:c r="J541" s="9" t="n">
        <x:v>19</x:v>
      </x:c>
      <x:c r="K541" s="9" t="n">
        <x:v>7.2</x:v>
      </x:c>
      <x:c r="L541" s="7" t="n">
        <x:v>2025</x:v>
      </x:c>
      <x:c r="M541" s="11" t="n">
        <x:v>12933</x:v>
      </x:c>
      <x:c r="N541" s="7" t="n">
        <x:v>1</x:v>
      </x:c>
      <x:c r="O541" s="7" t="n">
        <x:v>0</x:v>
      </x:c>
      <x:c r="P541" s="9" t="n">
        <x:v>6.76</x:v>
      </x:c>
      <x:c r="Q541" s="7" t="n">
        <x:f>'Guide'!$B$5-L541</x:f>
        <x:v>1</x:v>
      </x:c>
      <x:c r="R541" s="9" t="n">
        <x:f>K541-P541</x:f>
        <x:v>0.4400000000000004</x:v>
      </x:c>
      <x:c r="S541" s="10" t="n">
        <x:f>IF(K541&gt;0,R541/K541,"")</x:f>
        <x:v>0.061111111111111165</x:v>
      </x:c>
    </x:row>
    <x:row r="542">
      <x:c r="A542" s="7" t="n">
        <x:v>538</x:v>
      </x:c>
      <x:c r="B542" s="7" t="str">
        <x:v>Tata</x:v>
      </x:c>
      <x:c r="C542" s="7" t="str">
        <x:v>Tiago</x:v>
      </x:c>
      <x:c r="D542" s="7" t="str">
        <x:v>XTA</x:v>
      </x:c>
      <x:c r="E542" s="7" t="str">
        <x:v>Petrol</x:v>
      </x:c>
      <x:c r="F542" s="7" t="str">
        <x:v>Automatic</x:v>
      </x:c>
      <x:c r="G542" s="7" t="str">
        <x:v>Hatchback</x:v>
      </x:c>
      <x:c r="H542" s="7" t="n">
        <x:v>1199</x:v>
      </x:c>
      <x:c r="I542" s="7" t="n">
        <x:v>85</x:v>
      </x:c>
      <x:c r="J542" s="9" t="n">
        <x:v>19</x:v>
      </x:c>
      <x:c r="K542" s="9" t="n">
        <x:v>7.2</x:v>
      </x:c>
      <x:c r="L542" s="7" t="n">
        <x:v>2020</x:v>
      </x:c>
      <x:c r="M542" s="11" t="n">
        <x:v>92738</x:v>
      </x:c>
      <x:c r="N542" s="7" t="n">
        <x:v>1</x:v>
      </x:c>
      <x:c r="O542" s="7" t="n">
        <x:v>0</x:v>
      </x:c>
      <x:c r="P542" s="9" t="n">
        <x:v>3.01</x:v>
      </x:c>
      <x:c r="Q542" s="7" t="n">
        <x:f>'Guide'!$B$5-L542</x:f>
        <x:v>6</x:v>
      </x:c>
      <x:c r="R542" s="9" t="n">
        <x:f>K542-P542</x:f>
        <x:v>4.19</x:v>
      </x:c>
      <x:c r="S542" s="10" t="n">
        <x:f>IF(K542&gt;0,R542/K542,"")</x:f>
        <x:v>0.5819444444444445</x:v>
      </x:c>
    </x:row>
    <x:row r="543">
      <x:c r="A543" s="7" t="n">
        <x:v>539</x:v>
      </x:c>
      <x:c r="B543" s="7" t="str">
        <x:v>Tata</x:v>
      </x:c>
      <x:c r="C543" s="7" t="str">
        <x:v>Tiago</x:v>
      </x:c>
      <x:c r="D543" s="7" t="str">
        <x:v>XTA</x:v>
      </x:c>
      <x:c r="E543" s="7" t="str">
        <x:v>Petrol</x:v>
      </x:c>
      <x:c r="F543" s="7" t="str">
        <x:v>Automatic</x:v>
      </x:c>
      <x:c r="G543" s="7" t="str">
        <x:v>Hatchback</x:v>
      </x:c>
      <x:c r="H543" s="7" t="n">
        <x:v>1199</x:v>
      </x:c>
      <x:c r="I543" s="7" t="n">
        <x:v>85</x:v>
      </x:c>
      <x:c r="J543" s="9" t="n">
        <x:v>19</x:v>
      </x:c>
      <x:c r="K543" s="9" t="n">
        <x:v>7.2</x:v>
      </x:c>
      <x:c r="L543" s="7" t="n">
        <x:v>2023</x:v>
      </x:c>
      <x:c r="M543" s="11" t="n">
        <x:v>59339</x:v>
      </x:c>
      <x:c r="N543" s="7" t="n">
        <x:v>1</x:v>
      </x:c>
      <x:c r="O543" s="7" t="n">
        <x:v>0</x:v>
      </x:c>
      <x:c r="P543" s="9" t="n">
        <x:v>4.66</x:v>
      </x:c>
      <x:c r="Q543" s="7" t="n">
        <x:f>'Guide'!$B$5-L543</x:f>
        <x:v>3</x:v>
      </x:c>
      <x:c r="R543" s="9" t="n">
        <x:f>K543-P543</x:f>
        <x:v>2.54</x:v>
      </x:c>
      <x:c r="S543" s="10" t="n">
        <x:f>IF(K543&gt;0,R543/K543,"")</x:f>
        <x:v>0.3527777777777778</x:v>
      </x:c>
    </x:row>
    <x:row r="544">
      <x:c r="A544" s="7" t="n">
        <x:v>540</x:v>
      </x:c>
      <x:c r="B544" s="7" t="str">
        <x:v>Tata</x:v>
      </x:c>
      <x:c r="C544" s="7" t="str">
        <x:v>Tiago</x:v>
      </x:c>
      <x:c r="D544" s="7" t="str">
        <x:v>XTA</x:v>
      </x:c>
      <x:c r="E544" s="7" t="str">
        <x:v>Petrol</x:v>
      </x:c>
      <x:c r="F544" s="7" t="str">
        <x:v>Automatic</x:v>
      </x:c>
      <x:c r="G544" s="7" t="str">
        <x:v>Hatchback</x:v>
      </x:c>
      <x:c r="H544" s="7" t="n">
        <x:v>1199</x:v>
      </x:c>
      <x:c r="I544" s="7" t="n">
        <x:v>85</x:v>
      </x:c>
      <x:c r="J544" s="9" t="n">
        <x:v>19</x:v>
      </x:c>
      <x:c r="K544" s="9" t="n">
        <x:v>7.2</x:v>
      </x:c>
      <x:c r="L544" s="7" t="n">
        <x:v>2020</x:v>
      </x:c>
      <x:c r="M544" s="11" t="n">
        <x:v>113476</x:v>
      </x:c>
      <x:c r="N544" s="7" t="n">
        <x:v>1</x:v>
      </x:c>
      <x:c r="O544" s="7" t="n">
        <x:v>0</x:v>
      </x:c>
      <x:c r="P544" s="9" t="n">
        <x:v>3.06</x:v>
      </x:c>
      <x:c r="Q544" s="7" t="n">
        <x:f>'Guide'!$B$5-L544</x:f>
        <x:v>6</x:v>
      </x:c>
      <x:c r="R544" s="9" t="n">
        <x:f>K544-P544</x:f>
        <x:v>4.140000000000001</x:v>
      </x:c>
      <x:c r="S544" s="10" t="n">
        <x:f>IF(K544&gt;0,R544/K544,"")</x:f>
        <x:v>0.5750000000000001</x:v>
      </x:c>
    </x:row>
    <x:row r="545">
      <x:c r="A545" s="7" t="n">
        <x:v>541</x:v>
      </x:c>
      <x:c r="B545" s="7" t="str">
        <x:v>Tata</x:v>
      </x:c>
      <x:c r="C545" s="7" t="str">
        <x:v>Tiago</x:v>
      </x:c>
      <x:c r="D545" s="7" t="str">
        <x:v>XTA</x:v>
      </x:c>
      <x:c r="E545" s="7" t="str">
        <x:v>Petrol</x:v>
      </x:c>
      <x:c r="F545" s="7" t="str">
        <x:v>Automatic</x:v>
      </x:c>
      <x:c r="G545" s="7" t="str">
        <x:v>Hatchback</x:v>
      </x:c>
      <x:c r="H545" s="7" t="n">
        <x:v>1199</x:v>
      </x:c>
      <x:c r="I545" s="7" t="n">
        <x:v>85</x:v>
      </x:c>
      <x:c r="J545" s="9" t="n">
        <x:v>19</x:v>
      </x:c>
      <x:c r="K545" s="9" t="n">
        <x:v>7.2</x:v>
      </x:c>
      <x:c r="L545" s="7" t="n">
        <x:v>2023</x:v>
      </x:c>
      <x:c r="M545" s="11" t="n">
        <x:v>61580</x:v>
      </x:c>
      <x:c r="N545" s="7" t="n">
        <x:v>2</x:v>
      </x:c>
      <x:c r="O545" s="7" t="n">
        <x:v>0</x:v>
      </x:c>
      <x:c r="P545" s="9" t="n">
        <x:v>4.39</x:v>
      </x:c>
      <x:c r="Q545" s="7" t="n">
        <x:f>'Guide'!$B$5-L545</x:f>
        <x:v>3</x:v>
      </x:c>
      <x:c r="R545" s="9" t="n">
        <x:f>K545-P545</x:f>
        <x:v>2.8100000000000005</x:v>
      </x:c>
      <x:c r="S545" s="10" t="n">
        <x:f>IF(K545&gt;0,R545/K545,"")</x:f>
        <x:v>0.39027777777777783</x:v>
      </x:c>
    </x:row>
    <x:row r="546">
      <x:c r="A546" s="7" t="n">
        <x:v>542</x:v>
      </x:c>
      <x:c r="B546" s="7" t="str">
        <x:v>Tata</x:v>
      </x:c>
      <x:c r="C546" s="7" t="str">
        <x:v>Tiago</x:v>
      </x:c>
      <x:c r="D546" s="7" t="str">
        <x:v>XTA</x:v>
      </x:c>
      <x:c r="E546" s="7" t="str">
        <x:v>Petrol</x:v>
      </x:c>
      <x:c r="F546" s="7" t="str">
        <x:v>Automatic</x:v>
      </x:c>
      <x:c r="G546" s="7" t="str">
        <x:v>Hatchback</x:v>
      </x:c>
      <x:c r="H546" s="7" t="n">
        <x:v>1199</x:v>
      </x:c>
      <x:c r="I546" s="7" t="n">
        <x:v>85</x:v>
      </x:c>
      <x:c r="J546" s="9" t="n">
        <x:v>19</x:v>
      </x:c>
      <x:c r="K546" s="9" t="n">
        <x:v>7.2</x:v>
      </x:c>
      <x:c r="L546" s="7" t="n">
        <x:v>2026</x:v>
      </x:c>
      <x:c r="M546" s="11" t="n">
        <x:v>4984</x:v>
      </x:c>
      <x:c r="N546" s="7" t="n">
        <x:v>2</x:v>
      </x:c>
      <x:c r="O546" s="7" t="n">
        <x:v>0</x:v>
      </x:c>
      <x:c r="P546" s="9" t="n">
        <x:v>6.57</x:v>
      </x:c>
      <x:c r="Q546" s="7" t="n">
        <x:f>'Guide'!$B$5-L546</x:f>
        <x:v>0</x:v>
      </x:c>
      <x:c r="R546" s="9" t="n">
        <x:f>K546-P546</x:f>
        <x:v>0.6299999999999999</x:v>
      </x:c>
      <x:c r="S546" s="10" t="n">
        <x:f>IF(K546&gt;0,R546/K546,"")</x:f>
        <x:v>0.08749999999999998</x:v>
      </x:c>
    </x:row>
    <x:row r="547">
      <x:c r="A547" s="7" t="n">
        <x:v>543</x:v>
      </x:c>
      <x:c r="B547" s="7" t="str">
        <x:v>Tata</x:v>
      </x:c>
      <x:c r="C547" s="7" t="str">
        <x:v>Tiago</x:v>
      </x:c>
      <x:c r="D547" s="7" t="str">
        <x:v>XTA</x:v>
      </x:c>
      <x:c r="E547" s="7" t="str">
        <x:v>Petrol</x:v>
      </x:c>
      <x:c r="F547" s="7" t="str">
        <x:v>Automatic</x:v>
      </x:c>
      <x:c r="G547" s="7" t="str">
        <x:v>Hatchback</x:v>
      </x:c>
      <x:c r="H547" s="7" t="n">
        <x:v>1199</x:v>
      </x:c>
      <x:c r="I547" s="7" t="n">
        <x:v>85</x:v>
      </x:c>
      <x:c r="J547" s="9" t="n">
        <x:v>19</x:v>
      </x:c>
      <x:c r="K547" s="9" t="n">
        <x:v>7.2</x:v>
      </x:c>
      <x:c r="L547" s="7" t="n">
        <x:v>2023</x:v>
      </x:c>
      <x:c r="M547" s="11" t="n">
        <x:v>62890</x:v>
      </x:c>
      <x:c r="N547" s="7" t="n">
        <x:v>1</x:v>
      </x:c>
      <x:c r="O547" s="7" t="n">
        <x:v>0</x:v>
      </x:c>
      <x:c r="P547" s="9" t="n">
        <x:v>4.78</x:v>
      </x:c>
      <x:c r="Q547" s="7" t="n">
        <x:f>'Guide'!$B$5-L547</x:f>
        <x:v>3</x:v>
      </x:c>
      <x:c r="R547" s="9" t="n">
        <x:f>K547-P547</x:f>
        <x:v>2.42</x:v>
      </x:c>
      <x:c r="S547" s="10" t="n">
        <x:f>IF(K547&gt;0,R547/K547,"")</x:f>
        <x:v>0.3361111111111111</x:v>
      </x:c>
    </x:row>
    <x:row r="548">
      <x:c r="A548" s="7" t="n">
        <x:v>544</x:v>
      </x:c>
      <x:c r="B548" s="7" t="str">
        <x:v>Tata</x:v>
      </x:c>
      <x:c r="C548" s="7" t="str">
        <x:v>Tiago</x:v>
      </x:c>
      <x:c r="D548" s="7" t="str">
        <x:v>XTA</x:v>
      </x:c>
      <x:c r="E548" s="7" t="str">
        <x:v>Petrol</x:v>
      </x:c>
      <x:c r="F548" s="7" t="str">
        <x:v>Automatic</x:v>
      </x:c>
      <x:c r="G548" s="7" t="str">
        <x:v>Hatchback</x:v>
      </x:c>
      <x:c r="H548" s="7" t="n">
        <x:v>1199</x:v>
      </x:c>
      <x:c r="I548" s="7" t="n">
        <x:v>85</x:v>
      </x:c>
      <x:c r="J548" s="9" t="n">
        <x:v>19</x:v>
      </x:c>
      <x:c r="K548" s="9" t="n">
        <x:v>7.2</x:v>
      </x:c>
      <x:c r="L548" s="7" t="n">
        <x:v>2025</x:v>
      </x:c>
      <x:c r="M548" s="11" t="n">
        <x:v>26848</x:v>
      </x:c>
      <x:c r="N548" s="7" t="n">
        <x:v>1</x:v>
      </x:c>
      <x:c r="O548" s="7" t="n">
        <x:v>0</x:v>
      </x:c>
      <x:c r="P548" s="9" t="n">
        <x:v>6.3</x:v>
      </x:c>
      <x:c r="Q548" s="7" t="n">
        <x:f>'Guide'!$B$5-L548</x:f>
        <x:v>1</x:v>
      </x:c>
      <x:c r="R548" s="9" t="n">
        <x:f>K548-P548</x:f>
        <x:v>0.9000000000000004</x:v>
      </x:c>
      <x:c r="S548" s="10" t="n">
        <x:f>IF(K548&gt;0,R548/K548,"")</x:f>
        <x:v>0.12500000000000006</x:v>
      </x:c>
    </x:row>
    <x:row r="549">
      <x:c r="A549" s="7" t="n">
        <x:v>545</x:v>
      </x:c>
      <x:c r="B549" s="7" t="str">
        <x:v>Tata</x:v>
      </x:c>
      <x:c r="C549" s="7" t="str">
        <x:v>Tiago</x:v>
      </x:c>
      <x:c r="D549" s="7" t="str">
        <x:v>XTA</x:v>
      </x:c>
      <x:c r="E549" s="7" t="str">
        <x:v>Petrol</x:v>
      </x:c>
      <x:c r="F549" s="7" t="str">
        <x:v>Automatic</x:v>
      </x:c>
      <x:c r="G549" s="7" t="str">
        <x:v>Hatchback</x:v>
      </x:c>
      <x:c r="H549" s="7" t="n">
        <x:v>1199</x:v>
      </x:c>
      <x:c r="I549" s="7" t="n">
        <x:v>85</x:v>
      </x:c>
      <x:c r="J549" s="9" t="n">
        <x:v>19</x:v>
      </x:c>
      <x:c r="K549" s="9" t="n">
        <x:v>7.2</x:v>
      </x:c>
      <x:c r="L549" s="7" t="n">
        <x:v>2024</x:v>
      </x:c>
      <x:c r="M549" s="11" t="n">
        <x:v>49980</x:v>
      </x:c>
      <x:c r="N549" s="7" t="n">
        <x:v>2</x:v>
      </x:c>
      <x:c r="O549" s="7" t="n">
        <x:v>0</x:v>
      </x:c>
      <x:c r="P549" s="9" t="n">
        <x:v>4.87</x:v>
      </x:c>
      <x:c r="Q549" s="7" t="n">
        <x:f>'Guide'!$B$5-L549</x:f>
        <x:v>2</x:v>
      </x:c>
      <x:c r="R549" s="9" t="n">
        <x:f>K549-P549</x:f>
        <x:v>2.33</x:v>
      </x:c>
      <x:c r="S549" s="10" t="n">
        <x:f>IF(K549&gt;0,R549/K549,"")</x:f>
        <x:v>0.3236111111111111</x:v>
      </x:c>
    </x:row>
    <x:row r="550">
      <x:c r="A550" s="7" t="n">
        <x:v>546</x:v>
      </x:c>
      <x:c r="B550" s="7" t="str">
        <x:v>Tata</x:v>
      </x:c>
      <x:c r="C550" s="7" t="str">
        <x:v>Tiago</x:v>
      </x:c>
      <x:c r="D550" s="7" t="str">
        <x:v>XTA</x:v>
      </x:c>
      <x:c r="E550" s="7" t="str">
        <x:v>Petrol</x:v>
      </x:c>
      <x:c r="F550" s="7" t="str">
        <x:v>Automatic</x:v>
      </x:c>
      <x:c r="G550" s="7" t="str">
        <x:v>Hatchback</x:v>
      </x:c>
      <x:c r="H550" s="7" t="n">
        <x:v>1199</x:v>
      </x:c>
      <x:c r="I550" s="7" t="n">
        <x:v>85</x:v>
      </x:c>
      <x:c r="J550" s="9" t="n">
        <x:v>19</x:v>
      </x:c>
      <x:c r="K550" s="9" t="n">
        <x:v>7.2</x:v>
      </x:c>
      <x:c r="L550" s="7" t="n">
        <x:v>2024</x:v>
      </x:c>
      <x:c r="M550" s="11" t="n">
        <x:v>20796</x:v>
      </x:c>
      <x:c r="N550" s="7" t="n">
        <x:v>1</x:v>
      </x:c>
      <x:c r="O550" s="7" t="n">
        <x:v>0</x:v>
      </x:c>
      <x:c r="P550" s="9" t="n">
        <x:v>6.23</x:v>
      </x:c>
      <x:c r="Q550" s="7" t="n">
        <x:f>'Guide'!$B$5-L550</x:f>
        <x:v>2</x:v>
      </x:c>
      <x:c r="R550" s="9" t="n">
        <x:f>K550-P550</x:f>
        <x:v>0.9699999999999998</x:v>
      </x:c>
      <x:c r="S550" s="10" t="n">
        <x:f>IF(K550&gt;0,R550/K550,"")</x:f>
        <x:v>0.1347222222222222</x:v>
      </x:c>
    </x:row>
    <x:row r="551">
      <x:c r="A551" s="7" t="n">
        <x:v>547</x:v>
      </x:c>
      <x:c r="B551" s="7" t="str">
        <x:v>Tata</x:v>
      </x:c>
      <x:c r="C551" s="7" t="str">
        <x:v>Tiago</x:v>
      </x:c>
      <x:c r="D551" s="7" t="str">
        <x:v>XTA</x:v>
      </x:c>
      <x:c r="E551" s="7" t="str">
        <x:v>Petrol</x:v>
      </x:c>
      <x:c r="F551" s="7" t="str">
        <x:v>Automatic</x:v>
      </x:c>
      <x:c r="G551" s="7" t="str">
        <x:v>Hatchback</x:v>
      </x:c>
      <x:c r="H551" s="7" t="n">
        <x:v>1199</x:v>
      </x:c>
      <x:c r="I551" s="7" t="n">
        <x:v>85</x:v>
      </x:c>
      <x:c r="J551" s="9" t="n">
        <x:v>19</x:v>
      </x:c>
      <x:c r="K551" s="9" t="n">
        <x:v>7.2</x:v>
      </x:c>
      <x:c r="L551" s="7" t="n">
        <x:v>2020</x:v>
      </x:c>
      <x:c r="M551" s="11" t="n">
        <x:v>101463</x:v>
      </x:c>
      <x:c r="N551" s="7" t="n">
        <x:v>1</x:v>
      </x:c>
      <x:c r="O551" s="7" t="n">
        <x:v>0</x:v>
      </x:c>
      <x:c r="P551" s="9" t="n">
        <x:v>3.18</x:v>
      </x:c>
      <x:c r="Q551" s="7" t="n">
        <x:f>'Guide'!$B$5-L551</x:f>
        <x:v>6</x:v>
      </x:c>
      <x:c r="R551" s="9" t="n">
        <x:f>K551-P551</x:f>
        <x:v>4.02</x:v>
      </x:c>
      <x:c r="S551" s="10" t="n">
        <x:f>IF(K551&gt;0,R551/K551,"")</x:f>
        <x:v>0.5583333333333332</x:v>
      </x:c>
    </x:row>
    <x:row r="552">
      <x:c r="A552" s="7" t="n">
        <x:v>548</x:v>
      </x:c>
      <x:c r="B552" s="7" t="str">
        <x:v>Tata</x:v>
      </x:c>
      <x:c r="C552" s="7" t="str">
        <x:v>Tiago</x:v>
      </x:c>
      <x:c r="D552" s="7" t="str">
        <x:v>XTA</x:v>
      </x:c>
      <x:c r="E552" s="7" t="str">
        <x:v>Petrol</x:v>
      </x:c>
      <x:c r="F552" s="7" t="str">
        <x:v>Automatic</x:v>
      </x:c>
      <x:c r="G552" s="7" t="str">
        <x:v>Hatchback</x:v>
      </x:c>
      <x:c r="H552" s="7" t="n">
        <x:v>1199</x:v>
      </x:c>
      <x:c r="I552" s="7" t="n">
        <x:v>85</x:v>
      </x:c>
      <x:c r="J552" s="9" t="n">
        <x:v>19</x:v>
      </x:c>
      <x:c r="K552" s="9" t="n">
        <x:v>7.2</x:v>
      </x:c>
      <x:c r="L552" s="7" t="n">
        <x:v>2022</x:v>
      </x:c>
      <x:c r="M552" s="11" t="n">
        <x:v>40636</x:v>
      </x:c>
      <x:c r="N552" s="7" t="n">
        <x:v>2</x:v>
      </x:c>
      <x:c r="O552" s="7" t="n">
        <x:v>0</x:v>
      </x:c>
      <x:c r="P552" s="9" t="n">
        <x:v>4.06</x:v>
      </x:c>
      <x:c r="Q552" s="7" t="n">
        <x:f>'Guide'!$B$5-L552</x:f>
        <x:v>4</x:v>
      </x:c>
      <x:c r="R552" s="9" t="n">
        <x:f>K552-P552</x:f>
        <x:v>3.1400000000000006</x:v>
      </x:c>
      <x:c r="S552" s="10" t="n">
        <x:f>IF(K552&gt;0,R552/K552,"")</x:f>
        <x:v>0.43611111111111117</x:v>
      </x:c>
    </x:row>
    <x:row r="553">
      <x:c r="A553" s="7" t="n">
        <x:v>549</x:v>
      </x:c>
      <x:c r="B553" s="7" t="str">
        <x:v>Tata</x:v>
      </x:c>
      <x:c r="C553" s="7" t="str">
        <x:v>Tiago</x:v>
      </x:c>
      <x:c r="D553" s="7" t="str">
        <x:v>XTA</x:v>
      </x:c>
      <x:c r="E553" s="7" t="str">
        <x:v>Petrol</x:v>
      </x:c>
      <x:c r="F553" s="7" t="str">
        <x:v>Automatic</x:v>
      </x:c>
      <x:c r="G553" s="7" t="str">
        <x:v>Hatchback</x:v>
      </x:c>
      <x:c r="H553" s="7" t="n">
        <x:v>1199</x:v>
      </x:c>
      <x:c r="I553" s="7" t="n">
        <x:v>85</x:v>
      </x:c>
      <x:c r="J553" s="9" t="n">
        <x:v>19</x:v>
      </x:c>
      <x:c r="K553" s="9" t="n">
        <x:v>7.2</x:v>
      </x:c>
      <x:c r="L553" s="7" t="n">
        <x:v>2022</x:v>
      </x:c>
      <x:c r="M553" s="11" t="n">
        <x:v>39032</x:v>
      </x:c>
      <x:c r="N553" s="7" t="n">
        <x:v>1</x:v>
      </x:c>
      <x:c r="O553" s="7" t="n">
        <x:v>0</x:v>
      </x:c>
      <x:c r="P553" s="9" t="n">
        <x:v>4.62</x:v>
      </x:c>
      <x:c r="Q553" s="7" t="n">
        <x:f>'Guide'!$B$5-L553</x:f>
        <x:v>4</x:v>
      </x:c>
      <x:c r="R553" s="9" t="n">
        <x:f>K553-P553</x:f>
        <x:v>2.58</x:v>
      </x:c>
      <x:c r="S553" s="10" t="n">
        <x:f>IF(K553&gt;0,R553/K553,"")</x:f>
        <x:v>0.35833333333333334</x:v>
      </x:c>
    </x:row>
    <x:row r="554">
      <x:c r="A554" s="7" t="n">
        <x:v>550</x:v>
      </x:c>
      <x:c r="B554" s="7" t="str">
        <x:v>Tata</x:v>
      </x:c>
      <x:c r="C554" s="7" t="str">
        <x:v>Tiago</x:v>
      </x:c>
      <x:c r="D554" s="7" t="str">
        <x:v>XTA</x:v>
      </x:c>
      <x:c r="E554" s="7" t="str">
        <x:v>Petrol</x:v>
      </x:c>
      <x:c r="F554" s="7" t="str">
        <x:v>Automatic</x:v>
      </x:c>
      <x:c r="G554" s="7" t="str">
        <x:v>Hatchback</x:v>
      </x:c>
      <x:c r="H554" s="7" t="n">
        <x:v>1199</x:v>
      </x:c>
      <x:c r="I554" s="7" t="n">
        <x:v>85</x:v>
      </x:c>
      <x:c r="J554" s="9" t="n">
        <x:v>19</x:v>
      </x:c>
      <x:c r="K554" s="9" t="n">
        <x:v>7.2</x:v>
      </x:c>
      <x:c r="L554" s="7" t="n">
        <x:v>2020</x:v>
      </x:c>
      <x:c r="M554" s="11" t="n">
        <x:v>72631</x:v>
      </x:c>
      <x:c r="N554" s="7" t="n">
        <x:v>2</x:v>
      </x:c>
      <x:c r="O554" s="7" t="n">
        <x:v>0</x:v>
      </x:c>
      <x:c r="P554" s="9" t="n">
        <x:v>2.36</x:v>
      </x:c>
      <x:c r="Q554" s="7" t="n">
        <x:f>'Guide'!$B$5-L554</x:f>
        <x:v>6</x:v>
      </x:c>
      <x:c r="R554" s="9" t="n">
        <x:f>K554-P554</x:f>
        <x:v>4.84</x:v>
      </x:c>
      <x:c r="S554" s="10" t="n">
        <x:f>IF(K554&gt;0,R554/K554,"")</x:f>
        <x:v>0.6722222222222222</x:v>
      </x:c>
    </x:row>
    <x:row r="555">
      <x:c r="A555" s="7" t="n">
        <x:v>551</x:v>
      </x:c>
      <x:c r="B555" s="7" t="str">
        <x:v>Tata</x:v>
      </x:c>
      <x:c r="C555" s="7" t="str">
        <x:v>Tiago</x:v>
      </x:c>
      <x:c r="D555" s="7" t="str">
        <x:v>XTA</x:v>
      </x:c>
      <x:c r="E555" s="7" t="str">
        <x:v>Petrol</x:v>
      </x:c>
      <x:c r="F555" s="7" t="str">
        <x:v>Automatic</x:v>
      </x:c>
      <x:c r="G555" s="7" t="str">
        <x:v>Hatchback</x:v>
      </x:c>
      <x:c r="H555" s="7" t="n">
        <x:v>1199</x:v>
      </x:c>
      <x:c r="I555" s="7" t="n">
        <x:v>85</x:v>
      </x:c>
      <x:c r="J555" s="9" t="n">
        <x:v>19</x:v>
      </x:c>
      <x:c r="K555" s="9" t="n">
        <x:v>7.2</x:v>
      </x:c>
      <x:c r="L555" s="7" t="n">
        <x:v>2026</x:v>
      </x:c>
      <x:c r="M555" s="11" t="n">
        <x:v>5356</x:v>
      </x:c>
      <x:c r="N555" s="7" t="n">
        <x:v>2</x:v>
      </x:c>
      <x:c r="O555" s="7" t="n">
        <x:v>0</x:v>
      </x:c>
      <x:c r="P555" s="9" t="n">
        <x:v>7.09</x:v>
      </x:c>
      <x:c r="Q555" s="7" t="n">
        <x:f>'Guide'!$B$5-L555</x:f>
        <x:v>0</x:v>
      </x:c>
      <x:c r="R555" s="9" t="n">
        <x:f>K555-P555</x:f>
        <x:v>0.11000000000000032</x:v>
      </x:c>
      <x:c r="S555" s="10" t="n">
        <x:f>IF(K555&gt;0,R555/K555,"")</x:f>
        <x:v>0.015277777777777822</x:v>
      </x:c>
    </x:row>
    <x:row r="556">
      <x:c r="A556" s="7" t="n">
        <x:v>552</x:v>
      </x:c>
      <x:c r="B556" s="7" t="str">
        <x:v>Tata</x:v>
      </x:c>
      <x:c r="C556" s="7" t="str">
        <x:v>Tiago</x:v>
      </x:c>
      <x:c r="D556" s="7" t="str">
        <x:v>XTA</x:v>
      </x:c>
      <x:c r="E556" s="7" t="str">
        <x:v>Petrol</x:v>
      </x:c>
      <x:c r="F556" s="7" t="str">
        <x:v>Automatic</x:v>
      </x:c>
      <x:c r="G556" s="7" t="str">
        <x:v>Hatchback</x:v>
      </x:c>
      <x:c r="H556" s="7" t="n">
        <x:v>1199</x:v>
      </x:c>
      <x:c r="I556" s="7" t="n">
        <x:v>85</x:v>
      </x:c>
      <x:c r="J556" s="9" t="n">
        <x:v>19</x:v>
      </x:c>
      <x:c r="K556" s="9" t="n">
        <x:v>7.2</x:v>
      </x:c>
      <x:c r="L556" s="7" t="n">
        <x:v>2025</x:v>
      </x:c>
      <x:c r="M556" s="11" t="n">
        <x:v>22155</x:v>
      </x:c>
      <x:c r="N556" s="7" t="n">
        <x:v>2</x:v>
      </x:c>
      <x:c r="O556" s="7" t="n">
        <x:v>0</x:v>
      </x:c>
      <x:c r="P556" s="9" t="n">
        <x:v>5.82</x:v>
      </x:c>
      <x:c r="Q556" s="7" t="n">
        <x:f>'Guide'!$B$5-L556</x:f>
        <x:v>1</x:v>
      </x:c>
      <x:c r="R556" s="9" t="n">
        <x:f>K556-P556</x:f>
        <x:v>1.38</x:v>
      </x:c>
      <x:c r="S556" s="10" t="n">
        <x:f>IF(K556&gt;0,R556/K556,"")</x:f>
        <x:v>0.19166666666666665</x:v>
      </x:c>
    </x:row>
    <x:row r="557">
      <x:c r="A557" s="7" t="n">
        <x:v>553</x:v>
      </x:c>
      <x:c r="B557" s="7" t="str">
        <x:v>Tata</x:v>
      </x:c>
      <x:c r="C557" s="7" t="str">
        <x:v>Tiago</x:v>
      </x:c>
      <x:c r="D557" s="7" t="str">
        <x:v>XTA</x:v>
      </x:c>
      <x:c r="E557" s="7" t="str">
        <x:v>Petrol</x:v>
      </x:c>
      <x:c r="F557" s="7" t="str">
        <x:v>Automatic</x:v>
      </x:c>
      <x:c r="G557" s="7" t="str">
        <x:v>Hatchback</x:v>
      </x:c>
      <x:c r="H557" s="7" t="n">
        <x:v>1199</x:v>
      </x:c>
      <x:c r="I557" s="7" t="n">
        <x:v>85</x:v>
      </x:c>
      <x:c r="J557" s="9" t="n">
        <x:v>19</x:v>
      </x:c>
      <x:c r="K557" s="9" t="n">
        <x:v>7.2</x:v>
      </x:c>
      <x:c r="L557" s="7" t="n">
        <x:v>2022</x:v>
      </x:c>
      <x:c r="M557" s="11" t="n">
        <x:v>80805</x:v>
      </x:c>
      <x:c r="N557" s="7" t="n">
        <x:v>1</x:v>
      </x:c>
      <x:c r="O557" s="7" t="n">
        <x:v>0</x:v>
      </x:c>
      <x:c r="P557" s="9" t="n">
        <x:v>3.8</x:v>
      </x:c>
      <x:c r="Q557" s="7" t="n">
        <x:f>'Guide'!$B$5-L557</x:f>
        <x:v>4</x:v>
      </x:c>
      <x:c r="R557" s="9" t="n">
        <x:f>K557-P557</x:f>
        <x:v>3.4000000000000004</x:v>
      </x:c>
      <x:c r="S557" s="10" t="n">
        <x:f>IF(K557&gt;0,R557/K557,"")</x:f>
        <x:v>0.47222222222222227</x:v>
      </x:c>
    </x:row>
    <x:row r="558">
      <x:c r="A558" s="7" t="n">
        <x:v>554</x:v>
      </x:c>
      <x:c r="B558" s="7" t="str">
        <x:v>Tata</x:v>
      </x:c>
      <x:c r="C558" s="7" t="str">
        <x:v>Tiago</x:v>
      </x:c>
      <x:c r="D558" s="7" t="str">
        <x:v>XTA</x:v>
      </x:c>
      <x:c r="E558" s="7" t="str">
        <x:v>Petrol</x:v>
      </x:c>
      <x:c r="F558" s="7" t="str">
        <x:v>Automatic</x:v>
      </x:c>
      <x:c r="G558" s="7" t="str">
        <x:v>Hatchback</x:v>
      </x:c>
      <x:c r="H558" s="7" t="n">
        <x:v>1199</x:v>
      </x:c>
      <x:c r="I558" s="7" t="n">
        <x:v>85</x:v>
      </x:c>
      <x:c r="J558" s="9" t="n">
        <x:v>19</x:v>
      </x:c>
      <x:c r="K558" s="9" t="n">
        <x:v>7.2</x:v>
      </x:c>
      <x:c r="L558" s="7" t="n">
        <x:v>2024</x:v>
      </x:c>
      <x:c r="M558" s="11" t="n">
        <x:v>23886</x:v>
      </x:c>
      <x:c r="N558" s="7" t="n">
        <x:v>1</x:v>
      </x:c>
      <x:c r="O558" s="7" t="n">
        <x:v>0</x:v>
      </x:c>
      <x:c r="P558" s="9" t="n">
        <x:v>6.03</x:v>
      </x:c>
      <x:c r="Q558" s="7" t="n">
        <x:f>'Guide'!$B$5-L558</x:f>
        <x:v>2</x:v>
      </x:c>
      <x:c r="R558" s="9" t="n">
        <x:f>K558-P558</x:f>
        <x:v>1.17</x:v>
      </x:c>
      <x:c r="S558" s="10" t="n">
        <x:f>IF(K558&gt;0,R558/K558,"")</x:f>
        <x:v>0.16249999999999998</x:v>
      </x:c>
    </x:row>
    <x:row r="559">
      <x:c r="A559" s="7" t="n">
        <x:v>555</x:v>
      </x:c>
      <x:c r="B559" s="7" t="str">
        <x:v>Tata</x:v>
      </x:c>
      <x:c r="C559" s="7" t="str">
        <x:v>Tiago</x:v>
      </x:c>
      <x:c r="D559" s="7" t="str">
        <x:v>XTA</x:v>
      </x:c>
      <x:c r="E559" s="7" t="str">
        <x:v>Petrol</x:v>
      </x:c>
      <x:c r="F559" s="7" t="str">
        <x:v>Automatic</x:v>
      </x:c>
      <x:c r="G559" s="7" t="str">
        <x:v>Hatchback</x:v>
      </x:c>
      <x:c r="H559" s="7" t="n">
        <x:v>1199</x:v>
      </x:c>
      <x:c r="I559" s="7" t="n">
        <x:v>85</x:v>
      </x:c>
      <x:c r="J559" s="9" t="n">
        <x:v>19</x:v>
      </x:c>
      <x:c r="K559" s="9" t="n">
        <x:v>7.2</x:v>
      </x:c>
      <x:c r="L559" s="7" t="n">
        <x:v>2023</x:v>
      </x:c>
      <x:c r="M559" s="11" t="n">
        <x:v>66247</x:v>
      </x:c>
      <x:c r="N559" s="7" t="n">
        <x:v>2</x:v>
      </x:c>
      <x:c r="O559" s="7" t="n">
        <x:v>0</x:v>
      </x:c>
      <x:c r="P559" s="9" t="n">
        <x:v>4.41</x:v>
      </x:c>
      <x:c r="Q559" s="7" t="n">
        <x:f>'Guide'!$B$5-L559</x:f>
        <x:v>3</x:v>
      </x:c>
      <x:c r="R559" s="9" t="n">
        <x:f>K559-P559</x:f>
        <x:v>2.79</x:v>
      </x:c>
      <x:c r="S559" s="10" t="n">
        <x:f>IF(K559&gt;0,R559/K559,"")</x:f>
        <x:v>0.3875</x:v>
      </x:c>
    </x:row>
    <x:row r="560">
      <x:c r="A560" s="7" t="n">
        <x:v>556</x:v>
      </x:c>
      <x:c r="B560" s="7" t="str">
        <x:v>Tata</x:v>
      </x:c>
      <x:c r="C560" s="7" t="str">
        <x:v>Tiago</x:v>
      </x:c>
      <x:c r="D560" s="7" t="str">
        <x:v>XTA</x:v>
      </x:c>
      <x:c r="E560" s="7" t="str">
        <x:v>Petrol</x:v>
      </x:c>
      <x:c r="F560" s="7" t="str">
        <x:v>Automatic</x:v>
      </x:c>
      <x:c r="G560" s="7" t="str">
        <x:v>Hatchback</x:v>
      </x:c>
      <x:c r="H560" s="7" t="n">
        <x:v>1199</x:v>
      </x:c>
      <x:c r="I560" s="7" t="n">
        <x:v>85</x:v>
      </x:c>
      <x:c r="J560" s="9" t="n">
        <x:v>19</x:v>
      </x:c>
      <x:c r="K560" s="9" t="n">
        <x:v>7.2</x:v>
      </x:c>
      <x:c r="L560" s="7" t="n">
        <x:v>2022</x:v>
      </x:c>
      <x:c r="M560" s="11" t="n">
        <x:v>79012</x:v>
      </x:c>
      <x:c r="N560" s="7" t="n">
        <x:v>2</x:v>
      </x:c>
      <x:c r="O560" s="7" t="n">
        <x:v>1</x:v>
      </x:c>
      <x:c r="P560" s="9" t="n">
        <x:v>2.62</x:v>
      </x:c>
      <x:c r="Q560" s="7" t="n">
        <x:f>'Guide'!$B$5-L560</x:f>
        <x:v>4</x:v>
      </x:c>
      <x:c r="R560" s="9" t="n">
        <x:f>K560-P560</x:f>
        <x:v>4.58</x:v>
      </x:c>
      <x:c r="S560" s="10" t="n">
        <x:f>IF(K560&gt;0,R560/K560,"")</x:f>
        <x:v>0.6361111111111111</x:v>
      </x:c>
    </x:row>
    <x:row r="561">
      <x:c r="A561" s="7" t="n">
        <x:v>557</x:v>
      </x:c>
      <x:c r="B561" s="7" t="str">
        <x:v>Tata</x:v>
      </x:c>
      <x:c r="C561" s="7" t="str">
        <x:v>Tiago</x:v>
      </x:c>
      <x:c r="D561" s="7" t="str">
        <x:v>XTA</x:v>
      </x:c>
      <x:c r="E561" s="7" t="str">
        <x:v>Petrol</x:v>
      </x:c>
      <x:c r="F561" s="7" t="str">
        <x:v>Automatic</x:v>
      </x:c>
      <x:c r="G561" s="7" t="str">
        <x:v>Hatchback</x:v>
      </x:c>
      <x:c r="H561" s="7" t="n">
        <x:v>1199</x:v>
      </x:c>
      <x:c r="I561" s="7" t="n">
        <x:v>85</x:v>
      </x:c>
      <x:c r="J561" s="9" t="n">
        <x:v>19</x:v>
      </x:c>
      <x:c r="K561" s="9" t="n">
        <x:v>7.2</x:v>
      </x:c>
      <x:c r="L561" s="7" t="n">
        <x:v>2024</x:v>
      </x:c>
      <x:c r="M561" s="11" t="n">
        <x:v>20332</x:v>
      </x:c>
      <x:c r="N561" s="7" t="n">
        <x:v>2</x:v>
      </x:c>
      <x:c r="O561" s="7" t="n">
        <x:v>0</x:v>
      </x:c>
      <x:c r="P561" s="9" t="n">
        <x:v>5.46</x:v>
      </x:c>
      <x:c r="Q561" s="7" t="n">
        <x:f>'Guide'!$B$5-L561</x:f>
        <x:v>2</x:v>
      </x:c>
      <x:c r="R561" s="9" t="n">
        <x:f>K561-P561</x:f>
        <x:v>1.7400000000000002</x:v>
      </x:c>
      <x:c r="S561" s="10" t="n">
        <x:f>IF(K561&gt;0,R561/K561,"")</x:f>
        <x:v>0.2416666666666667</x:v>
      </x:c>
    </x:row>
    <x:row r="562">
      <x:c r="A562" s="7" t="n">
        <x:v>558</x:v>
      </x:c>
      <x:c r="B562" s="7" t="str">
        <x:v>Tata</x:v>
      </x:c>
      <x:c r="C562" s="7" t="str">
        <x:v>Tiago</x:v>
      </x:c>
      <x:c r="D562" s="7" t="str">
        <x:v>XTA</x:v>
      </x:c>
      <x:c r="E562" s="7" t="str">
        <x:v>Petrol</x:v>
      </x:c>
      <x:c r="F562" s="7" t="str">
        <x:v>Automatic</x:v>
      </x:c>
      <x:c r="G562" s="7" t="str">
        <x:v>Hatchback</x:v>
      </x:c>
      <x:c r="H562" s="7" t="n">
        <x:v>1199</x:v>
      </x:c>
      <x:c r="I562" s="7" t="n">
        <x:v>85</x:v>
      </x:c>
      <x:c r="J562" s="9" t="n">
        <x:v>19</x:v>
      </x:c>
      <x:c r="K562" s="9" t="n">
        <x:v>7.2</x:v>
      </x:c>
      <x:c r="L562" s="7" t="n">
        <x:v>2025</x:v>
      </x:c>
      <x:c r="M562" s="11" t="n">
        <x:v>26492</x:v>
      </x:c>
      <x:c r="N562" s="7" t="n">
        <x:v>2</x:v>
      </x:c>
      <x:c r="O562" s="7" t="n">
        <x:v>0</x:v>
      </x:c>
      <x:c r="P562" s="9" t="n">
        <x:v>6.16</x:v>
      </x:c>
      <x:c r="Q562" s="7" t="n">
        <x:f>'Guide'!$B$5-L562</x:f>
        <x:v>1</x:v>
      </x:c>
      <x:c r="R562" s="9" t="n">
        <x:f>K562-P562</x:f>
        <x:v>1.04</x:v>
      </x:c>
      <x:c r="S562" s="10" t="n">
        <x:f>IF(K562&gt;0,R562/K562,"")</x:f>
        <x:v>0.14444444444444446</x:v>
      </x:c>
    </x:row>
    <x:row r="563">
      <x:c r="A563" s="7" t="n">
        <x:v>559</x:v>
      </x:c>
      <x:c r="B563" s="7" t="str">
        <x:v>Tata</x:v>
      </x:c>
      <x:c r="C563" s="7" t="str">
        <x:v>Tiago</x:v>
      </x:c>
      <x:c r="D563" s="7" t="str">
        <x:v>XTA</x:v>
      </x:c>
      <x:c r="E563" s="7" t="str">
        <x:v>Petrol</x:v>
      </x:c>
      <x:c r="F563" s="7" t="str">
        <x:v>Automatic</x:v>
      </x:c>
      <x:c r="G563" s="7" t="str">
        <x:v>Hatchback</x:v>
      </x:c>
      <x:c r="H563" s="7" t="n">
        <x:v>1199</x:v>
      </x:c>
      <x:c r="I563" s="7" t="n">
        <x:v>85</x:v>
      </x:c>
      <x:c r="J563" s="9" t="n">
        <x:v>19</x:v>
      </x:c>
      <x:c r="K563" s="9" t="n">
        <x:v>7.2</x:v>
      </x:c>
      <x:c r="L563" s="7" t="n">
        <x:v>2023</x:v>
      </x:c>
      <x:c r="M563" s="11" t="n">
        <x:v>68200</x:v>
      </x:c>
      <x:c r="N563" s="7" t="n">
        <x:v>1</x:v>
      </x:c>
      <x:c r="O563" s="7" t="n">
        <x:v>0</x:v>
      </x:c>
      <x:c r="P563" s="9" t="n">
        <x:v>4.62</x:v>
      </x:c>
      <x:c r="Q563" s="7" t="n">
        <x:f>'Guide'!$B$5-L563</x:f>
        <x:v>3</x:v>
      </x:c>
      <x:c r="R563" s="9" t="n">
        <x:f>K563-P563</x:f>
        <x:v>2.58</x:v>
      </x:c>
      <x:c r="S563" s="10" t="n">
        <x:f>IF(K563&gt;0,R563/K563,"")</x:f>
        <x:v>0.35833333333333334</x:v>
      </x:c>
    </x:row>
    <x:row r="564">
      <x:c r="A564" s="7" t="n">
        <x:v>560</x:v>
      </x:c>
      <x:c r="B564" s="7" t="str">
        <x:v>Tata</x:v>
      </x:c>
      <x:c r="C564" s="7" t="str">
        <x:v>Tiago</x:v>
      </x:c>
      <x:c r="D564" s="7" t="str">
        <x:v>XTA</x:v>
      </x:c>
      <x:c r="E564" s="7" t="str">
        <x:v>Petrol</x:v>
      </x:c>
      <x:c r="F564" s="7" t="str">
        <x:v>Automatic</x:v>
      </x:c>
      <x:c r="G564" s="7" t="str">
        <x:v>Hatchback</x:v>
      </x:c>
      <x:c r="H564" s="7" t="n">
        <x:v>1199</x:v>
      </x:c>
      <x:c r="I564" s="7" t="n">
        <x:v>85</x:v>
      </x:c>
      <x:c r="J564" s="9" t="n">
        <x:v>19</x:v>
      </x:c>
      <x:c r="K564" s="9" t="n">
        <x:v>7.2</x:v>
      </x:c>
      <x:c r="L564" s="7" t="n">
        <x:v>2022</x:v>
      </x:c>
      <x:c r="M564" s="11" t="n">
        <x:v>75439</x:v>
      </x:c>
      <x:c r="N564" s="7" t="n">
        <x:v>1</x:v>
      </x:c>
      <x:c r="O564" s="7" t="n">
        <x:v>0</x:v>
      </x:c>
      <x:c r="P564" s="9" t="n">
        <x:v>4.17</x:v>
      </x:c>
      <x:c r="Q564" s="7" t="n">
        <x:f>'Guide'!$B$5-L564</x:f>
        <x:v>4</x:v>
      </x:c>
      <x:c r="R564" s="9" t="n">
        <x:f>K564-P564</x:f>
        <x:v>3.0300000000000002</x:v>
      </x:c>
      <x:c r="S564" s="10" t="n">
        <x:f>IF(K564&gt;0,R564/K564,"")</x:f>
        <x:v>0.42083333333333334</x:v>
      </x:c>
    </x:row>
    <x:row r="565">
      <x:c r="A565" s="7" t="n">
        <x:v>561</x:v>
      </x:c>
      <x:c r="B565" s="7" t="str">
        <x:v>Tata</x:v>
      </x:c>
      <x:c r="C565" s="7" t="str">
        <x:v>Tiago</x:v>
      </x:c>
      <x:c r="D565" s="7" t="str">
        <x:v>XTA</x:v>
      </x:c>
      <x:c r="E565" s="7" t="str">
        <x:v>Petrol</x:v>
      </x:c>
      <x:c r="F565" s="7" t="str">
        <x:v>Automatic</x:v>
      </x:c>
      <x:c r="G565" s="7" t="str">
        <x:v>Hatchback</x:v>
      </x:c>
      <x:c r="H565" s="7" t="n">
        <x:v>1199</x:v>
      </x:c>
      <x:c r="I565" s="7" t="n">
        <x:v>85</x:v>
      </x:c>
      <x:c r="J565" s="9" t="n">
        <x:v>19</x:v>
      </x:c>
      <x:c r="K565" s="9" t="n">
        <x:v>7.2</x:v>
      </x:c>
      <x:c r="L565" s="7" t="n">
        <x:v>2021</x:v>
      </x:c>
      <x:c r="M565" s="11" t="n">
        <x:v>94623</x:v>
      </x:c>
      <x:c r="N565" s="7" t="n">
        <x:v>1</x:v>
      </x:c>
      <x:c r="O565" s="7" t="n">
        <x:v>0</x:v>
      </x:c>
      <x:c r="P565" s="9" t="n">
        <x:v>3.47</x:v>
      </x:c>
      <x:c r="Q565" s="7" t="n">
        <x:f>'Guide'!$B$5-L565</x:f>
        <x:v>5</x:v>
      </x:c>
      <x:c r="R565" s="9" t="n">
        <x:f>K565-P565</x:f>
        <x:v>3.73</x:v>
      </x:c>
      <x:c r="S565" s="10" t="n">
        <x:f>IF(K565&gt;0,R565/K565,"")</x:f>
        <x:v>0.5180555555555555</x:v>
      </x:c>
    </x:row>
    <x:row r="566">
      <x:c r="A566" s="7" t="n">
        <x:v>562</x:v>
      </x:c>
      <x:c r="B566" s="7" t="str">
        <x:v>Tata</x:v>
      </x:c>
      <x:c r="C566" s="7" t="str">
        <x:v>Tiago</x:v>
      </x:c>
      <x:c r="D566" s="7" t="str">
        <x:v>XTA</x:v>
      </x:c>
      <x:c r="E566" s="7" t="str">
        <x:v>Petrol</x:v>
      </x:c>
      <x:c r="F566" s="7" t="str">
        <x:v>Automatic</x:v>
      </x:c>
      <x:c r="G566" s="7" t="str">
        <x:v>Hatchback</x:v>
      </x:c>
      <x:c r="H566" s="7" t="n">
        <x:v>1199</x:v>
      </x:c>
      <x:c r="I566" s="7" t="n">
        <x:v>85</x:v>
      </x:c>
      <x:c r="J566" s="9" t="n">
        <x:v>19</x:v>
      </x:c>
      <x:c r="K566" s="9" t="n">
        <x:v>7.2</x:v>
      </x:c>
      <x:c r="L566" s="7" t="n">
        <x:v>2024</x:v>
      </x:c>
      <x:c r="M566" s="11" t="n">
        <x:v>28470</x:v>
      </x:c>
      <x:c r="N566" s="7" t="n">
        <x:v>1</x:v>
      </x:c>
      <x:c r="O566" s="7" t="n">
        <x:v>0</x:v>
      </x:c>
      <x:c r="P566" s="9" t="n">
        <x:v>5.9</x:v>
      </x:c>
      <x:c r="Q566" s="7" t="n">
        <x:f>'Guide'!$B$5-L566</x:f>
        <x:v>2</x:v>
      </x:c>
      <x:c r="R566" s="9" t="n">
        <x:f>K566-P566</x:f>
        <x:v>1.2999999999999998</x:v>
      </x:c>
      <x:c r="S566" s="10" t="n">
        <x:f>IF(K566&gt;0,R566/K566,"")</x:f>
        <x:v>0.18055555555555552</x:v>
      </x:c>
    </x:row>
    <x:row r="567">
      <x:c r="A567" s="7" t="n">
        <x:v>563</x:v>
      </x:c>
      <x:c r="B567" s="7" t="str">
        <x:v>Tata</x:v>
      </x:c>
      <x:c r="C567" s="7" t="str">
        <x:v>Tiago</x:v>
      </x:c>
      <x:c r="D567" s="7" t="str">
        <x:v>XTA</x:v>
      </x:c>
      <x:c r="E567" s="7" t="str">
        <x:v>Petrol</x:v>
      </x:c>
      <x:c r="F567" s="7" t="str">
        <x:v>Automatic</x:v>
      </x:c>
      <x:c r="G567" s="7" t="str">
        <x:v>Hatchback</x:v>
      </x:c>
      <x:c r="H567" s="7" t="n">
        <x:v>1199</x:v>
      </x:c>
      <x:c r="I567" s="7" t="n">
        <x:v>85</x:v>
      </x:c>
      <x:c r="J567" s="9" t="n">
        <x:v>19</x:v>
      </x:c>
      <x:c r="K567" s="9" t="n">
        <x:v>7.2</x:v>
      </x:c>
      <x:c r="L567" s="7" t="n">
        <x:v>2024</x:v>
      </x:c>
      <x:c r="M567" s="11" t="n">
        <x:v>37694</x:v>
      </x:c>
      <x:c r="N567" s="7" t="n">
        <x:v>1</x:v>
      </x:c>
      <x:c r="O567" s="7" t="n">
        <x:v>0</x:v>
      </x:c>
      <x:c r="P567" s="9" t="n">
        <x:v>5.57</x:v>
      </x:c>
      <x:c r="Q567" s="7" t="n">
        <x:f>'Guide'!$B$5-L567</x:f>
        <x:v>2</x:v>
      </x:c>
      <x:c r="R567" s="9" t="n">
        <x:f>K567-P567</x:f>
        <x:v>1.63</x:v>
      </x:c>
      <x:c r="S567" s="10" t="n">
        <x:f>IF(K567&gt;0,R567/K567,"")</x:f>
        <x:v>0.22638888888888886</x:v>
      </x:c>
    </x:row>
    <x:row r="568">
      <x:c r="A568" s="7" t="n">
        <x:v>564</x:v>
      </x:c>
      <x:c r="B568" s="7" t="str">
        <x:v>Tata</x:v>
      </x:c>
      <x:c r="C568" s="7" t="str">
        <x:v>Tiago</x:v>
      </x:c>
      <x:c r="D568" s="7" t="str">
        <x:v>XTA</x:v>
      </x:c>
      <x:c r="E568" s="7" t="str">
        <x:v>Petrol</x:v>
      </x:c>
      <x:c r="F568" s="7" t="str">
        <x:v>Automatic</x:v>
      </x:c>
      <x:c r="G568" s="7" t="str">
        <x:v>Hatchback</x:v>
      </x:c>
      <x:c r="H568" s="7" t="n">
        <x:v>1199</x:v>
      </x:c>
      <x:c r="I568" s="7" t="n">
        <x:v>85</x:v>
      </x:c>
      <x:c r="J568" s="9" t="n">
        <x:v>19</x:v>
      </x:c>
      <x:c r="K568" s="9" t="n">
        <x:v>7.2</x:v>
      </x:c>
      <x:c r="L568" s="7" t="n">
        <x:v>2022</x:v>
      </x:c>
      <x:c r="M568" s="11" t="n">
        <x:v>84116</x:v>
      </x:c>
      <x:c r="N568" s="7" t="n">
        <x:v>1</x:v>
      </x:c>
      <x:c r="O568" s="7" t="n">
        <x:v>0</x:v>
      </x:c>
      <x:c r="P568" s="9" t="n">
        <x:v>4.53</x:v>
      </x:c>
      <x:c r="Q568" s="7" t="n">
        <x:f>'Guide'!$B$5-L568</x:f>
        <x:v>4</x:v>
      </x:c>
      <x:c r="R568" s="9" t="n">
        <x:f>K568-P568</x:f>
        <x:v>2.67</x:v>
      </x:c>
      <x:c r="S568" s="10" t="n">
        <x:f>IF(K568&gt;0,R568/K568,"")</x:f>
        <x:v>0.3708333333333333</x:v>
      </x:c>
    </x:row>
    <x:row r="569">
      <x:c r="A569" s="7" t="n">
        <x:v>565</x:v>
      </x:c>
      <x:c r="B569" s="7" t="str">
        <x:v>Tata</x:v>
      </x:c>
      <x:c r="C569" s="7" t="str">
        <x:v>Tiago</x:v>
      </x:c>
      <x:c r="D569" s="7" t="str">
        <x:v>XTA</x:v>
      </x:c>
      <x:c r="E569" s="7" t="str">
        <x:v>Petrol</x:v>
      </x:c>
      <x:c r="F569" s="7" t="str">
        <x:v>Automatic</x:v>
      </x:c>
      <x:c r="G569" s="7" t="str">
        <x:v>Hatchback</x:v>
      </x:c>
      <x:c r="H569" s="7" t="n">
        <x:v>1199</x:v>
      </x:c>
      <x:c r="I569" s="7" t="n">
        <x:v>85</x:v>
      </x:c>
      <x:c r="J569" s="9" t="n">
        <x:v>19</x:v>
      </x:c>
      <x:c r="K569" s="9" t="n">
        <x:v>7.2</x:v>
      </x:c>
      <x:c r="L569" s="7" t="n">
        <x:v>2021</x:v>
      </x:c>
      <x:c r="M569" s="11" t="n">
        <x:v>69894</x:v>
      </x:c>
      <x:c r="N569" s="7" t="n">
        <x:v>3</x:v>
      </x:c>
      <x:c r="O569" s="7" t="n">
        <x:v>0</x:v>
      </x:c>
      <x:c r="P569" s="9" t="n">
        <x:v>2.57</x:v>
      </x:c>
      <x:c r="Q569" s="7" t="n">
        <x:f>'Guide'!$B$5-L569</x:f>
        <x:v>5</x:v>
      </x:c>
      <x:c r="R569" s="9" t="n">
        <x:f>K569-P569</x:f>
        <x:v>4.630000000000001</x:v>
      </x:c>
      <x:c r="S569" s="10" t="n">
        <x:f>IF(K569&gt;0,R569/K569,"")</x:f>
        <x:v>0.6430555555555556</x:v>
      </x:c>
    </x:row>
    <x:row r="570">
      <x:c r="A570" s="7" t="n">
        <x:v>566</x:v>
      </x:c>
      <x:c r="B570" s="7" t="str">
        <x:v>Tata</x:v>
      </x:c>
      <x:c r="C570" s="7" t="str">
        <x:v>Tiago</x:v>
      </x:c>
      <x:c r="D570" s="7" t="str">
        <x:v>XTA</x:v>
      </x:c>
      <x:c r="E570" s="7" t="str">
        <x:v>Petrol</x:v>
      </x:c>
      <x:c r="F570" s="7" t="str">
        <x:v>Automatic</x:v>
      </x:c>
      <x:c r="G570" s="7" t="str">
        <x:v>Hatchback</x:v>
      </x:c>
      <x:c r="H570" s="7" t="n">
        <x:v>1199</x:v>
      </x:c>
      <x:c r="I570" s="7" t="n">
        <x:v>85</x:v>
      </x:c>
      <x:c r="J570" s="9" t="n">
        <x:v>19</x:v>
      </x:c>
      <x:c r="K570" s="9" t="n">
        <x:v>7.2</x:v>
      </x:c>
      <x:c r="L570" s="7" t="n">
        <x:v>2024</x:v>
      </x:c>
      <x:c r="M570" s="11" t="n">
        <x:v>42830</x:v>
      </x:c>
      <x:c r="N570" s="7" t="n">
        <x:v>1</x:v>
      </x:c>
      <x:c r="O570" s="7" t="n">
        <x:v>0</x:v>
      </x:c>
      <x:c r="P570" s="9" t="n">
        <x:v>5.49</x:v>
      </x:c>
      <x:c r="Q570" s="7" t="n">
        <x:f>'Guide'!$B$5-L570</x:f>
        <x:v>2</x:v>
      </x:c>
      <x:c r="R570" s="9" t="n">
        <x:f>K570-P570</x:f>
        <x:v>1.71</x:v>
      </x:c>
      <x:c r="S570" s="10" t="n">
        <x:f>IF(K570&gt;0,R570/K570,"")</x:f>
        <x:v>0.2375</x:v>
      </x:c>
    </x:row>
    <x:row r="571">
      <x:c r="A571" s="7" t="n">
        <x:v>567</x:v>
      </x:c>
      <x:c r="B571" s="7" t="str">
        <x:v>Tata</x:v>
      </x:c>
      <x:c r="C571" s="7" t="str">
        <x:v>Tiago</x:v>
      </x:c>
      <x:c r="D571" s="7" t="str">
        <x:v>XTA</x:v>
      </x:c>
      <x:c r="E571" s="7" t="str">
        <x:v>Petrol</x:v>
      </x:c>
      <x:c r="F571" s="7" t="str">
        <x:v>Automatic</x:v>
      </x:c>
      <x:c r="G571" s="7" t="str">
        <x:v>Hatchback</x:v>
      </x:c>
      <x:c r="H571" s="7" t="n">
        <x:v>1199</x:v>
      </x:c>
      <x:c r="I571" s="7" t="n">
        <x:v>85</x:v>
      </x:c>
      <x:c r="J571" s="9" t="n">
        <x:v>19</x:v>
      </x:c>
      <x:c r="K571" s="9" t="n">
        <x:v>7.2</x:v>
      </x:c>
      <x:c r="L571" s="7" t="n">
        <x:v>2026</x:v>
      </x:c>
      <x:c r="M571" s="11" t="n">
        <x:v>8959</x:v>
      </x:c>
      <x:c r="N571" s="7" t="n">
        <x:v>2</x:v>
      </x:c>
      <x:c r="O571" s="7" t="n">
        <x:v>0</x:v>
      </x:c>
      <x:c r="P571" s="9" t="n">
        <x:v>6.66</x:v>
      </x:c>
      <x:c r="Q571" s="7" t="n">
        <x:f>'Guide'!$B$5-L571</x:f>
        <x:v>0</x:v>
      </x:c>
      <x:c r="R571" s="9" t="n">
        <x:f>K571-P571</x:f>
        <x:v>0.54</x:v>
      </x:c>
      <x:c r="S571" s="10" t="n">
        <x:f>IF(K571&gt;0,R571/K571,"")</x:f>
        <x:v>0.075</x:v>
      </x:c>
    </x:row>
    <x:row r="572">
      <x:c r="A572" s="7" t="n">
        <x:v>568</x:v>
      </x:c>
      <x:c r="B572" s="7" t="str">
        <x:v>Tata</x:v>
      </x:c>
      <x:c r="C572" s="7" t="str">
        <x:v>Tiago</x:v>
      </x:c>
      <x:c r="D572" s="7" t="str">
        <x:v>XTA</x:v>
      </x:c>
      <x:c r="E572" s="7" t="str">
        <x:v>Petrol</x:v>
      </x:c>
      <x:c r="F572" s="7" t="str">
        <x:v>Automatic</x:v>
      </x:c>
      <x:c r="G572" s="7" t="str">
        <x:v>Hatchback</x:v>
      </x:c>
      <x:c r="H572" s="7" t="n">
        <x:v>1199</x:v>
      </x:c>
      <x:c r="I572" s="7" t="n">
        <x:v>85</x:v>
      </x:c>
      <x:c r="J572" s="9" t="n">
        <x:v>19</x:v>
      </x:c>
      <x:c r="K572" s="9" t="n">
        <x:v>7.2</x:v>
      </x:c>
      <x:c r="L572" s="7" t="n">
        <x:v>2025</x:v>
      </x:c>
      <x:c r="M572" s="11" t="n">
        <x:v>13359</x:v>
      </x:c>
      <x:c r="N572" s="7" t="n">
        <x:v>2</x:v>
      </x:c>
      <x:c r="O572" s="7" t="n">
        <x:v>0</x:v>
      </x:c>
      <x:c r="P572" s="9" t="n">
        <x:v>5.98</x:v>
      </x:c>
      <x:c r="Q572" s="7" t="n">
        <x:f>'Guide'!$B$5-L572</x:f>
        <x:v>1</x:v>
      </x:c>
      <x:c r="R572" s="9" t="n">
        <x:f>K572-P572</x:f>
        <x:v>1.2199999999999998</x:v>
      </x:c>
      <x:c r="S572" s="10" t="n">
        <x:f>IF(K572&gt;0,R572/K572,"")</x:f>
        <x:v>0.1694444444444444</x:v>
      </x:c>
    </x:row>
    <x:row r="573">
      <x:c r="A573" s="7" t="n">
        <x:v>569</x:v>
      </x:c>
      <x:c r="B573" s="7" t="str">
        <x:v>Tata</x:v>
      </x:c>
      <x:c r="C573" s="7" t="str">
        <x:v>Tiago</x:v>
      </x:c>
      <x:c r="D573" s="7" t="str">
        <x:v>XTA</x:v>
      </x:c>
      <x:c r="E573" s="7" t="str">
        <x:v>Petrol</x:v>
      </x:c>
      <x:c r="F573" s="7" t="str">
        <x:v>Automatic</x:v>
      </x:c>
      <x:c r="G573" s="7" t="str">
        <x:v>Hatchback</x:v>
      </x:c>
      <x:c r="H573" s="7" t="n">
        <x:v>1199</x:v>
      </x:c>
      <x:c r="I573" s="7" t="n">
        <x:v>85</x:v>
      </x:c>
      <x:c r="J573" s="9" t="n">
        <x:v>19</x:v>
      </x:c>
      <x:c r="K573" s="9" t="n">
        <x:v>7.2</x:v>
      </x:c>
      <x:c r="L573" s="7" t="n">
        <x:v>2026</x:v>
      </x:c>
      <x:c r="M573" s="11" t="n">
        <x:v>5671</x:v>
      </x:c>
      <x:c r="N573" s="7" t="n">
        <x:v>1</x:v>
      </x:c>
      <x:c r="O573" s="7" t="n">
        <x:v>0</x:v>
      </x:c>
      <x:c r="P573" s="9" t="n">
        <x:v>7.1</x:v>
      </x:c>
      <x:c r="Q573" s="7" t="n">
        <x:f>'Guide'!$B$5-L573</x:f>
        <x:v>0</x:v>
      </x:c>
      <x:c r="R573" s="9" t="n">
        <x:f>K573-P573</x:f>
        <x:v>0.10000000000000053</x:v>
      </x:c>
      <x:c r="S573" s="10" t="n">
        <x:f>IF(K573&gt;0,R573/K573,"")</x:f>
        <x:v>0.013888888888888963</x:v>
      </x:c>
    </x:row>
    <x:row r="574">
      <x:c r="A574" s="7" t="n">
        <x:v>570</x:v>
      </x:c>
      <x:c r="B574" s="7" t="str">
        <x:v>Tata</x:v>
      </x:c>
      <x:c r="C574" s="7" t="str">
        <x:v>Tiago</x:v>
      </x:c>
      <x:c r="D574" s="7" t="str">
        <x:v>XTA</x:v>
      </x:c>
      <x:c r="E574" s="7" t="str">
        <x:v>Petrol</x:v>
      </x:c>
      <x:c r="F574" s="7" t="str">
        <x:v>Automatic</x:v>
      </x:c>
      <x:c r="G574" s="7" t="str">
        <x:v>Hatchback</x:v>
      </x:c>
      <x:c r="H574" s="7" t="n">
        <x:v>1199</x:v>
      </x:c>
      <x:c r="I574" s="7" t="n">
        <x:v>85</x:v>
      </x:c>
      <x:c r="J574" s="9" t="n">
        <x:v>19</x:v>
      </x:c>
      <x:c r="K574" s="9" t="n">
        <x:v>7.2</x:v>
      </x:c>
      <x:c r="L574" s="7" t="n">
        <x:v>2021</x:v>
      </x:c>
      <x:c r="M574" s="11" t="n">
        <x:v>88506</x:v>
      </x:c>
      <x:c r="N574" s="7" t="n">
        <x:v>2</x:v>
      </x:c>
      <x:c r="O574" s="7" t="n">
        <x:v>0</x:v>
      </x:c>
      <x:c r="P574" s="9" t="n">
        <x:v>3.11</x:v>
      </x:c>
      <x:c r="Q574" s="7" t="n">
        <x:f>'Guide'!$B$5-L574</x:f>
        <x:v>5</x:v>
      </x:c>
      <x:c r="R574" s="9" t="n">
        <x:f>K574-P574</x:f>
        <x:v>4.09</x:v>
      </x:c>
      <x:c r="S574" s="10" t="n">
        <x:f>IF(K574&gt;0,R574/K574,"")</x:f>
        <x:v>0.5680555555555555</x:v>
      </x:c>
    </x:row>
    <x:row r="575">
      <x:c r="A575" s="7" t="n">
        <x:v>571</x:v>
      </x:c>
      <x:c r="B575" s="7" t="str">
        <x:v>Tata</x:v>
      </x:c>
      <x:c r="C575" s="7" t="str">
        <x:v>Tiago</x:v>
      </x:c>
      <x:c r="D575" s="7" t="str">
        <x:v>XTA</x:v>
      </x:c>
      <x:c r="E575" s="7" t="str">
        <x:v>Petrol</x:v>
      </x:c>
      <x:c r="F575" s="7" t="str">
        <x:v>Automatic</x:v>
      </x:c>
      <x:c r="G575" s="7" t="str">
        <x:v>Hatchback</x:v>
      </x:c>
      <x:c r="H575" s="7" t="n">
        <x:v>1199</x:v>
      </x:c>
      <x:c r="I575" s="7" t="n">
        <x:v>85</x:v>
      </x:c>
      <x:c r="J575" s="9" t="n">
        <x:v>19</x:v>
      </x:c>
      <x:c r="K575" s="9" t="n">
        <x:v>7.2</x:v>
      </x:c>
      <x:c r="L575" s="7" t="n">
        <x:v>2020</x:v>
      </x:c>
      <x:c r="M575" s="11" t="n">
        <x:v>92913</x:v>
      </x:c>
      <x:c r="N575" s="7" t="n">
        <x:v>1</x:v>
      </x:c>
      <x:c r="O575" s="7" t="n">
        <x:v>0</x:v>
      </x:c>
      <x:c r="P575" s="9" t="n">
        <x:v>3.16</x:v>
      </x:c>
      <x:c r="Q575" s="7" t="n">
        <x:f>'Guide'!$B$5-L575</x:f>
        <x:v>6</x:v>
      </x:c>
      <x:c r="R575" s="9" t="n">
        <x:f>K575-P575</x:f>
        <x:v>4.04</x:v>
      </x:c>
      <x:c r="S575" s="10" t="n">
        <x:f>IF(K575&gt;0,R575/K575,"")</x:f>
        <x:v>0.5611111111111111</x:v>
      </x:c>
    </x:row>
    <x:row r="576">
      <x:c r="A576" s="7" t="n">
        <x:v>572</x:v>
      </x:c>
      <x:c r="B576" s="7" t="str">
        <x:v>Tata</x:v>
      </x:c>
      <x:c r="C576" s="7" t="str">
        <x:v>Tiago</x:v>
      </x:c>
      <x:c r="D576" s="7" t="str">
        <x:v>XTA</x:v>
      </x:c>
      <x:c r="E576" s="7" t="str">
        <x:v>Petrol</x:v>
      </x:c>
      <x:c r="F576" s="7" t="str">
        <x:v>Automatic</x:v>
      </x:c>
      <x:c r="G576" s="7" t="str">
        <x:v>Hatchback</x:v>
      </x:c>
      <x:c r="H576" s="7" t="n">
        <x:v>1199</x:v>
      </x:c>
      <x:c r="I576" s="7" t="n">
        <x:v>85</x:v>
      </x:c>
      <x:c r="J576" s="9" t="n">
        <x:v>19</x:v>
      </x:c>
      <x:c r="K576" s="9" t="n">
        <x:v>7.2</x:v>
      </x:c>
      <x:c r="L576" s="7" t="n">
        <x:v>2024</x:v>
      </x:c>
      <x:c r="M576" s="11" t="n">
        <x:v>37444</x:v>
      </x:c>
      <x:c r="N576" s="7" t="n">
        <x:v>1</x:v>
      </x:c>
      <x:c r="O576" s="7" t="n">
        <x:v>0</x:v>
      </x:c>
      <x:c r="P576" s="9" t="n">
        <x:v>6.08</x:v>
      </x:c>
      <x:c r="Q576" s="7" t="n">
        <x:f>'Guide'!$B$5-L576</x:f>
        <x:v>2</x:v>
      </x:c>
      <x:c r="R576" s="9" t="n">
        <x:f>K576-P576</x:f>
        <x:v>1.12</x:v>
      </x:c>
      <x:c r="S576" s="10" t="n">
        <x:f>IF(K576&gt;0,R576/K576,"")</x:f>
        <x:v>0.15555555555555556</x:v>
      </x:c>
    </x:row>
    <x:row r="577">
      <x:c r="A577" s="7" t="n">
        <x:v>573</x:v>
      </x:c>
      <x:c r="B577" s="7" t="str">
        <x:v>Tata</x:v>
      </x:c>
      <x:c r="C577" s="7" t="str">
        <x:v>Tiago</x:v>
      </x:c>
      <x:c r="D577" s="7" t="str">
        <x:v>XTA</x:v>
      </x:c>
      <x:c r="E577" s="7" t="str">
        <x:v>Petrol</x:v>
      </x:c>
      <x:c r="F577" s="7" t="str">
        <x:v>Automatic</x:v>
      </x:c>
      <x:c r="G577" s="7" t="str">
        <x:v>Hatchback</x:v>
      </x:c>
      <x:c r="H577" s="7" t="n">
        <x:v>1199</x:v>
      </x:c>
      <x:c r="I577" s="7" t="n">
        <x:v>85</x:v>
      </x:c>
      <x:c r="J577" s="9" t="n">
        <x:v>19</x:v>
      </x:c>
      <x:c r="K577" s="9" t="n">
        <x:v>7.2</x:v>
      </x:c>
      <x:c r="L577" s="7" t="n">
        <x:v>2021</x:v>
      </x:c>
      <x:c r="M577" s="11" t="n">
        <x:v>49166</x:v>
      </x:c>
      <x:c r="N577" s="7" t="n">
        <x:v>1</x:v>
      </x:c>
      <x:c r="O577" s="7" t="n">
        <x:v>0</x:v>
      </x:c>
      <x:c r="P577" s="9" t="n">
        <x:v>3.51</x:v>
      </x:c>
      <x:c r="Q577" s="7" t="n">
        <x:f>'Guide'!$B$5-L577</x:f>
        <x:v>5</x:v>
      </x:c>
      <x:c r="R577" s="9" t="n">
        <x:f>K577-P577</x:f>
        <x:v>3.6900000000000004</x:v>
      </x:c>
      <x:c r="S577" s="10" t="n">
        <x:f>IF(K577&gt;0,R577/K577,"")</x:f>
        <x:v>0.5125000000000001</x:v>
      </x:c>
    </x:row>
    <x:row r="578">
      <x:c r="A578" s="7" t="n">
        <x:v>574</x:v>
      </x:c>
      <x:c r="B578" s="7" t="str">
        <x:v>Tata</x:v>
      </x:c>
      <x:c r="C578" s="7" t="str">
        <x:v>Tiago</x:v>
      </x:c>
      <x:c r="D578" s="7" t="str">
        <x:v>XTA</x:v>
      </x:c>
      <x:c r="E578" s="7" t="str">
        <x:v>Petrol</x:v>
      </x:c>
      <x:c r="F578" s="7" t="str">
        <x:v>Automatic</x:v>
      </x:c>
      <x:c r="G578" s="7" t="str">
        <x:v>Hatchback</x:v>
      </x:c>
      <x:c r="H578" s="7" t="n">
        <x:v>1199</x:v>
      </x:c>
      <x:c r="I578" s="7" t="n">
        <x:v>85</x:v>
      </x:c>
      <x:c r="J578" s="9" t="n">
        <x:v>19</x:v>
      </x:c>
      <x:c r="K578" s="9" t="n">
        <x:v>7.2</x:v>
      </x:c>
      <x:c r="L578" s="7" t="n">
        <x:v>2021</x:v>
      </x:c>
      <x:c r="M578" s="11" t="n">
        <x:v>83939</x:v>
      </x:c>
      <x:c r="N578" s="7" t="n">
        <x:v>1</x:v>
      </x:c>
      <x:c r="O578" s="7" t="n">
        <x:v>0</x:v>
      </x:c>
      <x:c r="P578" s="9" t="n">
        <x:v>3.64</x:v>
      </x:c>
      <x:c r="Q578" s="7" t="n">
        <x:f>'Guide'!$B$5-L578</x:f>
        <x:v>5</x:v>
      </x:c>
      <x:c r="R578" s="9" t="n">
        <x:f>K578-P578</x:f>
        <x:v>3.56</x:v>
      </x:c>
      <x:c r="S578" s="10" t="n">
        <x:f>IF(K578&gt;0,R578/K578,"")</x:f>
        <x:v>0.49444444444444446</x:v>
      </x:c>
    </x:row>
    <x:row r="579">
      <x:c r="A579" s="7" t="n">
        <x:v>575</x:v>
      </x:c>
      <x:c r="B579" s="7" t="str">
        <x:v>Tata</x:v>
      </x:c>
      <x:c r="C579" s="7" t="str">
        <x:v>Tiago</x:v>
      </x:c>
      <x:c r="D579" s="7" t="str">
        <x:v>XTA</x:v>
      </x:c>
      <x:c r="E579" s="7" t="str">
        <x:v>Petrol</x:v>
      </x:c>
      <x:c r="F579" s="7" t="str">
        <x:v>Automatic</x:v>
      </x:c>
      <x:c r="G579" s="7" t="str">
        <x:v>Hatchback</x:v>
      </x:c>
      <x:c r="H579" s="7" t="n">
        <x:v>1199</x:v>
      </x:c>
      <x:c r="I579" s="7" t="n">
        <x:v>85</x:v>
      </x:c>
      <x:c r="J579" s="9" t="n">
        <x:v>19</x:v>
      </x:c>
      <x:c r="K579" s="9" t="n">
        <x:v>7.2</x:v>
      </x:c>
      <x:c r="L579" s="7" t="n">
        <x:v>2020</x:v>
      </x:c>
      <x:c r="M579" s="11" t="n">
        <x:v>86522</x:v>
      </x:c>
      <x:c r="N579" s="7" t="n">
        <x:v>1</x:v>
      </x:c>
      <x:c r="O579" s="7" t="n">
        <x:v>0</x:v>
      </x:c>
      <x:c r="P579" s="9" t="n">
        <x:v>2.73</x:v>
      </x:c>
      <x:c r="Q579" s="7" t="n">
        <x:f>'Guide'!$B$5-L579</x:f>
        <x:v>6</x:v>
      </x:c>
      <x:c r="R579" s="9" t="n">
        <x:f>K579-P579</x:f>
        <x:v>4.470000000000001</x:v>
      </x:c>
      <x:c r="S579" s="10" t="n">
        <x:f>IF(K579&gt;0,R579/K579,"")</x:f>
        <x:v>0.6208333333333335</x:v>
      </x:c>
    </x:row>
    <x:row r="580">
      <x:c r="A580" s="7" t="n">
        <x:v>576</x:v>
      </x:c>
      <x:c r="B580" s="7" t="str">
        <x:v>Tata</x:v>
      </x:c>
      <x:c r="C580" s="7" t="str">
        <x:v>Tiago</x:v>
      </x:c>
      <x:c r="D580" s="7" t="str">
        <x:v>XTA</x:v>
      </x:c>
      <x:c r="E580" s="7" t="str">
        <x:v>Petrol</x:v>
      </x:c>
      <x:c r="F580" s="7" t="str">
        <x:v>Automatic</x:v>
      </x:c>
      <x:c r="G580" s="7" t="str">
        <x:v>Hatchback</x:v>
      </x:c>
      <x:c r="H580" s="7" t="n">
        <x:v>1199</x:v>
      </x:c>
      <x:c r="I580" s="7" t="n">
        <x:v>85</x:v>
      </x:c>
      <x:c r="J580" s="9" t="n">
        <x:v>19</x:v>
      </x:c>
      <x:c r="K580" s="9" t="n">
        <x:v>7.2</x:v>
      </x:c>
      <x:c r="L580" s="7" t="n">
        <x:v>2023</x:v>
      </x:c>
      <x:c r="M580" s="11" t="n">
        <x:v>32825</x:v>
      </x:c>
      <x:c r="N580" s="7" t="n">
        <x:v>2</x:v>
      </x:c>
      <x:c r="O580" s="7" t="n">
        <x:v>0</x:v>
      </x:c>
      <x:c r="P580" s="9" t="n">
        <x:v>5.1</x:v>
      </x:c>
      <x:c r="Q580" s="7" t="n">
        <x:f>'Guide'!$B$5-L580</x:f>
        <x:v>3</x:v>
      </x:c>
      <x:c r="R580" s="9" t="n">
        <x:f>K580-P580</x:f>
        <x:v>2.1000000000000005</x:v>
      </x:c>
      <x:c r="S580" s="10" t="n">
        <x:f>IF(K580&gt;0,R580/K580,"")</x:f>
        <x:v>0.29166666666666674</x:v>
      </x:c>
    </x:row>
    <x:row r="581">
      <x:c r="A581" s="7" t="n">
        <x:v>577</x:v>
      </x:c>
      <x:c r="B581" s="7" t="str">
        <x:v>Tata</x:v>
      </x:c>
      <x:c r="C581" s="7" t="str">
        <x:v>Tiago</x:v>
      </x:c>
      <x:c r="D581" s="7" t="str">
        <x:v>XTA</x:v>
      </x:c>
      <x:c r="E581" s="7" t="str">
        <x:v>Petrol</x:v>
      </x:c>
      <x:c r="F581" s="7" t="str">
        <x:v>Automatic</x:v>
      </x:c>
      <x:c r="G581" s="7" t="str">
        <x:v>Hatchback</x:v>
      </x:c>
      <x:c r="H581" s="7" t="n">
        <x:v>1199</x:v>
      </x:c>
      <x:c r="I581" s="7" t="n">
        <x:v>85</x:v>
      </x:c>
      <x:c r="J581" s="9" t="n">
        <x:v>19</x:v>
      </x:c>
      <x:c r="K581" s="9" t="n">
        <x:v>7.2</x:v>
      </x:c>
      <x:c r="L581" s="7" t="n">
        <x:v>2024</x:v>
      </x:c>
      <x:c r="M581" s="11" t="n">
        <x:v>31636</x:v>
      </x:c>
      <x:c r="N581" s="7" t="n">
        <x:v>1</x:v>
      </x:c>
      <x:c r="O581" s="7" t="n">
        <x:v>1</x:v>
      </x:c>
      <x:c r="P581" s="9" t="n">
        <x:v>4.71</x:v>
      </x:c>
      <x:c r="Q581" s="7" t="n">
        <x:f>'Guide'!$B$5-L581</x:f>
        <x:v>2</x:v>
      </x:c>
      <x:c r="R581" s="9" t="n">
        <x:f>K581-P581</x:f>
        <x:v>2.49</x:v>
      </x:c>
      <x:c r="S581" s="10" t="n">
        <x:f>IF(K581&gt;0,R581/K581,"")</x:f>
        <x:v>0.3458333333333334</x:v>
      </x:c>
    </x:row>
    <x:row r="582">
      <x:c r="A582" s="7" t="n">
        <x:v>578</x:v>
      </x:c>
      <x:c r="B582" s="7" t="str">
        <x:v>Tata</x:v>
      </x:c>
      <x:c r="C582" s="7" t="str">
        <x:v>Tiago</x:v>
      </x:c>
      <x:c r="D582" s="7" t="str">
        <x:v>XTA</x:v>
      </x:c>
      <x:c r="E582" s="7" t="str">
        <x:v>Petrol</x:v>
      </x:c>
      <x:c r="F582" s="7" t="str">
        <x:v>Automatic</x:v>
      </x:c>
      <x:c r="G582" s="7" t="str">
        <x:v>Hatchback</x:v>
      </x:c>
      <x:c r="H582" s="7" t="n">
        <x:v>1199</x:v>
      </x:c>
      <x:c r="I582" s="7" t="n">
        <x:v>85</x:v>
      </x:c>
      <x:c r="J582" s="9" t="n">
        <x:v>19</x:v>
      </x:c>
      <x:c r="K582" s="9" t="n">
        <x:v>7.2</x:v>
      </x:c>
      <x:c r="L582" s="7" t="n">
        <x:v>2020</x:v>
      </x:c>
      <x:c r="M582" s="11" t="n">
        <x:v>117707</x:v>
      </x:c>
      <x:c r="N582" s="7" t="n">
        <x:v>1</x:v>
      </x:c>
      <x:c r="O582" s="7" t="n">
        <x:v>0</x:v>
      </x:c>
      <x:c r="P582" s="9" t="n">
        <x:v>2.44</x:v>
      </x:c>
      <x:c r="Q582" s="7" t="n">
        <x:f>'Guide'!$B$5-L582</x:f>
        <x:v>6</x:v>
      </x:c>
      <x:c r="R582" s="9" t="n">
        <x:f>K582-P582</x:f>
        <x:v>4.76</x:v>
      </x:c>
      <x:c r="S582" s="10" t="n">
        <x:f>IF(K582&gt;0,R582/K582,"")</x:f>
        <x:v>0.6611111111111111</x:v>
      </x:c>
    </x:row>
    <x:row r="583">
      <x:c r="A583" s="7" t="n">
        <x:v>579</x:v>
      </x:c>
      <x:c r="B583" s="7" t="str">
        <x:v>Tata</x:v>
      </x:c>
      <x:c r="C583" s="7" t="str">
        <x:v>Tiago</x:v>
      </x:c>
      <x:c r="D583" s="7" t="str">
        <x:v>XTA</x:v>
      </x:c>
      <x:c r="E583" s="7" t="str">
        <x:v>Petrol</x:v>
      </x:c>
      <x:c r="F583" s="7" t="str">
        <x:v>Automatic</x:v>
      </x:c>
      <x:c r="G583" s="7" t="str">
        <x:v>Hatchback</x:v>
      </x:c>
      <x:c r="H583" s="7" t="n">
        <x:v>1199</x:v>
      </x:c>
      <x:c r="I583" s="7" t="n">
        <x:v>85</x:v>
      </x:c>
      <x:c r="J583" s="9" t="n">
        <x:v>19</x:v>
      </x:c>
      <x:c r="K583" s="9" t="n">
        <x:v>7.2</x:v>
      </x:c>
      <x:c r="L583" s="7" t="n">
        <x:v>2021</x:v>
      </x:c>
      <x:c r="M583" s="11" t="n">
        <x:v>76424</x:v>
      </x:c>
      <x:c r="N583" s="7" t="n">
        <x:v>1</x:v>
      </x:c>
      <x:c r="O583" s="7" t="n">
        <x:v>0</x:v>
      </x:c>
      <x:c r="P583" s="9" t="n">
        <x:v>3.29</x:v>
      </x:c>
      <x:c r="Q583" s="7" t="n">
        <x:f>'Guide'!$B$5-L583</x:f>
        <x:v>5</x:v>
      </x:c>
      <x:c r="R583" s="9" t="n">
        <x:f>K583-P583</x:f>
        <x:v>3.91</x:v>
      </x:c>
      <x:c r="S583" s="10" t="n">
        <x:f>IF(K583&gt;0,R583/K583,"")</x:f>
        <x:v>0.5430555555555555</x:v>
      </x:c>
    </x:row>
    <x:row r="584">
      <x:c r="A584" s="7" t="n">
        <x:v>580</x:v>
      </x:c>
      <x:c r="B584" s="7" t="str">
        <x:v>Tata</x:v>
      </x:c>
      <x:c r="C584" s="7" t="str">
        <x:v>Tiago</x:v>
      </x:c>
      <x:c r="D584" s="7" t="str">
        <x:v>XTA</x:v>
      </x:c>
      <x:c r="E584" s="7" t="str">
        <x:v>Petrol</x:v>
      </x:c>
      <x:c r="F584" s="7" t="str">
        <x:v>Automatic</x:v>
      </x:c>
      <x:c r="G584" s="7" t="str">
        <x:v>Hatchback</x:v>
      </x:c>
      <x:c r="H584" s="7" t="n">
        <x:v>1199</x:v>
      </x:c>
      <x:c r="I584" s="7" t="n">
        <x:v>85</x:v>
      </x:c>
      <x:c r="J584" s="9" t="n">
        <x:v>19</x:v>
      </x:c>
      <x:c r="K584" s="9" t="n">
        <x:v>7.2</x:v>
      </x:c>
      <x:c r="L584" s="7" t="n">
        <x:v>2023</x:v>
      </x:c>
      <x:c r="M584" s="11" t="n">
        <x:v>56492</x:v>
      </x:c>
      <x:c r="N584" s="7" t="n">
        <x:v>2</x:v>
      </x:c>
      <x:c r="O584" s="7" t="n">
        <x:v>0</x:v>
      </x:c>
      <x:c r="P584" s="9" t="n">
        <x:v>4.35</x:v>
      </x:c>
      <x:c r="Q584" s="7" t="n">
        <x:f>'Guide'!$B$5-L584</x:f>
        <x:v>3</x:v>
      </x:c>
      <x:c r="R584" s="9" t="n">
        <x:f>K584-P584</x:f>
        <x:v>2.8500000000000005</x:v>
      </x:c>
      <x:c r="S584" s="10" t="n">
        <x:f>IF(K584&gt;0,R584/K584,"")</x:f>
        <x:v>0.39583333333333337</x:v>
      </x:c>
    </x:row>
    <x:row r="585">
      <x:c r="A585" s="7" t="n">
        <x:v>581</x:v>
      </x:c>
      <x:c r="B585" s="7" t="str">
        <x:v>Tata</x:v>
      </x:c>
      <x:c r="C585" s="7" t="str">
        <x:v>Tiago</x:v>
      </x:c>
      <x:c r="D585" s="7" t="str">
        <x:v>XTA</x:v>
      </x:c>
      <x:c r="E585" s="7" t="str">
        <x:v>Petrol</x:v>
      </x:c>
      <x:c r="F585" s="7" t="str">
        <x:v>Automatic</x:v>
      </x:c>
      <x:c r="G585" s="7" t="str">
        <x:v>Hatchback</x:v>
      </x:c>
      <x:c r="H585" s="7" t="n">
        <x:v>1199</x:v>
      </x:c>
      <x:c r="I585" s="7" t="n">
        <x:v>85</x:v>
      </x:c>
      <x:c r="J585" s="9" t="n">
        <x:v>19</x:v>
      </x:c>
      <x:c r="K585" s="9" t="n">
        <x:v>7.2</x:v>
      </x:c>
      <x:c r="L585" s="7" t="n">
        <x:v>2024</x:v>
      </x:c>
      <x:c r="M585" s="11" t="n">
        <x:v>37190</x:v>
      </x:c>
      <x:c r="N585" s="7" t="n">
        <x:v>2</x:v>
      </x:c>
      <x:c r="O585" s="7" t="n">
        <x:v>0</x:v>
      </x:c>
      <x:c r="P585" s="9" t="n">
        <x:v>5.05</x:v>
      </x:c>
      <x:c r="Q585" s="7" t="n">
        <x:f>'Guide'!$B$5-L585</x:f>
        <x:v>2</x:v>
      </x:c>
      <x:c r="R585" s="9" t="n">
        <x:f>K585-P585</x:f>
        <x:v>2.1500000000000004</x:v>
      </x:c>
      <x:c r="S585" s="10" t="n">
        <x:f>IF(K585&gt;0,R585/K585,"")</x:f>
        <x:v>0.29861111111111116</x:v>
      </x:c>
    </x:row>
    <x:row r="586">
      <x:c r="A586" s="7" t="n">
        <x:v>582</x:v>
      </x:c>
      <x:c r="B586" s="7" t="str">
        <x:v>Tata</x:v>
      </x:c>
      <x:c r="C586" s="7" t="str">
        <x:v>Tiago</x:v>
      </x:c>
      <x:c r="D586" s="7" t="str">
        <x:v>XTA</x:v>
      </x:c>
      <x:c r="E586" s="7" t="str">
        <x:v>Petrol</x:v>
      </x:c>
      <x:c r="F586" s="7" t="str">
        <x:v>Automatic</x:v>
      </x:c>
      <x:c r="G586" s="7" t="str">
        <x:v>Hatchback</x:v>
      </x:c>
      <x:c r="H586" s="7" t="n">
        <x:v>1199</x:v>
      </x:c>
      <x:c r="I586" s="7" t="n">
        <x:v>85</x:v>
      </x:c>
      <x:c r="J586" s="9" t="n">
        <x:v>19</x:v>
      </x:c>
      <x:c r="K586" s="9" t="n">
        <x:v>7.2</x:v>
      </x:c>
      <x:c r="L586" s="7" t="n">
        <x:v>2022</x:v>
      </x:c>
      <x:c r="M586" s="11" t="n">
        <x:v>38021</x:v>
      </x:c>
      <x:c r="N586" s="7" t="n">
        <x:v>1</x:v>
      </x:c>
      <x:c r="O586" s="7" t="n">
        <x:v>0</x:v>
      </x:c>
      <x:c r="P586" s="9" t="n">
        <x:v>4.46</x:v>
      </x:c>
      <x:c r="Q586" s="7" t="n">
        <x:f>'Guide'!$B$5-L586</x:f>
        <x:v>4</x:v>
      </x:c>
      <x:c r="R586" s="9" t="n">
        <x:f>K586-P586</x:f>
        <x:v>2.74</x:v>
      </x:c>
      <x:c r="S586" s="10" t="n">
        <x:f>IF(K586&gt;0,R586/K586,"")</x:f>
        <x:v>0.3805555555555556</x:v>
      </x:c>
    </x:row>
    <x:row r="587">
      <x:c r="A587" s="7" t="n">
        <x:v>583</x:v>
      </x:c>
      <x:c r="B587" s="7" t="str">
        <x:v>Tata</x:v>
      </x:c>
      <x:c r="C587" s="7" t="str">
        <x:v>Tiago</x:v>
      </x:c>
      <x:c r="D587" s="7" t="str">
        <x:v>XTA</x:v>
      </x:c>
      <x:c r="E587" s="7" t="str">
        <x:v>Petrol</x:v>
      </x:c>
      <x:c r="F587" s="7" t="str">
        <x:v>Automatic</x:v>
      </x:c>
      <x:c r="G587" s="7" t="str">
        <x:v>Hatchback</x:v>
      </x:c>
      <x:c r="H587" s="7" t="n">
        <x:v>1199</x:v>
      </x:c>
      <x:c r="I587" s="7" t="n">
        <x:v>85</x:v>
      </x:c>
      <x:c r="J587" s="9" t="n">
        <x:v>19</x:v>
      </x:c>
      <x:c r="K587" s="9" t="n">
        <x:v>7.2</x:v>
      </x:c>
      <x:c r="L587" s="7" t="n">
        <x:v>2024</x:v>
      </x:c>
      <x:c r="M587" s="11" t="n">
        <x:v>34042</x:v>
      </x:c>
      <x:c r="N587" s="7" t="n">
        <x:v>1</x:v>
      </x:c>
      <x:c r="O587" s="7" t="n">
        <x:v>0</x:v>
      </x:c>
      <x:c r="P587" s="9" t="n">
        <x:v>6.07</x:v>
      </x:c>
      <x:c r="Q587" s="7" t="n">
        <x:f>'Guide'!$B$5-L587</x:f>
        <x:v>2</x:v>
      </x:c>
      <x:c r="R587" s="9" t="n">
        <x:f>K587-P587</x:f>
        <x:v>1.13</x:v>
      </x:c>
      <x:c r="S587" s="10" t="n">
        <x:f>IF(K587&gt;0,R587/K587,"")</x:f>
        <x:v>0.15694444444444441</x:v>
      </x:c>
    </x:row>
    <x:row r="588">
      <x:c r="A588" s="7" t="n">
        <x:v>584</x:v>
      </x:c>
      <x:c r="B588" s="7" t="str">
        <x:v>Tata</x:v>
      </x:c>
      <x:c r="C588" s="7" t="str">
        <x:v>Tiago</x:v>
      </x:c>
      <x:c r="D588" s="7" t="str">
        <x:v>XTA</x:v>
      </x:c>
      <x:c r="E588" s="7" t="str">
        <x:v>Petrol</x:v>
      </x:c>
      <x:c r="F588" s="7" t="str">
        <x:v>Automatic</x:v>
      </x:c>
      <x:c r="G588" s="7" t="str">
        <x:v>Hatchback</x:v>
      </x:c>
      <x:c r="H588" s="7" t="n">
        <x:v>1199</x:v>
      </x:c>
      <x:c r="I588" s="7" t="n">
        <x:v>85</x:v>
      </x:c>
      <x:c r="J588" s="9" t="n">
        <x:v>19</x:v>
      </x:c>
      <x:c r="K588" s="9" t="n">
        <x:v>7.2</x:v>
      </x:c>
      <x:c r="L588" s="7" t="n">
        <x:v>2024</x:v>
      </x:c>
      <x:c r="M588" s="11" t="n">
        <x:v>48389</x:v>
      </x:c>
      <x:c r="N588" s="7" t="n">
        <x:v>1</x:v>
      </x:c>
      <x:c r="O588" s="7" t="n">
        <x:v>0</x:v>
      </x:c>
      <x:c r="P588" s="9" t="n">
        <x:v>5.97</x:v>
      </x:c>
      <x:c r="Q588" s="7" t="n">
        <x:f>'Guide'!$B$5-L588</x:f>
        <x:v>2</x:v>
      </x:c>
      <x:c r="R588" s="9" t="n">
        <x:f>K588-P588</x:f>
        <x:v>1.2300000000000004</x:v>
      </x:c>
      <x:c r="S588" s="10" t="n">
        <x:f>IF(K588&gt;0,R588/K588,"")</x:f>
        <x:v>0.1708333333333334</x:v>
      </x:c>
    </x:row>
    <x:row r="589">
      <x:c r="A589" s="7" t="n">
        <x:v>585</x:v>
      </x:c>
      <x:c r="B589" s="7" t="str">
        <x:v>Tata</x:v>
      </x:c>
      <x:c r="C589" s="7" t="str">
        <x:v>Tiago</x:v>
      </x:c>
      <x:c r="D589" s="7" t="str">
        <x:v>XTA</x:v>
      </x:c>
      <x:c r="E589" s="7" t="str">
        <x:v>Petrol</x:v>
      </x:c>
      <x:c r="F589" s="7" t="str">
        <x:v>Automatic</x:v>
      </x:c>
      <x:c r="G589" s="7" t="str">
        <x:v>Hatchback</x:v>
      </x:c>
      <x:c r="H589" s="7" t="n">
        <x:v>1199</x:v>
      </x:c>
      <x:c r="I589" s="7" t="n">
        <x:v>85</x:v>
      </x:c>
      <x:c r="J589" s="9" t="n">
        <x:v>19</x:v>
      </x:c>
      <x:c r="K589" s="9" t="n">
        <x:v>7.2</x:v>
      </x:c>
      <x:c r="L589" s="7" t="n">
        <x:v>2021</x:v>
      </x:c>
      <x:c r="M589" s="11" t="n">
        <x:v>81121</x:v>
      </x:c>
      <x:c r="N589" s="7" t="n">
        <x:v>1</x:v>
      </x:c>
      <x:c r="O589" s="7" t="n">
        <x:v>0</x:v>
      </x:c>
      <x:c r="P589" s="9" t="n">
        <x:v>3.98</x:v>
      </x:c>
      <x:c r="Q589" s="7" t="n">
        <x:f>'Guide'!$B$5-L589</x:f>
        <x:v>5</x:v>
      </x:c>
      <x:c r="R589" s="9" t="n">
        <x:f>K589-P589</x:f>
        <x:v>3.22</x:v>
      </x:c>
      <x:c r="S589" s="10" t="n">
        <x:f>IF(K589&gt;0,R589/K589,"")</x:f>
        <x:v>0.44722222222222224</x:v>
      </x:c>
    </x:row>
    <x:row r="590">
      <x:c r="A590" s="7" t="n">
        <x:v>586</x:v>
      </x:c>
      <x:c r="B590" s="7" t="str">
        <x:v>Tata</x:v>
      </x:c>
      <x:c r="C590" s="7" t="str">
        <x:v>Tiago</x:v>
      </x:c>
      <x:c r="D590" s="7" t="str">
        <x:v>XTA</x:v>
      </x:c>
      <x:c r="E590" s="7" t="str">
        <x:v>Petrol</x:v>
      </x:c>
      <x:c r="F590" s="7" t="str">
        <x:v>Automatic</x:v>
      </x:c>
      <x:c r="G590" s="7" t="str">
        <x:v>Hatchback</x:v>
      </x:c>
      <x:c r="H590" s="7" t="n">
        <x:v>1199</x:v>
      </x:c>
      <x:c r="I590" s="7" t="n">
        <x:v>85</x:v>
      </x:c>
      <x:c r="J590" s="9" t="n">
        <x:v>19</x:v>
      </x:c>
      <x:c r="K590" s="9" t="n">
        <x:v>7.2</x:v>
      </x:c>
      <x:c r="L590" s="7" t="n">
        <x:v>2022</x:v>
      </x:c>
      <x:c r="M590" s="11" t="n">
        <x:v>85147</x:v>
      </x:c>
      <x:c r="N590" s="7" t="n">
        <x:v>2</x:v>
      </x:c>
      <x:c r="O590" s="7" t="n">
        <x:v>0</x:v>
      </x:c>
      <x:c r="P590" s="9" t="n">
        <x:v>3.96</x:v>
      </x:c>
      <x:c r="Q590" s="7" t="n">
        <x:f>'Guide'!$B$5-L590</x:f>
        <x:v>4</x:v>
      </x:c>
      <x:c r="R590" s="9" t="n">
        <x:f>K590-P590</x:f>
        <x:v>3.24</x:v>
      </x:c>
      <x:c r="S590" s="10" t="n">
        <x:f>IF(K590&gt;0,R590/K590,"")</x:f>
        <x:v>0.45</x:v>
      </x:c>
    </x:row>
    <x:row r="591">
      <x:c r="A591" s="7" t="n">
        <x:v>587</x:v>
      </x:c>
      <x:c r="B591" s="7" t="str">
        <x:v>Tata</x:v>
      </x:c>
      <x:c r="C591" s="7" t="str">
        <x:v>Tiago</x:v>
      </x:c>
      <x:c r="D591" s="7" t="str">
        <x:v>XTA</x:v>
      </x:c>
      <x:c r="E591" s="7" t="str">
        <x:v>Petrol</x:v>
      </x:c>
      <x:c r="F591" s="7" t="str">
        <x:v>Automatic</x:v>
      </x:c>
      <x:c r="G591" s="7" t="str">
        <x:v>Hatchback</x:v>
      </x:c>
      <x:c r="H591" s="7" t="n">
        <x:v>1199</x:v>
      </x:c>
      <x:c r="I591" s="7" t="n">
        <x:v>85</x:v>
      </x:c>
      <x:c r="J591" s="9" t="n">
        <x:v>19</x:v>
      </x:c>
      <x:c r="K591" s="9" t="n">
        <x:v>7.2</x:v>
      </x:c>
      <x:c r="L591" s="7" t="n">
        <x:v>2024</x:v>
      </x:c>
      <x:c r="M591" s="11" t="n">
        <x:v>45637</x:v>
      </x:c>
      <x:c r="N591" s="7" t="n">
        <x:v>1</x:v>
      </x:c>
      <x:c r="O591" s="7" t="n">
        <x:v>0</x:v>
      </x:c>
      <x:c r="P591" s="9" t="n">
        <x:v>5.64</x:v>
      </x:c>
      <x:c r="Q591" s="7" t="n">
        <x:f>'Guide'!$B$5-L591</x:f>
        <x:v>2</x:v>
      </x:c>
      <x:c r="R591" s="9" t="n">
        <x:f>K591-P591</x:f>
        <x:v>1.5600000000000005</x:v>
      </x:c>
      <x:c r="S591" s="10" t="n">
        <x:f>IF(K591&gt;0,R591/K591,"")</x:f>
        <x:v>0.21666666666666673</x:v>
      </x:c>
    </x:row>
    <x:row r="592">
      <x:c r="A592" s="7" t="n">
        <x:v>588</x:v>
      </x:c>
      <x:c r="B592" s="7" t="str">
        <x:v>Tata</x:v>
      </x:c>
      <x:c r="C592" s="7" t="str">
        <x:v>Tiago</x:v>
      </x:c>
      <x:c r="D592" s="7" t="str">
        <x:v>XTA</x:v>
      </x:c>
      <x:c r="E592" s="7" t="str">
        <x:v>Petrol</x:v>
      </x:c>
      <x:c r="F592" s="7" t="str">
        <x:v>Automatic</x:v>
      </x:c>
      <x:c r="G592" s="7" t="str">
        <x:v>Hatchback</x:v>
      </x:c>
      <x:c r="H592" s="7" t="n">
        <x:v>1199</x:v>
      </x:c>
      <x:c r="I592" s="7" t="n">
        <x:v>85</x:v>
      </x:c>
      <x:c r="J592" s="9" t="n">
        <x:v>19</x:v>
      </x:c>
      <x:c r="K592" s="9" t="n">
        <x:v>7.2</x:v>
      </x:c>
      <x:c r="L592" s="7" t="n">
        <x:v>2025</x:v>
      </x:c>
      <x:c r="M592" s="11" t="n">
        <x:v>17709</x:v>
      </x:c>
      <x:c r="N592" s="7" t="n">
        <x:v>1</x:v>
      </x:c>
      <x:c r="O592" s="7" t="n">
        <x:v>1</x:v>
      </x:c>
      <x:c r="P592" s="9" t="n">
        <x:v>5.33</x:v>
      </x:c>
      <x:c r="Q592" s="7" t="n">
        <x:f>'Guide'!$B$5-L592</x:f>
        <x:v>1</x:v>
      </x:c>
      <x:c r="R592" s="9" t="n">
        <x:f>K592-P592</x:f>
        <x:v>1.87</x:v>
      </x:c>
      <x:c r="S592" s="10" t="n">
        <x:f>IF(K592&gt;0,R592/K592,"")</x:f>
        <x:v>0.25972222222222224</x:v>
      </x:c>
    </x:row>
    <x:row r="593">
      <x:c r="A593" s="7" t="n">
        <x:v>589</x:v>
      </x:c>
      <x:c r="B593" s="7" t="str">
        <x:v>Tata</x:v>
      </x:c>
      <x:c r="C593" s="7" t="str">
        <x:v>Tiago</x:v>
      </x:c>
      <x:c r="D593" s="7" t="str">
        <x:v>XTA</x:v>
      </x:c>
      <x:c r="E593" s="7" t="str">
        <x:v>Petrol</x:v>
      </x:c>
      <x:c r="F593" s="7" t="str">
        <x:v>Automatic</x:v>
      </x:c>
      <x:c r="G593" s="7" t="str">
        <x:v>Hatchback</x:v>
      </x:c>
      <x:c r="H593" s="7" t="n">
        <x:v>1199</x:v>
      </x:c>
      <x:c r="I593" s="7" t="n">
        <x:v>85</x:v>
      </x:c>
      <x:c r="J593" s="9" t="n">
        <x:v>19</x:v>
      </x:c>
      <x:c r="K593" s="9" t="n">
        <x:v>7.2</x:v>
      </x:c>
      <x:c r="L593" s="7" t="n">
        <x:v>2026</x:v>
      </x:c>
      <x:c r="M593" s="11" t="n">
        <x:v>7346</x:v>
      </x:c>
      <x:c r="N593" s="7" t="n">
        <x:v>3</x:v>
      </x:c>
      <x:c r="O593" s="7" t="n">
        <x:v>0</x:v>
      </x:c>
      <x:c r="P593" s="9" t="n">
        <x:v>6.38</x:v>
      </x:c>
      <x:c r="Q593" s="7" t="n">
        <x:f>'Guide'!$B$5-L593</x:f>
        <x:v>0</x:v>
      </x:c>
      <x:c r="R593" s="9" t="n">
        <x:f>K593-P593</x:f>
        <x:v>0.8200000000000003</x:v>
      </x:c>
      <x:c r="S593" s="10" t="n">
        <x:f>IF(K593&gt;0,R593/K593,"")</x:f>
        <x:v>0.11388888888888893</x:v>
      </x:c>
    </x:row>
    <x:row r="594">
      <x:c r="A594" s="7" t="n">
        <x:v>590</x:v>
      </x:c>
      <x:c r="B594" s="7" t="str">
        <x:v>Tata</x:v>
      </x:c>
      <x:c r="C594" s="7" t="str">
        <x:v>Tiago</x:v>
      </x:c>
      <x:c r="D594" s="7" t="str">
        <x:v>XTA</x:v>
      </x:c>
      <x:c r="E594" s="7" t="str">
        <x:v>Petrol</x:v>
      </x:c>
      <x:c r="F594" s="7" t="str">
        <x:v>Automatic</x:v>
      </x:c>
      <x:c r="G594" s="7" t="str">
        <x:v>Hatchback</x:v>
      </x:c>
      <x:c r="H594" s="7" t="n">
        <x:v>1199</x:v>
      </x:c>
      <x:c r="I594" s="7" t="n">
        <x:v>85</x:v>
      </x:c>
      <x:c r="J594" s="9" t="n">
        <x:v>19</x:v>
      </x:c>
      <x:c r="K594" s="9" t="n">
        <x:v>7.2</x:v>
      </x:c>
      <x:c r="L594" s="7" t="n">
        <x:v>2022</x:v>
      </x:c>
      <x:c r="M594" s="11" t="n">
        <x:v>64876</x:v>
      </x:c>
      <x:c r="N594" s="7" t="n">
        <x:v>3</x:v>
      </x:c>
      <x:c r="O594" s="7" t="n">
        <x:v>0</x:v>
      </x:c>
      <x:c r="P594" s="9" t="n">
        <x:v>3.89</x:v>
      </x:c>
      <x:c r="Q594" s="7" t="n">
        <x:f>'Guide'!$B$5-L594</x:f>
        <x:v>4</x:v>
      </x:c>
      <x:c r="R594" s="9" t="n">
        <x:f>K594-P594</x:f>
        <x:v>3.31</x:v>
      </x:c>
      <x:c r="S594" s="10" t="n">
        <x:f>IF(K594&gt;0,R594/K594,"")</x:f>
        <x:v>0.4597222222222222</x:v>
      </x:c>
    </x:row>
    <x:row r="595">
      <x:c r="A595" s="7" t="n">
        <x:v>591</x:v>
      </x:c>
      <x:c r="B595" s="7" t="str">
        <x:v>Tata</x:v>
      </x:c>
      <x:c r="C595" s="7" t="str">
        <x:v>Tiago</x:v>
      </x:c>
      <x:c r="D595" s="7" t="str">
        <x:v>XTA</x:v>
      </x:c>
      <x:c r="E595" s="7" t="str">
        <x:v>Petrol</x:v>
      </x:c>
      <x:c r="F595" s="7" t="str">
        <x:v>Automatic</x:v>
      </x:c>
      <x:c r="G595" s="7" t="str">
        <x:v>Hatchback</x:v>
      </x:c>
      <x:c r="H595" s="7" t="n">
        <x:v>1199</x:v>
      </x:c>
      <x:c r="I595" s="7" t="n">
        <x:v>85</x:v>
      </x:c>
      <x:c r="J595" s="9" t="n">
        <x:v>19</x:v>
      </x:c>
      <x:c r="K595" s="9" t="n">
        <x:v>7.2</x:v>
      </x:c>
      <x:c r="L595" s="7" t="n">
        <x:v>2025</x:v>
      </x:c>
      <x:c r="M595" s="11" t="n">
        <x:v>14260</x:v>
      </x:c>
      <x:c r="N595" s="7" t="n">
        <x:v>3</x:v>
      </x:c>
      <x:c r="O595" s="7" t="n">
        <x:v>1</x:v>
      </x:c>
      <x:c r="P595" s="9" t="n">
        <x:v>4.89</x:v>
      </x:c>
      <x:c r="Q595" s="7" t="n">
        <x:f>'Guide'!$B$5-L595</x:f>
        <x:v>1</x:v>
      </x:c>
      <x:c r="R595" s="9" t="n">
        <x:f>K595-P595</x:f>
        <x:v>2.3100000000000005</x:v>
      </x:c>
      <x:c r="S595" s="10" t="n">
        <x:f>IF(K595&gt;0,R595/K595,"")</x:f>
        <x:v>0.3208333333333334</x:v>
      </x:c>
    </x:row>
    <x:row r="596">
      <x:c r="A596" s="7" t="n">
        <x:v>592</x:v>
      </x:c>
      <x:c r="B596" s="7" t="str">
        <x:v>Tata</x:v>
      </x:c>
      <x:c r="C596" s="7" t="str">
        <x:v>Tiago</x:v>
      </x:c>
      <x:c r="D596" s="7" t="str">
        <x:v>XTA</x:v>
      </x:c>
      <x:c r="E596" s="7" t="str">
        <x:v>Petrol</x:v>
      </x:c>
      <x:c r="F596" s="7" t="str">
        <x:v>Automatic</x:v>
      </x:c>
      <x:c r="G596" s="7" t="str">
        <x:v>Hatchback</x:v>
      </x:c>
      <x:c r="H596" s="7" t="n">
        <x:v>1199</x:v>
      </x:c>
      <x:c r="I596" s="7" t="n">
        <x:v>85</x:v>
      </x:c>
      <x:c r="J596" s="9" t="n">
        <x:v>19</x:v>
      </x:c>
      <x:c r="K596" s="9" t="n">
        <x:v>7.2</x:v>
      </x:c>
      <x:c r="L596" s="7" t="n">
        <x:v>2023</x:v>
      </x:c>
      <x:c r="M596" s="11" t="n">
        <x:v>48893</x:v>
      </x:c>
      <x:c r="N596" s="7" t="n">
        <x:v>1</x:v>
      </x:c>
      <x:c r="O596" s="7" t="n">
        <x:v>0</x:v>
      </x:c>
      <x:c r="P596" s="9" t="n">
        <x:v>5.05</x:v>
      </x:c>
      <x:c r="Q596" s="7" t="n">
        <x:f>'Guide'!$B$5-L596</x:f>
        <x:v>3</x:v>
      </x:c>
      <x:c r="R596" s="9" t="n">
        <x:f>K596-P596</x:f>
        <x:v>2.1500000000000004</x:v>
      </x:c>
      <x:c r="S596" s="10" t="n">
        <x:f>IF(K596&gt;0,R596/K596,"")</x:f>
        <x:v>0.29861111111111116</x:v>
      </x:c>
    </x:row>
    <x:row r="597">
      <x:c r="A597" s="7" t="n">
        <x:v>593</x:v>
      </x:c>
      <x:c r="B597" s="7" t="str">
        <x:v>Tata</x:v>
      </x:c>
      <x:c r="C597" s="7" t="str">
        <x:v>Tiago</x:v>
      </x:c>
      <x:c r="D597" s="7" t="str">
        <x:v>XTA</x:v>
      </x:c>
      <x:c r="E597" s="7" t="str">
        <x:v>Petrol</x:v>
      </x:c>
      <x:c r="F597" s="7" t="str">
        <x:v>Automatic</x:v>
      </x:c>
      <x:c r="G597" s="7" t="str">
        <x:v>Hatchback</x:v>
      </x:c>
      <x:c r="H597" s="7" t="n">
        <x:v>1199</x:v>
      </x:c>
      <x:c r="I597" s="7" t="n">
        <x:v>85</x:v>
      </x:c>
      <x:c r="J597" s="9" t="n">
        <x:v>19</x:v>
      </x:c>
      <x:c r="K597" s="9" t="n">
        <x:v>7.2</x:v>
      </x:c>
      <x:c r="L597" s="7" t="n">
        <x:v>2022</x:v>
      </x:c>
      <x:c r="M597" s="11" t="n">
        <x:v>55493</x:v>
      </x:c>
      <x:c r="N597" s="7" t="n">
        <x:v>1</x:v>
      </x:c>
      <x:c r="O597" s="7" t="n">
        <x:v>0</x:v>
      </x:c>
      <x:c r="P597" s="9" t="n">
        <x:v>4.56</x:v>
      </x:c>
      <x:c r="Q597" s="7" t="n">
        <x:f>'Guide'!$B$5-L597</x:f>
        <x:v>4</x:v>
      </x:c>
      <x:c r="R597" s="9" t="n">
        <x:f>K597-P597</x:f>
        <x:v>2.6400000000000006</x:v>
      </x:c>
      <x:c r="S597" s="10" t="n">
        <x:f>IF(K597&gt;0,R597/K597,"")</x:f>
        <x:v>0.36666666666666675</x:v>
      </x:c>
    </x:row>
    <x:row r="598">
      <x:c r="A598" s="7" t="n">
        <x:v>594</x:v>
      </x:c>
      <x:c r="B598" s="7" t="str">
        <x:v>Tata</x:v>
      </x:c>
      <x:c r="C598" s="7" t="str">
        <x:v>Tiago</x:v>
      </x:c>
      <x:c r="D598" s="7" t="str">
        <x:v>XTA</x:v>
      </x:c>
      <x:c r="E598" s="7" t="str">
        <x:v>Petrol</x:v>
      </x:c>
      <x:c r="F598" s="7" t="str">
        <x:v>Automatic</x:v>
      </x:c>
      <x:c r="G598" s="7" t="str">
        <x:v>Hatchback</x:v>
      </x:c>
      <x:c r="H598" s="7" t="n">
        <x:v>1199</x:v>
      </x:c>
      <x:c r="I598" s="7" t="n">
        <x:v>85</x:v>
      </x:c>
      <x:c r="J598" s="9" t="n">
        <x:v>19</x:v>
      </x:c>
      <x:c r="K598" s="9" t="n">
        <x:v>7.2</x:v>
      </x:c>
      <x:c r="L598" s="7" t="n">
        <x:v>2022</x:v>
      </x:c>
      <x:c r="M598" s="11" t="n">
        <x:v>45019</x:v>
      </x:c>
      <x:c r="N598" s="7" t="n">
        <x:v>1</x:v>
      </x:c>
      <x:c r="O598" s="7" t="n">
        <x:v>0</x:v>
      </x:c>
      <x:c r="P598" s="9" t="n">
        <x:v>4.5</x:v>
      </x:c>
      <x:c r="Q598" s="7" t="n">
        <x:f>'Guide'!$B$5-L598</x:f>
        <x:v>4</x:v>
      </x:c>
      <x:c r="R598" s="9" t="n">
        <x:f>K598-P598</x:f>
        <x:v>2.7</x:v>
      </x:c>
      <x:c r="S598" s="10" t="n">
        <x:f>IF(K598&gt;0,R598/K598,"")</x:f>
        <x:v>0.375</x:v>
      </x:c>
    </x:row>
    <x:row r="599">
      <x:c r="A599" s="7" t="n">
        <x:v>595</x:v>
      </x:c>
      <x:c r="B599" s="7" t="str">
        <x:v>Tata</x:v>
      </x:c>
      <x:c r="C599" s="7" t="str">
        <x:v>Tiago</x:v>
      </x:c>
      <x:c r="D599" s="7" t="str">
        <x:v>XTA</x:v>
      </x:c>
      <x:c r="E599" s="7" t="str">
        <x:v>Petrol</x:v>
      </x:c>
      <x:c r="F599" s="7" t="str">
        <x:v>Automatic</x:v>
      </x:c>
      <x:c r="G599" s="7" t="str">
        <x:v>Hatchback</x:v>
      </x:c>
      <x:c r="H599" s="7" t="n">
        <x:v>1199</x:v>
      </x:c>
      <x:c r="I599" s="7" t="n">
        <x:v>85</x:v>
      </x:c>
      <x:c r="J599" s="9" t="n">
        <x:v>19</x:v>
      </x:c>
      <x:c r="K599" s="9" t="n">
        <x:v>7.2</x:v>
      </x:c>
      <x:c r="L599" s="7" t="n">
        <x:v>2024</x:v>
      </x:c>
      <x:c r="M599" s="11" t="n">
        <x:v>35440</x:v>
      </x:c>
      <x:c r="N599" s="7" t="n">
        <x:v>1</x:v>
      </x:c>
      <x:c r="O599" s="7" t="n">
        <x:v>0</x:v>
      </x:c>
      <x:c r="P599" s="9" t="n">
        <x:v>5.79</x:v>
      </x:c>
      <x:c r="Q599" s="7" t="n">
        <x:f>'Guide'!$B$5-L599</x:f>
        <x:v>2</x:v>
      </x:c>
      <x:c r="R599" s="9" t="n">
        <x:f>K599-P599</x:f>
        <x:v>1.4100000000000001</x:v>
      </x:c>
      <x:c r="S599" s="10" t="n">
        <x:f>IF(K599&gt;0,R599/K599,"")</x:f>
        <x:v>0.19583333333333336</x:v>
      </x:c>
    </x:row>
    <x:row r="600">
      <x:c r="A600" s="7" t="n">
        <x:v>596</x:v>
      </x:c>
      <x:c r="B600" s="7" t="str">
        <x:v>Tata</x:v>
      </x:c>
      <x:c r="C600" s="7" t="str">
        <x:v>Tiago</x:v>
      </x:c>
      <x:c r="D600" s="7" t="str">
        <x:v>XTA</x:v>
      </x:c>
      <x:c r="E600" s="7" t="str">
        <x:v>Petrol</x:v>
      </x:c>
      <x:c r="F600" s="7" t="str">
        <x:v>Automatic</x:v>
      </x:c>
      <x:c r="G600" s="7" t="str">
        <x:v>Hatchback</x:v>
      </x:c>
      <x:c r="H600" s="7" t="n">
        <x:v>1199</x:v>
      </x:c>
      <x:c r="I600" s="7" t="n">
        <x:v>85</x:v>
      </x:c>
      <x:c r="J600" s="9" t="n">
        <x:v>19</x:v>
      </x:c>
      <x:c r="K600" s="9" t="n">
        <x:v>7.2</x:v>
      </x:c>
      <x:c r="L600" s="7" t="n">
        <x:v>2024</x:v>
      </x:c>
      <x:c r="M600" s="11" t="n">
        <x:v>48308</x:v>
      </x:c>
      <x:c r="N600" s="7" t="n">
        <x:v>2</x:v>
      </x:c>
      <x:c r="O600" s="7" t="n">
        <x:v>0</x:v>
      </x:c>
      <x:c r="P600" s="9" t="n">
        <x:v>5.47</x:v>
      </x:c>
      <x:c r="Q600" s="7" t="n">
        <x:f>'Guide'!$B$5-L600</x:f>
        <x:v>2</x:v>
      </x:c>
      <x:c r="R600" s="9" t="n">
        <x:f>K600-P600</x:f>
        <x:v>1.7300000000000004</x:v>
      </x:c>
      <x:c r="S600" s="10" t="n">
        <x:f>IF(K600&gt;0,R600/K600,"")</x:f>
        <x:v>0.24027777777777784</x:v>
      </x:c>
    </x:row>
    <x:row r="601">
      <x:c r="A601" s="7" t="n">
        <x:v>597</x:v>
      </x:c>
      <x:c r="B601" s="7" t="str">
        <x:v>Tata</x:v>
      </x:c>
      <x:c r="C601" s="7" t="str">
        <x:v>Tiago</x:v>
      </x:c>
      <x:c r="D601" s="7" t="str">
        <x:v>XTA</x:v>
      </x:c>
      <x:c r="E601" s="7" t="str">
        <x:v>Petrol</x:v>
      </x:c>
      <x:c r="F601" s="7" t="str">
        <x:v>Automatic</x:v>
      </x:c>
      <x:c r="G601" s="7" t="str">
        <x:v>Hatchback</x:v>
      </x:c>
      <x:c r="H601" s="7" t="n">
        <x:v>1199</x:v>
      </x:c>
      <x:c r="I601" s="7" t="n">
        <x:v>85</x:v>
      </x:c>
      <x:c r="J601" s="9" t="n">
        <x:v>19</x:v>
      </x:c>
      <x:c r="K601" s="9" t="n">
        <x:v>7.2</x:v>
      </x:c>
      <x:c r="L601" s="7" t="n">
        <x:v>2021</x:v>
      </x:c>
      <x:c r="M601" s="11" t="n">
        <x:v>77084</x:v>
      </x:c>
      <x:c r="N601" s="7" t="n">
        <x:v>1</x:v>
      </x:c>
      <x:c r="O601" s="7" t="n">
        <x:v>0</x:v>
      </x:c>
      <x:c r="P601" s="9" t="n">
        <x:v>3.38</x:v>
      </x:c>
      <x:c r="Q601" s="7" t="n">
        <x:f>'Guide'!$B$5-L601</x:f>
        <x:v>5</x:v>
      </x:c>
      <x:c r="R601" s="9" t="n">
        <x:f>K601-P601</x:f>
        <x:v>3.8200000000000003</x:v>
      </x:c>
      <x:c r="S601" s="10" t="n">
        <x:f>IF(K601&gt;0,R601/K601,"")</x:f>
        <x:v>0.5305555555555556</x:v>
      </x:c>
    </x:row>
    <x:row r="602">
      <x:c r="A602" s="7" t="n">
        <x:v>598</x:v>
      </x:c>
      <x:c r="B602" s="7" t="str">
        <x:v>Tata</x:v>
      </x:c>
      <x:c r="C602" s="7" t="str">
        <x:v>Tiago</x:v>
      </x:c>
      <x:c r="D602" s="7" t="str">
        <x:v>XTA</x:v>
      </x:c>
      <x:c r="E602" s="7" t="str">
        <x:v>Petrol</x:v>
      </x:c>
      <x:c r="F602" s="7" t="str">
        <x:v>Automatic</x:v>
      </x:c>
      <x:c r="G602" s="7" t="str">
        <x:v>Hatchback</x:v>
      </x:c>
      <x:c r="H602" s="7" t="n">
        <x:v>1199</x:v>
      </x:c>
      <x:c r="I602" s="7" t="n">
        <x:v>85</x:v>
      </x:c>
      <x:c r="J602" s="9" t="n">
        <x:v>19</x:v>
      </x:c>
      <x:c r="K602" s="9" t="n">
        <x:v>7.2</x:v>
      </x:c>
      <x:c r="L602" s="7" t="n">
        <x:v>2025</x:v>
      </x:c>
      <x:c r="M602" s="11" t="n">
        <x:v>19112</x:v>
      </x:c>
      <x:c r="N602" s="7" t="n">
        <x:v>2</x:v>
      </x:c>
      <x:c r="O602" s="7" t="n">
        <x:v>0</x:v>
      </x:c>
      <x:c r="P602" s="9" t="n">
        <x:v>5.94</x:v>
      </x:c>
      <x:c r="Q602" s="7" t="n">
        <x:f>'Guide'!$B$5-L602</x:f>
        <x:v>1</x:v>
      </x:c>
      <x:c r="R602" s="9" t="n">
        <x:f>K602-P602</x:f>
        <x:v>1.2599999999999998</x:v>
      </x:c>
      <x:c r="S602" s="10" t="n">
        <x:f>IF(K602&gt;0,R602/K602,"")</x:f>
        <x:v>0.17499999999999996</x:v>
      </x:c>
    </x:row>
    <x:row r="603">
      <x:c r="A603" s="7" t="n">
        <x:v>599</x:v>
      </x:c>
      <x:c r="B603" s="7" t="str">
        <x:v>Tata</x:v>
      </x:c>
      <x:c r="C603" s="7" t="str">
        <x:v>Tiago</x:v>
      </x:c>
      <x:c r="D603" s="7" t="str">
        <x:v>XTA</x:v>
      </x:c>
      <x:c r="E603" s="7" t="str">
        <x:v>Petrol</x:v>
      </x:c>
      <x:c r="F603" s="7" t="str">
        <x:v>Automatic</x:v>
      </x:c>
      <x:c r="G603" s="7" t="str">
        <x:v>Hatchback</x:v>
      </x:c>
      <x:c r="H603" s="7" t="n">
        <x:v>1199</x:v>
      </x:c>
      <x:c r="I603" s="7" t="n">
        <x:v>85</x:v>
      </x:c>
      <x:c r="J603" s="9" t="n">
        <x:v>19</x:v>
      </x:c>
      <x:c r="K603" s="9" t="n">
        <x:v>7.2</x:v>
      </x:c>
      <x:c r="L603" s="7" t="n">
        <x:v>2020</x:v>
      </x:c>
      <x:c r="M603" s="11" t="n">
        <x:v>96981</x:v>
      </x:c>
      <x:c r="N603" s="7" t="n">
        <x:v>1</x:v>
      </x:c>
      <x:c r="O603" s="7" t="n">
        <x:v>0</x:v>
      </x:c>
      <x:c r="P603" s="9" t="n">
        <x:v>3.17</x:v>
      </x:c>
      <x:c r="Q603" s="7" t="n">
        <x:f>'Guide'!$B$5-L603</x:f>
        <x:v>6</x:v>
      </x:c>
      <x:c r="R603" s="9" t="n">
        <x:f>K603-P603</x:f>
        <x:v>4.03</x:v>
      </x:c>
      <x:c r="S603" s="10" t="n">
        <x:f>IF(K603&gt;0,R603/K603,"")</x:f>
        <x:v>0.5597222222222222</x:v>
      </x:c>
    </x:row>
    <x:row r="604">
      <x:c r="A604" s="7" t="n">
        <x:v>600</x:v>
      </x:c>
      <x:c r="B604" s="7" t="str">
        <x:v>Tata</x:v>
      </x:c>
      <x:c r="C604" s="7" t="str">
        <x:v>Tiago</x:v>
      </x:c>
      <x:c r="D604" s="7" t="str">
        <x:v>XTA</x:v>
      </x:c>
      <x:c r="E604" s="7" t="str">
        <x:v>Petrol</x:v>
      </x:c>
      <x:c r="F604" s="7" t="str">
        <x:v>Automatic</x:v>
      </x:c>
      <x:c r="G604" s="7" t="str">
        <x:v>Hatchback</x:v>
      </x:c>
      <x:c r="H604" s="7" t="n">
        <x:v>1199</x:v>
      </x:c>
      <x:c r="I604" s="7" t="n">
        <x:v>85</x:v>
      </x:c>
      <x:c r="J604" s="9" t="n">
        <x:v>19</x:v>
      </x:c>
      <x:c r="K604" s="9" t="n">
        <x:v>7.2</x:v>
      </x:c>
      <x:c r="L604" s="7" t="n">
        <x:v>2025</x:v>
      </x:c>
      <x:c r="M604" s="11" t="n">
        <x:v>21777</x:v>
      </x:c>
      <x:c r="N604" s="7" t="n">
        <x:v>1</x:v>
      </x:c>
      <x:c r="O604" s="7" t="n">
        <x:v>0</x:v>
      </x:c>
      <x:c r="P604" s="9" t="n">
        <x:v>6.08</x:v>
      </x:c>
      <x:c r="Q604" s="7" t="n">
        <x:f>'Guide'!$B$5-L604</x:f>
        <x:v>1</x:v>
      </x:c>
      <x:c r="R604" s="9" t="n">
        <x:f>K604-P604</x:f>
        <x:v>1.12</x:v>
      </x:c>
      <x:c r="S604" s="10" t="n">
        <x:f>IF(K604&gt;0,R604/K604,"")</x:f>
        <x:v>0.15555555555555556</x:v>
      </x:c>
    </x:row>
    <x:row r="605">
      <x:c r="A605" s="7" t="n">
        <x:v>601</x:v>
      </x:c>
      <x:c r="B605" s="7" t="str">
        <x:v>Tata</x:v>
      </x:c>
      <x:c r="C605" s="7" t="str">
        <x:v>Tiago</x:v>
      </x:c>
      <x:c r="D605" s="7" t="str">
        <x:v>XE CNG</x:v>
      </x:c>
      <x:c r="E605" s="7" t="str">
        <x:v>CNG</x:v>
      </x:c>
      <x:c r="F605" s="7" t="str">
        <x:v>Manual</x:v>
      </x:c>
      <x:c r="G605" s="7" t="str">
        <x:v>Hatchback</x:v>
      </x:c>
      <x:c r="H605" s="7" t="n">
        <x:v>1199</x:v>
      </x:c>
      <x:c r="I605" s="7" t="n">
        <x:v>72</x:v>
      </x:c>
      <x:c r="J605" s="9" t="n">
        <x:v>26.5</x:v>
      </x:c>
      <x:c r="K605" s="9" t="n">
        <x:v>6.8</x:v>
      </x:c>
      <x:c r="L605" s="7" t="n">
        <x:v>2023</x:v>
      </x:c>
      <x:c r="M605" s="11" t="n">
        <x:v>31787</x:v>
      </x:c>
      <x:c r="N605" s="7" t="n">
        <x:v>1</x:v>
      </x:c>
      <x:c r="O605" s="7" t="n">
        <x:v>0</x:v>
      </x:c>
      <x:c r="P605" s="9" t="n">
        <x:v>5.16</x:v>
      </x:c>
      <x:c r="Q605" s="7" t="n">
        <x:f>'Guide'!$B$5-L605</x:f>
        <x:v>3</x:v>
      </x:c>
      <x:c r="R605" s="9" t="n">
        <x:f>K605-P605</x:f>
        <x:v>1.6399999999999997</x:v>
      </x:c>
      <x:c r="S605" s="10" t="n">
        <x:f>IF(K605&gt;0,R605/K605,"")</x:f>
        <x:v>0.24117647058823524</x:v>
      </x:c>
    </x:row>
    <x:row r="606">
      <x:c r="A606" s="7" t="n">
        <x:v>602</x:v>
      </x:c>
      <x:c r="B606" s="7" t="str">
        <x:v>Tata</x:v>
      </x:c>
      <x:c r="C606" s="7" t="str">
        <x:v>Tiago</x:v>
      </x:c>
      <x:c r="D606" s="7" t="str">
        <x:v>XE CNG</x:v>
      </x:c>
      <x:c r="E606" s="7" t="str">
        <x:v>CNG</x:v>
      </x:c>
      <x:c r="F606" s="7" t="str">
        <x:v>Manual</x:v>
      </x:c>
      <x:c r="G606" s="7" t="str">
        <x:v>Hatchback</x:v>
      </x:c>
      <x:c r="H606" s="7" t="n">
        <x:v>1199</x:v>
      </x:c>
      <x:c r="I606" s="7" t="n">
        <x:v>72</x:v>
      </x:c>
      <x:c r="J606" s="9" t="n">
        <x:v>26.5</x:v>
      </x:c>
      <x:c r="K606" s="9" t="n">
        <x:v>6.8</x:v>
      </x:c>
      <x:c r="L606" s="7" t="n">
        <x:v>2026</x:v>
      </x:c>
      <x:c r="M606" s="11" t="n">
        <x:v>9546</x:v>
      </x:c>
      <x:c r="N606" s="7" t="n">
        <x:v>2</x:v>
      </x:c>
      <x:c r="O606" s="7" t="n">
        <x:v>1</x:v>
      </x:c>
      <x:c r="P606" s="9" t="n">
        <x:v>5.92</x:v>
      </x:c>
      <x:c r="Q606" s="7" t="n">
        <x:f>'Guide'!$B$5-L606</x:f>
        <x:v>0</x:v>
      </x:c>
      <x:c r="R606" s="9" t="n">
        <x:f>K606-P606</x:f>
        <x:v>0.8799999999999999</x:v>
      </x:c>
      <x:c r="S606" s="10" t="n">
        <x:f>IF(K606&gt;0,R606/K606,"")</x:f>
        <x:v>0.12941176470588234</x:v>
      </x:c>
    </x:row>
    <x:row r="607">
      <x:c r="A607" s="7" t="n">
        <x:v>603</x:v>
      </x:c>
      <x:c r="B607" s="7" t="str">
        <x:v>Tata</x:v>
      </x:c>
      <x:c r="C607" s="7" t="str">
        <x:v>Tiago</x:v>
      </x:c>
      <x:c r="D607" s="7" t="str">
        <x:v>XE CNG</x:v>
      </x:c>
      <x:c r="E607" s="7" t="str">
        <x:v>CNG</x:v>
      </x:c>
      <x:c r="F607" s="7" t="str">
        <x:v>Manual</x:v>
      </x:c>
      <x:c r="G607" s="7" t="str">
        <x:v>Hatchback</x:v>
      </x:c>
      <x:c r="H607" s="7" t="n">
        <x:v>1199</x:v>
      </x:c>
      <x:c r="I607" s="7" t="n">
        <x:v>72</x:v>
      </x:c>
      <x:c r="J607" s="9" t="n">
        <x:v>26.5</x:v>
      </x:c>
      <x:c r="K607" s="9" t="n">
        <x:v>6.8</x:v>
      </x:c>
      <x:c r="L607" s="7" t="n">
        <x:v>2024</x:v>
      </x:c>
      <x:c r="M607" s="11" t="n">
        <x:v>44971</x:v>
      </x:c>
      <x:c r="N607" s="7" t="n">
        <x:v>1</x:v>
      </x:c>
      <x:c r="O607" s="7" t="n">
        <x:v>0</x:v>
      </x:c>
      <x:c r="P607" s="9" t="n">
        <x:v>5.27</x:v>
      </x:c>
      <x:c r="Q607" s="7" t="n">
        <x:f>'Guide'!$B$5-L607</x:f>
        <x:v>2</x:v>
      </x:c>
      <x:c r="R607" s="9" t="n">
        <x:f>K607-P607</x:f>
        <x:v>1.5300000000000002</x:v>
      </x:c>
      <x:c r="S607" s="10" t="n">
        <x:f>IF(K607&gt;0,R607/K607,"")</x:f>
        <x:v>0.22500000000000003</x:v>
      </x:c>
    </x:row>
    <x:row r="608">
      <x:c r="A608" s="7" t="n">
        <x:v>604</x:v>
      </x:c>
      <x:c r="B608" s="7" t="str">
        <x:v>Tata</x:v>
      </x:c>
      <x:c r="C608" s="7" t="str">
        <x:v>Tiago</x:v>
      </x:c>
      <x:c r="D608" s="7" t="str">
        <x:v>XE CNG</x:v>
      </x:c>
      <x:c r="E608" s="7" t="str">
        <x:v>CNG</x:v>
      </x:c>
      <x:c r="F608" s="7" t="str">
        <x:v>Manual</x:v>
      </x:c>
      <x:c r="G608" s="7" t="str">
        <x:v>Hatchback</x:v>
      </x:c>
      <x:c r="H608" s="7" t="n">
        <x:v>1199</x:v>
      </x:c>
      <x:c r="I608" s="7" t="n">
        <x:v>72</x:v>
      </x:c>
      <x:c r="J608" s="9" t="n">
        <x:v>26.5</x:v>
      </x:c>
      <x:c r="K608" s="9" t="n">
        <x:v>6.8</x:v>
      </x:c>
      <x:c r="L608" s="7" t="n">
        <x:v>2023</x:v>
      </x:c>
      <x:c r="M608" s="11" t="n">
        <x:v>51034</x:v>
      </x:c>
      <x:c r="N608" s="7" t="n">
        <x:v>2</x:v>
      </x:c>
      <x:c r="O608" s="7" t="n">
        <x:v>0</x:v>
      </x:c>
      <x:c r="P608" s="9" t="n">
        <x:v>4.04</x:v>
      </x:c>
      <x:c r="Q608" s="7" t="n">
        <x:f>'Guide'!$B$5-L608</x:f>
        <x:v>3</x:v>
      </x:c>
      <x:c r="R608" s="9" t="n">
        <x:f>K608-P608</x:f>
        <x:v>2.76</x:v>
      </x:c>
      <x:c r="S608" s="10" t="n">
        <x:f>IF(K608&gt;0,R608/K608,"")</x:f>
        <x:v>0.40588235294117647</x:v>
      </x:c>
    </x:row>
    <x:row r="609">
      <x:c r="A609" s="7" t="n">
        <x:v>605</x:v>
      </x:c>
      <x:c r="B609" s="7" t="str">
        <x:v>Tata</x:v>
      </x:c>
      <x:c r="C609" s="7" t="str">
        <x:v>Tiago</x:v>
      </x:c>
      <x:c r="D609" s="7" t="str">
        <x:v>XE CNG</x:v>
      </x:c>
      <x:c r="E609" s="7" t="str">
        <x:v>CNG</x:v>
      </x:c>
      <x:c r="F609" s="7" t="str">
        <x:v>Manual</x:v>
      </x:c>
      <x:c r="G609" s="7" t="str">
        <x:v>Hatchback</x:v>
      </x:c>
      <x:c r="H609" s="7" t="n">
        <x:v>1199</x:v>
      </x:c>
      <x:c r="I609" s="7" t="n">
        <x:v>72</x:v>
      </x:c>
      <x:c r="J609" s="9" t="n">
        <x:v>26.5</x:v>
      </x:c>
      <x:c r="K609" s="9" t="n">
        <x:v>6.8</x:v>
      </x:c>
      <x:c r="L609" s="7" t="n">
        <x:v>2020</x:v>
      </x:c>
      <x:c r="M609" s="11" t="n">
        <x:v>97425</x:v>
      </x:c>
      <x:c r="N609" s="7" t="n">
        <x:v>1</x:v>
      </x:c>
      <x:c r="O609" s="7" t="n">
        <x:v>0</x:v>
      </x:c>
      <x:c r="P609" s="9" t="n">
        <x:v>2.86</x:v>
      </x:c>
      <x:c r="Q609" s="7" t="n">
        <x:f>'Guide'!$B$5-L609</x:f>
        <x:v>6</x:v>
      </x:c>
      <x:c r="R609" s="9" t="n">
        <x:f>K609-P609</x:f>
        <x:v>3.94</x:v>
      </x:c>
      <x:c r="S609" s="10" t="n">
        <x:f>IF(K609&gt;0,R609/K609,"")</x:f>
        <x:v>0.5794117647058824</x:v>
      </x:c>
    </x:row>
    <x:row r="610">
      <x:c r="A610" s="7" t="n">
        <x:v>606</x:v>
      </x:c>
      <x:c r="B610" s="7" t="str">
        <x:v>Tata</x:v>
      </x:c>
      <x:c r="C610" s="7" t="str">
        <x:v>Tiago</x:v>
      </x:c>
      <x:c r="D610" s="7" t="str">
        <x:v>XE CNG</x:v>
      </x:c>
      <x:c r="E610" s="7" t="str">
        <x:v>CNG</x:v>
      </x:c>
      <x:c r="F610" s="7" t="str">
        <x:v>Manual</x:v>
      </x:c>
      <x:c r="G610" s="7" t="str">
        <x:v>Hatchback</x:v>
      </x:c>
      <x:c r="H610" s="7" t="n">
        <x:v>1199</x:v>
      </x:c>
      <x:c r="I610" s="7" t="n">
        <x:v>72</x:v>
      </x:c>
      <x:c r="J610" s="9" t="n">
        <x:v>26.5</x:v>
      </x:c>
      <x:c r="K610" s="9" t="n">
        <x:v>6.8</x:v>
      </x:c>
      <x:c r="L610" s="7" t="n">
        <x:v>2022</x:v>
      </x:c>
      <x:c r="M610" s="11" t="n">
        <x:v>79030</x:v>
      </x:c>
      <x:c r="N610" s="7" t="n">
        <x:v>3</x:v>
      </x:c>
      <x:c r="O610" s="7" t="n">
        <x:v>0</x:v>
      </x:c>
      <x:c r="P610" s="9" t="n">
        <x:v>2.89</x:v>
      </x:c>
      <x:c r="Q610" s="7" t="n">
        <x:f>'Guide'!$B$5-L610</x:f>
        <x:v>4</x:v>
      </x:c>
      <x:c r="R610" s="9" t="n">
        <x:f>K610-P610</x:f>
        <x:v>3.9099999999999997</x:v>
      </x:c>
      <x:c r="S610" s="10" t="n">
        <x:f>IF(K610&gt;0,R610/K610,"")</x:f>
        <x:v>0.575</x:v>
      </x:c>
    </x:row>
    <x:row r="611">
      <x:c r="A611" s="7" t="n">
        <x:v>607</x:v>
      </x:c>
      <x:c r="B611" s="7" t="str">
        <x:v>Tata</x:v>
      </x:c>
      <x:c r="C611" s="7" t="str">
        <x:v>Tiago</x:v>
      </x:c>
      <x:c r="D611" s="7" t="str">
        <x:v>XE CNG</x:v>
      </x:c>
      <x:c r="E611" s="7" t="str">
        <x:v>CNG</x:v>
      </x:c>
      <x:c r="F611" s="7" t="str">
        <x:v>Manual</x:v>
      </x:c>
      <x:c r="G611" s="7" t="str">
        <x:v>Hatchback</x:v>
      </x:c>
      <x:c r="H611" s="7" t="n">
        <x:v>1199</x:v>
      </x:c>
      <x:c r="I611" s="7" t="n">
        <x:v>72</x:v>
      </x:c>
      <x:c r="J611" s="9" t="n">
        <x:v>26.5</x:v>
      </x:c>
      <x:c r="K611" s="9" t="n">
        <x:v>6.8</x:v>
      </x:c>
      <x:c r="L611" s="7" t="n">
        <x:v>2022</x:v>
      </x:c>
      <x:c r="M611" s="11" t="n">
        <x:v>82723</x:v>
      </x:c>
      <x:c r="N611" s="7" t="n">
        <x:v>2</x:v>
      </x:c>
      <x:c r="O611" s="7" t="n">
        <x:v>0</x:v>
      </x:c>
      <x:c r="P611" s="9" t="n">
        <x:v>3.58</x:v>
      </x:c>
      <x:c r="Q611" s="7" t="n">
        <x:f>'Guide'!$B$5-L611</x:f>
        <x:v>4</x:v>
      </x:c>
      <x:c r="R611" s="9" t="n">
        <x:f>K611-P611</x:f>
        <x:v>3.2199999999999998</x:v>
      </x:c>
      <x:c r="S611" s="10" t="n">
        <x:f>IF(K611&gt;0,R611/K611,"")</x:f>
        <x:v>0.47352941176470587</x:v>
      </x:c>
    </x:row>
    <x:row r="612">
      <x:c r="A612" s="7" t="n">
        <x:v>608</x:v>
      </x:c>
      <x:c r="B612" s="7" t="str">
        <x:v>Tata</x:v>
      </x:c>
      <x:c r="C612" s="7" t="str">
        <x:v>Tiago</x:v>
      </x:c>
      <x:c r="D612" s="7" t="str">
        <x:v>XE CNG</x:v>
      </x:c>
      <x:c r="E612" s="7" t="str">
        <x:v>CNG</x:v>
      </x:c>
      <x:c r="F612" s="7" t="str">
        <x:v>Manual</x:v>
      </x:c>
      <x:c r="G612" s="7" t="str">
        <x:v>Hatchback</x:v>
      </x:c>
      <x:c r="H612" s="7" t="n">
        <x:v>1199</x:v>
      </x:c>
      <x:c r="I612" s="7" t="n">
        <x:v>72</x:v>
      </x:c>
      <x:c r="J612" s="9" t="n">
        <x:v>26.5</x:v>
      </x:c>
      <x:c r="K612" s="9" t="n">
        <x:v>6.8</x:v>
      </x:c>
      <x:c r="L612" s="7" t="n">
        <x:v>2025</x:v>
      </x:c>
      <x:c r="M612" s="11" t="n">
        <x:v>15412</x:v>
      </x:c>
      <x:c r="N612" s="7" t="n">
        <x:v>1</x:v>
      </x:c>
      <x:c r="O612" s="7" t="n">
        <x:v>0</x:v>
      </x:c>
      <x:c r="P612" s="9" t="n">
        <x:v>5.95</x:v>
      </x:c>
      <x:c r="Q612" s="7" t="n">
        <x:f>'Guide'!$B$5-L612</x:f>
        <x:v>1</x:v>
      </x:c>
      <x:c r="R612" s="9" t="n">
        <x:f>K612-P612</x:f>
        <x:v>0.8499999999999996</x:v>
      </x:c>
      <x:c r="S612" s="10" t="n">
        <x:f>IF(K612&gt;0,R612/K612,"")</x:f>
        <x:v>0.12499999999999994</x:v>
      </x:c>
    </x:row>
    <x:row r="613">
      <x:c r="A613" s="7" t="n">
        <x:v>609</x:v>
      </x:c>
      <x:c r="B613" s="7" t="str">
        <x:v>Tata</x:v>
      </x:c>
      <x:c r="C613" s="7" t="str">
        <x:v>Tiago</x:v>
      </x:c>
      <x:c r="D613" s="7" t="str">
        <x:v>XE CNG</x:v>
      </x:c>
      <x:c r="E613" s="7" t="str">
        <x:v>CNG</x:v>
      </x:c>
      <x:c r="F613" s="7" t="str">
        <x:v>Manual</x:v>
      </x:c>
      <x:c r="G613" s="7" t="str">
        <x:v>Hatchback</x:v>
      </x:c>
      <x:c r="H613" s="7" t="n">
        <x:v>1199</x:v>
      </x:c>
      <x:c r="I613" s="7" t="n">
        <x:v>72</x:v>
      </x:c>
      <x:c r="J613" s="9" t="n">
        <x:v>26.5</x:v>
      </x:c>
      <x:c r="K613" s="9" t="n">
        <x:v>6.8</x:v>
      </x:c>
      <x:c r="L613" s="7" t="n">
        <x:v>2024</x:v>
      </x:c>
      <x:c r="M613" s="11" t="n">
        <x:v>46770</x:v>
      </x:c>
      <x:c r="N613" s="7" t="n">
        <x:v>3</x:v>
      </x:c>
      <x:c r="O613" s="7" t="n">
        <x:v>0</x:v>
      </x:c>
      <x:c r="P613" s="9" t="n">
        <x:v>4.18</x:v>
      </x:c>
      <x:c r="Q613" s="7" t="n">
        <x:f>'Guide'!$B$5-L613</x:f>
        <x:v>2</x:v>
      </x:c>
      <x:c r="R613" s="9" t="n">
        <x:f>K613-P613</x:f>
        <x:v>2.62</x:v>
      </x:c>
      <x:c r="S613" s="10" t="n">
        <x:f>IF(K613&gt;0,R613/K613,"")</x:f>
        <x:v>0.38529411764705884</x:v>
      </x:c>
    </x:row>
    <x:row r="614">
      <x:c r="A614" s="7" t="n">
        <x:v>610</x:v>
      </x:c>
      <x:c r="B614" s="7" t="str">
        <x:v>Tata</x:v>
      </x:c>
      <x:c r="C614" s="7" t="str">
        <x:v>Tiago</x:v>
      </x:c>
      <x:c r="D614" s="7" t="str">
        <x:v>XE CNG</x:v>
      </x:c>
      <x:c r="E614" s="7" t="str">
        <x:v>CNG</x:v>
      </x:c>
      <x:c r="F614" s="7" t="str">
        <x:v>Manual</x:v>
      </x:c>
      <x:c r="G614" s="7" t="str">
        <x:v>Hatchback</x:v>
      </x:c>
      <x:c r="H614" s="7" t="n">
        <x:v>1199</x:v>
      </x:c>
      <x:c r="I614" s="7" t="n">
        <x:v>72</x:v>
      </x:c>
      <x:c r="J614" s="9" t="n">
        <x:v>26.5</x:v>
      </x:c>
      <x:c r="K614" s="9" t="n">
        <x:v>6.8</x:v>
      </x:c>
      <x:c r="L614" s="7" t="n">
        <x:v>2020</x:v>
      </x:c>
      <x:c r="M614" s="11" t="n">
        <x:v>93777</x:v>
      </x:c>
      <x:c r="N614" s="7" t="n">
        <x:v>1</x:v>
      </x:c>
      <x:c r="O614" s="7" t="n">
        <x:v>0</x:v>
      </x:c>
      <x:c r="P614" s="9" t="n">
        <x:v>3.06</x:v>
      </x:c>
      <x:c r="Q614" s="7" t="n">
        <x:f>'Guide'!$B$5-L614</x:f>
        <x:v>6</x:v>
      </x:c>
      <x:c r="R614" s="9" t="n">
        <x:f>K614-P614</x:f>
        <x:v>3.7399999999999998</x:v>
      </x:c>
      <x:c r="S614" s="10" t="n">
        <x:f>IF(K614&gt;0,R614/K614,"")</x:f>
        <x:v>0.5499999999999999</x:v>
      </x:c>
    </x:row>
    <x:row r="615">
      <x:c r="A615" s="7" t="n">
        <x:v>611</x:v>
      </x:c>
      <x:c r="B615" s="7" t="str">
        <x:v>Tata</x:v>
      </x:c>
      <x:c r="C615" s="7" t="str">
        <x:v>Tiago</x:v>
      </x:c>
      <x:c r="D615" s="7" t="str">
        <x:v>XE CNG</x:v>
      </x:c>
      <x:c r="E615" s="7" t="str">
        <x:v>CNG</x:v>
      </x:c>
      <x:c r="F615" s="7" t="str">
        <x:v>Manual</x:v>
      </x:c>
      <x:c r="G615" s="7" t="str">
        <x:v>Hatchback</x:v>
      </x:c>
      <x:c r="H615" s="7" t="n">
        <x:v>1199</x:v>
      </x:c>
      <x:c r="I615" s="7" t="n">
        <x:v>72</x:v>
      </x:c>
      <x:c r="J615" s="9" t="n">
        <x:v>26.5</x:v>
      </x:c>
      <x:c r="K615" s="9" t="n">
        <x:v>6.8</x:v>
      </x:c>
      <x:c r="L615" s="7" t="n">
        <x:v>2022</x:v>
      </x:c>
      <x:c r="M615" s="11" t="n">
        <x:v>67911</x:v>
      </x:c>
      <x:c r="N615" s="7" t="n">
        <x:v>2</x:v>
      </x:c>
      <x:c r="O615" s="7" t="n">
        <x:v>0</x:v>
      </x:c>
      <x:c r="P615" s="9" t="n">
        <x:v>3.54</x:v>
      </x:c>
      <x:c r="Q615" s="7" t="n">
        <x:f>'Guide'!$B$5-L615</x:f>
        <x:v>4</x:v>
      </x:c>
      <x:c r="R615" s="9" t="n">
        <x:f>K615-P615</x:f>
        <x:v>3.26</x:v>
      </x:c>
      <x:c r="S615" s="10" t="n">
        <x:f>IF(K615&gt;0,R615/K615,"")</x:f>
        <x:v>0.4794117647058823</x:v>
      </x:c>
    </x:row>
    <x:row r="616">
      <x:c r="A616" s="7" t="n">
        <x:v>612</x:v>
      </x:c>
      <x:c r="B616" s="7" t="str">
        <x:v>Tata</x:v>
      </x:c>
      <x:c r="C616" s="7" t="str">
        <x:v>Tiago</x:v>
      </x:c>
      <x:c r="D616" s="7" t="str">
        <x:v>XE CNG</x:v>
      </x:c>
      <x:c r="E616" s="7" t="str">
        <x:v>CNG</x:v>
      </x:c>
      <x:c r="F616" s="7" t="str">
        <x:v>Manual</x:v>
      </x:c>
      <x:c r="G616" s="7" t="str">
        <x:v>Hatchback</x:v>
      </x:c>
      <x:c r="H616" s="7" t="n">
        <x:v>1199</x:v>
      </x:c>
      <x:c r="I616" s="7" t="n">
        <x:v>72</x:v>
      </x:c>
      <x:c r="J616" s="9" t="n">
        <x:v>26.5</x:v>
      </x:c>
      <x:c r="K616" s="9" t="n">
        <x:v>6.8</x:v>
      </x:c>
      <x:c r="L616" s="7" t="n">
        <x:v>2020</x:v>
      </x:c>
      <x:c r="M616" s="11" t="n">
        <x:v>120498</x:v>
      </x:c>
      <x:c r="N616" s="7" t="n">
        <x:v>1</x:v>
      </x:c>
      <x:c r="O616" s="7" t="n">
        <x:v>0</x:v>
      </x:c>
      <x:c r="P616" s="9" t="n">
        <x:v>2.55</x:v>
      </x:c>
      <x:c r="Q616" s="7" t="n">
        <x:f>'Guide'!$B$5-L616</x:f>
        <x:v>6</x:v>
      </x:c>
      <x:c r="R616" s="9" t="n">
        <x:f>K616-P616</x:f>
        <x:v>4.25</x:v>
      </x:c>
      <x:c r="S616" s="10" t="n">
        <x:f>IF(K616&gt;0,R616/K616,"")</x:f>
        <x:v>0.625</x:v>
      </x:c>
    </x:row>
    <x:row r="617">
      <x:c r="A617" s="7" t="n">
        <x:v>613</x:v>
      </x:c>
      <x:c r="B617" s="7" t="str">
        <x:v>Tata</x:v>
      </x:c>
      <x:c r="C617" s="7" t="str">
        <x:v>Tiago</x:v>
      </x:c>
      <x:c r="D617" s="7" t="str">
        <x:v>XE CNG</x:v>
      </x:c>
      <x:c r="E617" s="7" t="str">
        <x:v>CNG</x:v>
      </x:c>
      <x:c r="F617" s="7" t="str">
        <x:v>Manual</x:v>
      </x:c>
      <x:c r="G617" s="7" t="str">
        <x:v>Hatchback</x:v>
      </x:c>
      <x:c r="H617" s="7" t="n">
        <x:v>1199</x:v>
      </x:c>
      <x:c r="I617" s="7" t="n">
        <x:v>72</x:v>
      </x:c>
      <x:c r="J617" s="9" t="n">
        <x:v>26.5</x:v>
      </x:c>
      <x:c r="K617" s="9" t="n">
        <x:v>6.8</x:v>
      </x:c>
      <x:c r="L617" s="7" t="n">
        <x:v>2024</x:v>
      </x:c>
      <x:c r="M617" s="11" t="n">
        <x:v>42452</x:v>
      </x:c>
      <x:c r="N617" s="7" t="n">
        <x:v>2</x:v>
      </x:c>
      <x:c r="O617" s="7" t="n">
        <x:v>0</x:v>
      </x:c>
      <x:c r="P617" s="9" t="n">
        <x:v>5</x:v>
      </x:c>
      <x:c r="Q617" s="7" t="n">
        <x:f>'Guide'!$B$5-L617</x:f>
        <x:v>2</x:v>
      </x:c>
      <x:c r="R617" s="9" t="n">
        <x:f>K617-P617</x:f>
        <x:v>1.7999999999999998</x:v>
      </x:c>
      <x:c r="S617" s="10" t="n">
        <x:f>IF(K617&gt;0,R617/K617,"")</x:f>
        <x:v>0.2647058823529412</x:v>
      </x:c>
    </x:row>
    <x:row r="618">
      <x:c r="A618" s="7" t="n">
        <x:v>614</x:v>
      </x:c>
      <x:c r="B618" s="7" t="str">
        <x:v>Tata</x:v>
      </x:c>
      <x:c r="C618" s="7" t="str">
        <x:v>Tiago</x:v>
      </x:c>
      <x:c r="D618" s="7" t="str">
        <x:v>XE CNG</x:v>
      </x:c>
      <x:c r="E618" s="7" t="str">
        <x:v>CNG</x:v>
      </x:c>
      <x:c r="F618" s="7" t="str">
        <x:v>Manual</x:v>
      </x:c>
      <x:c r="G618" s="7" t="str">
        <x:v>Hatchback</x:v>
      </x:c>
      <x:c r="H618" s="7" t="n">
        <x:v>1199</x:v>
      </x:c>
      <x:c r="I618" s="7" t="n">
        <x:v>72</x:v>
      </x:c>
      <x:c r="J618" s="9" t="n">
        <x:v>26.5</x:v>
      </x:c>
      <x:c r="K618" s="9" t="n">
        <x:v>6.8</x:v>
      </x:c>
      <x:c r="L618" s="7" t="n">
        <x:v>2023</x:v>
      </x:c>
      <x:c r="M618" s="11" t="n">
        <x:v>29572</x:v>
      </x:c>
      <x:c r="N618" s="7" t="n">
        <x:v>1</x:v>
      </x:c>
      <x:c r="O618" s="7" t="n">
        <x:v>0</x:v>
      </x:c>
      <x:c r="P618" s="9" t="n">
        <x:v>4.94</x:v>
      </x:c>
      <x:c r="Q618" s="7" t="n">
        <x:f>'Guide'!$B$5-L618</x:f>
        <x:v>3</x:v>
      </x:c>
      <x:c r="R618" s="9" t="n">
        <x:f>K618-P618</x:f>
        <x:v>1.8599999999999994</x:v>
      </x:c>
      <x:c r="S618" s="10" t="n">
        <x:f>IF(K618&gt;0,R618/K618,"")</x:f>
        <x:v>0.2735294117647058</x:v>
      </x:c>
    </x:row>
    <x:row r="619">
      <x:c r="A619" s="7" t="n">
        <x:v>615</x:v>
      </x:c>
      <x:c r="B619" s="7" t="str">
        <x:v>Tata</x:v>
      </x:c>
      <x:c r="C619" s="7" t="str">
        <x:v>Tiago</x:v>
      </x:c>
      <x:c r="D619" s="7" t="str">
        <x:v>XE CNG</x:v>
      </x:c>
      <x:c r="E619" s="7" t="str">
        <x:v>CNG</x:v>
      </x:c>
      <x:c r="F619" s="7" t="str">
        <x:v>Manual</x:v>
      </x:c>
      <x:c r="G619" s="7" t="str">
        <x:v>Hatchback</x:v>
      </x:c>
      <x:c r="H619" s="7" t="n">
        <x:v>1199</x:v>
      </x:c>
      <x:c r="I619" s="7" t="n">
        <x:v>72</x:v>
      </x:c>
      <x:c r="J619" s="9" t="n">
        <x:v>26.5</x:v>
      </x:c>
      <x:c r="K619" s="9" t="n">
        <x:v>6.8</x:v>
      </x:c>
      <x:c r="L619" s="7" t="n">
        <x:v>2026</x:v>
      </x:c>
      <x:c r="M619" s="11" t="n">
        <x:v>7756</x:v>
      </x:c>
      <x:c r="N619" s="7" t="n">
        <x:v>1</x:v>
      </x:c>
      <x:c r="O619" s="7" t="n">
        <x:v>0</x:v>
      </x:c>
      <x:c r="P619" s="9" t="n">
        <x:v>7.03</x:v>
      </x:c>
      <x:c r="Q619" s="7" t="n">
        <x:f>'Guide'!$B$5-L619</x:f>
        <x:v>0</x:v>
      </x:c>
      <x:c r="R619" s="9" t="n">
        <x:f>K619-P619</x:f>
        <x:v>-0.23000000000000043</x:v>
      </x:c>
      <x:c r="S619" s="10" t="n">
        <x:f>IF(K619&gt;0,R619/K619,"")</x:f>
        <x:v>-0.033823529411764766</x:v>
      </x:c>
    </x:row>
    <x:row r="620">
      <x:c r="A620" s="7" t="n">
        <x:v>616</x:v>
      </x:c>
      <x:c r="B620" s="7" t="str">
        <x:v>Tata</x:v>
      </x:c>
      <x:c r="C620" s="7" t="str">
        <x:v>Tiago</x:v>
      </x:c>
      <x:c r="D620" s="7" t="str">
        <x:v>XE CNG</x:v>
      </x:c>
      <x:c r="E620" s="7" t="str">
        <x:v>CNG</x:v>
      </x:c>
      <x:c r="F620" s="7" t="str">
        <x:v>Manual</x:v>
      </x:c>
      <x:c r="G620" s="7" t="str">
        <x:v>Hatchback</x:v>
      </x:c>
      <x:c r="H620" s="7" t="n">
        <x:v>1199</x:v>
      </x:c>
      <x:c r="I620" s="7" t="n">
        <x:v>72</x:v>
      </x:c>
      <x:c r="J620" s="9" t="n">
        <x:v>26.5</x:v>
      </x:c>
      <x:c r="K620" s="9" t="n">
        <x:v>6.8</x:v>
      </x:c>
      <x:c r="L620" s="7" t="n">
        <x:v>2024</x:v>
      </x:c>
      <x:c r="M620" s="11" t="n">
        <x:v>40761</x:v>
      </x:c>
      <x:c r="N620" s="7" t="n">
        <x:v>1</x:v>
      </x:c>
      <x:c r="O620" s="7" t="n">
        <x:v>0</x:v>
      </x:c>
      <x:c r="P620" s="9" t="n">
        <x:v>5.36</x:v>
      </x:c>
      <x:c r="Q620" s="7" t="n">
        <x:f>'Guide'!$B$5-L620</x:f>
        <x:v>2</x:v>
      </x:c>
      <x:c r="R620" s="9" t="n">
        <x:f>K620-P620</x:f>
        <x:v>1.4399999999999995</x:v>
      </x:c>
      <x:c r="S620" s="10" t="n">
        <x:f>IF(K620&gt;0,R620/K620,"")</x:f>
        <x:v>0.21176470588235288</x:v>
      </x:c>
    </x:row>
    <x:row r="621">
      <x:c r="A621" s="7" t="n">
        <x:v>617</x:v>
      </x:c>
      <x:c r="B621" s="7" t="str">
        <x:v>Tata</x:v>
      </x:c>
      <x:c r="C621" s="7" t="str">
        <x:v>Tiago</x:v>
      </x:c>
      <x:c r="D621" s="7" t="str">
        <x:v>XE CNG</x:v>
      </x:c>
      <x:c r="E621" s="7" t="str">
        <x:v>CNG</x:v>
      </x:c>
      <x:c r="F621" s="7" t="str">
        <x:v>Manual</x:v>
      </x:c>
      <x:c r="G621" s="7" t="str">
        <x:v>Hatchback</x:v>
      </x:c>
      <x:c r="H621" s="7" t="n">
        <x:v>1199</x:v>
      </x:c>
      <x:c r="I621" s="7" t="n">
        <x:v>72</x:v>
      </x:c>
      <x:c r="J621" s="9" t="n">
        <x:v>26.5</x:v>
      </x:c>
      <x:c r="K621" s="9" t="n">
        <x:v>6.8</x:v>
      </x:c>
      <x:c r="L621" s="7" t="n">
        <x:v>2022</x:v>
      </x:c>
      <x:c r="M621" s="11" t="n">
        <x:v>54579</x:v>
      </x:c>
      <x:c r="N621" s="7" t="n">
        <x:v>1</x:v>
      </x:c>
      <x:c r="O621" s="7" t="n">
        <x:v>0</x:v>
      </x:c>
      <x:c r="P621" s="9" t="n">
        <x:v>4.36</x:v>
      </x:c>
      <x:c r="Q621" s="7" t="n">
        <x:f>'Guide'!$B$5-L621</x:f>
        <x:v>4</x:v>
      </x:c>
      <x:c r="R621" s="9" t="n">
        <x:f>K621-P621</x:f>
        <x:v>2.4399999999999995</x:v>
      </x:c>
      <x:c r="S621" s="10" t="n">
        <x:f>IF(K621&gt;0,R621/K621,"")</x:f>
        <x:v>0.35882352941176465</x:v>
      </x:c>
    </x:row>
    <x:row r="622">
      <x:c r="A622" s="7" t="n">
        <x:v>618</x:v>
      </x:c>
      <x:c r="B622" s="7" t="str">
        <x:v>Tata</x:v>
      </x:c>
      <x:c r="C622" s="7" t="str">
        <x:v>Tiago</x:v>
      </x:c>
      <x:c r="D622" s="7" t="str">
        <x:v>XE CNG</x:v>
      </x:c>
      <x:c r="E622" s="7" t="str">
        <x:v>CNG</x:v>
      </x:c>
      <x:c r="F622" s="7" t="str">
        <x:v>Manual</x:v>
      </x:c>
      <x:c r="G622" s="7" t="str">
        <x:v>Hatchback</x:v>
      </x:c>
      <x:c r="H622" s="7" t="n">
        <x:v>1199</x:v>
      </x:c>
      <x:c r="I622" s="7" t="n">
        <x:v>72</x:v>
      </x:c>
      <x:c r="J622" s="9" t="n">
        <x:v>26.5</x:v>
      </x:c>
      <x:c r="K622" s="9" t="n">
        <x:v>6.8</x:v>
      </x:c>
      <x:c r="L622" s="7" t="n">
        <x:v>2023</x:v>
      </x:c>
      <x:c r="M622" s="11" t="n">
        <x:v>57240</x:v>
      </x:c>
      <x:c r="N622" s="7" t="n">
        <x:v>1</x:v>
      </x:c>
      <x:c r="O622" s="7" t="n">
        <x:v>0</x:v>
      </x:c>
      <x:c r="P622" s="9" t="n">
        <x:v>4.47</x:v>
      </x:c>
      <x:c r="Q622" s="7" t="n">
        <x:f>'Guide'!$B$5-L622</x:f>
        <x:v>3</x:v>
      </x:c>
      <x:c r="R622" s="9" t="n">
        <x:f>K622-P622</x:f>
        <x:v>2.33</x:v>
      </x:c>
      <x:c r="S622" s="10" t="n">
        <x:f>IF(K622&gt;0,R622/K622,"")</x:f>
        <x:v>0.3426470588235294</x:v>
      </x:c>
    </x:row>
    <x:row r="623">
      <x:c r="A623" s="7" t="n">
        <x:v>619</x:v>
      </x:c>
      <x:c r="B623" s="7" t="str">
        <x:v>Tata</x:v>
      </x:c>
      <x:c r="C623" s="7" t="str">
        <x:v>Tiago</x:v>
      </x:c>
      <x:c r="D623" s="7" t="str">
        <x:v>XE CNG</x:v>
      </x:c>
      <x:c r="E623" s="7" t="str">
        <x:v>CNG</x:v>
      </x:c>
      <x:c r="F623" s="7" t="str">
        <x:v>Manual</x:v>
      </x:c>
      <x:c r="G623" s="7" t="str">
        <x:v>Hatchback</x:v>
      </x:c>
      <x:c r="H623" s="7" t="n">
        <x:v>1199</x:v>
      </x:c>
      <x:c r="I623" s="7" t="n">
        <x:v>72</x:v>
      </x:c>
      <x:c r="J623" s="9" t="n">
        <x:v>26.5</x:v>
      </x:c>
      <x:c r="K623" s="9" t="n">
        <x:v>6.8</x:v>
      </x:c>
      <x:c r="L623" s="7" t="n">
        <x:v>2021</x:v>
      </x:c>
      <x:c r="M623" s="11" t="n">
        <x:v>102502</x:v>
      </x:c>
      <x:c r="N623" s="7" t="n">
        <x:v>2</x:v>
      </x:c>
      <x:c r="O623" s="7" t="n">
        <x:v>0</x:v>
      </x:c>
      <x:c r="P623" s="9" t="n">
        <x:v>3.02</x:v>
      </x:c>
      <x:c r="Q623" s="7" t="n">
        <x:f>'Guide'!$B$5-L623</x:f>
        <x:v>5</x:v>
      </x:c>
      <x:c r="R623" s="9" t="n">
        <x:f>K623-P623</x:f>
        <x:v>3.78</x:v>
      </x:c>
      <x:c r="S623" s="10" t="n">
        <x:f>IF(K623&gt;0,R623/K623,"")</x:f>
        <x:v>0.5558823529411765</x:v>
      </x:c>
    </x:row>
    <x:row r="624">
      <x:c r="A624" s="7" t="n">
        <x:v>620</x:v>
      </x:c>
      <x:c r="B624" s="7" t="str">
        <x:v>Tata</x:v>
      </x:c>
      <x:c r="C624" s="7" t="str">
        <x:v>Tiago</x:v>
      </x:c>
      <x:c r="D624" s="7" t="str">
        <x:v>XE CNG</x:v>
      </x:c>
      <x:c r="E624" s="7" t="str">
        <x:v>CNG</x:v>
      </x:c>
      <x:c r="F624" s="7" t="str">
        <x:v>Manual</x:v>
      </x:c>
      <x:c r="G624" s="7" t="str">
        <x:v>Hatchback</x:v>
      </x:c>
      <x:c r="H624" s="7" t="n">
        <x:v>1199</x:v>
      </x:c>
      <x:c r="I624" s="7" t="n">
        <x:v>72</x:v>
      </x:c>
      <x:c r="J624" s="9" t="n">
        <x:v>26.5</x:v>
      </x:c>
      <x:c r="K624" s="9" t="n">
        <x:v>6.8</x:v>
      </x:c>
      <x:c r="L624" s="7" t="n">
        <x:v>2026</x:v>
      </x:c>
      <x:c r="M624" s="11" t="n">
        <x:v>5245</x:v>
      </x:c>
      <x:c r="N624" s="7" t="n">
        <x:v>1</x:v>
      </x:c>
      <x:c r="O624" s="7" t="n">
        <x:v>0</x:v>
      </x:c>
      <x:c r="P624" s="9" t="n">
        <x:v>6.37</x:v>
      </x:c>
      <x:c r="Q624" s="7" t="n">
        <x:f>'Guide'!$B$5-L624</x:f>
        <x:v>0</x:v>
      </x:c>
      <x:c r="R624" s="9" t="n">
        <x:f>K624-P624</x:f>
        <x:v>0.4299999999999997</x:v>
      </x:c>
      <x:c r="S624" s="10" t="n">
        <x:f>IF(K624&gt;0,R624/K624,"")</x:f>
        <x:v>0.06323529411764701</x:v>
      </x:c>
    </x:row>
    <x:row r="625">
      <x:c r="A625" s="7" t="n">
        <x:v>621</x:v>
      </x:c>
      <x:c r="B625" s="7" t="str">
        <x:v>Tata</x:v>
      </x:c>
      <x:c r="C625" s="7" t="str">
        <x:v>Tiago</x:v>
      </x:c>
      <x:c r="D625" s="7" t="str">
        <x:v>XE CNG</x:v>
      </x:c>
      <x:c r="E625" s="7" t="str">
        <x:v>CNG</x:v>
      </x:c>
      <x:c r="F625" s="7" t="str">
        <x:v>Manual</x:v>
      </x:c>
      <x:c r="G625" s="7" t="str">
        <x:v>Hatchback</x:v>
      </x:c>
      <x:c r="H625" s="7" t="n">
        <x:v>1199</x:v>
      </x:c>
      <x:c r="I625" s="7" t="n">
        <x:v>72</x:v>
      </x:c>
      <x:c r="J625" s="9" t="n">
        <x:v>26.5</x:v>
      </x:c>
      <x:c r="K625" s="9" t="n">
        <x:v>6.8</x:v>
      </x:c>
      <x:c r="L625" s="7" t="n">
        <x:v>2020</x:v>
      </x:c>
      <x:c r="M625" s="11" t="n">
        <x:v>121586</x:v>
      </x:c>
      <x:c r="N625" s="7" t="n">
        <x:v>1</x:v>
      </x:c>
      <x:c r="O625" s="7" t="n">
        <x:v>0</x:v>
      </x:c>
      <x:c r="P625" s="9" t="n">
        <x:v>2.25</x:v>
      </x:c>
      <x:c r="Q625" s="7" t="n">
        <x:f>'Guide'!$B$5-L625</x:f>
        <x:v>6</x:v>
      </x:c>
      <x:c r="R625" s="9" t="n">
        <x:f>K625-P625</x:f>
        <x:v>4.55</x:v>
      </x:c>
      <x:c r="S625" s="10" t="n">
        <x:f>IF(K625&gt;0,R625/K625,"")</x:f>
        <x:v>0.6691176470588235</x:v>
      </x:c>
    </x:row>
    <x:row r="626">
      <x:c r="A626" s="7" t="n">
        <x:v>622</x:v>
      </x:c>
      <x:c r="B626" s="7" t="str">
        <x:v>Tata</x:v>
      </x:c>
      <x:c r="C626" s="7" t="str">
        <x:v>Tiago</x:v>
      </x:c>
      <x:c r="D626" s="7" t="str">
        <x:v>XE CNG</x:v>
      </x:c>
      <x:c r="E626" s="7" t="str">
        <x:v>CNG</x:v>
      </x:c>
      <x:c r="F626" s="7" t="str">
        <x:v>Manual</x:v>
      </x:c>
      <x:c r="G626" s="7" t="str">
        <x:v>Hatchback</x:v>
      </x:c>
      <x:c r="H626" s="7" t="n">
        <x:v>1199</x:v>
      </x:c>
      <x:c r="I626" s="7" t="n">
        <x:v>72</x:v>
      </x:c>
      <x:c r="J626" s="9" t="n">
        <x:v>26.5</x:v>
      </x:c>
      <x:c r="K626" s="9" t="n">
        <x:v>6.8</x:v>
      </x:c>
      <x:c r="L626" s="7" t="n">
        <x:v>2025</x:v>
      </x:c>
      <x:c r="M626" s="11" t="n">
        <x:v>25079</x:v>
      </x:c>
      <x:c r="N626" s="7" t="n">
        <x:v>1</x:v>
      </x:c>
      <x:c r="O626" s="7" t="n">
        <x:v>1</x:v>
      </x:c>
      <x:c r="P626" s="9" t="n">
        <x:v>4.99</x:v>
      </x:c>
      <x:c r="Q626" s="7" t="n">
        <x:f>'Guide'!$B$5-L626</x:f>
        <x:v>1</x:v>
      </x:c>
      <x:c r="R626" s="9" t="n">
        <x:f>K626-P626</x:f>
        <x:v>1.8099999999999996</x:v>
      </x:c>
      <x:c r="S626" s="10" t="n">
        <x:f>IF(K626&gt;0,R626/K626,"")</x:f>
        <x:v>0.26617647058823524</x:v>
      </x:c>
    </x:row>
    <x:row r="627">
      <x:c r="A627" s="7" t="n">
        <x:v>623</x:v>
      </x:c>
      <x:c r="B627" s="7" t="str">
        <x:v>Tata</x:v>
      </x:c>
      <x:c r="C627" s="7" t="str">
        <x:v>Tiago</x:v>
      </x:c>
      <x:c r="D627" s="7" t="str">
        <x:v>XE CNG</x:v>
      </x:c>
      <x:c r="E627" s="7" t="str">
        <x:v>CNG</x:v>
      </x:c>
      <x:c r="F627" s="7" t="str">
        <x:v>Manual</x:v>
      </x:c>
      <x:c r="G627" s="7" t="str">
        <x:v>Hatchback</x:v>
      </x:c>
      <x:c r="H627" s="7" t="n">
        <x:v>1199</x:v>
      </x:c>
      <x:c r="I627" s="7" t="n">
        <x:v>72</x:v>
      </x:c>
      <x:c r="J627" s="9" t="n">
        <x:v>26.5</x:v>
      </x:c>
      <x:c r="K627" s="9" t="n">
        <x:v>6.8</x:v>
      </x:c>
      <x:c r="L627" s="7" t="n">
        <x:v>2024</x:v>
      </x:c>
      <x:c r="M627" s="11" t="n">
        <x:v>44115</x:v>
      </x:c>
      <x:c r="N627" s="7" t="n">
        <x:v>1</x:v>
      </x:c>
      <x:c r="O627" s="7" t="n">
        <x:v>0</x:v>
      </x:c>
      <x:c r="P627" s="9" t="n">
        <x:v>5.42</x:v>
      </x:c>
      <x:c r="Q627" s="7" t="n">
        <x:f>'Guide'!$B$5-L627</x:f>
        <x:v>2</x:v>
      </x:c>
      <x:c r="R627" s="9" t="n">
        <x:f>K627-P627</x:f>
        <x:v>1.38</x:v>
      </x:c>
      <x:c r="S627" s="10" t="n">
        <x:f>IF(K627&gt;0,R627/K627,"")</x:f>
        <x:v>0.20294117647058824</x:v>
      </x:c>
    </x:row>
    <x:row r="628">
      <x:c r="A628" s="7" t="n">
        <x:v>624</x:v>
      </x:c>
      <x:c r="B628" s="7" t="str">
        <x:v>Tata</x:v>
      </x:c>
      <x:c r="C628" s="7" t="str">
        <x:v>Tiago</x:v>
      </x:c>
      <x:c r="D628" s="7" t="str">
        <x:v>XE CNG</x:v>
      </x:c>
      <x:c r="E628" s="7" t="str">
        <x:v>CNG</x:v>
      </x:c>
      <x:c r="F628" s="7" t="str">
        <x:v>Manual</x:v>
      </x:c>
      <x:c r="G628" s="7" t="str">
        <x:v>Hatchback</x:v>
      </x:c>
      <x:c r="H628" s="7" t="n">
        <x:v>1199</x:v>
      </x:c>
      <x:c r="I628" s="7" t="n">
        <x:v>72</x:v>
      </x:c>
      <x:c r="J628" s="9" t="n">
        <x:v>26.5</x:v>
      </x:c>
      <x:c r="K628" s="9" t="n">
        <x:v>6.8</x:v>
      </x:c>
      <x:c r="L628" s="7" t="n">
        <x:v>2022</x:v>
      </x:c>
      <x:c r="M628" s="11" t="n">
        <x:v>72981</x:v>
      </x:c>
      <x:c r="N628" s="7" t="n">
        <x:v>1</x:v>
      </x:c>
      <x:c r="O628" s="7" t="n">
        <x:v>0</x:v>
      </x:c>
      <x:c r="P628" s="9" t="n">
        <x:v>3.83</x:v>
      </x:c>
      <x:c r="Q628" s="7" t="n">
        <x:f>'Guide'!$B$5-L628</x:f>
        <x:v>4</x:v>
      </x:c>
      <x:c r="R628" s="9" t="n">
        <x:f>K628-P628</x:f>
        <x:v>2.9699999999999998</x:v>
      </x:c>
      <x:c r="S628" s="10" t="n">
        <x:f>IF(K628&gt;0,R628/K628,"")</x:f>
        <x:v>0.4367647058823529</x:v>
      </x:c>
    </x:row>
    <x:row r="629">
      <x:c r="A629" s="7" t="n">
        <x:v>625</x:v>
      </x:c>
      <x:c r="B629" s="7" t="str">
        <x:v>Tata</x:v>
      </x:c>
      <x:c r="C629" s="7" t="str">
        <x:v>Tiago</x:v>
      </x:c>
      <x:c r="D629" s="7" t="str">
        <x:v>XE CNG</x:v>
      </x:c>
      <x:c r="E629" s="7" t="str">
        <x:v>CNG</x:v>
      </x:c>
      <x:c r="F629" s="7" t="str">
        <x:v>Manual</x:v>
      </x:c>
      <x:c r="G629" s="7" t="str">
        <x:v>Hatchback</x:v>
      </x:c>
      <x:c r="H629" s="7" t="n">
        <x:v>1199</x:v>
      </x:c>
      <x:c r="I629" s="7" t="n">
        <x:v>72</x:v>
      </x:c>
      <x:c r="J629" s="9" t="n">
        <x:v>26.5</x:v>
      </x:c>
      <x:c r="K629" s="9" t="n">
        <x:v>6.8</x:v>
      </x:c>
      <x:c r="L629" s="7" t="n">
        <x:v>2026</x:v>
      </x:c>
      <x:c r="M629" s="11" t="n">
        <x:v>7554</x:v>
      </x:c>
      <x:c r="N629" s="7" t="n">
        <x:v>1</x:v>
      </x:c>
      <x:c r="O629" s="7" t="n">
        <x:v>0</x:v>
      </x:c>
      <x:c r="P629" s="9" t="n">
        <x:v>7.02</x:v>
      </x:c>
      <x:c r="Q629" s="7" t="n">
        <x:f>'Guide'!$B$5-L629</x:f>
        <x:v>0</x:v>
      </x:c>
      <x:c r="R629" s="9" t="n">
        <x:f>K629-P629</x:f>
        <x:v>-0.21999999999999975</x:v>
      </x:c>
      <x:c r="S629" s="10" t="n">
        <x:f>IF(K629&gt;0,R629/K629,"")</x:f>
        <x:v>-0.03235294117647055</x:v>
      </x:c>
    </x:row>
    <x:row r="630">
      <x:c r="A630" s="7" t="n">
        <x:v>626</x:v>
      </x:c>
      <x:c r="B630" s="7" t="str">
        <x:v>Tata</x:v>
      </x:c>
      <x:c r="C630" s="7" t="str">
        <x:v>Tiago</x:v>
      </x:c>
      <x:c r="D630" s="7" t="str">
        <x:v>XE CNG</x:v>
      </x:c>
      <x:c r="E630" s="7" t="str">
        <x:v>CNG</x:v>
      </x:c>
      <x:c r="F630" s="7" t="str">
        <x:v>Manual</x:v>
      </x:c>
      <x:c r="G630" s="7" t="str">
        <x:v>Hatchback</x:v>
      </x:c>
      <x:c r="H630" s="7" t="n">
        <x:v>1199</x:v>
      </x:c>
      <x:c r="I630" s="7" t="n">
        <x:v>72</x:v>
      </x:c>
      <x:c r="J630" s="9" t="n">
        <x:v>26.5</x:v>
      </x:c>
      <x:c r="K630" s="9" t="n">
        <x:v>6.8</x:v>
      </x:c>
      <x:c r="L630" s="7" t="n">
        <x:v>2021</x:v>
      </x:c>
      <x:c r="M630" s="11" t="n">
        <x:v>106700</x:v>
      </x:c>
      <x:c r="N630" s="7" t="n">
        <x:v>1</x:v>
      </x:c>
      <x:c r="O630" s="7" t="n">
        <x:v>0</x:v>
      </x:c>
      <x:c r="P630" s="9" t="n">
        <x:v>3.29</x:v>
      </x:c>
      <x:c r="Q630" s="7" t="n">
        <x:f>'Guide'!$B$5-L630</x:f>
        <x:v>5</x:v>
      </x:c>
      <x:c r="R630" s="9" t="n">
        <x:f>K630-P630</x:f>
        <x:v>3.51</x:v>
      </x:c>
      <x:c r="S630" s="10" t="n">
        <x:f>IF(K630&gt;0,R630/K630,"")</x:f>
        <x:v>0.5161764705882352</x:v>
      </x:c>
    </x:row>
    <x:row r="631">
      <x:c r="A631" s="7" t="n">
        <x:v>627</x:v>
      </x:c>
      <x:c r="B631" s="7" t="str">
        <x:v>Tata</x:v>
      </x:c>
      <x:c r="C631" s="7" t="str">
        <x:v>Tiago</x:v>
      </x:c>
      <x:c r="D631" s="7" t="str">
        <x:v>XE CNG</x:v>
      </x:c>
      <x:c r="E631" s="7" t="str">
        <x:v>CNG</x:v>
      </x:c>
      <x:c r="F631" s="7" t="str">
        <x:v>Manual</x:v>
      </x:c>
      <x:c r="G631" s="7" t="str">
        <x:v>Hatchback</x:v>
      </x:c>
      <x:c r="H631" s="7" t="n">
        <x:v>1199</x:v>
      </x:c>
      <x:c r="I631" s="7" t="n">
        <x:v>72</x:v>
      </x:c>
      <x:c r="J631" s="9" t="n">
        <x:v>26.5</x:v>
      </x:c>
      <x:c r="K631" s="9" t="n">
        <x:v>6.8</x:v>
      </x:c>
      <x:c r="L631" s="7" t="n">
        <x:v>2020</x:v>
      </x:c>
      <x:c r="M631" s="11" t="n">
        <x:v>98052</x:v>
      </x:c>
      <x:c r="N631" s="7" t="n">
        <x:v>1</x:v>
      </x:c>
      <x:c r="O631" s="7" t="n">
        <x:v>0</x:v>
      </x:c>
      <x:c r="P631" s="9" t="n">
        <x:v>2.46</x:v>
      </x:c>
      <x:c r="Q631" s="7" t="n">
        <x:f>'Guide'!$B$5-L631</x:f>
        <x:v>6</x:v>
      </x:c>
      <x:c r="R631" s="9" t="n">
        <x:f>K631-P631</x:f>
        <x:v>4.34</x:v>
      </x:c>
      <x:c r="S631" s="10" t="n">
        <x:f>IF(K631&gt;0,R631/K631,"")</x:f>
        <x:v>0.638235294117647</x:v>
      </x:c>
    </x:row>
    <x:row r="632">
      <x:c r="A632" s="7" t="n">
        <x:v>628</x:v>
      </x:c>
      <x:c r="B632" s="7" t="str">
        <x:v>Tata</x:v>
      </x:c>
      <x:c r="C632" s="7" t="str">
        <x:v>Tiago</x:v>
      </x:c>
      <x:c r="D632" s="7" t="str">
        <x:v>XE CNG</x:v>
      </x:c>
      <x:c r="E632" s="7" t="str">
        <x:v>CNG</x:v>
      </x:c>
      <x:c r="F632" s="7" t="str">
        <x:v>Manual</x:v>
      </x:c>
      <x:c r="G632" s="7" t="str">
        <x:v>Hatchback</x:v>
      </x:c>
      <x:c r="H632" s="7" t="n">
        <x:v>1199</x:v>
      </x:c>
      <x:c r="I632" s="7" t="n">
        <x:v>72</x:v>
      </x:c>
      <x:c r="J632" s="9" t="n">
        <x:v>26.5</x:v>
      </x:c>
      <x:c r="K632" s="9" t="n">
        <x:v>6.8</x:v>
      </x:c>
      <x:c r="L632" s="7" t="n">
        <x:v>2020</x:v>
      </x:c>
      <x:c r="M632" s="11" t="n">
        <x:v>121964</x:v>
      </x:c>
      <x:c r="N632" s="7" t="n">
        <x:v>1</x:v>
      </x:c>
      <x:c r="O632" s="7" t="n">
        <x:v>0</x:v>
      </x:c>
      <x:c r="P632" s="9" t="n">
        <x:v>2.58</x:v>
      </x:c>
      <x:c r="Q632" s="7" t="n">
        <x:f>'Guide'!$B$5-L632</x:f>
        <x:v>6</x:v>
      </x:c>
      <x:c r="R632" s="9" t="n">
        <x:f>K632-P632</x:f>
        <x:v>4.22</x:v>
      </x:c>
      <x:c r="S632" s="10" t="n">
        <x:f>IF(K632&gt;0,R632/K632,"")</x:f>
        <x:v>0.6205882352941177</x:v>
      </x:c>
    </x:row>
    <x:row r="633">
      <x:c r="A633" s="7" t="n">
        <x:v>629</x:v>
      </x:c>
      <x:c r="B633" s="7" t="str">
        <x:v>Tata</x:v>
      </x:c>
      <x:c r="C633" s="7" t="str">
        <x:v>Tiago</x:v>
      </x:c>
      <x:c r="D633" s="7" t="str">
        <x:v>XE CNG</x:v>
      </x:c>
      <x:c r="E633" s="7" t="str">
        <x:v>CNG</x:v>
      </x:c>
      <x:c r="F633" s="7" t="str">
        <x:v>Manual</x:v>
      </x:c>
      <x:c r="G633" s="7" t="str">
        <x:v>Hatchback</x:v>
      </x:c>
      <x:c r="H633" s="7" t="n">
        <x:v>1199</x:v>
      </x:c>
      <x:c r="I633" s="7" t="n">
        <x:v>72</x:v>
      </x:c>
      <x:c r="J633" s="9" t="n">
        <x:v>26.5</x:v>
      </x:c>
      <x:c r="K633" s="9" t="n">
        <x:v>6.8</x:v>
      </x:c>
      <x:c r="L633" s="7" t="n">
        <x:v>2023</x:v>
      </x:c>
      <x:c r="M633" s="11" t="n">
        <x:v>57123</x:v>
      </x:c>
      <x:c r="N633" s="7" t="n">
        <x:v>3</x:v>
      </x:c>
      <x:c r="O633" s="7" t="n">
        <x:v>0</x:v>
      </x:c>
      <x:c r="P633" s="9" t="n">
        <x:v>3.77</x:v>
      </x:c>
      <x:c r="Q633" s="7" t="n">
        <x:f>'Guide'!$B$5-L633</x:f>
        <x:v>3</x:v>
      </x:c>
      <x:c r="R633" s="9" t="n">
        <x:f>K633-P633</x:f>
        <x:v>3.03</x:v>
      </x:c>
      <x:c r="S633" s="10" t="n">
        <x:f>IF(K633&gt;0,R633/K633,"")</x:f>
        <x:v>0.4455882352941176</x:v>
      </x:c>
    </x:row>
    <x:row r="634">
      <x:c r="A634" s="7" t="n">
        <x:v>630</x:v>
      </x:c>
      <x:c r="B634" s="7" t="str">
        <x:v>Tata</x:v>
      </x:c>
      <x:c r="C634" s="7" t="str">
        <x:v>Tiago</x:v>
      </x:c>
      <x:c r="D634" s="7" t="str">
        <x:v>XE CNG</x:v>
      </x:c>
      <x:c r="E634" s="7" t="str">
        <x:v>CNG</x:v>
      </x:c>
      <x:c r="F634" s="7" t="str">
        <x:v>Manual</x:v>
      </x:c>
      <x:c r="G634" s="7" t="str">
        <x:v>Hatchback</x:v>
      </x:c>
      <x:c r="H634" s="7" t="n">
        <x:v>1199</x:v>
      </x:c>
      <x:c r="I634" s="7" t="n">
        <x:v>72</x:v>
      </x:c>
      <x:c r="J634" s="9" t="n">
        <x:v>26.5</x:v>
      </x:c>
      <x:c r="K634" s="9" t="n">
        <x:v>6.8</x:v>
      </x:c>
      <x:c r="L634" s="7" t="n">
        <x:v>2021</x:v>
      </x:c>
      <x:c r="M634" s="11" t="n">
        <x:v>69202</x:v>
      </x:c>
      <x:c r="N634" s="7" t="n">
        <x:v>3</x:v>
      </x:c>
      <x:c r="O634" s="7" t="n">
        <x:v>0</x:v>
      </x:c>
      <x:c r="P634" s="9" t="n">
        <x:v>2.41</x:v>
      </x:c>
      <x:c r="Q634" s="7" t="n">
        <x:f>'Guide'!$B$5-L634</x:f>
        <x:v>5</x:v>
      </x:c>
      <x:c r="R634" s="9" t="n">
        <x:f>K634-P634</x:f>
        <x:v>4.39</x:v>
      </x:c>
      <x:c r="S634" s="10" t="n">
        <x:f>IF(K634&gt;0,R634/K634,"")</x:f>
        <x:v>0.6455882352941176</x:v>
      </x:c>
    </x:row>
    <x:row r="635">
      <x:c r="A635" s="7" t="n">
        <x:v>631</x:v>
      </x:c>
      <x:c r="B635" s="7" t="str">
        <x:v>Tata</x:v>
      </x:c>
      <x:c r="C635" s="7" t="str">
        <x:v>Tiago</x:v>
      </x:c>
      <x:c r="D635" s="7" t="str">
        <x:v>XE CNG</x:v>
      </x:c>
      <x:c r="E635" s="7" t="str">
        <x:v>CNG</x:v>
      </x:c>
      <x:c r="F635" s="7" t="str">
        <x:v>Manual</x:v>
      </x:c>
      <x:c r="G635" s="7" t="str">
        <x:v>Hatchback</x:v>
      </x:c>
      <x:c r="H635" s="7" t="n">
        <x:v>1199</x:v>
      </x:c>
      <x:c r="I635" s="7" t="n">
        <x:v>72</x:v>
      </x:c>
      <x:c r="J635" s="9" t="n">
        <x:v>26.5</x:v>
      </x:c>
      <x:c r="K635" s="9" t="n">
        <x:v>6.8</x:v>
      </x:c>
      <x:c r="L635" s="7" t="n">
        <x:v>2022</x:v>
      </x:c>
      <x:c r="M635" s="11" t="n">
        <x:v>75375</x:v>
      </x:c>
      <x:c r="N635" s="7" t="n">
        <x:v>2</x:v>
      </x:c>
      <x:c r="O635" s="7" t="n">
        <x:v>0</x:v>
      </x:c>
      <x:c r="P635" s="9" t="n">
        <x:v>3.72</x:v>
      </x:c>
      <x:c r="Q635" s="7" t="n">
        <x:f>'Guide'!$B$5-L635</x:f>
        <x:v>4</x:v>
      </x:c>
      <x:c r="R635" s="9" t="n">
        <x:f>K635-P635</x:f>
        <x:v>3.0799999999999996</x:v>
      </x:c>
      <x:c r="S635" s="10" t="n">
        <x:f>IF(K635&gt;0,R635/K635,"")</x:f>
        <x:v>0.4529411764705882</x:v>
      </x:c>
    </x:row>
    <x:row r="636">
      <x:c r="A636" s="7" t="n">
        <x:v>632</x:v>
      </x:c>
      <x:c r="B636" s="7" t="str">
        <x:v>Tata</x:v>
      </x:c>
      <x:c r="C636" s="7" t="str">
        <x:v>Tiago</x:v>
      </x:c>
      <x:c r="D636" s="7" t="str">
        <x:v>XE CNG</x:v>
      </x:c>
      <x:c r="E636" s="7" t="str">
        <x:v>CNG</x:v>
      </x:c>
      <x:c r="F636" s="7" t="str">
        <x:v>Manual</x:v>
      </x:c>
      <x:c r="G636" s="7" t="str">
        <x:v>Hatchback</x:v>
      </x:c>
      <x:c r="H636" s="7" t="n">
        <x:v>1199</x:v>
      </x:c>
      <x:c r="I636" s="7" t="n">
        <x:v>72</x:v>
      </x:c>
      <x:c r="J636" s="9" t="n">
        <x:v>26.5</x:v>
      </x:c>
      <x:c r="K636" s="9" t="n">
        <x:v>6.8</x:v>
      </x:c>
      <x:c r="L636" s="7" t="n">
        <x:v>2024</x:v>
      </x:c>
      <x:c r="M636" s="11" t="n">
        <x:v>43885</x:v>
      </x:c>
      <x:c r="N636" s="7" t="n">
        <x:v>1</x:v>
      </x:c>
      <x:c r="O636" s="7" t="n">
        <x:v>0</x:v>
      </x:c>
      <x:c r="P636" s="9" t="n">
        <x:v>5.64</x:v>
      </x:c>
      <x:c r="Q636" s="7" t="n">
        <x:f>'Guide'!$B$5-L636</x:f>
        <x:v>2</x:v>
      </x:c>
      <x:c r="R636" s="9" t="n">
        <x:f>K636-P636</x:f>
        <x:v>1.1600000000000001</x:v>
      </x:c>
      <x:c r="S636" s="10" t="n">
        <x:f>IF(K636&gt;0,R636/K636,"")</x:f>
        <x:v>0.17058823529411768</x:v>
      </x:c>
    </x:row>
    <x:row r="637">
      <x:c r="A637" s="7" t="n">
        <x:v>633</x:v>
      </x:c>
      <x:c r="B637" s="7" t="str">
        <x:v>Tata</x:v>
      </x:c>
      <x:c r="C637" s="7" t="str">
        <x:v>Tiago</x:v>
      </x:c>
      <x:c r="D637" s="7" t="str">
        <x:v>XE CNG</x:v>
      </x:c>
      <x:c r="E637" s="7" t="str">
        <x:v>CNG</x:v>
      </x:c>
      <x:c r="F637" s="7" t="str">
        <x:v>Manual</x:v>
      </x:c>
      <x:c r="G637" s="7" t="str">
        <x:v>Hatchback</x:v>
      </x:c>
      <x:c r="H637" s="7" t="n">
        <x:v>1199</x:v>
      </x:c>
      <x:c r="I637" s="7" t="n">
        <x:v>72</x:v>
      </x:c>
      <x:c r="J637" s="9" t="n">
        <x:v>26.5</x:v>
      </x:c>
      <x:c r="K637" s="9" t="n">
        <x:v>6.8</x:v>
      </x:c>
      <x:c r="L637" s="7" t="n">
        <x:v>2023</x:v>
      </x:c>
      <x:c r="M637" s="11" t="n">
        <x:v>33976</x:v>
      </x:c>
      <x:c r="N637" s="7" t="n">
        <x:v>2</x:v>
      </x:c>
      <x:c r="O637" s="7" t="n">
        <x:v>0</x:v>
      </x:c>
      <x:c r="P637" s="9" t="n">
        <x:v>4.54</x:v>
      </x:c>
      <x:c r="Q637" s="7" t="n">
        <x:f>'Guide'!$B$5-L637</x:f>
        <x:v>3</x:v>
      </x:c>
      <x:c r="R637" s="9" t="n">
        <x:f>K637-P637</x:f>
        <x:v>2.26</x:v>
      </x:c>
      <x:c r="S637" s="10" t="n">
        <x:f>IF(K637&gt;0,R637/K637,"")</x:f>
        <x:v>0.3323529411764706</x:v>
      </x:c>
    </x:row>
    <x:row r="638">
      <x:c r="A638" s="7" t="n">
        <x:v>634</x:v>
      </x:c>
      <x:c r="B638" s="7" t="str">
        <x:v>Tata</x:v>
      </x:c>
      <x:c r="C638" s="7" t="str">
        <x:v>Tiago</x:v>
      </x:c>
      <x:c r="D638" s="7" t="str">
        <x:v>XE CNG</x:v>
      </x:c>
      <x:c r="E638" s="7" t="str">
        <x:v>CNG</x:v>
      </x:c>
      <x:c r="F638" s="7" t="str">
        <x:v>Manual</x:v>
      </x:c>
      <x:c r="G638" s="7" t="str">
        <x:v>Hatchback</x:v>
      </x:c>
      <x:c r="H638" s="7" t="n">
        <x:v>1199</x:v>
      </x:c>
      <x:c r="I638" s="7" t="n">
        <x:v>72</x:v>
      </x:c>
      <x:c r="J638" s="9" t="n">
        <x:v>26.5</x:v>
      </x:c>
      <x:c r="K638" s="9" t="n">
        <x:v>6.8</x:v>
      </x:c>
      <x:c r="L638" s="7" t="n">
        <x:v>2026</x:v>
      </x:c>
      <x:c r="M638" s="11" t="n">
        <x:v>8941</x:v>
      </x:c>
      <x:c r="N638" s="7" t="n">
        <x:v>1</x:v>
      </x:c>
      <x:c r="O638" s="7" t="n">
        <x:v>0</x:v>
      </x:c>
      <x:c r="P638" s="9" t="n">
        <x:v>6.52</x:v>
      </x:c>
      <x:c r="Q638" s="7" t="n">
        <x:f>'Guide'!$B$5-L638</x:f>
        <x:v>0</x:v>
      </x:c>
      <x:c r="R638" s="9" t="n">
        <x:f>K638-P638</x:f>
        <x:v>0.28000000000000025</x:v>
      </x:c>
      <x:c r="S638" s="10" t="n">
        <x:f>IF(K638&gt;0,R638/K638,"")</x:f>
        <x:v>0.041176470588235335</x:v>
      </x:c>
    </x:row>
    <x:row r="639">
      <x:c r="A639" s="7" t="n">
        <x:v>635</x:v>
      </x:c>
      <x:c r="B639" s="7" t="str">
        <x:v>Tata</x:v>
      </x:c>
      <x:c r="C639" s="7" t="str">
        <x:v>Tiago</x:v>
      </x:c>
      <x:c r="D639" s="7" t="str">
        <x:v>XE CNG</x:v>
      </x:c>
      <x:c r="E639" s="7" t="str">
        <x:v>CNG</x:v>
      </x:c>
      <x:c r="F639" s="7" t="str">
        <x:v>Manual</x:v>
      </x:c>
      <x:c r="G639" s="7" t="str">
        <x:v>Hatchback</x:v>
      </x:c>
      <x:c r="H639" s="7" t="n">
        <x:v>1199</x:v>
      </x:c>
      <x:c r="I639" s="7" t="n">
        <x:v>72</x:v>
      </x:c>
      <x:c r="J639" s="9" t="n">
        <x:v>26.5</x:v>
      </x:c>
      <x:c r="K639" s="9" t="n">
        <x:v>6.8</x:v>
      </x:c>
      <x:c r="L639" s="7" t="n">
        <x:v>2022</x:v>
      </x:c>
      <x:c r="M639" s="11" t="n">
        <x:v>54421</x:v>
      </x:c>
      <x:c r="N639" s="7" t="n">
        <x:v>1</x:v>
      </x:c>
      <x:c r="O639" s="7" t="n">
        <x:v>0</x:v>
      </x:c>
      <x:c r="P639" s="9" t="n">
        <x:v>4.51</x:v>
      </x:c>
      <x:c r="Q639" s="7" t="n">
        <x:f>'Guide'!$B$5-L639</x:f>
        <x:v>4</x:v>
      </x:c>
      <x:c r="R639" s="9" t="n">
        <x:f>K639-P639</x:f>
        <x:v>2.29</x:v>
      </x:c>
      <x:c r="S639" s="10" t="n">
        <x:f>IF(K639&gt;0,R639/K639,"")</x:f>
        <x:v>0.33676470588235297</x:v>
      </x:c>
    </x:row>
    <x:row r="640">
      <x:c r="A640" s="7" t="n">
        <x:v>636</x:v>
      </x:c>
      <x:c r="B640" s="7" t="str">
        <x:v>Tata</x:v>
      </x:c>
      <x:c r="C640" s="7" t="str">
        <x:v>Tiago</x:v>
      </x:c>
      <x:c r="D640" s="7" t="str">
        <x:v>XE CNG</x:v>
      </x:c>
      <x:c r="E640" s="7" t="str">
        <x:v>CNG</x:v>
      </x:c>
      <x:c r="F640" s="7" t="str">
        <x:v>Manual</x:v>
      </x:c>
      <x:c r="G640" s="7" t="str">
        <x:v>Hatchback</x:v>
      </x:c>
      <x:c r="H640" s="7" t="n">
        <x:v>1199</x:v>
      </x:c>
      <x:c r="I640" s="7" t="n">
        <x:v>72</x:v>
      </x:c>
      <x:c r="J640" s="9" t="n">
        <x:v>26.5</x:v>
      </x:c>
      <x:c r="K640" s="9" t="n">
        <x:v>6.8</x:v>
      </x:c>
      <x:c r="L640" s="7" t="n">
        <x:v>2026</x:v>
      </x:c>
      <x:c r="M640" s="11" t="n">
        <x:v>5805</x:v>
      </x:c>
      <x:c r="N640" s="7" t="n">
        <x:v>1</x:v>
      </x:c>
      <x:c r="O640" s="7" t="n">
        <x:v>0</x:v>
      </x:c>
      <x:c r="P640" s="9" t="n">
        <x:v>6.42</x:v>
      </x:c>
      <x:c r="Q640" s="7" t="n">
        <x:f>'Guide'!$B$5-L640</x:f>
        <x:v>0</x:v>
      </x:c>
      <x:c r="R640" s="9" t="n">
        <x:f>K640-P640</x:f>
        <x:v>0.3799999999999999</x:v>
      </x:c>
      <x:c r="S640" s="10" t="n">
        <x:f>IF(K640&gt;0,R640/K640,"")</x:f>
        <x:v>0.05588235294117646</x:v>
      </x:c>
    </x:row>
    <x:row r="641">
      <x:c r="A641" s="7" t="n">
        <x:v>637</x:v>
      </x:c>
      <x:c r="B641" s="7" t="str">
        <x:v>Tata</x:v>
      </x:c>
      <x:c r="C641" s="7" t="str">
        <x:v>Tiago</x:v>
      </x:c>
      <x:c r="D641" s="7" t="str">
        <x:v>XE CNG</x:v>
      </x:c>
      <x:c r="E641" s="7" t="str">
        <x:v>CNG</x:v>
      </x:c>
      <x:c r="F641" s="7" t="str">
        <x:v>Manual</x:v>
      </x:c>
      <x:c r="G641" s="7" t="str">
        <x:v>Hatchback</x:v>
      </x:c>
      <x:c r="H641" s="7" t="n">
        <x:v>1199</x:v>
      </x:c>
      <x:c r="I641" s="7" t="n">
        <x:v>72</x:v>
      </x:c>
      <x:c r="J641" s="9" t="n">
        <x:v>26.5</x:v>
      </x:c>
      <x:c r="K641" s="9" t="n">
        <x:v>6.8</x:v>
      </x:c>
      <x:c r="L641" s="7" t="n">
        <x:v>2020</x:v>
      </x:c>
      <x:c r="M641" s="11" t="n">
        <x:v>110157</x:v>
      </x:c>
      <x:c r="N641" s="7" t="n">
        <x:v>1</x:v>
      </x:c>
      <x:c r="O641" s="7" t="n">
        <x:v>0</x:v>
      </x:c>
      <x:c r="P641" s="9" t="n">
        <x:v>2.67</x:v>
      </x:c>
      <x:c r="Q641" s="7" t="n">
        <x:f>'Guide'!$B$5-L641</x:f>
        <x:v>6</x:v>
      </x:c>
      <x:c r="R641" s="9" t="n">
        <x:f>K641-P641</x:f>
        <x:v>4.13</x:v>
      </x:c>
      <x:c r="S641" s="10" t="n">
        <x:f>IF(K641&gt;0,R641/K641,"")</x:f>
        <x:v>0.6073529411764705</x:v>
      </x:c>
    </x:row>
    <x:row r="642">
      <x:c r="A642" s="7" t="n">
        <x:v>638</x:v>
      </x:c>
      <x:c r="B642" s="7" t="str">
        <x:v>Tata</x:v>
      </x:c>
      <x:c r="C642" s="7" t="str">
        <x:v>Tiago</x:v>
      </x:c>
      <x:c r="D642" s="7" t="str">
        <x:v>XE CNG</x:v>
      </x:c>
      <x:c r="E642" s="7" t="str">
        <x:v>CNG</x:v>
      </x:c>
      <x:c r="F642" s="7" t="str">
        <x:v>Manual</x:v>
      </x:c>
      <x:c r="G642" s="7" t="str">
        <x:v>Hatchback</x:v>
      </x:c>
      <x:c r="H642" s="7" t="n">
        <x:v>1199</x:v>
      </x:c>
      <x:c r="I642" s="7" t="n">
        <x:v>72</x:v>
      </x:c>
      <x:c r="J642" s="9" t="n">
        <x:v>26.5</x:v>
      </x:c>
      <x:c r="K642" s="9" t="n">
        <x:v>6.8</x:v>
      </x:c>
      <x:c r="L642" s="7" t="n">
        <x:v>2023</x:v>
      </x:c>
      <x:c r="M642" s="11" t="n">
        <x:v>66043</x:v>
      </x:c>
      <x:c r="N642" s="7" t="n">
        <x:v>2</x:v>
      </x:c>
      <x:c r="O642" s="7" t="n">
        <x:v>0</x:v>
      </x:c>
      <x:c r="P642" s="9" t="n">
        <x:v>4.61</x:v>
      </x:c>
      <x:c r="Q642" s="7" t="n">
        <x:f>'Guide'!$B$5-L642</x:f>
        <x:v>3</x:v>
      </x:c>
      <x:c r="R642" s="9" t="n">
        <x:f>K642-P642</x:f>
        <x:v>2.1899999999999995</x:v>
      </x:c>
      <x:c r="S642" s="10" t="n">
        <x:f>IF(K642&gt;0,R642/K642,"")</x:f>
        <x:v>0.3220588235294117</x:v>
      </x:c>
    </x:row>
    <x:row r="643">
      <x:c r="A643" s="7" t="n">
        <x:v>639</x:v>
      </x:c>
      <x:c r="B643" s="7" t="str">
        <x:v>Tata</x:v>
      </x:c>
      <x:c r="C643" s="7" t="str">
        <x:v>Tiago</x:v>
      </x:c>
      <x:c r="D643" s="7" t="str">
        <x:v>XE CNG</x:v>
      </x:c>
      <x:c r="E643" s="7" t="str">
        <x:v>CNG</x:v>
      </x:c>
      <x:c r="F643" s="7" t="str">
        <x:v>Manual</x:v>
      </x:c>
      <x:c r="G643" s="7" t="str">
        <x:v>Hatchback</x:v>
      </x:c>
      <x:c r="H643" s="7" t="n">
        <x:v>1199</x:v>
      </x:c>
      <x:c r="I643" s="7" t="n">
        <x:v>72</x:v>
      </x:c>
      <x:c r="J643" s="9" t="n">
        <x:v>26.5</x:v>
      </x:c>
      <x:c r="K643" s="9" t="n">
        <x:v>6.8</x:v>
      </x:c>
      <x:c r="L643" s="7" t="n">
        <x:v>2024</x:v>
      </x:c>
      <x:c r="M643" s="11" t="n">
        <x:v>37169</x:v>
      </x:c>
      <x:c r="N643" s="7" t="n">
        <x:v>1</x:v>
      </x:c>
      <x:c r="O643" s="7" t="n">
        <x:v>0</x:v>
      </x:c>
      <x:c r="P643" s="9" t="n">
        <x:v>5.41</x:v>
      </x:c>
      <x:c r="Q643" s="7" t="n">
        <x:f>'Guide'!$B$5-L643</x:f>
        <x:v>2</x:v>
      </x:c>
      <x:c r="R643" s="9" t="n">
        <x:f>K643-P643</x:f>
        <x:v>1.3899999999999997</x:v>
      </x:c>
      <x:c r="S643" s="10" t="n">
        <x:f>IF(K643&gt;0,R643/K643,"")</x:f>
        <x:v>0.20441176470588232</x:v>
      </x:c>
    </x:row>
    <x:row r="644">
      <x:c r="A644" s="7" t="n">
        <x:v>640</x:v>
      </x:c>
      <x:c r="B644" s="7" t="str">
        <x:v>Tata</x:v>
      </x:c>
      <x:c r="C644" s="7" t="str">
        <x:v>Tiago</x:v>
      </x:c>
      <x:c r="D644" s="7" t="str">
        <x:v>XE CNG</x:v>
      </x:c>
      <x:c r="E644" s="7" t="str">
        <x:v>CNG</x:v>
      </x:c>
      <x:c r="F644" s="7" t="str">
        <x:v>Manual</x:v>
      </x:c>
      <x:c r="G644" s="7" t="str">
        <x:v>Hatchback</x:v>
      </x:c>
      <x:c r="H644" s="7" t="n">
        <x:v>1199</x:v>
      </x:c>
      <x:c r="I644" s="7" t="n">
        <x:v>72</x:v>
      </x:c>
      <x:c r="J644" s="9" t="n">
        <x:v>26.5</x:v>
      </x:c>
      <x:c r="K644" s="9" t="n">
        <x:v>6.8</x:v>
      </x:c>
      <x:c r="L644" s="7" t="n">
        <x:v>2026</x:v>
      </x:c>
      <x:c r="M644" s="11" t="n">
        <x:v>8134</x:v>
      </x:c>
      <x:c r="N644" s="7" t="n">
        <x:v>1</x:v>
      </x:c>
      <x:c r="O644" s="7" t="n">
        <x:v>0</x:v>
      </x:c>
      <x:c r="P644" s="9" t="n">
        <x:v>6.58</x:v>
      </x:c>
      <x:c r="Q644" s="7" t="n">
        <x:f>'Guide'!$B$5-L644</x:f>
        <x:v>0</x:v>
      </x:c>
      <x:c r="R644" s="9" t="n">
        <x:f>K644-P644</x:f>
        <x:v>0.21999999999999975</x:v>
      </x:c>
      <x:c r="S644" s="10" t="n">
        <x:f>IF(K644&gt;0,R644/K644,"")</x:f>
        <x:v>0.03235294117647055</x:v>
      </x:c>
    </x:row>
    <x:row r="645">
      <x:c r="A645" s="7" t="n">
        <x:v>641</x:v>
      </x:c>
      <x:c r="B645" s="7" t="str">
        <x:v>Tata</x:v>
      </x:c>
      <x:c r="C645" s="7" t="str">
        <x:v>Tiago</x:v>
      </x:c>
      <x:c r="D645" s="7" t="str">
        <x:v>XE CNG</x:v>
      </x:c>
      <x:c r="E645" s="7" t="str">
        <x:v>CNG</x:v>
      </x:c>
      <x:c r="F645" s="7" t="str">
        <x:v>Manual</x:v>
      </x:c>
      <x:c r="G645" s="7" t="str">
        <x:v>Hatchback</x:v>
      </x:c>
      <x:c r="H645" s="7" t="n">
        <x:v>1199</x:v>
      </x:c>
      <x:c r="I645" s="7" t="n">
        <x:v>72</x:v>
      </x:c>
      <x:c r="J645" s="9" t="n">
        <x:v>26.5</x:v>
      </x:c>
      <x:c r="K645" s="9" t="n">
        <x:v>6.8</x:v>
      </x:c>
      <x:c r="L645" s="7" t="n">
        <x:v>2023</x:v>
      </x:c>
      <x:c r="M645" s="11" t="n">
        <x:v>41842</x:v>
      </x:c>
      <x:c r="N645" s="7" t="n">
        <x:v>1</x:v>
      </x:c>
      <x:c r="O645" s="7" t="n">
        <x:v>0</x:v>
      </x:c>
      <x:c r="P645" s="9" t="n">
        <x:v>4.46</x:v>
      </x:c>
      <x:c r="Q645" s="7" t="n">
        <x:f>'Guide'!$B$5-L645</x:f>
        <x:v>3</x:v>
      </x:c>
      <x:c r="R645" s="9" t="n">
        <x:f>K645-P645</x:f>
        <x:v>2.34</x:v>
      </x:c>
      <x:c r="S645" s="10" t="n">
        <x:f>IF(K645&gt;0,R645/K645,"")</x:f>
        <x:v>0.34411764705882353</x:v>
      </x:c>
    </x:row>
    <x:row r="646">
      <x:c r="A646" s="7" t="n">
        <x:v>642</x:v>
      </x:c>
      <x:c r="B646" s="7" t="str">
        <x:v>Tata</x:v>
      </x:c>
      <x:c r="C646" s="7" t="str">
        <x:v>Tiago</x:v>
      </x:c>
      <x:c r="D646" s="7" t="str">
        <x:v>XE CNG</x:v>
      </x:c>
      <x:c r="E646" s="7" t="str">
        <x:v>CNG</x:v>
      </x:c>
      <x:c r="F646" s="7" t="str">
        <x:v>Manual</x:v>
      </x:c>
      <x:c r="G646" s="7" t="str">
        <x:v>Hatchback</x:v>
      </x:c>
      <x:c r="H646" s="7" t="n">
        <x:v>1199</x:v>
      </x:c>
      <x:c r="I646" s="7" t="n">
        <x:v>72</x:v>
      </x:c>
      <x:c r="J646" s="9" t="n">
        <x:v>26.5</x:v>
      </x:c>
      <x:c r="K646" s="9" t="n">
        <x:v>6.8</x:v>
      </x:c>
      <x:c r="L646" s="7" t="n">
        <x:v>2021</x:v>
      </x:c>
      <x:c r="M646" s="11" t="n">
        <x:v>82780</x:v>
      </x:c>
      <x:c r="N646" s="7" t="n">
        <x:v>2</x:v>
      </x:c>
      <x:c r="O646" s="7" t="n">
        <x:v>0</x:v>
      </x:c>
      <x:c r="P646" s="9" t="n">
        <x:v>3.14</x:v>
      </x:c>
      <x:c r="Q646" s="7" t="n">
        <x:f>'Guide'!$B$5-L646</x:f>
        <x:v>5</x:v>
      </x:c>
      <x:c r="R646" s="9" t="n">
        <x:f>K646-P646</x:f>
        <x:v>3.6599999999999997</x:v>
      </x:c>
      <x:c r="S646" s="10" t="n">
        <x:f>IF(K646&gt;0,R646/K646,"")</x:f>
        <x:v>0.538235294117647</x:v>
      </x:c>
    </x:row>
    <x:row r="647">
      <x:c r="A647" s="7" t="n">
        <x:v>643</x:v>
      </x:c>
      <x:c r="B647" s="7" t="str">
        <x:v>Tata</x:v>
      </x:c>
      <x:c r="C647" s="7" t="str">
        <x:v>Tiago</x:v>
      </x:c>
      <x:c r="D647" s="7" t="str">
        <x:v>XE CNG</x:v>
      </x:c>
      <x:c r="E647" s="7" t="str">
        <x:v>CNG</x:v>
      </x:c>
      <x:c r="F647" s="7" t="str">
        <x:v>Manual</x:v>
      </x:c>
      <x:c r="G647" s="7" t="str">
        <x:v>Hatchback</x:v>
      </x:c>
      <x:c r="H647" s="7" t="n">
        <x:v>1199</x:v>
      </x:c>
      <x:c r="I647" s="7" t="n">
        <x:v>72</x:v>
      </x:c>
      <x:c r="J647" s="9" t="n">
        <x:v>26.5</x:v>
      </x:c>
      <x:c r="K647" s="9" t="n">
        <x:v>6.8</x:v>
      </x:c>
      <x:c r="L647" s="7" t="n">
        <x:v>2021</x:v>
      </x:c>
      <x:c r="M647" s="11" t="n">
        <x:v>92857</x:v>
      </x:c>
      <x:c r="N647" s="7" t="n">
        <x:v>1</x:v>
      </x:c>
      <x:c r="O647" s="7" t="n">
        <x:v>0</x:v>
      </x:c>
      <x:c r="P647" s="9" t="n">
        <x:v>3.42</x:v>
      </x:c>
      <x:c r="Q647" s="7" t="n">
        <x:f>'Guide'!$B$5-L647</x:f>
        <x:v>5</x:v>
      </x:c>
      <x:c r="R647" s="9" t="n">
        <x:f>K647-P647</x:f>
        <x:v>3.38</x:v>
      </x:c>
      <x:c r="S647" s="10" t="n">
        <x:f>IF(K647&gt;0,R647/K647,"")</x:f>
        <x:v>0.4970588235294118</x:v>
      </x:c>
    </x:row>
    <x:row r="648">
      <x:c r="A648" s="7" t="n">
        <x:v>644</x:v>
      </x:c>
      <x:c r="B648" s="7" t="str">
        <x:v>Tata</x:v>
      </x:c>
      <x:c r="C648" s="7" t="str">
        <x:v>Tiago</x:v>
      </x:c>
      <x:c r="D648" s="7" t="str">
        <x:v>XE CNG</x:v>
      </x:c>
      <x:c r="E648" s="7" t="str">
        <x:v>CNG</x:v>
      </x:c>
      <x:c r="F648" s="7" t="str">
        <x:v>Manual</x:v>
      </x:c>
      <x:c r="G648" s="7" t="str">
        <x:v>Hatchback</x:v>
      </x:c>
      <x:c r="H648" s="7" t="n">
        <x:v>1199</x:v>
      </x:c>
      <x:c r="I648" s="7" t="n">
        <x:v>72</x:v>
      </x:c>
      <x:c r="J648" s="9" t="n">
        <x:v>26.5</x:v>
      </x:c>
      <x:c r="K648" s="9" t="n">
        <x:v>6.8</x:v>
      </x:c>
      <x:c r="L648" s="7" t="n">
        <x:v>2020</x:v>
      </x:c>
      <x:c r="M648" s="11" t="n">
        <x:v>129284</x:v>
      </x:c>
      <x:c r="N648" s="7" t="n">
        <x:v>1</x:v>
      </x:c>
      <x:c r="O648" s="7" t="n">
        <x:v>1</x:v>
      </x:c>
      <x:c r="P648" s="9" t="n">
        <x:v>1.5</x:v>
      </x:c>
      <x:c r="Q648" s="7" t="n">
        <x:f>'Guide'!$B$5-L648</x:f>
        <x:v>6</x:v>
      </x:c>
      <x:c r="R648" s="9" t="n">
        <x:f>K648-P648</x:f>
        <x:v>5.3</x:v>
      </x:c>
      <x:c r="S648" s="10" t="n">
        <x:f>IF(K648&gt;0,R648/K648,"")</x:f>
        <x:v>0.7794117647058824</x:v>
      </x:c>
    </x:row>
    <x:row r="649">
      <x:c r="A649" s="7" t="n">
        <x:v>645</x:v>
      </x:c>
      <x:c r="B649" s="7" t="str">
        <x:v>Tata</x:v>
      </x:c>
      <x:c r="C649" s="7" t="str">
        <x:v>Tiago</x:v>
      </x:c>
      <x:c r="D649" s="7" t="str">
        <x:v>XE CNG</x:v>
      </x:c>
      <x:c r="E649" s="7" t="str">
        <x:v>CNG</x:v>
      </x:c>
      <x:c r="F649" s="7" t="str">
        <x:v>Manual</x:v>
      </x:c>
      <x:c r="G649" s="7" t="str">
        <x:v>Hatchback</x:v>
      </x:c>
      <x:c r="H649" s="7" t="n">
        <x:v>1199</x:v>
      </x:c>
      <x:c r="I649" s="7" t="n">
        <x:v>72</x:v>
      </x:c>
      <x:c r="J649" s="9" t="n">
        <x:v>26.5</x:v>
      </x:c>
      <x:c r="K649" s="9" t="n">
        <x:v>6.8</x:v>
      </x:c>
      <x:c r="L649" s="7" t="n">
        <x:v>2022</x:v>
      </x:c>
      <x:c r="M649" s="11" t="n">
        <x:v>70918</x:v>
      </x:c>
      <x:c r="N649" s="7" t="n">
        <x:v>3</x:v>
      </x:c>
      <x:c r="O649" s="7" t="n">
        <x:v>1</x:v>
      </x:c>
      <x:c r="P649" s="9" t="n">
        <x:v>2.36</x:v>
      </x:c>
      <x:c r="Q649" s="7" t="n">
        <x:f>'Guide'!$B$5-L649</x:f>
        <x:v>4</x:v>
      </x:c>
      <x:c r="R649" s="9" t="n">
        <x:f>K649-P649</x:f>
        <x:v>4.4399999999999995</x:v>
      </x:c>
      <x:c r="S649" s="10" t="n">
        <x:f>IF(K649&gt;0,R649/K649,"")</x:f>
        <x:v>0.6529411764705881</x:v>
      </x:c>
    </x:row>
    <x:row r="650">
      <x:c r="A650" s="7" t="n">
        <x:v>646</x:v>
      </x:c>
      <x:c r="B650" s="7" t="str">
        <x:v>Tata</x:v>
      </x:c>
      <x:c r="C650" s="7" t="str">
        <x:v>Tiago</x:v>
      </x:c>
      <x:c r="D650" s="7" t="str">
        <x:v>XE CNG</x:v>
      </x:c>
      <x:c r="E650" s="7" t="str">
        <x:v>CNG</x:v>
      </x:c>
      <x:c r="F650" s="7" t="str">
        <x:v>Manual</x:v>
      </x:c>
      <x:c r="G650" s="7" t="str">
        <x:v>Hatchback</x:v>
      </x:c>
      <x:c r="H650" s="7" t="n">
        <x:v>1199</x:v>
      </x:c>
      <x:c r="I650" s="7" t="n">
        <x:v>72</x:v>
      </x:c>
      <x:c r="J650" s="9" t="n">
        <x:v>26.5</x:v>
      </x:c>
      <x:c r="K650" s="9" t="n">
        <x:v>6.8</x:v>
      </x:c>
      <x:c r="L650" s="7" t="n">
        <x:v>2025</x:v>
      </x:c>
      <x:c r="M650" s="11" t="n">
        <x:v>23406</x:v>
      </x:c>
      <x:c r="N650" s="7" t="n">
        <x:v>1</x:v>
      </x:c>
      <x:c r="O650" s="7" t="n">
        <x:v>0</x:v>
      </x:c>
      <x:c r="P650" s="9" t="n">
        <x:v>6.12</x:v>
      </x:c>
      <x:c r="Q650" s="7" t="n">
        <x:f>'Guide'!$B$5-L650</x:f>
        <x:v>1</x:v>
      </x:c>
      <x:c r="R650" s="9" t="n">
        <x:f>K650-P650</x:f>
        <x:v>0.6799999999999997</x:v>
      </x:c>
      <x:c r="S650" s="10" t="n">
        <x:f>IF(K650&gt;0,R650/K650,"")</x:f>
        <x:v>0.09999999999999996</x:v>
      </x:c>
    </x:row>
    <x:row r="651">
      <x:c r="A651" s="7" t="n">
        <x:v>647</x:v>
      </x:c>
      <x:c r="B651" s="7" t="str">
        <x:v>Tata</x:v>
      </x:c>
      <x:c r="C651" s="7" t="str">
        <x:v>Tiago</x:v>
      </x:c>
      <x:c r="D651" s="7" t="str">
        <x:v>XE CNG</x:v>
      </x:c>
      <x:c r="E651" s="7" t="str">
        <x:v>CNG</x:v>
      </x:c>
      <x:c r="F651" s="7" t="str">
        <x:v>Manual</x:v>
      </x:c>
      <x:c r="G651" s="7" t="str">
        <x:v>Hatchback</x:v>
      </x:c>
      <x:c r="H651" s="7" t="n">
        <x:v>1199</x:v>
      </x:c>
      <x:c r="I651" s="7" t="n">
        <x:v>72</x:v>
      </x:c>
      <x:c r="J651" s="9" t="n">
        <x:v>26.5</x:v>
      </x:c>
      <x:c r="K651" s="9" t="n">
        <x:v>6.8</x:v>
      </x:c>
      <x:c r="L651" s="7" t="n">
        <x:v>2020</x:v>
      </x:c>
      <x:c r="M651" s="11" t="n">
        <x:v>78770</x:v>
      </x:c>
      <x:c r="N651" s="7" t="n">
        <x:v>2</x:v>
      </x:c>
      <x:c r="O651" s="7" t="n">
        <x:v>0</x:v>
      </x:c>
      <x:c r="P651" s="9" t="n">
        <x:v>2.21</x:v>
      </x:c>
      <x:c r="Q651" s="7" t="n">
        <x:f>'Guide'!$B$5-L651</x:f>
        <x:v>6</x:v>
      </x:c>
      <x:c r="R651" s="9" t="n">
        <x:f>K651-P651</x:f>
        <x:v>4.59</x:v>
      </x:c>
      <x:c r="S651" s="10" t="n">
        <x:f>IF(K651&gt;0,R651/K651,"")</x:f>
        <x:v>0.675</x:v>
      </x:c>
    </x:row>
    <x:row r="652">
      <x:c r="A652" s="7" t="n">
        <x:v>648</x:v>
      </x:c>
      <x:c r="B652" s="7" t="str">
        <x:v>Tata</x:v>
      </x:c>
      <x:c r="C652" s="7" t="str">
        <x:v>Tiago</x:v>
      </x:c>
      <x:c r="D652" s="7" t="str">
        <x:v>XE CNG</x:v>
      </x:c>
      <x:c r="E652" s="7" t="str">
        <x:v>CNG</x:v>
      </x:c>
      <x:c r="F652" s="7" t="str">
        <x:v>Manual</x:v>
      </x:c>
      <x:c r="G652" s="7" t="str">
        <x:v>Hatchback</x:v>
      </x:c>
      <x:c r="H652" s="7" t="n">
        <x:v>1199</x:v>
      </x:c>
      <x:c r="I652" s="7" t="n">
        <x:v>72</x:v>
      </x:c>
      <x:c r="J652" s="9" t="n">
        <x:v>26.5</x:v>
      </x:c>
      <x:c r="K652" s="9" t="n">
        <x:v>6.8</x:v>
      </x:c>
      <x:c r="L652" s="7" t="n">
        <x:v>2022</x:v>
      </x:c>
      <x:c r="M652" s="11" t="n">
        <x:v>58269</x:v>
      </x:c>
      <x:c r="N652" s="7" t="n">
        <x:v>2</x:v>
      </x:c>
      <x:c r="O652" s="7" t="n">
        <x:v>0</x:v>
      </x:c>
      <x:c r="P652" s="9" t="n">
        <x:v>3.54</x:v>
      </x:c>
      <x:c r="Q652" s="7" t="n">
        <x:f>'Guide'!$B$5-L652</x:f>
        <x:v>4</x:v>
      </x:c>
      <x:c r="R652" s="9" t="n">
        <x:f>K652-P652</x:f>
        <x:v>3.26</x:v>
      </x:c>
      <x:c r="S652" s="10" t="n">
        <x:f>IF(K652&gt;0,R652/K652,"")</x:f>
        <x:v>0.4794117647058823</x:v>
      </x:c>
    </x:row>
    <x:row r="653">
      <x:c r="A653" s="7" t="n">
        <x:v>649</x:v>
      </x:c>
      <x:c r="B653" s="7" t="str">
        <x:v>Tata</x:v>
      </x:c>
      <x:c r="C653" s="7" t="str">
        <x:v>Tiago</x:v>
      </x:c>
      <x:c r="D653" s="7" t="str">
        <x:v>XE CNG</x:v>
      </x:c>
      <x:c r="E653" s="7" t="str">
        <x:v>CNG</x:v>
      </x:c>
      <x:c r="F653" s="7" t="str">
        <x:v>Manual</x:v>
      </x:c>
      <x:c r="G653" s="7" t="str">
        <x:v>Hatchback</x:v>
      </x:c>
      <x:c r="H653" s="7" t="n">
        <x:v>1199</x:v>
      </x:c>
      <x:c r="I653" s="7" t="n">
        <x:v>72</x:v>
      </x:c>
      <x:c r="J653" s="9" t="n">
        <x:v>26.5</x:v>
      </x:c>
      <x:c r="K653" s="9" t="n">
        <x:v>6.8</x:v>
      </x:c>
      <x:c r="L653" s="7" t="n">
        <x:v>2023</x:v>
      </x:c>
      <x:c r="M653" s="11" t="n">
        <x:v>29989</x:v>
      </x:c>
      <x:c r="N653" s="7" t="n">
        <x:v>1</x:v>
      </x:c>
      <x:c r="O653" s="7" t="n">
        <x:v>1</x:v>
      </x:c>
      <x:c r="P653" s="9" t="n">
        <x:v>3.88</x:v>
      </x:c>
      <x:c r="Q653" s="7" t="n">
        <x:f>'Guide'!$B$5-L653</x:f>
        <x:v>3</x:v>
      </x:c>
      <x:c r="R653" s="9" t="n">
        <x:f>K653-P653</x:f>
        <x:v>2.92</x:v>
      </x:c>
      <x:c r="S653" s="10" t="n">
        <x:f>IF(K653&gt;0,R653/K653,"")</x:f>
        <x:v>0.4294117647058823</x:v>
      </x:c>
    </x:row>
    <x:row r="654">
      <x:c r="A654" s="7" t="n">
        <x:v>650</x:v>
      </x:c>
      <x:c r="B654" s="7" t="str">
        <x:v>Tata</x:v>
      </x:c>
      <x:c r="C654" s="7" t="str">
        <x:v>Tiago</x:v>
      </x:c>
      <x:c r="D654" s="7" t="str">
        <x:v>XE CNG</x:v>
      </x:c>
      <x:c r="E654" s="7" t="str">
        <x:v>CNG</x:v>
      </x:c>
      <x:c r="F654" s="7" t="str">
        <x:v>Manual</x:v>
      </x:c>
      <x:c r="G654" s="7" t="str">
        <x:v>Hatchback</x:v>
      </x:c>
      <x:c r="H654" s="7" t="n">
        <x:v>1199</x:v>
      </x:c>
      <x:c r="I654" s="7" t="n">
        <x:v>72</x:v>
      </x:c>
      <x:c r="J654" s="9" t="n">
        <x:v>26.5</x:v>
      </x:c>
      <x:c r="K654" s="9" t="n">
        <x:v>6.8</x:v>
      </x:c>
      <x:c r="L654" s="7" t="n">
        <x:v>2020</x:v>
      </x:c>
      <x:c r="M654" s="11" t="n">
        <x:v>80238</x:v>
      </x:c>
      <x:c r="N654" s="7" t="n">
        <x:v>1</x:v>
      </x:c>
      <x:c r="O654" s="7" t="n">
        <x:v>0</x:v>
      </x:c>
      <x:c r="P654" s="9" t="n">
        <x:v>3.17</x:v>
      </x:c>
      <x:c r="Q654" s="7" t="n">
        <x:f>'Guide'!$B$5-L654</x:f>
        <x:v>6</x:v>
      </x:c>
      <x:c r="R654" s="9" t="n">
        <x:f>K654-P654</x:f>
        <x:v>3.63</x:v>
      </x:c>
      <x:c r="S654" s="10" t="n">
        <x:f>IF(K654&gt;0,R654/K654,"")</x:f>
        <x:v>0.5338235294117647</x:v>
      </x:c>
    </x:row>
    <x:row r="655">
      <x:c r="A655" s="7" t="n">
        <x:v>651</x:v>
      </x:c>
      <x:c r="B655" s="7" t="str">
        <x:v>Tata</x:v>
      </x:c>
      <x:c r="C655" s="7" t="str">
        <x:v>Tiago</x:v>
      </x:c>
      <x:c r="D655" s="7" t="str">
        <x:v>XE CNG</x:v>
      </x:c>
      <x:c r="E655" s="7" t="str">
        <x:v>CNG</x:v>
      </x:c>
      <x:c r="F655" s="7" t="str">
        <x:v>Manual</x:v>
      </x:c>
      <x:c r="G655" s="7" t="str">
        <x:v>Hatchback</x:v>
      </x:c>
      <x:c r="H655" s="7" t="n">
        <x:v>1199</x:v>
      </x:c>
      <x:c r="I655" s="7" t="n">
        <x:v>72</x:v>
      </x:c>
      <x:c r="J655" s="9" t="n">
        <x:v>26.5</x:v>
      </x:c>
      <x:c r="K655" s="9" t="n">
        <x:v>6.8</x:v>
      </x:c>
      <x:c r="L655" s="7" t="n">
        <x:v>2021</x:v>
      </x:c>
      <x:c r="M655" s="11" t="n">
        <x:v>53237</x:v>
      </x:c>
      <x:c r="N655" s="7" t="n">
        <x:v>1</x:v>
      </x:c>
      <x:c r="O655" s="7" t="n">
        <x:v>0</x:v>
      </x:c>
      <x:c r="P655" s="9" t="n">
        <x:v>3.66</x:v>
      </x:c>
      <x:c r="Q655" s="7" t="n">
        <x:f>'Guide'!$B$5-L655</x:f>
        <x:v>5</x:v>
      </x:c>
      <x:c r="R655" s="9" t="n">
        <x:f>K655-P655</x:f>
        <x:v>3.1399999999999997</x:v>
      </x:c>
      <x:c r="S655" s="10" t="n">
        <x:f>IF(K655&gt;0,R655/K655,"")</x:f>
        <x:v>0.4617647058823529</x:v>
      </x:c>
    </x:row>
    <x:row r="656">
      <x:c r="A656" s="7" t="n">
        <x:v>652</x:v>
      </x:c>
      <x:c r="B656" s="7" t="str">
        <x:v>Tata</x:v>
      </x:c>
      <x:c r="C656" s="7" t="str">
        <x:v>Tiago</x:v>
      </x:c>
      <x:c r="D656" s="7" t="str">
        <x:v>XE CNG</x:v>
      </x:c>
      <x:c r="E656" s="7" t="str">
        <x:v>CNG</x:v>
      </x:c>
      <x:c r="F656" s="7" t="str">
        <x:v>Manual</x:v>
      </x:c>
      <x:c r="G656" s="7" t="str">
        <x:v>Hatchback</x:v>
      </x:c>
      <x:c r="H656" s="7" t="n">
        <x:v>1199</x:v>
      </x:c>
      <x:c r="I656" s="7" t="n">
        <x:v>72</x:v>
      </x:c>
      <x:c r="J656" s="9" t="n">
        <x:v>26.5</x:v>
      </x:c>
      <x:c r="K656" s="9" t="n">
        <x:v>6.8</x:v>
      </x:c>
      <x:c r="L656" s="7" t="n">
        <x:v>2025</x:v>
      </x:c>
      <x:c r="M656" s="11" t="n">
        <x:v>26591</x:v>
      </x:c>
      <x:c r="N656" s="7" t="n">
        <x:v>2</x:v>
      </x:c>
      <x:c r="O656" s="7" t="n">
        <x:v>0</x:v>
      </x:c>
      <x:c r="P656" s="9" t="n">
        <x:v>5.67</x:v>
      </x:c>
      <x:c r="Q656" s="7" t="n">
        <x:f>'Guide'!$B$5-L656</x:f>
        <x:v>1</x:v>
      </x:c>
      <x:c r="R656" s="9" t="n">
        <x:f>K656-P656</x:f>
        <x:v>1.13</x:v>
      </x:c>
      <x:c r="S656" s="10" t="n">
        <x:f>IF(K656&gt;0,R656/K656,"")</x:f>
        <x:v>0.1661764705882353</x:v>
      </x:c>
    </x:row>
    <x:row r="657">
      <x:c r="A657" s="7" t="n">
        <x:v>653</x:v>
      </x:c>
      <x:c r="B657" s="7" t="str">
        <x:v>Tata</x:v>
      </x:c>
      <x:c r="C657" s="7" t="str">
        <x:v>Tiago</x:v>
      </x:c>
      <x:c r="D657" s="7" t="str">
        <x:v>XE CNG</x:v>
      </x:c>
      <x:c r="E657" s="7" t="str">
        <x:v>CNG</x:v>
      </x:c>
      <x:c r="F657" s="7" t="str">
        <x:v>Manual</x:v>
      </x:c>
      <x:c r="G657" s="7" t="str">
        <x:v>Hatchback</x:v>
      </x:c>
      <x:c r="H657" s="7" t="n">
        <x:v>1199</x:v>
      </x:c>
      <x:c r="I657" s="7" t="n">
        <x:v>72</x:v>
      </x:c>
      <x:c r="J657" s="9" t="n">
        <x:v>26.5</x:v>
      </x:c>
      <x:c r="K657" s="9" t="n">
        <x:v>6.8</x:v>
      </x:c>
      <x:c r="L657" s="7" t="n">
        <x:v>2025</x:v>
      </x:c>
      <x:c r="M657" s="11" t="n">
        <x:v>25755</x:v>
      </x:c>
      <x:c r="N657" s="7" t="n">
        <x:v>1</x:v>
      </x:c>
      <x:c r="O657" s="7" t="n">
        <x:v>0</x:v>
      </x:c>
      <x:c r="P657" s="9" t="n">
        <x:v>5.96</x:v>
      </x:c>
      <x:c r="Q657" s="7" t="n">
        <x:f>'Guide'!$B$5-L657</x:f>
        <x:v>1</x:v>
      </x:c>
      <x:c r="R657" s="9" t="n">
        <x:f>K657-P657</x:f>
        <x:v>0.8399999999999999</x:v>
      </x:c>
      <x:c r="S657" s="10" t="n">
        <x:f>IF(K657&gt;0,R657/K657,"")</x:f>
        <x:v>0.12352941176470586</x:v>
      </x:c>
    </x:row>
    <x:row r="658">
      <x:c r="A658" s="7" t="n">
        <x:v>654</x:v>
      </x:c>
      <x:c r="B658" s="7" t="str">
        <x:v>Tata</x:v>
      </x:c>
      <x:c r="C658" s="7" t="str">
        <x:v>Tiago</x:v>
      </x:c>
      <x:c r="D658" s="7" t="str">
        <x:v>XE CNG</x:v>
      </x:c>
      <x:c r="E658" s="7" t="str">
        <x:v>CNG</x:v>
      </x:c>
      <x:c r="F658" s="7" t="str">
        <x:v>Manual</x:v>
      </x:c>
      <x:c r="G658" s="7" t="str">
        <x:v>Hatchback</x:v>
      </x:c>
      <x:c r="H658" s="7" t="n">
        <x:v>1199</x:v>
      </x:c>
      <x:c r="I658" s="7" t="n">
        <x:v>72</x:v>
      </x:c>
      <x:c r="J658" s="9" t="n">
        <x:v>26.5</x:v>
      </x:c>
      <x:c r="K658" s="9" t="n">
        <x:v>6.8</x:v>
      </x:c>
      <x:c r="L658" s="7" t="n">
        <x:v>2026</x:v>
      </x:c>
      <x:c r="M658" s="11" t="n">
        <x:v>8248</x:v>
      </x:c>
      <x:c r="N658" s="7" t="n">
        <x:v>1</x:v>
      </x:c>
      <x:c r="O658" s="7" t="n">
        <x:v>0</x:v>
      </x:c>
      <x:c r="P658" s="9" t="n">
        <x:v>6.62</x:v>
      </x:c>
      <x:c r="Q658" s="7" t="n">
        <x:f>'Guide'!$B$5-L658</x:f>
        <x:v>0</x:v>
      </x:c>
      <x:c r="R658" s="9" t="n">
        <x:f>K658-P658</x:f>
        <x:v>0.17999999999999972</x:v>
      </x:c>
      <x:c r="S658" s="10" t="n">
        <x:f>IF(K658&gt;0,R658/K658,"")</x:f>
        <x:v>0.026470588235294076</x:v>
      </x:c>
    </x:row>
    <x:row r="659">
      <x:c r="A659" s="7" t="n">
        <x:v>655</x:v>
      </x:c>
      <x:c r="B659" s="7" t="str">
        <x:v>Tata</x:v>
      </x:c>
      <x:c r="C659" s="7" t="str">
        <x:v>Tiago</x:v>
      </x:c>
      <x:c r="D659" s="7" t="str">
        <x:v>XE CNG</x:v>
      </x:c>
      <x:c r="E659" s="7" t="str">
        <x:v>CNG</x:v>
      </x:c>
      <x:c r="F659" s="7" t="str">
        <x:v>Manual</x:v>
      </x:c>
      <x:c r="G659" s="7" t="str">
        <x:v>Hatchback</x:v>
      </x:c>
      <x:c r="H659" s="7" t="n">
        <x:v>1199</x:v>
      </x:c>
      <x:c r="I659" s="7" t="n">
        <x:v>72</x:v>
      </x:c>
      <x:c r="J659" s="9" t="n">
        <x:v>26.5</x:v>
      </x:c>
      <x:c r="K659" s="9" t="n">
        <x:v>6.8</x:v>
      </x:c>
      <x:c r="L659" s="7" t="n">
        <x:v>2023</x:v>
      </x:c>
      <x:c r="M659" s="11" t="n">
        <x:v>43346</x:v>
      </x:c>
      <x:c r="N659" s="7" t="n">
        <x:v>2</x:v>
      </x:c>
      <x:c r="O659" s="7" t="n">
        <x:v>0</x:v>
      </x:c>
      <x:c r="P659" s="9" t="n">
        <x:v>4.39</x:v>
      </x:c>
      <x:c r="Q659" s="7" t="n">
        <x:f>'Guide'!$B$5-L659</x:f>
        <x:v>3</x:v>
      </x:c>
      <x:c r="R659" s="9" t="n">
        <x:f>K659-P659</x:f>
        <x:v>2.41</x:v>
      </x:c>
      <x:c r="S659" s="10" t="n">
        <x:f>IF(K659&gt;0,R659/K659,"")</x:f>
        <x:v>0.35441176470588237</x:v>
      </x:c>
    </x:row>
    <x:row r="660">
      <x:c r="A660" s="7" t="n">
        <x:v>656</x:v>
      </x:c>
      <x:c r="B660" s="7" t="str">
        <x:v>Tata</x:v>
      </x:c>
      <x:c r="C660" s="7" t="str">
        <x:v>Tiago</x:v>
      </x:c>
      <x:c r="D660" s="7" t="str">
        <x:v>XE CNG</x:v>
      </x:c>
      <x:c r="E660" s="7" t="str">
        <x:v>CNG</x:v>
      </x:c>
      <x:c r="F660" s="7" t="str">
        <x:v>Manual</x:v>
      </x:c>
      <x:c r="G660" s="7" t="str">
        <x:v>Hatchback</x:v>
      </x:c>
      <x:c r="H660" s="7" t="n">
        <x:v>1199</x:v>
      </x:c>
      <x:c r="I660" s="7" t="n">
        <x:v>72</x:v>
      </x:c>
      <x:c r="J660" s="9" t="n">
        <x:v>26.5</x:v>
      </x:c>
      <x:c r="K660" s="9" t="n">
        <x:v>6.8</x:v>
      </x:c>
      <x:c r="L660" s="7" t="n">
        <x:v>2024</x:v>
      </x:c>
      <x:c r="M660" s="11" t="n">
        <x:v>32404</x:v>
      </x:c>
      <x:c r="N660" s="7" t="n">
        <x:v>1</x:v>
      </x:c>
      <x:c r="O660" s="7" t="n">
        <x:v>0</x:v>
      </x:c>
      <x:c r="P660" s="9" t="n">
        <x:v>5.64</x:v>
      </x:c>
      <x:c r="Q660" s="7" t="n">
        <x:f>'Guide'!$B$5-L660</x:f>
        <x:v>2</x:v>
      </x:c>
      <x:c r="R660" s="9" t="n">
        <x:f>K660-P660</x:f>
        <x:v>1.1600000000000001</x:v>
      </x:c>
      <x:c r="S660" s="10" t="n">
        <x:f>IF(K660&gt;0,R660/K660,"")</x:f>
        <x:v>0.17058823529411768</x:v>
      </x:c>
    </x:row>
    <x:row r="661">
      <x:c r="A661" s="7" t="n">
        <x:v>657</x:v>
      </x:c>
      <x:c r="B661" s="7" t="str">
        <x:v>Tata</x:v>
      </x:c>
      <x:c r="C661" s="7" t="str">
        <x:v>Tiago</x:v>
      </x:c>
      <x:c r="D661" s="7" t="str">
        <x:v>XE CNG</x:v>
      </x:c>
      <x:c r="E661" s="7" t="str">
        <x:v>CNG</x:v>
      </x:c>
      <x:c r="F661" s="7" t="str">
        <x:v>Manual</x:v>
      </x:c>
      <x:c r="G661" s="7" t="str">
        <x:v>Hatchback</x:v>
      </x:c>
      <x:c r="H661" s="7" t="n">
        <x:v>1199</x:v>
      </x:c>
      <x:c r="I661" s="7" t="n">
        <x:v>72</x:v>
      </x:c>
      <x:c r="J661" s="9" t="n">
        <x:v>26.5</x:v>
      </x:c>
      <x:c r="K661" s="9" t="n">
        <x:v>6.8</x:v>
      </x:c>
      <x:c r="L661" s="7" t="n">
        <x:v>2021</x:v>
      </x:c>
      <x:c r="M661" s="11" t="n">
        <x:v>46361</x:v>
      </x:c>
      <x:c r="N661" s="7" t="n">
        <x:v>1</x:v>
      </x:c>
      <x:c r="O661" s="7" t="n">
        <x:v>0</x:v>
      </x:c>
      <x:c r="P661" s="9" t="n">
        <x:v>3.6</x:v>
      </x:c>
      <x:c r="Q661" s="7" t="n">
        <x:f>'Guide'!$B$5-L661</x:f>
        <x:v>5</x:v>
      </x:c>
      <x:c r="R661" s="9" t="n">
        <x:f>K661-P661</x:f>
        <x:v>3.1999999999999997</x:v>
      </x:c>
      <x:c r="S661" s="10" t="n">
        <x:f>IF(K661&gt;0,R661/K661,"")</x:f>
        <x:v>0.47058823529411764</x:v>
      </x:c>
    </x:row>
    <x:row r="662">
      <x:c r="A662" s="7" t="n">
        <x:v>658</x:v>
      </x:c>
      <x:c r="B662" s="7" t="str">
        <x:v>Tata</x:v>
      </x:c>
      <x:c r="C662" s="7" t="str">
        <x:v>Tiago</x:v>
      </x:c>
      <x:c r="D662" s="7" t="str">
        <x:v>XE CNG</x:v>
      </x:c>
      <x:c r="E662" s="7" t="str">
        <x:v>CNG</x:v>
      </x:c>
      <x:c r="F662" s="7" t="str">
        <x:v>Manual</x:v>
      </x:c>
      <x:c r="G662" s="7" t="str">
        <x:v>Hatchback</x:v>
      </x:c>
      <x:c r="H662" s="7" t="n">
        <x:v>1199</x:v>
      </x:c>
      <x:c r="I662" s="7" t="n">
        <x:v>72</x:v>
      </x:c>
      <x:c r="J662" s="9" t="n">
        <x:v>26.5</x:v>
      </x:c>
      <x:c r="K662" s="9" t="n">
        <x:v>6.8</x:v>
      </x:c>
      <x:c r="L662" s="7" t="n">
        <x:v>2021</x:v>
      </x:c>
      <x:c r="M662" s="11" t="n">
        <x:v>107513</x:v>
      </x:c>
      <x:c r="N662" s="7" t="n">
        <x:v>2</x:v>
      </x:c>
      <x:c r="O662" s="7" t="n">
        <x:v>1</x:v>
      </x:c>
      <x:c r="P662" s="9" t="n">
        <x:v>2.38</x:v>
      </x:c>
      <x:c r="Q662" s="7" t="n">
        <x:f>'Guide'!$B$5-L662</x:f>
        <x:v>5</x:v>
      </x:c>
      <x:c r="R662" s="9" t="n">
        <x:f>K662-P662</x:f>
        <x:v>4.42</x:v>
      </x:c>
      <x:c r="S662" s="10" t="n">
        <x:f>IF(K662&gt;0,R662/K662,"")</x:f>
        <x:v>0.65</x:v>
      </x:c>
    </x:row>
    <x:row r="663">
      <x:c r="A663" s="7" t="n">
        <x:v>659</x:v>
      </x:c>
      <x:c r="B663" s="7" t="str">
        <x:v>Tata</x:v>
      </x:c>
      <x:c r="C663" s="7" t="str">
        <x:v>Tiago</x:v>
      </x:c>
      <x:c r="D663" s="7" t="str">
        <x:v>XE CNG</x:v>
      </x:c>
      <x:c r="E663" s="7" t="str">
        <x:v>CNG</x:v>
      </x:c>
      <x:c r="F663" s="7" t="str">
        <x:v>Manual</x:v>
      </x:c>
      <x:c r="G663" s="7" t="str">
        <x:v>Hatchback</x:v>
      </x:c>
      <x:c r="H663" s="7" t="n">
        <x:v>1199</x:v>
      </x:c>
      <x:c r="I663" s="7" t="n">
        <x:v>72</x:v>
      </x:c>
      <x:c r="J663" s="9" t="n">
        <x:v>26.5</x:v>
      </x:c>
      <x:c r="K663" s="9" t="n">
        <x:v>6.8</x:v>
      </x:c>
      <x:c r="L663" s="7" t="n">
        <x:v>2026</x:v>
      </x:c>
      <x:c r="M663" s="11" t="n">
        <x:v>4907</x:v>
      </x:c>
      <x:c r="N663" s="7" t="n">
        <x:v>2</x:v>
      </x:c>
      <x:c r="O663" s="7" t="n">
        <x:v>1</x:v>
      </x:c>
      <x:c r="P663" s="9" t="n">
        <x:v>5.79</x:v>
      </x:c>
      <x:c r="Q663" s="7" t="n">
        <x:f>'Guide'!$B$5-L663</x:f>
        <x:v>0</x:v>
      </x:c>
      <x:c r="R663" s="9" t="n">
        <x:f>K663-P663</x:f>
        <x:v>1.0099999999999998</x:v>
      </x:c>
      <x:c r="S663" s="10" t="n">
        <x:f>IF(K663&gt;0,R663/K663,"")</x:f>
        <x:v>0.14852941176470585</x:v>
      </x:c>
    </x:row>
    <x:row r="664">
      <x:c r="A664" s="7" t="n">
        <x:v>660</x:v>
      </x:c>
      <x:c r="B664" s="7" t="str">
        <x:v>Tata</x:v>
      </x:c>
      <x:c r="C664" s="7" t="str">
        <x:v>Tiago</x:v>
      </x:c>
      <x:c r="D664" s="7" t="str">
        <x:v>XE CNG</x:v>
      </x:c>
      <x:c r="E664" s="7" t="str">
        <x:v>CNG</x:v>
      </x:c>
      <x:c r="F664" s="7" t="str">
        <x:v>Manual</x:v>
      </x:c>
      <x:c r="G664" s="7" t="str">
        <x:v>Hatchback</x:v>
      </x:c>
      <x:c r="H664" s="7" t="n">
        <x:v>1199</x:v>
      </x:c>
      <x:c r="I664" s="7" t="n">
        <x:v>72</x:v>
      </x:c>
      <x:c r="J664" s="9" t="n">
        <x:v>26.5</x:v>
      </x:c>
      <x:c r="K664" s="9" t="n">
        <x:v>6.8</x:v>
      </x:c>
      <x:c r="L664" s="7" t="n">
        <x:v>2026</x:v>
      </x:c>
      <x:c r="M664" s="11" t="n">
        <x:v>6679</x:v>
      </x:c>
      <x:c r="N664" s="7" t="n">
        <x:v>3</x:v>
      </x:c>
      <x:c r="O664" s="7" t="n">
        <x:v>0</x:v>
      </x:c>
      <x:c r="P664" s="9" t="n">
        <x:v>5.67</x:v>
      </x:c>
      <x:c r="Q664" s="7" t="n">
        <x:f>'Guide'!$B$5-L664</x:f>
        <x:v>0</x:v>
      </x:c>
      <x:c r="R664" s="9" t="n">
        <x:f>K664-P664</x:f>
        <x:v>1.13</x:v>
      </x:c>
      <x:c r="S664" s="10" t="n">
        <x:f>IF(K664&gt;0,R664/K664,"")</x:f>
        <x:v>0.1661764705882353</x:v>
      </x:c>
    </x:row>
    <x:row r="665">
      <x:c r="A665" s="7" t="n">
        <x:v>661</x:v>
      </x:c>
      <x:c r="B665" s="7" t="str">
        <x:v>Tata</x:v>
      </x:c>
      <x:c r="C665" s="7" t="str">
        <x:v>Tiago</x:v>
      </x:c>
      <x:c r="D665" s="7" t="str">
        <x:v>XE CNG</x:v>
      </x:c>
      <x:c r="E665" s="7" t="str">
        <x:v>CNG</x:v>
      </x:c>
      <x:c r="F665" s="7" t="str">
        <x:v>Manual</x:v>
      </x:c>
      <x:c r="G665" s="7" t="str">
        <x:v>Hatchback</x:v>
      </x:c>
      <x:c r="H665" s="7" t="n">
        <x:v>1199</x:v>
      </x:c>
      <x:c r="I665" s="7" t="n">
        <x:v>72</x:v>
      </x:c>
      <x:c r="J665" s="9" t="n">
        <x:v>26.5</x:v>
      </x:c>
      <x:c r="K665" s="9" t="n">
        <x:v>6.8</x:v>
      </x:c>
      <x:c r="L665" s="7" t="n">
        <x:v>2023</x:v>
      </x:c>
      <x:c r="M665" s="11" t="n">
        <x:v>45807</x:v>
      </x:c>
      <x:c r="N665" s="7" t="n">
        <x:v>2</x:v>
      </x:c>
      <x:c r="O665" s="7" t="n">
        <x:v>0</x:v>
      </x:c>
      <x:c r="P665" s="9" t="n">
        <x:v>4.07</x:v>
      </x:c>
      <x:c r="Q665" s="7" t="n">
        <x:f>'Guide'!$B$5-L665</x:f>
        <x:v>3</x:v>
      </x:c>
      <x:c r="R665" s="9" t="n">
        <x:f>K665-P665</x:f>
        <x:v>2.7299999999999995</x:v>
      </x:c>
      <x:c r="S665" s="10" t="n">
        <x:f>IF(K665&gt;0,R665/K665,"")</x:f>
        <x:v>0.4014705882352941</x:v>
      </x:c>
    </x:row>
    <x:row r="666">
      <x:c r="A666" s="7" t="n">
        <x:v>662</x:v>
      </x:c>
      <x:c r="B666" s="7" t="str">
        <x:v>Tata</x:v>
      </x:c>
      <x:c r="C666" s="7" t="str">
        <x:v>Tiago</x:v>
      </x:c>
      <x:c r="D666" s="7" t="str">
        <x:v>XE CNG</x:v>
      </x:c>
      <x:c r="E666" s="7" t="str">
        <x:v>CNG</x:v>
      </x:c>
      <x:c r="F666" s="7" t="str">
        <x:v>Manual</x:v>
      </x:c>
      <x:c r="G666" s="7" t="str">
        <x:v>Hatchback</x:v>
      </x:c>
      <x:c r="H666" s="7" t="n">
        <x:v>1199</x:v>
      </x:c>
      <x:c r="I666" s="7" t="n">
        <x:v>72</x:v>
      </x:c>
      <x:c r="J666" s="9" t="n">
        <x:v>26.5</x:v>
      </x:c>
      <x:c r="K666" s="9" t="n">
        <x:v>6.8</x:v>
      </x:c>
      <x:c r="L666" s="7" t="n">
        <x:v>2026</x:v>
      </x:c>
      <x:c r="M666" s="11" t="n">
        <x:v>9845</x:v>
      </x:c>
      <x:c r="N666" s="7" t="n">
        <x:v>1</x:v>
      </x:c>
      <x:c r="O666" s="7" t="n">
        <x:v>0</x:v>
      </x:c>
      <x:c r="P666" s="9" t="n">
        <x:v>6.9</x:v>
      </x:c>
      <x:c r="Q666" s="7" t="n">
        <x:f>'Guide'!$B$5-L666</x:f>
        <x:v>0</x:v>
      </x:c>
      <x:c r="R666" s="9" t="n">
        <x:f>K666-P666</x:f>
        <x:v>-0.10000000000000053</x:v>
      </x:c>
      <x:c r="S666" s="10" t="n">
        <x:f>IF(K666&gt;0,R666/K666,"")</x:f>
        <x:v>-0.014705882352941256</x:v>
      </x:c>
    </x:row>
    <x:row r="667">
      <x:c r="A667" s="7" t="n">
        <x:v>663</x:v>
      </x:c>
      <x:c r="B667" s="7" t="str">
        <x:v>Tata</x:v>
      </x:c>
      <x:c r="C667" s="7" t="str">
        <x:v>Tiago</x:v>
      </x:c>
      <x:c r="D667" s="7" t="str">
        <x:v>XE CNG</x:v>
      </x:c>
      <x:c r="E667" s="7" t="str">
        <x:v>CNG</x:v>
      </x:c>
      <x:c r="F667" s="7" t="str">
        <x:v>Manual</x:v>
      </x:c>
      <x:c r="G667" s="7" t="str">
        <x:v>Hatchback</x:v>
      </x:c>
      <x:c r="H667" s="7" t="n">
        <x:v>1199</x:v>
      </x:c>
      <x:c r="I667" s="7" t="n">
        <x:v>72</x:v>
      </x:c>
      <x:c r="J667" s="9" t="n">
        <x:v>26.5</x:v>
      </x:c>
      <x:c r="K667" s="9" t="n">
        <x:v>6.8</x:v>
      </x:c>
      <x:c r="L667" s="7" t="n">
        <x:v>2021</x:v>
      </x:c>
      <x:c r="M667" s="11" t="n">
        <x:v>104982</x:v>
      </x:c>
      <x:c r="N667" s="7" t="n">
        <x:v>1</x:v>
      </x:c>
      <x:c r="O667" s="7" t="n">
        <x:v>0</x:v>
      </x:c>
      <x:c r="P667" s="9" t="n">
        <x:v>3.55</x:v>
      </x:c>
      <x:c r="Q667" s="7" t="n">
        <x:f>'Guide'!$B$5-L667</x:f>
        <x:v>5</x:v>
      </x:c>
      <x:c r="R667" s="9" t="n">
        <x:f>K667-P667</x:f>
        <x:v>3.25</x:v>
      </x:c>
      <x:c r="S667" s="10" t="n">
        <x:f>IF(K667&gt;0,R667/K667,"")</x:f>
        <x:v>0.47794117647058826</x:v>
      </x:c>
    </x:row>
    <x:row r="668">
      <x:c r="A668" s="7" t="n">
        <x:v>664</x:v>
      </x:c>
      <x:c r="B668" s="7" t="str">
        <x:v>Tata</x:v>
      </x:c>
      <x:c r="C668" s="7" t="str">
        <x:v>Tiago</x:v>
      </x:c>
      <x:c r="D668" s="7" t="str">
        <x:v>XE CNG</x:v>
      </x:c>
      <x:c r="E668" s="7" t="str">
        <x:v>CNG</x:v>
      </x:c>
      <x:c r="F668" s="7" t="str">
        <x:v>Manual</x:v>
      </x:c>
      <x:c r="G668" s="7" t="str">
        <x:v>Hatchback</x:v>
      </x:c>
      <x:c r="H668" s="7" t="n">
        <x:v>1199</x:v>
      </x:c>
      <x:c r="I668" s="7" t="n">
        <x:v>72</x:v>
      </x:c>
      <x:c r="J668" s="9" t="n">
        <x:v>26.5</x:v>
      </x:c>
      <x:c r="K668" s="9" t="n">
        <x:v>6.8</x:v>
      </x:c>
      <x:c r="L668" s="7" t="n">
        <x:v>2021</x:v>
      </x:c>
      <x:c r="M668" s="11" t="n">
        <x:v>69298</x:v>
      </x:c>
      <x:c r="N668" s="7" t="n">
        <x:v>2</x:v>
      </x:c>
      <x:c r="O668" s="7" t="n">
        <x:v>0</x:v>
      </x:c>
      <x:c r="P668" s="9" t="n">
        <x:v>2.87</x:v>
      </x:c>
      <x:c r="Q668" s="7" t="n">
        <x:f>'Guide'!$B$5-L668</x:f>
        <x:v>5</x:v>
      </x:c>
      <x:c r="R668" s="9" t="n">
        <x:f>K668-P668</x:f>
        <x:v>3.9299999999999997</x:v>
      </x:c>
      <x:c r="S668" s="10" t="n">
        <x:f>IF(K668&gt;0,R668/K668,"")</x:f>
        <x:v>0.5779411764705882</x:v>
      </x:c>
    </x:row>
    <x:row r="669">
      <x:c r="A669" s="7" t="n">
        <x:v>665</x:v>
      </x:c>
      <x:c r="B669" s="7" t="str">
        <x:v>Tata</x:v>
      </x:c>
      <x:c r="C669" s="7" t="str">
        <x:v>Tiago</x:v>
      </x:c>
      <x:c r="D669" s="7" t="str">
        <x:v>XE CNG</x:v>
      </x:c>
      <x:c r="E669" s="7" t="str">
        <x:v>CNG</x:v>
      </x:c>
      <x:c r="F669" s="7" t="str">
        <x:v>Manual</x:v>
      </x:c>
      <x:c r="G669" s="7" t="str">
        <x:v>Hatchback</x:v>
      </x:c>
      <x:c r="H669" s="7" t="n">
        <x:v>1199</x:v>
      </x:c>
      <x:c r="I669" s="7" t="n">
        <x:v>72</x:v>
      </x:c>
      <x:c r="J669" s="9" t="n">
        <x:v>26.5</x:v>
      </x:c>
      <x:c r="K669" s="9" t="n">
        <x:v>6.8</x:v>
      </x:c>
      <x:c r="L669" s="7" t="n">
        <x:v>2026</x:v>
      </x:c>
      <x:c r="M669" s="11" t="n">
        <x:v>5619</x:v>
      </x:c>
      <x:c r="N669" s="7" t="n">
        <x:v>2</x:v>
      </x:c>
      <x:c r="O669" s="7" t="n">
        <x:v>0</x:v>
      </x:c>
      <x:c r="P669" s="9" t="n">
        <x:v>6.04</x:v>
      </x:c>
      <x:c r="Q669" s="7" t="n">
        <x:f>'Guide'!$B$5-L669</x:f>
        <x:v>0</x:v>
      </x:c>
      <x:c r="R669" s="9" t="n">
        <x:f>K669-P669</x:f>
        <x:v>0.7599999999999998</x:v>
      </x:c>
      <x:c r="S669" s="10" t="n">
        <x:f>IF(K669&gt;0,R669/K669,"")</x:f>
        <x:v>0.11176470588235292</x:v>
      </x:c>
    </x:row>
    <x:row r="670">
      <x:c r="A670" s="7" t="n">
        <x:v>666</x:v>
      </x:c>
      <x:c r="B670" s="7" t="str">
        <x:v>Tata</x:v>
      </x:c>
      <x:c r="C670" s="7" t="str">
        <x:v>Tiago</x:v>
      </x:c>
      <x:c r="D670" s="7" t="str">
        <x:v>XE CNG</x:v>
      </x:c>
      <x:c r="E670" s="7" t="str">
        <x:v>CNG</x:v>
      </x:c>
      <x:c r="F670" s="7" t="str">
        <x:v>Manual</x:v>
      </x:c>
      <x:c r="G670" s="7" t="str">
        <x:v>Hatchback</x:v>
      </x:c>
      <x:c r="H670" s="7" t="n">
        <x:v>1199</x:v>
      </x:c>
      <x:c r="I670" s="7" t="n">
        <x:v>72</x:v>
      </x:c>
      <x:c r="J670" s="9" t="n">
        <x:v>26.5</x:v>
      </x:c>
      <x:c r="K670" s="9" t="n">
        <x:v>6.8</x:v>
      </x:c>
      <x:c r="L670" s="7" t="n">
        <x:v>2023</x:v>
      </x:c>
      <x:c r="M670" s="11" t="n">
        <x:v>65362</x:v>
      </x:c>
      <x:c r="N670" s="7" t="n">
        <x:v>1</x:v>
      </x:c>
      <x:c r="O670" s="7" t="n">
        <x:v>0</x:v>
      </x:c>
      <x:c r="P670" s="9" t="n">
        <x:v>4.9</x:v>
      </x:c>
      <x:c r="Q670" s="7" t="n">
        <x:f>'Guide'!$B$5-L670</x:f>
        <x:v>3</x:v>
      </x:c>
      <x:c r="R670" s="9" t="n">
        <x:f>K670-P670</x:f>
        <x:v>1.8999999999999995</x:v>
      </x:c>
      <x:c r="S670" s="10" t="n">
        <x:f>IF(K670&gt;0,R670/K670,"")</x:f>
        <x:v>0.2794117647058823</x:v>
      </x:c>
    </x:row>
    <x:row r="671">
      <x:c r="A671" s="7" t="n">
        <x:v>667</x:v>
      </x:c>
      <x:c r="B671" s="7" t="str">
        <x:v>Tata</x:v>
      </x:c>
      <x:c r="C671" s="7" t="str">
        <x:v>Tiago</x:v>
      </x:c>
      <x:c r="D671" s="7" t="str">
        <x:v>XE CNG</x:v>
      </x:c>
      <x:c r="E671" s="7" t="str">
        <x:v>CNG</x:v>
      </x:c>
      <x:c r="F671" s="7" t="str">
        <x:v>Manual</x:v>
      </x:c>
      <x:c r="G671" s="7" t="str">
        <x:v>Hatchback</x:v>
      </x:c>
      <x:c r="H671" s="7" t="n">
        <x:v>1199</x:v>
      </x:c>
      <x:c r="I671" s="7" t="n">
        <x:v>72</x:v>
      </x:c>
      <x:c r="J671" s="9" t="n">
        <x:v>26.5</x:v>
      </x:c>
      <x:c r="K671" s="9" t="n">
        <x:v>6.8</x:v>
      </x:c>
      <x:c r="L671" s="7" t="n">
        <x:v>2024</x:v>
      </x:c>
      <x:c r="M671" s="11" t="n">
        <x:v>41041</x:v>
      </x:c>
      <x:c r="N671" s="7" t="n">
        <x:v>1</x:v>
      </x:c>
      <x:c r="O671" s="7" t="n">
        <x:v>0</x:v>
      </x:c>
      <x:c r="P671" s="9" t="n">
        <x:v>5.24</x:v>
      </x:c>
      <x:c r="Q671" s="7" t="n">
        <x:f>'Guide'!$B$5-L671</x:f>
        <x:v>2</x:v>
      </x:c>
      <x:c r="R671" s="9" t="n">
        <x:f>K671-P671</x:f>
        <x:v>1.5599999999999996</x:v>
      </x:c>
      <x:c r="S671" s="10" t="n">
        <x:f>IF(K671&gt;0,R671/K671,"")</x:f>
        <x:v>0.22941176470588232</x:v>
      </x:c>
    </x:row>
    <x:row r="672">
      <x:c r="A672" s="7" t="n">
        <x:v>668</x:v>
      </x:c>
      <x:c r="B672" s="7" t="str">
        <x:v>Tata</x:v>
      </x:c>
      <x:c r="C672" s="7" t="str">
        <x:v>Tiago</x:v>
      </x:c>
      <x:c r="D672" s="7" t="str">
        <x:v>XE CNG</x:v>
      </x:c>
      <x:c r="E672" s="7" t="str">
        <x:v>CNG</x:v>
      </x:c>
      <x:c r="F672" s="7" t="str">
        <x:v>Manual</x:v>
      </x:c>
      <x:c r="G672" s="7" t="str">
        <x:v>Hatchback</x:v>
      </x:c>
      <x:c r="H672" s="7" t="n">
        <x:v>1199</x:v>
      </x:c>
      <x:c r="I672" s="7" t="n">
        <x:v>72</x:v>
      </x:c>
      <x:c r="J672" s="9" t="n">
        <x:v>26.5</x:v>
      </x:c>
      <x:c r="K672" s="9" t="n">
        <x:v>6.8</x:v>
      </x:c>
      <x:c r="L672" s="7" t="n">
        <x:v>2024</x:v>
      </x:c>
      <x:c r="M672" s="11" t="n">
        <x:v>32195</x:v>
      </x:c>
      <x:c r="N672" s="7" t="n">
        <x:v>1</x:v>
      </x:c>
      <x:c r="O672" s="7" t="n">
        <x:v>0</x:v>
      </x:c>
      <x:c r="P672" s="9" t="n">
        <x:v>5.44</x:v>
      </x:c>
      <x:c r="Q672" s="7" t="n">
        <x:f>'Guide'!$B$5-L672</x:f>
        <x:v>2</x:v>
      </x:c>
      <x:c r="R672" s="9" t="n">
        <x:f>K672-P672</x:f>
        <x:v>1.3599999999999994</x:v>
      </x:c>
      <x:c r="S672" s="10" t="n">
        <x:f>IF(K672&gt;0,R672/K672,"")</x:f>
        <x:v>0.19999999999999993</x:v>
      </x:c>
    </x:row>
    <x:row r="673">
      <x:c r="A673" s="7" t="n">
        <x:v>669</x:v>
      </x:c>
      <x:c r="B673" s="7" t="str">
        <x:v>Tata</x:v>
      </x:c>
      <x:c r="C673" s="7" t="str">
        <x:v>Tiago</x:v>
      </x:c>
      <x:c r="D673" s="7" t="str">
        <x:v>XE CNG</x:v>
      </x:c>
      <x:c r="E673" s="7" t="str">
        <x:v>CNG</x:v>
      </x:c>
      <x:c r="F673" s="7" t="str">
        <x:v>Manual</x:v>
      </x:c>
      <x:c r="G673" s="7" t="str">
        <x:v>Hatchback</x:v>
      </x:c>
      <x:c r="H673" s="7" t="n">
        <x:v>1199</x:v>
      </x:c>
      <x:c r="I673" s="7" t="n">
        <x:v>72</x:v>
      </x:c>
      <x:c r="J673" s="9" t="n">
        <x:v>26.5</x:v>
      </x:c>
      <x:c r="K673" s="9" t="n">
        <x:v>6.8</x:v>
      </x:c>
      <x:c r="L673" s="7" t="n">
        <x:v>2021</x:v>
      </x:c>
      <x:c r="M673" s="11" t="n">
        <x:v>98567</x:v>
      </x:c>
      <x:c r="N673" s="7" t="n">
        <x:v>2</x:v>
      </x:c>
      <x:c r="O673" s="7" t="n">
        <x:v>0</x:v>
      </x:c>
      <x:c r="P673" s="9" t="n">
        <x:v>2.52</x:v>
      </x:c>
      <x:c r="Q673" s="7" t="n">
        <x:f>'Guide'!$B$5-L673</x:f>
        <x:v>5</x:v>
      </x:c>
      <x:c r="R673" s="9" t="n">
        <x:f>K673-P673</x:f>
        <x:v>4.279999999999999</x:v>
      </x:c>
      <x:c r="S673" s="10" t="n">
        <x:f>IF(K673&gt;0,R673/K673,"")</x:f>
        <x:v>0.6294117647058822</x:v>
      </x:c>
    </x:row>
    <x:row r="674">
      <x:c r="A674" s="7" t="n">
        <x:v>670</x:v>
      </x:c>
      <x:c r="B674" s="7" t="str">
        <x:v>Tata</x:v>
      </x:c>
      <x:c r="C674" s="7" t="str">
        <x:v>Tiago</x:v>
      </x:c>
      <x:c r="D674" s="7" t="str">
        <x:v>XE CNG</x:v>
      </x:c>
      <x:c r="E674" s="7" t="str">
        <x:v>CNG</x:v>
      </x:c>
      <x:c r="F674" s="7" t="str">
        <x:v>Manual</x:v>
      </x:c>
      <x:c r="G674" s="7" t="str">
        <x:v>Hatchback</x:v>
      </x:c>
      <x:c r="H674" s="7" t="n">
        <x:v>1199</x:v>
      </x:c>
      <x:c r="I674" s="7" t="n">
        <x:v>72</x:v>
      </x:c>
      <x:c r="J674" s="9" t="n">
        <x:v>26.5</x:v>
      </x:c>
      <x:c r="K674" s="9" t="n">
        <x:v>6.8</x:v>
      </x:c>
      <x:c r="L674" s="7" t="n">
        <x:v>2024</x:v>
      </x:c>
      <x:c r="M674" s="11" t="n">
        <x:v>29151</x:v>
      </x:c>
      <x:c r="N674" s="7" t="n">
        <x:v>1</x:v>
      </x:c>
      <x:c r="O674" s="7" t="n">
        <x:v>0</x:v>
      </x:c>
      <x:c r="P674" s="9" t="n">
        <x:v>5.25</x:v>
      </x:c>
      <x:c r="Q674" s="7" t="n">
        <x:f>'Guide'!$B$5-L674</x:f>
        <x:v>2</x:v>
      </x:c>
      <x:c r="R674" s="9" t="n">
        <x:f>K674-P674</x:f>
        <x:v>1.5499999999999998</x:v>
      </x:c>
      <x:c r="S674" s="10" t="n">
        <x:f>IF(K674&gt;0,R674/K674,"")</x:f>
        <x:v>0.2279411764705882</x:v>
      </x:c>
    </x:row>
    <x:row r="675">
      <x:c r="A675" s="7" t="n">
        <x:v>671</x:v>
      </x:c>
      <x:c r="B675" s="7" t="str">
        <x:v>Tata</x:v>
      </x:c>
      <x:c r="C675" s="7" t="str">
        <x:v>Tiago</x:v>
      </x:c>
      <x:c r="D675" s="7" t="str">
        <x:v>XE CNG</x:v>
      </x:c>
      <x:c r="E675" s="7" t="str">
        <x:v>CNG</x:v>
      </x:c>
      <x:c r="F675" s="7" t="str">
        <x:v>Manual</x:v>
      </x:c>
      <x:c r="G675" s="7" t="str">
        <x:v>Hatchback</x:v>
      </x:c>
      <x:c r="H675" s="7" t="n">
        <x:v>1199</x:v>
      </x:c>
      <x:c r="I675" s="7" t="n">
        <x:v>72</x:v>
      </x:c>
      <x:c r="J675" s="9" t="n">
        <x:v>26.5</x:v>
      </x:c>
      <x:c r="K675" s="9" t="n">
        <x:v>6.8</x:v>
      </x:c>
      <x:c r="L675" s="7" t="n">
        <x:v>2022</x:v>
      </x:c>
      <x:c r="M675" s="11" t="n">
        <x:v>42071</x:v>
      </x:c>
      <x:c r="N675" s="7" t="n">
        <x:v>2</x:v>
      </x:c>
      <x:c r="O675" s="7" t="n">
        <x:v>0</x:v>
      </x:c>
      <x:c r="P675" s="9" t="n">
        <x:v>3.56</x:v>
      </x:c>
      <x:c r="Q675" s="7" t="n">
        <x:f>'Guide'!$B$5-L675</x:f>
        <x:v>4</x:v>
      </x:c>
      <x:c r="R675" s="9" t="n">
        <x:f>K675-P675</x:f>
        <x:v>3.2399999999999998</x:v>
      </x:c>
      <x:c r="S675" s="10" t="n">
        <x:f>IF(K675&gt;0,R675/K675,"")</x:f>
        <x:v>0.4764705882352941</x:v>
      </x:c>
    </x:row>
    <x:row r="676">
      <x:c r="A676" s="7" t="n">
        <x:v>672</x:v>
      </x:c>
      <x:c r="B676" s="7" t="str">
        <x:v>Tata</x:v>
      </x:c>
      <x:c r="C676" s="7" t="str">
        <x:v>Tiago</x:v>
      </x:c>
      <x:c r="D676" s="7" t="str">
        <x:v>XE CNG</x:v>
      </x:c>
      <x:c r="E676" s="7" t="str">
        <x:v>CNG</x:v>
      </x:c>
      <x:c r="F676" s="7" t="str">
        <x:v>Manual</x:v>
      </x:c>
      <x:c r="G676" s="7" t="str">
        <x:v>Hatchback</x:v>
      </x:c>
      <x:c r="H676" s="7" t="n">
        <x:v>1199</x:v>
      </x:c>
      <x:c r="I676" s="7" t="n">
        <x:v>72</x:v>
      </x:c>
      <x:c r="J676" s="9" t="n">
        <x:v>26.5</x:v>
      </x:c>
      <x:c r="K676" s="9" t="n">
        <x:v>6.8</x:v>
      </x:c>
      <x:c r="L676" s="7" t="n">
        <x:v>2025</x:v>
      </x:c>
      <x:c r="M676" s="11" t="n">
        <x:v>17591</x:v>
      </x:c>
      <x:c r="N676" s="7" t="n">
        <x:v>1</x:v>
      </x:c>
      <x:c r="O676" s="7" t="n">
        <x:v>0</x:v>
      </x:c>
      <x:c r="P676" s="9" t="n">
        <x:v>6.29</x:v>
      </x:c>
      <x:c r="Q676" s="7" t="n">
        <x:f>'Guide'!$B$5-L676</x:f>
        <x:v>1</x:v>
      </x:c>
      <x:c r="R676" s="9" t="n">
        <x:f>K676-P676</x:f>
        <x:v>0.5099999999999998</x:v>
      </x:c>
      <x:c r="S676" s="10" t="n">
        <x:f>IF(K676&gt;0,R676/K676,"")</x:f>
        <x:v>0.07499999999999997</x:v>
      </x:c>
    </x:row>
    <x:row r="677">
      <x:c r="A677" s="7" t="n">
        <x:v>673</x:v>
      </x:c>
      <x:c r="B677" s="7" t="str">
        <x:v>Tata</x:v>
      </x:c>
      <x:c r="C677" s="7" t="str">
        <x:v>Tiago</x:v>
      </x:c>
      <x:c r="D677" s="7" t="str">
        <x:v>XE CNG</x:v>
      </x:c>
      <x:c r="E677" s="7" t="str">
        <x:v>CNG</x:v>
      </x:c>
      <x:c r="F677" s="7" t="str">
        <x:v>Manual</x:v>
      </x:c>
      <x:c r="G677" s="7" t="str">
        <x:v>Hatchback</x:v>
      </x:c>
      <x:c r="H677" s="7" t="n">
        <x:v>1199</x:v>
      </x:c>
      <x:c r="I677" s="7" t="n">
        <x:v>72</x:v>
      </x:c>
      <x:c r="J677" s="9" t="n">
        <x:v>26.5</x:v>
      </x:c>
      <x:c r="K677" s="9" t="n">
        <x:v>6.8</x:v>
      </x:c>
      <x:c r="L677" s="7" t="n">
        <x:v>2020</x:v>
      </x:c>
      <x:c r="M677" s="11" t="n">
        <x:v>105581</x:v>
      </x:c>
      <x:c r="N677" s="7" t="n">
        <x:v>1</x:v>
      </x:c>
      <x:c r="O677" s="7" t="n">
        <x:v>0</x:v>
      </x:c>
      <x:c r="P677" s="9" t="n">
        <x:v>2.85</x:v>
      </x:c>
      <x:c r="Q677" s="7" t="n">
        <x:f>'Guide'!$B$5-L677</x:f>
        <x:v>6</x:v>
      </x:c>
      <x:c r="R677" s="9" t="n">
        <x:f>K677-P677</x:f>
        <x:v>3.9499999999999997</x:v>
      </x:c>
      <x:c r="S677" s="10" t="n">
        <x:f>IF(K677&gt;0,R677/K677,"")</x:f>
        <x:v>0.5808823529411764</x:v>
      </x:c>
    </x:row>
    <x:row r="678">
      <x:c r="A678" s="7" t="n">
        <x:v>674</x:v>
      </x:c>
      <x:c r="B678" s="7" t="str">
        <x:v>Tata</x:v>
      </x:c>
      <x:c r="C678" s="7" t="str">
        <x:v>Tiago</x:v>
      </x:c>
      <x:c r="D678" s="7" t="str">
        <x:v>XE CNG</x:v>
      </x:c>
      <x:c r="E678" s="7" t="str">
        <x:v>CNG</x:v>
      </x:c>
      <x:c r="F678" s="7" t="str">
        <x:v>Manual</x:v>
      </x:c>
      <x:c r="G678" s="7" t="str">
        <x:v>Hatchback</x:v>
      </x:c>
      <x:c r="H678" s="7" t="n">
        <x:v>1199</x:v>
      </x:c>
      <x:c r="I678" s="7" t="n">
        <x:v>72</x:v>
      </x:c>
      <x:c r="J678" s="9" t="n">
        <x:v>26.5</x:v>
      </x:c>
      <x:c r="K678" s="9" t="n">
        <x:v>6.8</x:v>
      </x:c>
      <x:c r="L678" s="7" t="n">
        <x:v>2021</x:v>
      </x:c>
      <x:c r="M678" s="11" t="n">
        <x:v>83311</x:v>
      </x:c>
      <x:c r="N678" s="7" t="n">
        <x:v>1</x:v>
      </x:c>
      <x:c r="O678" s="7" t="n">
        <x:v>0</x:v>
      </x:c>
      <x:c r="P678" s="9" t="n">
        <x:v>3.48</x:v>
      </x:c>
      <x:c r="Q678" s="7" t="n">
        <x:f>'Guide'!$B$5-L678</x:f>
        <x:v>5</x:v>
      </x:c>
      <x:c r="R678" s="9" t="n">
        <x:f>K678-P678</x:f>
        <x:v>3.32</x:v>
      </x:c>
      <x:c r="S678" s="10" t="n">
        <x:f>IF(K678&gt;0,R678/K678,"")</x:f>
        <x:v>0.48823529411764705</x:v>
      </x:c>
    </x:row>
    <x:row r="679">
      <x:c r="A679" s="7" t="n">
        <x:v>675</x:v>
      </x:c>
      <x:c r="B679" s="7" t="str">
        <x:v>Tata</x:v>
      </x:c>
      <x:c r="C679" s="7" t="str">
        <x:v>Tiago</x:v>
      </x:c>
      <x:c r="D679" s="7" t="str">
        <x:v>XE CNG</x:v>
      </x:c>
      <x:c r="E679" s="7" t="str">
        <x:v>CNG</x:v>
      </x:c>
      <x:c r="F679" s="7" t="str">
        <x:v>Manual</x:v>
      </x:c>
      <x:c r="G679" s="7" t="str">
        <x:v>Hatchback</x:v>
      </x:c>
      <x:c r="H679" s="7" t="n">
        <x:v>1199</x:v>
      </x:c>
      <x:c r="I679" s="7" t="n">
        <x:v>72</x:v>
      </x:c>
      <x:c r="J679" s="9" t="n">
        <x:v>26.5</x:v>
      </x:c>
      <x:c r="K679" s="9" t="n">
        <x:v>6.8</x:v>
      </x:c>
      <x:c r="L679" s="7" t="n">
        <x:v>2023</x:v>
      </x:c>
      <x:c r="M679" s="11" t="n">
        <x:v>51178</x:v>
      </x:c>
      <x:c r="N679" s="7" t="n">
        <x:v>1</x:v>
      </x:c>
      <x:c r="O679" s="7" t="n">
        <x:v>0</x:v>
      </x:c>
      <x:c r="P679" s="9" t="n">
        <x:v>4.81</x:v>
      </x:c>
      <x:c r="Q679" s="7" t="n">
        <x:f>'Guide'!$B$5-L679</x:f>
        <x:v>3</x:v>
      </x:c>
      <x:c r="R679" s="9" t="n">
        <x:f>K679-P679</x:f>
        <x:v>1.9900000000000002</x:v>
      </x:c>
      <x:c r="S679" s="10" t="n">
        <x:f>IF(K679&gt;0,R679/K679,"")</x:f>
        <x:v>0.2926470588235294</x:v>
      </x:c>
    </x:row>
    <x:row r="680">
      <x:c r="A680" s="7" t="n">
        <x:v>676</x:v>
      </x:c>
      <x:c r="B680" s="7" t="str">
        <x:v>Tata</x:v>
      </x:c>
      <x:c r="C680" s="7" t="str">
        <x:v>Tiago</x:v>
      </x:c>
      <x:c r="D680" s="7" t="str">
        <x:v>XE CNG</x:v>
      </x:c>
      <x:c r="E680" s="7" t="str">
        <x:v>CNG</x:v>
      </x:c>
      <x:c r="F680" s="7" t="str">
        <x:v>Manual</x:v>
      </x:c>
      <x:c r="G680" s="7" t="str">
        <x:v>Hatchback</x:v>
      </x:c>
      <x:c r="H680" s="7" t="n">
        <x:v>1199</x:v>
      </x:c>
      <x:c r="I680" s="7" t="n">
        <x:v>72</x:v>
      </x:c>
      <x:c r="J680" s="9" t="n">
        <x:v>26.5</x:v>
      </x:c>
      <x:c r="K680" s="9" t="n">
        <x:v>6.8</x:v>
      </x:c>
      <x:c r="L680" s="7" t="n">
        <x:v>2021</x:v>
      </x:c>
      <x:c r="M680" s="11" t="n">
        <x:v>109190</x:v>
      </x:c>
      <x:c r="N680" s="7" t="n">
        <x:v>1</x:v>
      </x:c>
      <x:c r="O680" s="7" t="n">
        <x:v>0</x:v>
      </x:c>
      <x:c r="P680" s="9" t="n">
        <x:v>3.32</x:v>
      </x:c>
      <x:c r="Q680" s="7" t="n">
        <x:f>'Guide'!$B$5-L680</x:f>
        <x:v>5</x:v>
      </x:c>
      <x:c r="R680" s="9" t="n">
        <x:f>K680-P680</x:f>
        <x:v>3.48</x:v>
      </x:c>
      <x:c r="S680" s="10" t="n">
        <x:f>IF(K680&gt;0,R680/K680,"")</x:f>
        <x:v>0.5117647058823529</x:v>
      </x:c>
    </x:row>
    <x:row r="681">
      <x:c r="A681" s="7" t="n">
        <x:v>677</x:v>
      </x:c>
      <x:c r="B681" s="7" t="str">
        <x:v>Tata</x:v>
      </x:c>
      <x:c r="C681" s="7" t="str">
        <x:v>Tiago</x:v>
      </x:c>
      <x:c r="D681" s="7" t="str">
        <x:v>XE CNG</x:v>
      </x:c>
      <x:c r="E681" s="7" t="str">
        <x:v>CNG</x:v>
      </x:c>
      <x:c r="F681" s="7" t="str">
        <x:v>Manual</x:v>
      </x:c>
      <x:c r="G681" s="7" t="str">
        <x:v>Hatchback</x:v>
      </x:c>
      <x:c r="H681" s="7" t="n">
        <x:v>1199</x:v>
      </x:c>
      <x:c r="I681" s="7" t="n">
        <x:v>72</x:v>
      </x:c>
      <x:c r="J681" s="9" t="n">
        <x:v>26.5</x:v>
      </x:c>
      <x:c r="K681" s="9" t="n">
        <x:v>6.8</x:v>
      </x:c>
      <x:c r="L681" s="7" t="n">
        <x:v>2021</x:v>
      </x:c>
      <x:c r="M681" s="11" t="n">
        <x:v>95869</x:v>
      </x:c>
      <x:c r="N681" s="7" t="n">
        <x:v>1</x:v>
      </x:c>
      <x:c r="O681" s="7" t="n">
        <x:v>1</x:v>
      </x:c>
      <x:c r="P681" s="9" t="n">
        <x:v>2.18</x:v>
      </x:c>
      <x:c r="Q681" s="7" t="n">
        <x:f>'Guide'!$B$5-L681</x:f>
        <x:v>5</x:v>
      </x:c>
      <x:c r="R681" s="9" t="n">
        <x:f>K681-P681</x:f>
        <x:v>4.619999999999999</x:v>
      </x:c>
      <x:c r="S681" s="10" t="n">
        <x:f>IF(K681&gt;0,R681/K681,"")</x:f>
        <x:v>0.6794117647058823</x:v>
      </x:c>
    </x:row>
    <x:row r="682">
      <x:c r="A682" s="7" t="n">
        <x:v>678</x:v>
      </x:c>
      <x:c r="B682" s="7" t="str">
        <x:v>Tata</x:v>
      </x:c>
      <x:c r="C682" s="7" t="str">
        <x:v>Tiago</x:v>
      </x:c>
      <x:c r="D682" s="7" t="str">
        <x:v>XE CNG</x:v>
      </x:c>
      <x:c r="E682" s="7" t="str">
        <x:v>CNG</x:v>
      </x:c>
      <x:c r="F682" s="7" t="str">
        <x:v>Manual</x:v>
      </x:c>
      <x:c r="G682" s="7" t="str">
        <x:v>Hatchback</x:v>
      </x:c>
      <x:c r="H682" s="7" t="n">
        <x:v>1199</x:v>
      </x:c>
      <x:c r="I682" s="7" t="n">
        <x:v>72</x:v>
      </x:c>
      <x:c r="J682" s="9" t="n">
        <x:v>26.5</x:v>
      </x:c>
      <x:c r="K682" s="9" t="n">
        <x:v>6.8</x:v>
      </x:c>
      <x:c r="L682" s="7" t="n">
        <x:v>2024</x:v>
      </x:c>
      <x:c r="M682" s="11" t="n">
        <x:v>28665</x:v>
      </x:c>
      <x:c r="N682" s="7" t="n">
        <x:v>1</x:v>
      </x:c>
      <x:c r="O682" s="7" t="n">
        <x:v>0</x:v>
      </x:c>
      <x:c r="P682" s="9" t="n">
        <x:v>5.1</x:v>
      </x:c>
      <x:c r="Q682" s="7" t="n">
        <x:f>'Guide'!$B$5-L682</x:f>
        <x:v>2</x:v>
      </x:c>
      <x:c r="R682" s="9" t="n">
        <x:f>K682-P682</x:f>
        <x:v>1.7000000000000002</x:v>
      </x:c>
      <x:c r="S682" s="10" t="n">
        <x:f>IF(K682&gt;0,R682/K682,"")</x:f>
        <x:v>0.25000000000000006</x:v>
      </x:c>
    </x:row>
    <x:row r="683">
      <x:c r="A683" s="7" t="n">
        <x:v>679</x:v>
      </x:c>
      <x:c r="B683" s="7" t="str">
        <x:v>Tata</x:v>
      </x:c>
      <x:c r="C683" s="7" t="str">
        <x:v>Tiago</x:v>
      </x:c>
      <x:c r="D683" s="7" t="str">
        <x:v>XE CNG</x:v>
      </x:c>
      <x:c r="E683" s="7" t="str">
        <x:v>CNG</x:v>
      </x:c>
      <x:c r="F683" s="7" t="str">
        <x:v>Manual</x:v>
      </x:c>
      <x:c r="G683" s="7" t="str">
        <x:v>Hatchback</x:v>
      </x:c>
      <x:c r="H683" s="7" t="n">
        <x:v>1199</x:v>
      </x:c>
      <x:c r="I683" s="7" t="n">
        <x:v>72</x:v>
      </x:c>
      <x:c r="J683" s="9" t="n">
        <x:v>26.5</x:v>
      </x:c>
      <x:c r="K683" s="9" t="n">
        <x:v>6.8</x:v>
      </x:c>
      <x:c r="L683" s="7" t="n">
        <x:v>2024</x:v>
      </x:c>
      <x:c r="M683" s="11" t="n">
        <x:v>27680</x:v>
      </x:c>
      <x:c r="N683" s="7" t="n">
        <x:v>2</x:v>
      </x:c>
      <x:c r="O683" s="7" t="n">
        <x:v>0</x:v>
      </x:c>
      <x:c r="P683" s="9" t="n">
        <x:v>4.98</x:v>
      </x:c>
      <x:c r="Q683" s="7" t="n">
        <x:f>'Guide'!$B$5-L683</x:f>
        <x:v>2</x:v>
      </x:c>
      <x:c r="R683" s="9" t="n">
        <x:f>K683-P683</x:f>
        <x:v>1.8199999999999994</x:v>
      </x:c>
      <x:c r="S683" s="10" t="n">
        <x:f>IF(K683&gt;0,R683/K683,"")</x:f>
        <x:v>0.26764705882352935</x:v>
      </x:c>
    </x:row>
    <x:row r="684">
      <x:c r="A684" s="7" t="n">
        <x:v>680</x:v>
      </x:c>
      <x:c r="B684" s="7" t="str">
        <x:v>Tata</x:v>
      </x:c>
      <x:c r="C684" s="7" t="str">
        <x:v>Tiago</x:v>
      </x:c>
      <x:c r="D684" s="7" t="str">
        <x:v>XE CNG</x:v>
      </x:c>
      <x:c r="E684" s="7" t="str">
        <x:v>CNG</x:v>
      </x:c>
      <x:c r="F684" s="7" t="str">
        <x:v>Manual</x:v>
      </x:c>
      <x:c r="G684" s="7" t="str">
        <x:v>Hatchback</x:v>
      </x:c>
      <x:c r="H684" s="7" t="n">
        <x:v>1199</x:v>
      </x:c>
      <x:c r="I684" s="7" t="n">
        <x:v>72</x:v>
      </x:c>
      <x:c r="J684" s="9" t="n">
        <x:v>26.5</x:v>
      </x:c>
      <x:c r="K684" s="9" t="n">
        <x:v>6.8</x:v>
      </x:c>
      <x:c r="L684" s="7" t="n">
        <x:v>2022</x:v>
      </x:c>
      <x:c r="M684" s="11" t="n">
        <x:v>53652</x:v>
      </x:c>
      <x:c r="N684" s="7" t="n">
        <x:v>2</x:v>
      </x:c>
      <x:c r="O684" s="7" t="n">
        <x:v>0</x:v>
      </x:c>
      <x:c r="P684" s="9" t="n">
        <x:v>4.16</x:v>
      </x:c>
      <x:c r="Q684" s="7" t="n">
        <x:f>'Guide'!$B$5-L684</x:f>
        <x:v>4</x:v>
      </x:c>
      <x:c r="R684" s="9" t="n">
        <x:f>K684-P684</x:f>
        <x:v>2.6399999999999997</x:v>
      </x:c>
      <x:c r="S684" s="10" t="n">
        <x:f>IF(K684&gt;0,R684/K684,"")</x:f>
        <x:v>0.388235294117647</x:v>
      </x:c>
    </x:row>
    <x:row r="685">
      <x:c r="A685" s="7" t="n">
        <x:v>681</x:v>
      </x:c>
      <x:c r="B685" s="7" t="str">
        <x:v>Tata</x:v>
      </x:c>
      <x:c r="C685" s="7" t="str">
        <x:v>Tiago</x:v>
      </x:c>
      <x:c r="D685" s="7" t="str">
        <x:v>XE CNG</x:v>
      </x:c>
      <x:c r="E685" s="7" t="str">
        <x:v>CNG</x:v>
      </x:c>
      <x:c r="F685" s="7" t="str">
        <x:v>Manual</x:v>
      </x:c>
      <x:c r="G685" s="7" t="str">
        <x:v>Hatchback</x:v>
      </x:c>
      <x:c r="H685" s="7" t="n">
        <x:v>1199</x:v>
      </x:c>
      <x:c r="I685" s="7" t="n">
        <x:v>72</x:v>
      </x:c>
      <x:c r="J685" s="9" t="n">
        <x:v>26.5</x:v>
      </x:c>
      <x:c r="K685" s="9" t="n">
        <x:v>6.8</x:v>
      </x:c>
      <x:c r="L685" s="7" t="n">
        <x:v>2023</x:v>
      </x:c>
      <x:c r="M685" s="11" t="n">
        <x:v>38022</x:v>
      </x:c>
      <x:c r="N685" s="7" t="n">
        <x:v>1</x:v>
      </x:c>
      <x:c r="O685" s="7" t="n">
        <x:v>0</x:v>
      </x:c>
      <x:c r="P685" s="9" t="n">
        <x:v>4.9</x:v>
      </x:c>
      <x:c r="Q685" s="7" t="n">
        <x:f>'Guide'!$B$5-L685</x:f>
        <x:v>3</x:v>
      </x:c>
      <x:c r="R685" s="9" t="n">
        <x:f>K685-P685</x:f>
        <x:v>1.8999999999999995</x:v>
      </x:c>
      <x:c r="S685" s="10" t="n">
        <x:f>IF(K685&gt;0,R685/K685,"")</x:f>
        <x:v>0.2794117647058823</x:v>
      </x:c>
    </x:row>
    <x:row r="686">
      <x:c r="A686" s="7" t="n">
        <x:v>682</x:v>
      </x:c>
      <x:c r="B686" s="7" t="str">
        <x:v>Tata</x:v>
      </x:c>
      <x:c r="C686" s="7" t="str">
        <x:v>Tiago</x:v>
      </x:c>
      <x:c r="D686" s="7" t="str">
        <x:v>XE CNG</x:v>
      </x:c>
      <x:c r="E686" s="7" t="str">
        <x:v>CNG</x:v>
      </x:c>
      <x:c r="F686" s="7" t="str">
        <x:v>Manual</x:v>
      </x:c>
      <x:c r="G686" s="7" t="str">
        <x:v>Hatchback</x:v>
      </x:c>
      <x:c r="H686" s="7" t="n">
        <x:v>1199</x:v>
      </x:c>
      <x:c r="I686" s="7" t="n">
        <x:v>72</x:v>
      </x:c>
      <x:c r="J686" s="9" t="n">
        <x:v>26.5</x:v>
      </x:c>
      <x:c r="K686" s="9" t="n">
        <x:v>6.8</x:v>
      </x:c>
      <x:c r="L686" s="7" t="n">
        <x:v>2020</x:v>
      </x:c>
      <x:c r="M686" s="11" t="n">
        <x:v>95783</x:v>
      </x:c>
      <x:c r="N686" s="7" t="n">
        <x:v>1</x:v>
      </x:c>
      <x:c r="O686" s="7" t="n">
        <x:v>0</x:v>
      </x:c>
      <x:c r="P686" s="9" t="n">
        <x:v>2.86</x:v>
      </x:c>
      <x:c r="Q686" s="7" t="n">
        <x:f>'Guide'!$B$5-L686</x:f>
        <x:v>6</x:v>
      </x:c>
      <x:c r="R686" s="9" t="n">
        <x:f>K686-P686</x:f>
        <x:v>3.94</x:v>
      </x:c>
      <x:c r="S686" s="10" t="n">
        <x:f>IF(K686&gt;0,R686/K686,"")</x:f>
        <x:v>0.5794117647058824</x:v>
      </x:c>
    </x:row>
    <x:row r="687">
      <x:c r="A687" s="7" t="n">
        <x:v>683</x:v>
      </x:c>
      <x:c r="B687" s="7" t="str">
        <x:v>Tata</x:v>
      </x:c>
      <x:c r="C687" s="7" t="str">
        <x:v>Tiago</x:v>
      </x:c>
      <x:c r="D687" s="7" t="str">
        <x:v>XE CNG</x:v>
      </x:c>
      <x:c r="E687" s="7" t="str">
        <x:v>CNG</x:v>
      </x:c>
      <x:c r="F687" s="7" t="str">
        <x:v>Manual</x:v>
      </x:c>
      <x:c r="G687" s="7" t="str">
        <x:v>Hatchback</x:v>
      </x:c>
      <x:c r="H687" s="7" t="n">
        <x:v>1199</x:v>
      </x:c>
      <x:c r="I687" s="7" t="n">
        <x:v>72</x:v>
      </x:c>
      <x:c r="J687" s="9" t="n">
        <x:v>26.5</x:v>
      </x:c>
      <x:c r="K687" s="9" t="n">
        <x:v>6.8</x:v>
      </x:c>
      <x:c r="L687" s="7" t="n">
        <x:v>2024</x:v>
      </x:c>
      <x:c r="M687" s="11" t="n">
        <x:v>29997</x:v>
      </x:c>
      <x:c r="N687" s="7" t="n">
        <x:v>2</x:v>
      </x:c>
      <x:c r="O687" s="7" t="n">
        <x:v>0</x:v>
      </x:c>
      <x:c r="P687" s="9" t="n">
        <x:v>5.43</x:v>
      </x:c>
      <x:c r="Q687" s="7" t="n">
        <x:f>'Guide'!$B$5-L687</x:f>
        <x:v>2</x:v>
      </x:c>
      <x:c r="R687" s="9" t="n">
        <x:f>K687-P687</x:f>
        <x:v>1.37</x:v>
      </x:c>
      <x:c r="S687" s="10" t="n">
        <x:f>IF(K687&gt;0,R687/K687,"")</x:f>
        <x:v>0.20147058823529415</x:v>
      </x:c>
    </x:row>
    <x:row r="688">
      <x:c r="A688" s="7" t="n">
        <x:v>684</x:v>
      </x:c>
      <x:c r="B688" s="7" t="str">
        <x:v>Tata</x:v>
      </x:c>
      <x:c r="C688" s="7" t="str">
        <x:v>Tiago</x:v>
      </x:c>
      <x:c r="D688" s="7" t="str">
        <x:v>XE CNG</x:v>
      </x:c>
      <x:c r="E688" s="7" t="str">
        <x:v>CNG</x:v>
      </x:c>
      <x:c r="F688" s="7" t="str">
        <x:v>Manual</x:v>
      </x:c>
      <x:c r="G688" s="7" t="str">
        <x:v>Hatchback</x:v>
      </x:c>
      <x:c r="H688" s="7" t="n">
        <x:v>1199</x:v>
      </x:c>
      <x:c r="I688" s="7" t="n">
        <x:v>72</x:v>
      </x:c>
      <x:c r="J688" s="9" t="n">
        <x:v>26.5</x:v>
      </x:c>
      <x:c r="K688" s="9" t="n">
        <x:v>6.8</x:v>
      </x:c>
      <x:c r="L688" s="7" t="n">
        <x:v>2026</x:v>
      </x:c>
      <x:c r="M688" s="11" t="n">
        <x:v>5399</x:v>
      </x:c>
      <x:c r="N688" s="7" t="n">
        <x:v>1</x:v>
      </x:c>
      <x:c r="O688" s="7" t="n">
        <x:v>1</x:v>
      </x:c>
      <x:c r="P688" s="9" t="n">
        <x:v>6.32</x:v>
      </x:c>
      <x:c r="Q688" s="7" t="n">
        <x:f>'Guide'!$B$5-L688</x:f>
        <x:v>0</x:v>
      </x:c>
      <x:c r="R688" s="9" t="n">
        <x:f>K688-P688</x:f>
        <x:v>0.47999999999999954</x:v>
      </x:c>
      <x:c r="S688" s="10" t="n">
        <x:f>IF(K688&gt;0,R688/K688,"")</x:f>
        <x:v>0.07058823529411758</x:v>
      </x:c>
    </x:row>
    <x:row r="689">
      <x:c r="A689" s="7" t="n">
        <x:v>685</x:v>
      </x:c>
      <x:c r="B689" s="7" t="str">
        <x:v>Tata</x:v>
      </x:c>
      <x:c r="C689" s="7" t="str">
        <x:v>Tiago</x:v>
      </x:c>
      <x:c r="D689" s="7" t="str">
        <x:v>XE CNG</x:v>
      </x:c>
      <x:c r="E689" s="7" t="str">
        <x:v>CNG</x:v>
      </x:c>
      <x:c r="F689" s="7" t="str">
        <x:v>Manual</x:v>
      </x:c>
      <x:c r="G689" s="7" t="str">
        <x:v>Hatchback</x:v>
      </x:c>
      <x:c r="H689" s="7" t="n">
        <x:v>1199</x:v>
      </x:c>
      <x:c r="I689" s="7" t="n">
        <x:v>72</x:v>
      </x:c>
      <x:c r="J689" s="9" t="n">
        <x:v>26.5</x:v>
      </x:c>
      <x:c r="K689" s="9" t="n">
        <x:v>6.8</x:v>
      </x:c>
      <x:c r="L689" s="7" t="n">
        <x:v>2026</x:v>
      </x:c>
      <x:c r="M689" s="11" t="n">
        <x:v>6099</x:v>
      </x:c>
      <x:c r="N689" s="7" t="n">
        <x:v>2</x:v>
      </x:c>
      <x:c r="O689" s="7" t="n">
        <x:v>0</x:v>
      </x:c>
      <x:c r="P689" s="9" t="n">
        <x:v>6.56</x:v>
      </x:c>
      <x:c r="Q689" s="7" t="n">
        <x:f>'Guide'!$B$5-L689</x:f>
        <x:v>0</x:v>
      </x:c>
      <x:c r="R689" s="9" t="n">
        <x:f>K689-P689</x:f>
        <x:v>0.2400000000000002</x:v>
      </x:c>
      <x:c r="S689" s="10" t="n">
        <x:f>IF(K689&gt;0,R689/K689,"")</x:f>
        <x:v>0.03529411764705886</x:v>
      </x:c>
    </x:row>
    <x:row r="690">
      <x:c r="A690" s="7" t="n">
        <x:v>686</x:v>
      </x:c>
      <x:c r="B690" s="7" t="str">
        <x:v>Tata</x:v>
      </x:c>
      <x:c r="C690" s="7" t="str">
        <x:v>Tiago</x:v>
      </x:c>
      <x:c r="D690" s="7" t="str">
        <x:v>XE CNG</x:v>
      </x:c>
      <x:c r="E690" s="7" t="str">
        <x:v>CNG</x:v>
      </x:c>
      <x:c r="F690" s="7" t="str">
        <x:v>Manual</x:v>
      </x:c>
      <x:c r="G690" s="7" t="str">
        <x:v>Hatchback</x:v>
      </x:c>
      <x:c r="H690" s="7" t="n">
        <x:v>1199</x:v>
      </x:c>
      <x:c r="I690" s="7" t="n">
        <x:v>72</x:v>
      </x:c>
      <x:c r="J690" s="9" t="n">
        <x:v>26.5</x:v>
      </x:c>
      <x:c r="K690" s="9" t="n">
        <x:v>6.8</x:v>
      </x:c>
      <x:c r="L690" s="7" t="n">
        <x:v>2020</x:v>
      </x:c>
      <x:c r="M690" s="11" t="n">
        <x:v>112691</x:v>
      </x:c>
      <x:c r="N690" s="7" t="n">
        <x:v>2</x:v>
      </x:c>
      <x:c r="O690" s="7" t="n">
        <x:v>1</x:v>
      </x:c>
      <x:c r="P690" s="9" t="n">
        <x:v>1.5</x:v>
      </x:c>
      <x:c r="Q690" s="7" t="n">
        <x:f>'Guide'!$B$5-L690</x:f>
        <x:v>6</x:v>
      </x:c>
      <x:c r="R690" s="9" t="n">
        <x:f>K690-P690</x:f>
        <x:v>5.3</x:v>
      </x:c>
      <x:c r="S690" s="10" t="n">
        <x:f>IF(K690&gt;0,R690/K690,"")</x:f>
        <x:v>0.7794117647058824</x:v>
      </x:c>
    </x:row>
    <x:row r="691">
      <x:c r="A691" s="7" t="n">
        <x:v>687</x:v>
      </x:c>
      <x:c r="B691" s="7" t="str">
        <x:v>Tata</x:v>
      </x:c>
      <x:c r="C691" s="7" t="str">
        <x:v>Tiago</x:v>
      </x:c>
      <x:c r="D691" s="7" t="str">
        <x:v>XE CNG</x:v>
      </x:c>
      <x:c r="E691" s="7" t="str">
        <x:v>CNG</x:v>
      </x:c>
      <x:c r="F691" s="7" t="str">
        <x:v>Manual</x:v>
      </x:c>
      <x:c r="G691" s="7" t="str">
        <x:v>Hatchback</x:v>
      </x:c>
      <x:c r="H691" s="7" t="n">
        <x:v>1199</x:v>
      </x:c>
      <x:c r="I691" s="7" t="n">
        <x:v>72</x:v>
      </x:c>
      <x:c r="J691" s="9" t="n">
        <x:v>26.5</x:v>
      </x:c>
      <x:c r="K691" s="9" t="n">
        <x:v>6.8</x:v>
      </x:c>
      <x:c r="L691" s="7" t="n">
        <x:v>2022</x:v>
      </x:c>
      <x:c r="M691" s="11" t="n">
        <x:v>45539</x:v>
      </x:c>
      <x:c r="N691" s="7" t="n">
        <x:v>1</x:v>
      </x:c>
      <x:c r="O691" s="7" t="n">
        <x:v>0</x:v>
      </x:c>
      <x:c r="P691" s="9" t="n">
        <x:v>4.36</x:v>
      </x:c>
      <x:c r="Q691" s="7" t="n">
        <x:f>'Guide'!$B$5-L691</x:f>
        <x:v>4</x:v>
      </x:c>
      <x:c r="R691" s="9" t="n">
        <x:f>K691-P691</x:f>
        <x:v>2.4399999999999995</x:v>
      </x:c>
      <x:c r="S691" s="10" t="n">
        <x:f>IF(K691&gt;0,R691/K691,"")</x:f>
        <x:v>0.35882352941176465</x:v>
      </x:c>
    </x:row>
    <x:row r="692">
      <x:c r="A692" s="7" t="n">
        <x:v>688</x:v>
      </x:c>
      <x:c r="B692" s="7" t="str">
        <x:v>Tata</x:v>
      </x:c>
      <x:c r="C692" s="7" t="str">
        <x:v>Tiago</x:v>
      </x:c>
      <x:c r="D692" s="7" t="str">
        <x:v>XE CNG</x:v>
      </x:c>
      <x:c r="E692" s="7" t="str">
        <x:v>CNG</x:v>
      </x:c>
      <x:c r="F692" s="7" t="str">
        <x:v>Manual</x:v>
      </x:c>
      <x:c r="G692" s="7" t="str">
        <x:v>Hatchback</x:v>
      </x:c>
      <x:c r="H692" s="7" t="n">
        <x:v>1199</x:v>
      </x:c>
      <x:c r="I692" s="7" t="n">
        <x:v>72</x:v>
      </x:c>
      <x:c r="J692" s="9" t="n">
        <x:v>26.5</x:v>
      </x:c>
      <x:c r="K692" s="9" t="n">
        <x:v>6.8</x:v>
      </x:c>
      <x:c r="L692" s="7" t="n">
        <x:v>2020</x:v>
      </x:c>
      <x:c r="M692" s="11" t="n">
        <x:v>86149</x:v>
      </x:c>
      <x:c r="N692" s="7" t="n">
        <x:v>1</x:v>
      </x:c>
      <x:c r="O692" s="7" t="n">
        <x:v>0</x:v>
      </x:c>
      <x:c r="P692" s="9" t="n">
        <x:v>2.7</x:v>
      </x:c>
      <x:c r="Q692" s="7" t="n">
        <x:f>'Guide'!$B$5-L692</x:f>
        <x:v>6</x:v>
      </x:c>
      <x:c r="R692" s="9" t="n">
        <x:f>K692-P692</x:f>
        <x:v>4.1</x:v>
      </x:c>
      <x:c r="S692" s="10" t="n">
        <x:f>IF(K692&gt;0,R692/K692,"")</x:f>
        <x:v>0.6029411764705882</x:v>
      </x:c>
    </x:row>
    <x:row r="693">
      <x:c r="A693" s="7" t="n">
        <x:v>689</x:v>
      </x:c>
      <x:c r="B693" s="7" t="str">
        <x:v>Tata</x:v>
      </x:c>
      <x:c r="C693" s="7" t="str">
        <x:v>Tiago</x:v>
      </x:c>
      <x:c r="D693" s="7" t="str">
        <x:v>XE CNG</x:v>
      </x:c>
      <x:c r="E693" s="7" t="str">
        <x:v>CNG</x:v>
      </x:c>
      <x:c r="F693" s="7" t="str">
        <x:v>Manual</x:v>
      </x:c>
      <x:c r="G693" s="7" t="str">
        <x:v>Hatchback</x:v>
      </x:c>
      <x:c r="H693" s="7" t="n">
        <x:v>1199</x:v>
      </x:c>
      <x:c r="I693" s="7" t="n">
        <x:v>72</x:v>
      </x:c>
      <x:c r="J693" s="9" t="n">
        <x:v>26.5</x:v>
      </x:c>
      <x:c r="K693" s="9" t="n">
        <x:v>6.8</x:v>
      </x:c>
      <x:c r="L693" s="7" t="n">
        <x:v>2026</x:v>
      </x:c>
      <x:c r="M693" s="11" t="n">
        <x:v>5411</x:v>
      </x:c>
      <x:c r="N693" s="7" t="n">
        <x:v>1</x:v>
      </x:c>
      <x:c r="O693" s="7" t="n">
        <x:v>1</x:v>
      </x:c>
      <x:c r="P693" s="9" t="n">
        <x:v>6.33</x:v>
      </x:c>
      <x:c r="Q693" s="7" t="n">
        <x:f>'Guide'!$B$5-L693</x:f>
        <x:v>0</x:v>
      </x:c>
      <x:c r="R693" s="9" t="n">
        <x:f>K693-P693</x:f>
        <x:v>0.46999999999999975</x:v>
      </x:c>
      <x:c r="S693" s="10" t="n">
        <x:f>IF(K693&gt;0,R693/K693,"")</x:f>
        <x:v>0.06911764705882349</x:v>
      </x:c>
    </x:row>
    <x:row r="694">
      <x:c r="A694" s="7" t="n">
        <x:v>690</x:v>
      </x:c>
      <x:c r="B694" s="7" t="str">
        <x:v>Tata</x:v>
      </x:c>
      <x:c r="C694" s="7" t="str">
        <x:v>Tiago</x:v>
      </x:c>
      <x:c r="D694" s="7" t="str">
        <x:v>XE CNG</x:v>
      </x:c>
      <x:c r="E694" s="7" t="str">
        <x:v>CNG</x:v>
      </x:c>
      <x:c r="F694" s="7" t="str">
        <x:v>Manual</x:v>
      </x:c>
      <x:c r="G694" s="7" t="str">
        <x:v>Hatchback</x:v>
      </x:c>
      <x:c r="H694" s="7" t="n">
        <x:v>1199</x:v>
      </x:c>
      <x:c r="I694" s="7" t="n">
        <x:v>72</x:v>
      </x:c>
      <x:c r="J694" s="9" t="n">
        <x:v>26.5</x:v>
      </x:c>
      <x:c r="K694" s="9" t="n">
        <x:v>6.8</x:v>
      </x:c>
      <x:c r="L694" s="7" t="n">
        <x:v>2026</x:v>
      </x:c>
      <x:c r="M694" s="11" t="n">
        <x:v>8378</x:v>
      </x:c>
      <x:c r="N694" s="7" t="n">
        <x:v>3</x:v>
      </x:c>
      <x:c r="O694" s="7" t="n">
        <x:v>0</x:v>
      </x:c>
      <x:c r="P694" s="9" t="n">
        <x:v>5.68</x:v>
      </x:c>
      <x:c r="Q694" s="7" t="n">
        <x:f>'Guide'!$B$5-L694</x:f>
        <x:v>0</x:v>
      </x:c>
      <x:c r="R694" s="9" t="n">
        <x:f>K694-P694</x:f>
        <x:v>1.12</x:v>
      </x:c>
      <x:c r="S694" s="10" t="n">
        <x:f>IF(K694&gt;0,R694/K694,"")</x:f>
        <x:v>0.1647058823529412</x:v>
      </x:c>
    </x:row>
    <x:row r="695">
      <x:c r="A695" s="7" t="n">
        <x:v>691</x:v>
      </x:c>
      <x:c r="B695" s="7" t="str">
        <x:v>Tata</x:v>
      </x:c>
      <x:c r="C695" s="7" t="str">
        <x:v>Tiago</x:v>
      </x:c>
      <x:c r="D695" s="7" t="str">
        <x:v>XE CNG</x:v>
      </x:c>
      <x:c r="E695" s="7" t="str">
        <x:v>CNG</x:v>
      </x:c>
      <x:c r="F695" s="7" t="str">
        <x:v>Manual</x:v>
      </x:c>
      <x:c r="G695" s="7" t="str">
        <x:v>Hatchback</x:v>
      </x:c>
      <x:c r="H695" s="7" t="n">
        <x:v>1199</x:v>
      </x:c>
      <x:c r="I695" s="7" t="n">
        <x:v>72</x:v>
      </x:c>
      <x:c r="J695" s="9" t="n">
        <x:v>26.5</x:v>
      </x:c>
      <x:c r="K695" s="9" t="n">
        <x:v>6.8</x:v>
      </x:c>
      <x:c r="L695" s="7" t="n">
        <x:v>2025</x:v>
      </x:c>
      <x:c r="M695" s="11" t="n">
        <x:v>22449</x:v>
      </x:c>
      <x:c r="N695" s="7" t="n">
        <x:v>1</x:v>
      </x:c>
      <x:c r="O695" s="7" t="n">
        <x:v>0</x:v>
      </x:c>
      <x:c r="P695" s="9" t="n">
        <x:v>5.78</x:v>
      </x:c>
      <x:c r="Q695" s="7" t="n">
        <x:f>'Guide'!$B$5-L695</x:f>
        <x:v>1</x:v>
      </x:c>
      <x:c r="R695" s="9" t="n">
        <x:f>K695-P695</x:f>
        <x:v>1.0199999999999996</x:v>
      </x:c>
      <x:c r="S695" s="10" t="n">
        <x:f>IF(K695&gt;0,R695/K695,"")</x:f>
        <x:v>0.14999999999999994</x:v>
      </x:c>
    </x:row>
    <x:row r="696">
      <x:c r="A696" s="7" t="n">
        <x:v>692</x:v>
      </x:c>
      <x:c r="B696" s="7" t="str">
        <x:v>Tata</x:v>
      </x:c>
      <x:c r="C696" s="7" t="str">
        <x:v>Tiago</x:v>
      </x:c>
      <x:c r="D696" s="7" t="str">
        <x:v>XE CNG</x:v>
      </x:c>
      <x:c r="E696" s="7" t="str">
        <x:v>CNG</x:v>
      </x:c>
      <x:c r="F696" s="7" t="str">
        <x:v>Manual</x:v>
      </x:c>
      <x:c r="G696" s="7" t="str">
        <x:v>Hatchback</x:v>
      </x:c>
      <x:c r="H696" s="7" t="n">
        <x:v>1199</x:v>
      </x:c>
      <x:c r="I696" s="7" t="n">
        <x:v>72</x:v>
      </x:c>
      <x:c r="J696" s="9" t="n">
        <x:v>26.5</x:v>
      </x:c>
      <x:c r="K696" s="9" t="n">
        <x:v>6.8</x:v>
      </x:c>
      <x:c r="L696" s="7" t="n">
        <x:v>2026</x:v>
      </x:c>
      <x:c r="M696" s="11" t="n">
        <x:v>9376</x:v>
      </x:c>
      <x:c r="N696" s="7" t="n">
        <x:v>1</x:v>
      </x:c>
      <x:c r="O696" s="7" t="n">
        <x:v>0</x:v>
      </x:c>
      <x:c r="P696" s="9" t="n">
        <x:v>6.55</x:v>
      </x:c>
      <x:c r="Q696" s="7" t="n">
        <x:f>'Guide'!$B$5-L696</x:f>
        <x:v>0</x:v>
      </x:c>
      <x:c r="R696" s="9" t="n">
        <x:f>K696-P696</x:f>
        <x:v>0.25</x:v>
      </x:c>
      <x:c r="S696" s="10" t="n">
        <x:f>IF(K696&gt;0,R696/K696,"")</x:f>
        <x:v>0.03676470588235294</x:v>
      </x:c>
    </x:row>
    <x:row r="697">
      <x:c r="A697" s="7" t="n">
        <x:v>693</x:v>
      </x:c>
      <x:c r="B697" s="7" t="str">
        <x:v>Tata</x:v>
      </x:c>
      <x:c r="C697" s="7" t="str">
        <x:v>Tiago</x:v>
      </x:c>
      <x:c r="D697" s="7" t="str">
        <x:v>XE CNG</x:v>
      </x:c>
      <x:c r="E697" s="7" t="str">
        <x:v>CNG</x:v>
      </x:c>
      <x:c r="F697" s="7" t="str">
        <x:v>Manual</x:v>
      </x:c>
      <x:c r="G697" s="7" t="str">
        <x:v>Hatchback</x:v>
      </x:c>
      <x:c r="H697" s="7" t="n">
        <x:v>1199</x:v>
      </x:c>
      <x:c r="I697" s="7" t="n">
        <x:v>72</x:v>
      </x:c>
      <x:c r="J697" s="9" t="n">
        <x:v>26.5</x:v>
      </x:c>
      <x:c r="K697" s="9" t="n">
        <x:v>6.8</x:v>
      </x:c>
      <x:c r="L697" s="7" t="n">
        <x:v>2026</x:v>
      </x:c>
      <x:c r="M697" s="11" t="n">
        <x:v>4627</x:v>
      </x:c>
      <x:c r="N697" s="7" t="n">
        <x:v>1</x:v>
      </x:c>
      <x:c r="O697" s="7" t="n">
        <x:v>1</x:v>
      </x:c>
      <x:c r="P697" s="9" t="n">
        <x:v>5.68</x:v>
      </x:c>
      <x:c r="Q697" s="7" t="n">
        <x:f>'Guide'!$B$5-L697</x:f>
        <x:v>0</x:v>
      </x:c>
      <x:c r="R697" s="9" t="n">
        <x:f>K697-P697</x:f>
        <x:v>1.12</x:v>
      </x:c>
      <x:c r="S697" s="10" t="n">
        <x:f>IF(K697&gt;0,R697/K697,"")</x:f>
        <x:v>0.1647058823529412</x:v>
      </x:c>
    </x:row>
    <x:row r="698">
      <x:c r="A698" s="7" t="n">
        <x:v>694</x:v>
      </x:c>
      <x:c r="B698" s="7" t="str">
        <x:v>Tata</x:v>
      </x:c>
      <x:c r="C698" s="7" t="str">
        <x:v>Tiago</x:v>
      </x:c>
      <x:c r="D698" s="7" t="str">
        <x:v>XE CNG</x:v>
      </x:c>
      <x:c r="E698" s="7" t="str">
        <x:v>CNG</x:v>
      </x:c>
      <x:c r="F698" s="7" t="str">
        <x:v>Manual</x:v>
      </x:c>
      <x:c r="G698" s="7" t="str">
        <x:v>Hatchback</x:v>
      </x:c>
      <x:c r="H698" s="7" t="n">
        <x:v>1199</x:v>
      </x:c>
      <x:c r="I698" s="7" t="n">
        <x:v>72</x:v>
      </x:c>
      <x:c r="J698" s="9" t="n">
        <x:v>26.5</x:v>
      </x:c>
      <x:c r="K698" s="9" t="n">
        <x:v>6.8</x:v>
      </x:c>
      <x:c r="L698" s="7" t="n">
        <x:v>2021</x:v>
      </x:c>
      <x:c r="M698" s="11" t="n">
        <x:v>79081</x:v>
      </x:c>
      <x:c r="N698" s="7" t="n">
        <x:v>1</x:v>
      </x:c>
      <x:c r="O698" s="7" t="n">
        <x:v>0</x:v>
      </x:c>
      <x:c r="P698" s="9" t="n">
        <x:v>3.39</x:v>
      </x:c>
      <x:c r="Q698" s="7" t="n">
        <x:f>'Guide'!$B$5-L698</x:f>
        <x:v>5</x:v>
      </x:c>
      <x:c r="R698" s="9" t="n">
        <x:f>K698-P698</x:f>
        <x:v>3.4099999999999997</x:v>
      </x:c>
      <x:c r="S698" s="10" t="n">
        <x:f>IF(K698&gt;0,R698/K698,"")</x:f>
        <x:v>0.5014705882352941</x:v>
      </x:c>
    </x:row>
    <x:row r="699">
      <x:c r="A699" s="7" t="n">
        <x:v>695</x:v>
      </x:c>
      <x:c r="B699" s="7" t="str">
        <x:v>Tata</x:v>
      </x:c>
      <x:c r="C699" s="7" t="str">
        <x:v>Tiago</x:v>
      </x:c>
      <x:c r="D699" s="7" t="str">
        <x:v>XE CNG</x:v>
      </x:c>
      <x:c r="E699" s="7" t="str">
        <x:v>CNG</x:v>
      </x:c>
      <x:c r="F699" s="7" t="str">
        <x:v>Manual</x:v>
      </x:c>
      <x:c r="G699" s="7" t="str">
        <x:v>Hatchback</x:v>
      </x:c>
      <x:c r="H699" s="7" t="n">
        <x:v>1199</x:v>
      </x:c>
      <x:c r="I699" s="7" t="n">
        <x:v>72</x:v>
      </x:c>
      <x:c r="J699" s="9" t="n">
        <x:v>26.5</x:v>
      </x:c>
      <x:c r="K699" s="9" t="n">
        <x:v>6.8</x:v>
      </x:c>
      <x:c r="L699" s="7" t="n">
        <x:v>2025</x:v>
      </x:c>
      <x:c r="M699" s="11" t="n">
        <x:v>17753</x:v>
      </x:c>
      <x:c r="N699" s="7" t="n">
        <x:v>1</x:v>
      </x:c>
      <x:c r="O699" s="7" t="n">
        <x:v>1</x:v>
      </x:c>
      <x:c r="P699" s="9" t="n">
        <x:v>5.09</x:v>
      </x:c>
      <x:c r="Q699" s="7" t="n">
        <x:f>'Guide'!$B$5-L699</x:f>
        <x:v>1</x:v>
      </x:c>
      <x:c r="R699" s="9" t="n">
        <x:f>K699-P699</x:f>
        <x:v>1.71</x:v>
      </x:c>
      <x:c r="S699" s="10" t="n">
        <x:f>IF(K699&gt;0,R699/K699,"")</x:f>
        <x:v>0.2514705882352941</x:v>
      </x:c>
    </x:row>
    <x:row r="700">
      <x:c r="A700" s="7" t="n">
        <x:v>696</x:v>
      </x:c>
      <x:c r="B700" s="7" t="str">
        <x:v>Tata</x:v>
      </x:c>
      <x:c r="C700" s="7" t="str">
        <x:v>Tiago</x:v>
      </x:c>
      <x:c r="D700" s="7" t="str">
        <x:v>XE CNG</x:v>
      </x:c>
      <x:c r="E700" s="7" t="str">
        <x:v>CNG</x:v>
      </x:c>
      <x:c r="F700" s="7" t="str">
        <x:v>Manual</x:v>
      </x:c>
      <x:c r="G700" s="7" t="str">
        <x:v>Hatchback</x:v>
      </x:c>
      <x:c r="H700" s="7" t="n">
        <x:v>1199</x:v>
      </x:c>
      <x:c r="I700" s="7" t="n">
        <x:v>72</x:v>
      </x:c>
      <x:c r="J700" s="9" t="n">
        <x:v>26.5</x:v>
      </x:c>
      <x:c r="K700" s="9" t="n">
        <x:v>6.8</x:v>
      </x:c>
      <x:c r="L700" s="7" t="n">
        <x:v>2026</x:v>
      </x:c>
      <x:c r="M700" s="11" t="n">
        <x:v>4310</x:v>
      </x:c>
      <x:c r="N700" s="7" t="n">
        <x:v>2</x:v>
      </x:c>
      <x:c r="O700" s="7" t="n">
        <x:v>0</x:v>
      </x:c>
      <x:c r="P700" s="9" t="n">
        <x:v>6.44</x:v>
      </x:c>
      <x:c r="Q700" s="7" t="n">
        <x:f>'Guide'!$B$5-L700</x:f>
        <x:v>0</x:v>
      </x:c>
      <x:c r="R700" s="9" t="n">
        <x:f>K700-P700</x:f>
        <x:v>0.35999999999999943</x:v>
      </x:c>
      <x:c r="S700" s="10" t="n">
        <x:f>IF(K700&gt;0,R700/K700,"")</x:f>
        <x:v>0.05294117647058815</x:v>
      </x:c>
    </x:row>
    <x:row r="701">
      <x:c r="A701" s="7" t="n">
        <x:v>697</x:v>
      </x:c>
      <x:c r="B701" s="7" t="str">
        <x:v>Tata</x:v>
      </x:c>
      <x:c r="C701" s="7" t="str">
        <x:v>Tiago</x:v>
      </x:c>
      <x:c r="D701" s="7" t="str">
        <x:v>XE CNG</x:v>
      </x:c>
      <x:c r="E701" s="7" t="str">
        <x:v>CNG</x:v>
      </x:c>
      <x:c r="F701" s="7" t="str">
        <x:v>Manual</x:v>
      </x:c>
      <x:c r="G701" s="7" t="str">
        <x:v>Hatchback</x:v>
      </x:c>
      <x:c r="H701" s="7" t="n">
        <x:v>1199</x:v>
      </x:c>
      <x:c r="I701" s="7" t="n">
        <x:v>72</x:v>
      </x:c>
      <x:c r="J701" s="9" t="n">
        <x:v>26.5</x:v>
      </x:c>
      <x:c r="K701" s="9" t="n">
        <x:v>6.8</x:v>
      </x:c>
      <x:c r="L701" s="7" t="n">
        <x:v>2020</x:v>
      </x:c>
      <x:c r="M701" s="11" t="n">
        <x:v>128895</x:v>
      </x:c>
      <x:c r="N701" s="7" t="n">
        <x:v>1</x:v>
      </x:c>
      <x:c r="O701" s="7" t="n">
        <x:v>1</x:v>
      </x:c>
      <x:c r="P701" s="9" t="n">
        <x:v>1.51</x:v>
      </x:c>
      <x:c r="Q701" s="7" t="n">
        <x:f>'Guide'!$B$5-L701</x:f>
        <x:v>6</x:v>
      </x:c>
      <x:c r="R701" s="9" t="n">
        <x:f>K701-P701</x:f>
        <x:v>5.29</x:v>
      </x:c>
      <x:c r="S701" s="10" t="n">
        <x:f>IF(K701&gt;0,R701/K701,"")</x:f>
        <x:v>0.7779411764705882</x:v>
      </x:c>
    </x:row>
    <x:row r="702">
      <x:c r="A702" s="7" t="n">
        <x:v>698</x:v>
      </x:c>
      <x:c r="B702" s="7" t="str">
        <x:v>Tata</x:v>
      </x:c>
      <x:c r="C702" s="7" t="str">
        <x:v>Tiago</x:v>
      </x:c>
      <x:c r="D702" s="7" t="str">
        <x:v>XE CNG</x:v>
      </x:c>
      <x:c r="E702" s="7" t="str">
        <x:v>CNG</x:v>
      </x:c>
      <x:c r="F702" s="7" t="str">
        <x:v>Manual</x:v>
      </x:c>
      <x:c r="G702" s="7" t="str">
        <x:v>Hatchback</x:v>
      </x:c>
      <x:c r="H702" s="7" t="n">
        <x:v>1199</x:v>
      </x:c>
      <x:c r="I702" s="7" t="n">
        <x:v>72</x:v>
      </x:c>
      <x:c r="J702" s="9" t="n">
        <x:v>26.5</x:v>
      </x:c>
      <x:c r="K702" s="9" t="n">
        <x:v>6.8</x:v>
      </x:c>
      <x:c r="L702" s="7" t="n">
        <x:v>2021</x:v>
      </x:c>
      <x:c r="M702" s="11" t="n">
        <x:v>108417</x:v>
      </x:c>
      <x:c r="N702" s="7" t="n">
        <x:v>1</x:v>
      </x:c>
      <x:c r="O702" s="7" t="n">
        <x:v>0</x:v>
      </x:c>
      <x:c r="P702" s="9" t="n">
        <x:v>3.51</x:v>
      </x:c>
      <x:c r="Q702" s="7" t="n">
        <x:f>'Guide'!$B$5-L702</x:f>
        <x:v>5</x:v>
      </x:c>
      <x:c r="R702" s="9" t="n">
        <x:f>K702-P702</x:f>
        <x:v>3.29</x:v>
      </x:c>
      <x:c r="S702" s="10" t="n">
        <x:f>IF(K702&gt;0,R702/K702,"")</x:f>
        <x:v>0.4838235294117647</x:v>
      </x:c>
    </x:row>
    <x:row r="703">
      <x:c r="A703" s="7" t="n">
        <x:v>699</x:v>
      </x:c>
      <x:c r="B703" s="7" t="str">
        <x:v>Tata</x:v>
      </x:c>
      <x:c r="C703" s="7" t="str">
        <x:v>Tiago</x:v>
      </x:c>
      <x:c r="D703" s="7" t="str">
        <x:v>XE CNG</x:v>
      </x:c>
      <x:c r="E703" s="7" t="str">
        <x:v>CNG</x:v>
      </x:c>
      <x:c r="F703" s="7" t="str">
        <x:v>Manual</x:v>
      </x:c>
      <x:c r="G703" s="7" t="str">
        <x:v>Hatchback</x:v>
      </x:c>
      <x:c r="H703" s="7" t="n">
        <x:v>1199</x:v>
      </x:c>
      <x:c r="I703" s="7" t="n">
        <x:v>72</x:v>
      </x:c>
      <x:c r="J703" s="9" t="n">
        <x:v>26.5</x:v>
      </x:c>
      <x:c r="K703" s="9" t="n">
        <x:v>6.8</x:v>
      </x:c>
      <x:c r="L703" s="7" t="n">
        <x:v>2025</x:v>
      </x:c>
      <x:c r="M703" s="11" t="n">
        <x:v>27140</x:v>
      </x:c>
      <x:c r="N703" s="7" t="n">
        <x:v>3</x:v>
      </x:c>
      <x:c r="O703" s="7" t="n">
        <x:v>0</x:v>
      </x:c>
      <x:c r="P703" s="9" t="n">
        <x:v>5.2</x:v>
      </x:c>
      <x:c r="Q703" s="7" t="n">
        <x:f>'Guide'!$B$5-L703</x:f>
        <x:v>1</x:v>
      </x:c>
      <x:c r="R703" s="9" t="n">
        <x:f>K703-P703</x:f>
        <x:v>1.5999999999999996</x:v>
      </x:c>
      <x:c r="S703" s="10" t="n">
        <x:f>IF(K703&gt;0,R703/K703,"")</x:f>
        <x:v>0.23529411764705876</x:v>
      </x:c>
    </x:row>
    <x:row r="704">
      <x:c r="A704" s="7" t="n">
        <x:v>700</x:v>
      </x:c>
      <x:c r="B704" s="7" t="str">
        <x:v>Tata</x:v>
      </x:c>
      <x:c r="C704" s="7" t="str">
        <x:v>Tiago</x:v>
      </x:c>
      <x:c r="D704" s="7" t="str">
        <x:v>XE CNG</x:v>
      </x:c>
      <x:c r="E704" s="7" t="str">
        <x:v>CNG</x:v>
      </x:c>
      <x:c r="F704" s="7" t="str">
        <x:v>Manual</x:v>
      </x:c>
      <x:c r="G704" s="7" t="str">
        <x:v>Hatchback</x:v>
      </x:c>
      <x:c r="H704" s="7" t="n">
        <x:v>1199</x:v>
      </x:c>
      <x:c r="I704" s="7" t="n">
        <x:v>72</x:v>
      </x:c>
      <x:c r="J704" s="9" t="n">
        <x:v>26.5</x:v>
      </x:c>
      <x:c r="K704" s="9" t="n">
        <x:v>6.8</x:v>
      </x:c>
      <x:c r="L704" s="7" t="n">
        <x:v>2022</x:v>
      </x:c>
      <x:c r="M704" s="11" t="n">
        <x:v>64301</x:v>
      </x:c>
      <x:c r="N704" s="7" t="n">
        <x:v>2</x:v>
      </x:c>
      <x:c r="O704" s="7" t="n">
        <x:v>0</x:v>
      </x:c>
      <x:c r="P704" s="9" t="n">
        <x:v>4.03</x:v>
      </x:c>
      <x:c r="Q704" s="7" t="n">
        <x:f>'Guide'!$B$5-L704</x:f>
        <x:v>4</x:v>
      </x:c>
      <x:c r="R704" s="9" t="n">
        <x:f>K704-P704</x:f>
        <x:v>2.7699999999999996</x:v>
      </x:c>
      <x:c r="S704" s="10" t="n">
        <x:f>IF(K704&gt;0,R704/K704,"")</x:f>
        <x:v>0.40735294117647053</x:v>
      </x:c>
    </x:row>
    <x:row r="705">
      <x:c r="A705" s="7" t="n">
        <x:v>701</x:v>
      </x:c>
      <x:c r="B705" s="7" t="str">
        <x:v>Tata</x:v>
      </x:c>
      <x:c r="C705" s="7" t="str">
        <x:v>Tiago</x:v>
      </x:c>
      <x:c r="D705" s="7" t="str">
        <x:v>XE CNG</x:v>
      </x:c>
      <x:c r="E705" s="7" t="str">
        <x:v>CNG</x:v>
      </x:c>
      <x:c r="F705" s="7" t="str">
        <x:v>Manual</x:v>
      </x:c>
      <x:c r="G705" s="7" t="str">
        <x:v>Hatchback</x:v>
      </x:c>
      <x:c r="H705" s="7" t="n">
        <x:v>1199</x:v>
      </x:c>
      <x:c r="I705" s="7" t="n">
        <x:v>72</x:v>
      </x:c>
      <x:c r="J705" s="9" t="n">
        <x:v>26.5</x:v>
      </x:c>
      <x:c r="K705" s="9" t="n">
        <x:v>6.8</x:v>
      </x:c>
      <x:c r="L705" s="7" t="n">
        <x:v>2020</x:v>
      </x:c>
      <x:c r="M705" s="11" t="n">
        <x:v>76014</x:v>
      </x:c>
      <x:c r="N705" s="7" t="n">
        <x:v>1</x:v>
      </x:c>
      <x:c r="O705" s="7" t="n">
        <x:v>1</x:v>
      </x:c>
      <x:c r="P705" s="9" t="n">
        <x:v>1.91</x:v>
      </x:c>
      <x:c r="Q705" s="7" t="n">
        <x:f>'Guide'!$B$5-L705</x:f>
        <x:v>6</x:v>
      </x:c>
      <x:c r="R705" s="9" t="n">
        <x:f>K705-P705</x:f>
        <x:v>4.89</x:v>
      </x:c>
      <x:c r="S705" s="10" t="n">
        <x:f>IF(K705&gt;0,R705/K705,"")</x:f>
        <x:v>0.7191176470588235</x:v>
      </x:c>
    </x:row>
    <x:row r="706">
      <x:c r="A706" s="7" t="n">
        <x:v>702</x:v>
      </x:c>
      <x:c r="B706" s="7" t="str">
        <x:v>Tata</x:v>
      </x:c>
      <x:c r="C706" s="7" t="str">
        <x:v>Tiago</x:v>
      </x:c>
      <x:c r="D706" s="7" t="str">
        <x:v>XE CNG</x:v>
      </x:c>
      <x:c r="E706" s="7" t="str">
        <x:v>CNG</x:v>
      </x:c>
      <x:c r="F706" s="7" t="str">
        <x:v>Manual</x:v>
      </x:c>
      <x:c r="G706" s="7" t="str">
        <x:v>Hatchback</x:v>
      </x:c>
      <x:c r="H706" s="7" t="n">
        <x:v>1199</x:v>
      </x:c>
      <x:c r="I706" s="7" t="n">
        <x:v>72</x:v>
      </x:c>
      <x:c r="J706" s="9" t="n">
        <x:v>26.5</x:v>
      </x:c>
      <x:c r="K706" s="9" t="n">
        <x:v>6.8</x:v>
      </x:c>
      <x:c r="L706" s="7" t="n">
        <x:v>2022</x:v>
      </x:c>
      <x:c r="M706" s="11" t="n">
        <x:v>79208</x:v>
      </x:c>
      <x:c r="N706" s="7" t="n">
        <x:v>2</x:v>
      </x:c>
      <x:c r="O706" s="7" t="n">
        <x:v>0</x:v>
      </x:c>
      <x:c r="P706" s="9" t="n">
        <x:v>3.8</x:v>
      </x:c>
      <x:c r="Q706" s="7" t="n">
        <x:f>'Guide'!$B$5-L706</x:f>
        <x:v>4</x:v>
      </x:c>
      <x:c r="R706" s="9" t="n">
        <x:f>K706-P706</x:f>
        <x:v>3</x:v>
      </x:c>
      <x:c r="S706" s="10" t="n">
        <x:f>IF(K706&gt;0,R706/K706,"")</x:f>
        <x:v>0.4411764705882353</x:v>
      </x:c>
    </x:row>
    <x:row r="707">
      <x:c r="A707" s="7" t="n">
        <x:v>703</x:v>
      </x:c>
      <x:c r="B707" s="7" t="str">
        <x:v>Tata</x:v>
      </x:c>
      <x:c r="C707" s="7" t="str">
        <x:v>Tiago</x:v>
      </x:c>
      <x:c r="D707" s="7" t="str">
        <x:v>XE CNG</x:v>
      </x:c>
      <x:c r="E707" s="7" t="str">
        <x:v>CNG</x:v>
      </x:c>
      <x:c r="F707" s="7" t="str">
        <x:v>Manual</x:v>
      </x:c>
      <x:c r="G707" s="7" t="str">
        <x:v>Hatchback</x:v>
      </x:c>
      <x:c r="H707" s="7" t="n">
        <x:v>1199</x:v>
      </x:c>
      <x:c r="I707" s="7" t="n">
        <x:v>72</x:v>
      </x:c>
      <x:c r="J707" s="9" t="n">
        <x:v>26.5</x:v>
      </x:c>
      <x:c r="K707" s="9" t="n">
        <x:v>6.8</x:v>
      </x:c>
      <x:c r="L707" s="7" t="n">
        <x:v>2023</x:v>
      </x:c>
      <x:c r="M707" s="11" t="n">
        <x:v>43236</x:v>
      </x:c>
      <x:c r="N707" s="7" t="n">
        <x:v>1</x:v>
      </x:c>
      <x:c r="O707" s="7" t="n">
        <x:v>0</x:v>
      </x:c>
      <x:c r="P707" s="9" t="n">
        <x:v>4.74</x:v>
      </x:c>
      <x:c r="Q707" s="7" t="n">
        <x:f>'Guide'!$B$5-L707</x:f>
        <x:v>3</x:v>
      </x:c>
      <x:c r="R707" s="9" t="n">
        <x:f>K707-P707</x:f>
        <x:v>2.0599999999999996</x:v>
      </x:c>
      <x:c r="S707" s="10" t="n">
        <x:f>IF(K707&gt;0,R707/K707,"")</x:f>
        <x:v>0.30294117647058816</x:v>
      </x:c>
    </x:row>
    <x:row r="708">
      <x:c r="A708" s="7" t="n">
        <x:v>704</x:v>
      </x:c>
      <x:c r="B708" s="7" t="str">
        <x:v>Tata</x:v>
      </x:c>
      <x:c r="C708" s="7" t="str">
        <x:v>Tiago</x:v>
      </x:c>
      <x:c r="D708" s="7" t="str">
        <x:v>XE CNG</x:v>
      </x:c>
      <x:c r="E708" s="7" t="str">
        <x:v>CNG</x:v>
      </x:c>
      <x:c r="F708" s="7" t="str">
        <x:v>Manual</x:v>
      </x:c>
      <x:c r="G708" s="7" t="str">
        <x:v>Hatchback</x:v>
      </x:c>
      <x:c r="H708" s="7" t="n">
        <x:v>1199</x:v>
      </x:c>
      <x:c r="I708" s="7" t="n">
        <x:v>72</x:v>
      </x:c>
      <x:c r="J708" s="9" t="n">
        <x:v>26.5</x:v>
      </x:c>
      <x:c r="K708" s="9" t="n">
        <x:v>6.8</x:v>
      </x:c>
      <x:c r="L708" s="7" t="n">
        <x:v>2020</x:v>
      </x:c>
      <x:c r="M708" s="11" t="n">
        <x:v>65948</x:v>
      </x:c>
      <x:c r="N708" s="7" t="n">
        <x:v>2</x:v>
      </x:c>
      <x:c r="O708" s="7" t="n">
        <x:v>0</x:v>
      </x:c>
      <x:c r="P708" s="9" t="n">
        <x:v>2.87</x:v>
      </x:c>
      <x:c r="Q708" s="7" t="n">
        <x:f>'Guide'!$B$5-L708</x:f>
        <x:v>6</x:v>
      </x:c>
      <x:c r="R708" s="9" t="n">
        <x:f>K708-P708</x:f>
        <x:v>3.9299999999999997</x:v>
      </x:c>
      <x:c r="S708" s="10" t="n">
        <x:f>IF(K708&gt;0,R708/K708,"")</x:f>
        <x:v>0.5779411764705882</x:v>
      </x:c>
    </x:row>
    <x:row r="709">
      <x:c r="A709" s="7" t="n">
        <x:v>705</x:v>
      </x:c>
      <x:c r="B709" s="7" t="str">
        <x:v>Tata</x:v>
      </x:c>
      <x:c r="C709" s="7" t="str">
        <x:v>Tiago</x:v>
      </x:c>
      <x:c r="D709" s="7" t="str">
        <x:v>XE CNG</x:v>
      </x:c>
      <x:c r="E709" s="7" t="str">
        <x:v>CNG</x:v>
      </x:c>
      <x:c r="F709" s="7" t="str">
        <x:v>Manual</x:v>
      </x:c>
      <x:c r="G709" s="7" t="str">
        <x:v>Hatchback</x:v>
      </x:c>
      <x:c r="H709" s="7" t="n">
        <x:v>1199</x:v>
      </x:c>
      <x:c r="I709" s="7" t="n">
        <x:v>72</x:v>
      </x:c>
      <x:c r="J709" s="9" t="n">
        <x:v>26.5</x:v>
      </x:c>
      <x:c r="K709" s="9" t="n">
        <x:v>6.8</x:v>
      </x:c>
      <x:c r="L709" s="7" t="n">
        <x:v>2025</x:v>
      </x:c>
      <x:c r="M709" s="11" t="n">
        <x:v>27990</x:v>
      </x:c>
      <x:c r="N709" s="7" t="n">
        <x:v>1</x:v>
      </x:c>
      <x:c r="O709" s="7" t="n">
        <x:v>0</x:v>
      </x:c>
      <x:c r="P709" s="9" t="n">
        <x:v>6.31</x:v>
      </x:c>
      <x:c r="Q709" s="7" t="n">
        <x:f>'Guide'!$B$5-L709</x:f>
        <x:v>1</x:v>
      </x:c>
      <x:c r="R709" s="9" t="n">
        <x:f>K709-P709</x:f>
        <x:v>0.4900000000000002</x:v>
      </x:c>
      <x:c r="S709" s="10" t="n">
        <x:f>IF(K709&gt;0,R709/K709,"")</x:f>
        <x:v>0.0720588235294118</x:v>
      </x:c>
    </x:row>
    <x:row r="710">
      <x:c r="A710" s="7" t="n">
        <x:v>706</x:v>
      </x:c>
      <x:c r="B710" s="7" t="str">
        <x:v>Tata</x:v>
      </x:c>
      <x:c r="C710" s="7" t="str">
        <x:v>Tiago</x:v>
      </x:c>
      <x:c r="D710" s="7" t="str">
        <x:v>XE CNG</x:v>
      </x:c>
      <x:c r="E710" s="7" t="str">
        <x:v>CNG</x:v>
      </x:c>
      <x:c r="F710" s="7" t="str">
        <x:v>Manual</x:v>
      </x:c>
      <x:c r="G710" s="7" t="str">
        <x:v>Hatchback</x:v>
      </x:c>
      <x:c r="H710" s="7" t="n">
        <x:v>1199</x:v>
      </x:c>
      <x:c r="I710" s="7" t="n">
        <x:v>72</x:v>
      </x:c>
      <x:c r="J710" s="9" t="n">
        <x:v>26.5</x:v>
      </x:c>
      <x:c r="K710" s="9" t="n">
        <x:v>6.8</x:v>
      </x:c>
      <x:c r="L710" s="7" t="n">
        <x:v>2025</x:v>
      </x:c>
      <x:c r="M710" s="11" t="n">
        <x:v>12588</x:v>
      </x:c>
      <x:c r="N710" s="7" t="n">
        <x:v>2</x:v>
      </x:c>
      <x:c r="O710" s="7" t="n">
        <x:v>0</x:v>
      </x:c>
      <x:c r="P710" s="9" t="n">
        <x:v>5.58</x:v>
      </x:c>
      <x:c r="Q710" s="7" t="n">
        <x:f>'Guide'!$B$5-L710</x:f>
        <x:v>1</x:v>
      </x:c>
      <x:c r="R710" s="9" t="n">
        <x:f>K710-P710</x:f>
        <x:v>1.2199999999999998</x:v>
      </x:c>
      <x:c r="S710" s="10" t="n">
        <x:f>IF(K710&gt;0,R710/K710,"")</x:f>
        <x:v>0.17941176470588233</x:v>
      </x:c>
    </x:row>
    <x:row r="711">
      <x:c r="A711" s="7" t="n">
        <x:v>707</x:v>
      </x:c>
      <x:c r="B711" s="7" t="str">
        <x:v>Tata</x:v>
      </x:c>
      <x:c r="C711" s="7" t="str">
        <x:v>Tiago</x:v>
      </x:c>
      <x:c r="D711" s="7" t="str">
        <x:v>XE CNG</x:v>
      </x:c>
      <x:c r="E711" s="7" t="str">
        <x:v>CNG</x:v>
      </x:c>
      <x:c r="F711" s="7" t="str">
        <x:v>Manual</x:v>
      </x:c>
      <x:c r="G711" s="7" t="str">
        <x:v>Hatchback</x:v>
      </x:c>
      <x:c r="H711" s="7" t="n">
        <x:v>1199</x:v>
      </x:c>
      <x:c r="I711" s="7" t="n">
        <x:v>72</x:v>
      </x:c>
      <x:c r="J711" s="9" t="n">
        <x:v>26.5</x:v>
      </x:c>
      <x:c r="K711" s="9" t="n">
        <x:v>6.8</x:v>
      </x:c>
      <x:c r="L711" s="7" t="n">
        <x:v>2022</x:v>
      </x:c>
      <x:c r="M711" s="11" t="n">
        <x:v>58729</x:v>
      </x:c>
      <x:c r="N711" s="7" t="n">
        <x:v>1</x:v>
      </x:c>
      <x:c r="O711" s="7" t="n">
        <x:v>0</x:v>
      </x:c>
      <x:c r="P711" s="9" t="n">
        <x:v>3.82</x:v>
      </x:c>
      <x:c r="Q711" s="7" t="n">
        <x:f>'Guide'!$B$5-L711</x:f>
        <x:v>4</x:v>
      </x:c>
      <x:c r="R711" s="9" t="n">
        <x:f>K711-P711</x:f>
        <x:v>2.98</x:v>
      </x:c>
      <x:c r="S711" s="10" t="n">
        <x:f>IF(K711&gt;0,R711/K711,"")</x:f>
        <x:v>0.43823529411764706</x:v>
      </x:c>
    </x:row>
    <x:row r="712">
      <x:c r="A712" s="7" t="n">
        <x:v>708</x:v>
      </x:c>
      <x:c r="B712" s="7" t="str">
        <x:v>Tata</x:v>
      </x:c>
      <x:c r="C712" s="7" t="str">
        <x:v>Tiago</x:v>
      </x:c>
      <x:c r="D712" s="7" t="str">
        <x:v>XE CNG</x:v>
      </x:c>
      <x:c r="E712" s="7" t="str">
        <x:v>CNG</x:v>
      </x:c>
      <x:c r="F712" s="7" t="str">
        <x:v>Manual</x:v>
      </x:c>
      <x:c r="G712" s="7" t="str">
        <x:v>Hatchback</x:v>
      </x:c>
      <x:c r="H712" s="7" t="n">
        <x:v>1199</x:v>
      </x:c>
      <x:c r="I712" s="7" t="n">
        <x:v>72</x:v>
      </x:c>
      <x:c r="J712" s="9" t="n">
        <x:v>26.5</x:v>
      </x:c>
      <x:c r="K712" s="9" t="n">
        <x:v>6.8</x:v>
      </x:c>
      <x:c r="L712" s="7" t="n">
        <x:v>2020</x:v>
      </x:c>
      <x:c r="M712" s="11" t="n">
        <x:v>89272</x:v>
      </x:c>
      <x:c r="N712" s="7" t="n">
        <x:v>3</x:v>
      </x:c>
      <x:c r="O712" s="7" t="n">
        <x:v>1</x:v>
      </x:c>
      <x:c r="P712" s="9" t="n">
        <x:v>1.5</x:v>
      </x:c>
      <x:c r="Q712" s="7" t="n">
        <x:f>'Guide'!$B$5-L712</x:f>
        <x:v>6</x:v>
      </x:c>
      <x:c r="R712" s="9" t="n">
        <x:f>K712-P712</x:f>
        <x:v>5.3</x:v>
      </x:c>
      <x:c r="S712" s="10" t="n">
        <x:f>IF(K712&gt;0,R712/K712,"")</x:f>
        <x:v>0.7794117647058824</x:v>
      </x:c>
    </x:row>
    <x:row r="713">
      <x:c r="A713" s="7" t="n">
        <x:v>709</x:v>
      </x:c>
      <x:c r="B713" s="7" t="str">
        <x:v>Tata</x:v>
      </x:c>
      <x:c r="C713" s="7" t="str">
        <x:v>Tiago</x:v>
      </x:c>
      <x:c r="D713" s="7" t="str">
        <x:v>XE CNG</x:v>
      </x:c>
      <x:c r="E713" s="7" t="str">
        <x:v>CNG</x:v>
      </x:c>
      <x:c r="F713" s="7" t="str">
        <x:v>Manual</x:v>
      </x:c>
      <x:c r="G713" s="7" t="str">
        <x:v>Hatchback</x:v>
      </x:c>
      <x:c r="H713" s="7" t="n">
        <x:v>1199</x:v>
      </x:c>
      <x:c r="I713" s="7" t="n">
        <x:v>72</x:v>
      </x:c>
      <x:c r="J713" s="9" t="n">
        <x:v>26.5</x:v>
      </x:c>
      <x:c r="K713" s="9" t="n">
        <x:v>6.8</x:v>
      </x:c>
      <x:c r="L713" s="7" t="n">
        <x:v>2023</x:v>
      </x:c>
      <x:c r="M713" s="11" t="n">
        <x:v>69009</x:v>
      </x:c>
      <x:c r="N713" s="7" t="n">
        <x:v>1</x:v>
      </x:c>
      <x:c r="O713" s="7" t="n">
        <x:v>0</x:v>
      </x:c>
      <x:c r="P713" s="9" t="n">
        <x:v>4.8</x:v>
      </x:c>
      <x:c r="Q713" s="7" t="n">
        <x:f>'Guide'!$B$5-L713</x:f>
        <x:v>3</x:v>
      </x:c>
      <x:c r="R713" s="9" t="n">
        <x:f>K713-P713</x:f>
        <x:v>2</x:v>
      </x:c>
      <x:c r="S713" s="10" t="n">
        <x:f>IF(K713&gt;0,R713/K713,"")</x:f>
        <x:v>0.29411764705882354</x:v>
      </x:c>
    </x:row>
    <x:row r="714">
      <x:c r="A714" s="7" t="n">
        <x:v>710</x:v>
      </x:c>
      <x:c r="B714" s="7" t="str">
        <x:v>Tata</x:v>
      </x:c>
      <x:c r="C714" s="7" t="str">
        <x:v>Tiago</x:v>
      </x:c>
      <x:c r="D714" s="7" t="str">
        <x:v>XE CNG</x:v>
      </x:c>
      <x:c r="E714" s="7" t="str">
        <x:v>CNG</x:v>
      </x:c>
      <x:c r="F714" s="7" t="str">
        <x:v>Manual</x:v>
      </x:c>
      <x:c r="G714" s="7" t="str">
        <x:v>Hatchback</x:v>
      </x:c>
      <x:c r="H714" s="7" t="n">
        <x:v>1199</x:v>
      </x:c>
      <x:c r="I714" s="7" t="n">
        <x:v>72</x:v>
      </x:c>
      <x:c r="J714" s="9" t="n">
        <x:v>26.5</x:v>
      </x:c>
      <x:c r="K714" s="9" t="n">
        <x:v>6.8</x:v>
      </x:c>
      <x:c r="L714" s="7" t="n">
        <x:v>2024</x:v>
      </x:c>
      <x:c r="M714" s="11" t="n">
        <x:v>22887</x:v>
      </x:c>
      <x:c r="N714" s="7" t="n">
        <x:v>1</x:v>
      </x:c>
      <x:c r="O714" s="7" t="n">
        <x:v>0</x:v>
      </x:c>
      <x:c r="P714" s="9" t="n">
        <x:v>5.29</x:v>
      </x:c>
      <x:c r="Q714" s="7" t="n">
        <x:f>'Guide'!$B$5-L714</x:f>
        <x:v>2</x:v>
      </x:c>
      <x:c r="R714" s="9" t="n">
        <x:f>K714-P714</x:f>
        <x:v>1.5099999999999998</x:v>
      </x:c>
      <x:c r="S714" s="10" t="n">
        <x:f>IF(K714&gt;0,R714/K714,"")</x:f>
        <x:v>0.22205882352941175</x:v>
      </x:c>
    </x:row>
    <x:row r="715">
      <x:c r="A715" s="7" t="n">
        <x:v>711</x:v>
      </x:c>
      <x:c r="B715" s="7" t="str">
        <x:v>Tata</x:v>
      </x:c>
      <x:c r="C715" s="7" t="str">
        <x:v>Tiago</x:v>
      </x:c>
      <x:c r="D715" s="7" t="str">
        <x:v>XE CNG</x:v>
      </x:c>
      <x:c r="E715" s="7" t="str">
        <x:v>CNG</x:v>
      </x:c>
      <x:c r="F715" s="7" t="str">
        <x:v>Manual</x:v>
      </x:c>
      <x:c r="G715" s="7" t="str">
        <x:v>Hatchback</x:v>
      </x:c>
      <x:c r="H715" s="7" t="n">
        <x:v>1199</x:v>
      </x:c>
      <x:c r="I715" s="7" t="n">
        <x:v>72</x:v>
      </x:c>
      <x:c r="J715" s="9" t="n">
        <x:v>26.5</x:v>
      </x:c>
      <x:c r="K715" s="9" t="n">
        <x:v>6.8</x:v>
      </x:c>
      <x:c r="L715" s="7" t="n">
        <x:v>2021</x:v>
      </x:c>
      <x:c r="M715" s="11" t="n">
        <x:v>93285</x:v>
      </x:c>
      <x:c r="N715" s="7" t="n">
        <x:v>1</x:v>
      </x:c>
      <x:c r="O715" s="7" t="n">
        <x:v>0</x:v>
      </x:c>
      <x:c r="P715" s="9" t="n">
        <x:v>3.66</x:v>
      </x:c>
      <x:c r="Q715" s="7" t="n">
        <x:f>'Guide'!$B$5-L715</x:f>
        <x:v>5</x:v>
      </x:c>
      <x:c r="R715" s="9" t="n">
        <x:f>K715-P715</x:f>
        <x:v>3.1399999999999997</x:v>
      </x:c>
      <x:c r="S715" s="10" t="n">
        <x:f>IF(K715&gt;0,R715/K715,"")</x:f>
        <x:v>0.4617647058823529</x:v>
      </x:c>
    </x:row>
    <x:row r="716">
      <x:c r="A716" s="7" t="n">
        <x:v>712</x:v>
      </x:c>
      <x:c r="B716" s="7" t="str">
        <x:v>Tata</x:v>
      </x:c>
      <x:c r="C716" s="7" t="str">
        <x:v>Tiago</x:v>
      </x:c>
      <x:c r="D716" s="7" t="str">
        <x:v>XE CNG</x:v>
      </x:c>
      <x:c r="E716" s="7" t="str">
        <x:v>CNG</x:v>
      </x:c>
      <x:c r="F716" s="7" t="str">
        <x:v>Manual</x:v>
      </x:c>
      <x:c r="G716" s="7" t="str">
        <x:v>Hatchback</x:v>
      </x:c>
      <x:c r="H716" s="7" t="n">
        <x:v>1199</x:v>
      </x:c>
      <x:c r="I716" s="7" t="n">
        <x:v>72</x:v>
      </x:c>
      <x:c r="J716" s="9" t="n">
        <x:v>26.5</x:v>
      </x:c>
      <x:c r="K716" s="9" t="n">
        <x:v>6.8</x:v>
      </x:c>
      <x:c r="L716" s="7" t="n">
        <x:v>2020</x:v>
      </x:c>
      <x:c r="M716" s="11" t="n">
        <x:v>129011</x:v>
      </x:c>
      <x:c r="N716" s="7" t="n">
        <x:v>1</x:v>
      </x:c>
      <x:c r="O716" s="7" t="n">
        <x:v>0</x:v>
      </x:c>
      <x:c r="P716" s="9" t="n">
        <x:v>2.27</x:v>
      </x:c>
      <x:c r="Q716" s="7" t="n">
        <x:f>'Guide'!$B$5-L716</x:f>
        <x:v>6</x:v>
      </x:c>
      <x:c r="R716" s="9" t="n">
        <x:f>K716-P716</x:f>
        <x:v>4.529999999999999</x:v>
      </x:c>
      <x:c r="S716" s="10" t="n">
        <x:f>IF(K716&gt;0,R716/K716,"")</x:f>
        <x:v>0.6661764705882353</x:v>
      </x:c>
    </x:row>
    <x:row r="717">
      <x:c r="A717" s="7" t="n">
        <x:v>713</x:v>
      </x:c>
      <x:c r="B717" s="7" t="str">
        <x:v>Tata</x:v>
      </x:c>
      <x:c r="C717" s="7" t="str">
        <x:v>Tiago</x:v>
      </x:c>
      <x:c r="D717" s="7" t="str">
        <x:v>XE CNG</x:v>
      </x:c>
      <x:c r="E717" s="7" t="str">
        <x:v>CNG</x:v>
      </x:c>
      <x:c r="F717" s="7" t="str">
        <x:v>Manual</x:v>
      </x:c>
      <x:c r="G717" s="7" t="str">
        <x:v>Hatchback</x:v>
      </x:c>
      <x:c r="H717" s="7" t="n">
        <x:v>1199</x:v>
      </x:c>
      <x:c r="I717" s="7" t="n">
        <x:v>72</x:v>
      </x:c>
      <x:c r="J717" s="9" t="n">
        <x:v>26.5</x:v>
      </x:c>
      <x:c r="K717" s="9" t="n">
        <x:v>6.8</x:v>
      </x:c>
      <x:c r="L717" s="7" t="n">
        <x:v>2021</x:v>
      </x:c>
      <x:c r="M717" s="11" t="n">
        <x:v>60934</x:v>
      </x:c>
      <x:c r="N717" s="7" t="n">
        <x:v>1</x:v>
      </x:c>
      <x:c r="O717" s="7" t="n">
        <x:v>0</x:v>
      </x:c>
      <x:c r="P717" s="9" t="n">
        <x:v>3.4</x:v>
      </x:c>
      <x:c r="Q717" s="7" t="n">
        <x:f>'Guide'!$B$5-L717</x:f>
        <x:v>5</x:v>
      </x:c>
      <x:c r="R717" s="9" t="n">
        <x:f>K717-P717</x:f>
        <x:v>3.4</x:v>
      </x:c>
      <x:c r="S717" s="10" t="n">
        <x:f>IF(K717&gt;0,R717/K717,"")</x:f>
        <x:v>0.5</x:v>
      </x:c>
    </x:row>
    <x:row r="718">
      <x:c r="A718" s="7" t="n">
        <x:v>714</x:v>
      </x:c>
      <x:c r="B718" s="7" t="str">
        <x:v>Tata</x:v>
      </x:c>
      <x:c r="C718" s="7" t="str">
        <x:v>Tiago</x:v>
      </x:c>
      <x:c r="D718" s="7" t="str">
        <x:v>XE CNG</x:v>
      </x:c>
      <x:c r="E718" s="7" t="str">
        <x:v>CNG</x:v>
      </x:c>
      <x:c r="F718" s="7" t="str">
        <x:v>Manual</x:v>
      </x:c>
      <x:c r="G718" s="7" t="str">
        <x:v>Hatchback</x:v>
      </x:c>
      <x:c r="H718" s="7" t="n">
        <x:v>1199</x:v>
      </x:c>
      <x:c r="I718" s="7" t="n">
        <x:v>72</x:v>
      </x:c>
      <x:c r="J718" s="9" t="n">
        <x:v>26.5</x:v>
      </x:c>
      <x:c r="K718" s="9" t="n">
        <x:v>6.8</x:v>
      </x:c>
      <x:c r="L718" s="7" t="n">
        <x:v>2020</x:v>
      </x:c>
      <x:c r="M718" s="11" t="n">
        <x:v>127821</x:v>
      </x:c>
      <x:c r="N718" s="7" t="n">
        <x:v>1</x:v>
      </x:c>
      <x:c r="O718" s="7" t="n">
        <x:v>0</x:v>
      </x:c>
      <x:c r="P718" s="9" t="n">
        <x:v>2.49</x:v>
      </x:c>
      <x:c r="Q718" s="7" t="n">
        <x:f>'Guide'!$B$5-L718</x:f>
        <x:v>6</x:v>
      </x:c>
      <x:c r="R718" s="9" t="n">
        <x:f>K718-P718</x:f>
        <x:v>4.31</x:v>
      </x:c>
      <x:c r="S718" s="10" t="n">
        <x:f>IF(K718&gt;0,R718/K718,"")</x:f>
        <x:v>0.6338235294117647</x:v>
      </x:c>
    </x:row>
    <x:row r="719">
      <x:c r="A719" s="7" t="n">
        <x:v>715</x:v>
      </x:c>
      <x:c r="B719" s="7" t="str">
        <x:v>Tata</x:v>
      </x:c>
      <x:c r="C719" s="7" t="str">
        <x:v>Tiago</x:v>
      </x:c>
      <x:c r="D719" s="7" t="str">
        <x:v>XE CNG</x:v>
      </x:c>
      <x:c r="E719" s="7" t="str">
        <x:v>CNG</x:v>
      </x:c>
      <x:c r="F719" s="7" t="str">
        <x:v>Manual</x:v>
      </x:c>
      <x:c r="G719" s="7" t="str">
        <x:v>Hatchback</x:v>
      </x:c>
      <x:c r="H719" s="7" t="n">
        <x:v>1199</x:v>
      </x:c>
      <x:c r="I719" s="7" t="n">
        <x:v>72</x:v>
      </x:c>
      <x:c r="J719" s="9" t="n">
        <x:v>26.5</x:v>
      </x:c>
      <x:c r="K719" s="9" t="n">
        <x:v>6.8</x:v>
      </x:c>
      <x:c r="L719" s="7" t="n">
        <x:v>2022</x:v>
      </x:c>
      <x:c r="M719" s="11" t="n">
        <x:v>68088</x:v>
      </x:c>
      <x:c r="N719" s="7" t="n">
        <x:v>1</x:v>
      </x:c>
      <x:c r="O719" s="7" t="n">
        <x:v>0</x:v>
      </x:c>
      <x:c r="P719" s="9" t="n">
        <x:v>4.13</x:v>
      </x:c>
      <x:c r="Q719" s="7" t="n">
        <x:f>'Guide'!$B$5-L719</x:f>
        <x:v>4</x:v>
      </x:c>
      <x:c r="R719" s="9" t="n">
        <x:f>K719-P719</x:f>
        <x:v>2.67</x:v>
      </x:c>
      <x:c r="S719" s="10" t="n">
        <x:f>IF(K719&gt;0,R719/K719,"")</x:f>
        <x:v>0.3926470588235294</x:v>
      </x:c>
    </x:row>
    <x:row r="720">
      <x:c r="A720" s="7" t="n">
        <x:v>716</x:v>
      </x:c>
      <x:c r="B720" s="7" t="str">
        <x:v>Tata</x:v>
      </x:c>
      <x:c r="C720" s="7" t="str">
        <x:v>Tiago</x:v>
      </x:c>
      <x:c r="D720" s="7" t="str">
        <x:v>XE CNG</x:v>
      </x:c>
      <x:c r="E720" s="7" t="str">
        <x:v>CNG</x:v>
      </x:c>
      <x:c r="F720" s="7" t="str">
        <x:v>Manual</x:v>
      </x:c>
      <x:c r="G720" s="7" t="str">
        <x:v>Hatchback</x:v>
      </x:c>
      <x:c r="H720" s="7" t="n">
        <x:v>1199</x:v>
      </x:c>
      <x:c r="I720" s="7" t="n">
        <x:v>72</x:v>
      </x:c>
      <x:c r="J720" s="9" t="n">
        <x:v>26.5</x:v>
      </x:c>
      <x:c r="K720" s="9" t="n">
        <x:v>6.8</x:v>
      </x:c>
      <x:c r="L720" s="7" t="n">
        <x:v>2024</x:v>
      </x:c>
      <x:c r="M720" s="11" t="n">
        <x:v>25152</x:v>
      </x:c>
      <x:c r="N720" s="7" t="n">
        <x:v>1</x:v>
      </x:c>
      <x:c r="O720" s="7" t="n">
        <x:v>0</x:v>
      </x:c>
      <x:c r="P720" s="9" t="n">
        <x:v>5.28</x:v>
      </x:c>
      <x:c r="Q720" s="7" t="n">
        <x:f>'Guide'!$B$5-L720</x:f>
        <x:v>2</x:v>
      </x:c>
      <x:c r="R720" s="9" t="n">
        <x:f>K720-P720</x:f>
        <x:v>1.5199999999999996</x:v>
      </x:c>
      <x:c r="S720" s="10" t="n">
        <x:f>IF(K720&gt;0,R720/K720,"")</x:f>
        <x:v>0.22352941176470584</x:v>
      </x:c>
    </x:row>
    <x:row r="721">
      <x:c r="A721" s="7" t="n">
        <x:v>717</x:v>
      </x:c>
      <x:c r="B721" s="7" t="str">
        <x:v>Tata</x:v>
      </x:c>
      <x:c r="C721" s="7" t="str">
        <x:v>Tiago</x:v>
      </x:c>
      <x:c r="D721" s="7" t="str">
        <x:v>XE CNG</x:v>
      </x:c>
      <x:c r="E721" s="7" t="str">
        <x:v>CNG</x:v>
      </x:c>
      <x:c r="F721" s="7" t="str">
        <x:v>Manual</x:v>
      </x:c>
      <x:c r="G721" s="7" t="str">
        <x:v>Hatchback</x:v>
      </x:c>
      <x:c r="H721" s="7" t="n">
        <x:v>1199</x:v>
      </x:c>
      <x:c r="I721" s="7" t="n">
        <x:v>72</x:v>
      </x:c>
      <x:c r="J721" s="9" t="n">
        <x:v>26.5</x:v>
      </x:c>
      <x:c r="K721" s="9" t="n">
        <x:v>6.8</x:v>
      </x:c>
      <x:c r="L721" s="7" t="n">
        <x:v>2025</x:v>
      </x:c>
      <x:c r="M721" s="11" t="n">
        <x:v>27362</x:v>
      </x:c>
      <x:c r="N721" s="7" t="n">
        <x:v>1</x:v>
      </x:c>
      <x:c r="O721" s="7" t="n">
        <x:v>0</x:v>
      </x:c>
      <x:c r="P721" s="9" t="n">
        <x:v>5.75</x:v>
      </x:c>
      <x:c r="Q721" s="7" t="n">
        <x:f>'Guide'!$B$5-L721</x:f>
        <x:v>1</x:v>
      </x:c>
      <x:c r="R721" s="9" t="n">
        <x:f>K721-P721</x:f>
        <x:v>1.0499999999999998</x:v>
      </x:c>
      <x:c r="S721" s="10" t="n">
        <x:f>IF(K721&gt;0,R721/K721,"")</x:f>
        <x:v>0.15441176470588233</x:v>
      </x:c>
    </x:row>
    <x:row r="722">
      <x:c r="A722" s="7" t="n">
        <x:v>718</x:v>
      </x:c>
      <x:c r="B722" s="7" t="str">
        <x:v>Tata</x:v>
      </x:c>
      <x:c r="C722" s="7" t="str">
        <x:v>Tiago</x:v>
      </x:c>
      <x:c r="D722" s="7" t="str">
        <x:v>XE CNG</x:v>
      </x:c>
      <x:c r="E722" s="7" t="str">
        <x:v>CNG</x:v>
      </x:c>
      <x:c r="F722" s="7" t="str">
        <x:v>Manual</x:v>
      </x:c>
      <x:c r="G722" s="7" t="str">
        <x:v>Hatchback</x:v>
      </x:c>
      <x:c r="H722" s="7" t="n">
        <x:v>1199</x:v>
      </x:c>
      <x:c r="I722" s="7" t="n">
        <x:v>72</x:v>
      </x:c>
      <x:c r="J722" s="9" t="n">
        <x:v>26.5</x:v>
      </x:c>
      <x:c r="K722" s="9" t="n">
        <x:v>6.8</x:v>
      </x:c>
      <x:c r="L722" s="7" t="n">
        <x:v>2026</x:v>
      </x:c>
      <x:c r="M722" s="11" t="n">
        <x:v>4239</x:v>
      </x:c>
      <x:c r="N722" s="7" t="n">
        <x:v>2</x:v>
      </x:c>
      <x:c r="O722" s="7" t="n">
        <x:v>0</x:v>
      </x:c>
      <x:c r="P722" s="9" t="n">
        <x:v>6.48</x:v>
      </x:c>
      <x:c r="Q722" s="7" t="n">
        <x:f>'Guide'!$B$5-L722</x:f>
        <x:v>0</x:v>
      </x:c>
      <x:c r="R722" s="9" t="n">
        <x:f>K722-P722</x:f>
        <x:v>0.3199999999999994</x:v>
      </x:c>
      <x:c r="S722" s="10" t="n">
        <x:f>IF(K722&gt;0,R722/K722,"")</x:f>
        <x:v>0.047058823529411674</x:v>
      </x:c>
    </x:row>
    <x:row r="723">
      <x:c r="A723" s="7" t="n">
        <x:v>719</x:v>
      </x:c>
      <x:c r="B723" s="7" t="str">
        <x:v>Tata</x:v>
      </x:c>
      <x:c r="C723" s="7" t="str">
        <x:v>Tiago</x:v>
      </x:c>
      <x:c r="D723" s="7" t="str">
        <x:v>XE CNG</x:v>
      </x:c>
      <x:c r="E723" s="7" t="str">
        <x:v>CNG</x:v>
      </x:c>
      <x:c r="F723" s="7" t="str">
        <x:v>Manual</x:v>
      </x:c>
      <x:c r="G723" s="7" t="str">
        <x:v>Hatchback</x:v>
      </x:c>
      <x:c r="H723" s="7" t="n">
        <x:v>1199</x:v>
      </x:c>
      <x:c r="I723" s="7" t="n">
        <x:v>72</x:v>
      </x:c>
      <x:c r="J723" s="9" t="n">
        <x:v>26.5</x:v>
      </x:c>
      <x:c r="K723" s="9" t="n">
        <x:v>6.8</x:v>
      </x:c>
      <x:c r="L723" s="7" t="n">
        <x:v>2023</x:v>
      </x:c>
      <x:c r="M723" s="11" t="n">
        <x:v>45313</x:v>
      </x:c>
      <x:c r="N723" s="7" t="n">
        <x:v>1</x:v>
      </x:c>
      <x:c r="O723" s="7" t="n">
        <x:v>0</x:v>
      </x:c>
      <x:c r="P723" s="9" t="n">
        <x:v>5.02</x:v>
      </x:c>
      <x:c r="Q723" s="7" t="n">
        <x:f>'Guide'!$B$5-L723</x:f>
        <x:v>3</x:v>
      </x:c>
      <x:c r="R723" s="9" t="n">
        <x:f>K723-P723</x:f>
        <x:v>1.7800000000000002</x:v>
      </x:c>
      <x:c r="S723" s="10" t="n">
        <x:f>IF(K723&gt;0,R723/K723,"")</x:f>
        <x:v>0.261764705882353</x:v>
      </x:c>
    </x:row>
    <x:row r="724">
      <x:c r="A724" s="7" t="n">
        <x:v>720</x:v>
      </x:c>
      <x:c r="B724" s="7" t="str">
        <x:v>Tata</x:v>
      </x:c>
      <x:c r="C724" s="7" t="str">
        <x:v>Tiago</x:v>
      </x:c>
      <x:c r="D724" s="7" t="str">
        <x:v>XE CNG</x:v>
      </x:c>
      <x:c r="E724" s="7" t="str">
        <x:v>CNG</x:v>
      </x:c>
      <x:c r="F724" s="7" t="str">
        <x:v>Manual</x:v>
      </x:c>
      <x:c r="G724" s="7" t="str">
        <x:v>Hatchback</x:v>
      </x:c>
      <x:c r="H724" s="7" t="n">
        <x:v>1199</x:v>
      </x:c>
      <x:c r="I724" s="7" t="n">
        <x:v>72</x:v>
      </x:c>
      <x:c r="J724" s="9" t="n">
        <x:v>26.5</x:v>
      </x:c>
      <x:c r="K724" s="9" t="n">
        <x:v>6.8</x:v>
      </x:c>
      <x:c r="L724" s="7" t="n">
        <x:v>2021</x:v>
      </x:c>
      <x:c r="M724" s="11" t="n">
        <x:v>86049</x:v>
      </x:c>
      <x:c r="N724" s="7" t="n">
        <x:v>1</x:v>
      </x:c>
      <x:c r="O724" s="7" t="n">
        <x:v>0</x:v>
      </x:c>
      <x:c r="P724" s="9" t="n">
        <x:v>3.03</x:v>
      </x:c>
      <x:c r="Q724" s="7" t="n">
        <x:f>'Guide'!$B$5-L724</x:f>
        <x:v>5</x:v>
      </x:c>
      <x:c r="R724" s="9" t="n">
        <x:f>K724-P724</x:f>
        <x:v>3.77</x:v>
      </x:c>
      <x:c r="S724" s="10" t="n">
        <x:f>IF(K724&gt;0,R724/K724,"")</x:f>
        <x:v>0.5544117647058824</x:v>
      </x:c>
    </x:row>
    <x:row r="725">
      <x:c r="A725" s="7" t="n">
        <x:v>721</x:v>
      </x:c>
      <x:c r="B725" s="7" t="str">
        <x:v>Tata</x:v>
      </x:c>
      <x:c r="C725" s="7" t="str">
        <x:v>Tiago</x:v>
      </x:c>
      <x:c r="D725" s="7" t="str">
        <x:v>XE CNG</x:v>
      </x:c>
      <x:c r="E725" s="7" t="str">
        <x:v>CNG</x:v>
      </x:c>
      <x:c r="F725" s="7" t="str">
        <x:v>Manual</x:v>
      </x:c>
      <x:c r="G725" s="7" t="str">
        <x:v>Hatchback</x:v>
      </x:c>
      <x:c r="H725" s="7" t="n">
        <x:v>1199</x:v>
      </x:c>
      <x:c r="I725" s="7" t="n">
        <x:v>72</x:v>
      </x:c>
      <x:c r="J725" s="9" t="n">
        <x:v>26.5</x:v>
      </x:c>
      <x:c r="K725" s="9" t="n">
        <x:v>6.8</x:v>
      </x:c>
      <x:c r="L725" s="7" t="n">
        <x:v>2025</x:v>
      </x:c>
      <x:c r="M725" s="11" t="n">
        <x:v>13548</x:v>
      </x:c>
      <x:c r="N725" s="7" t="n">
        <x:v>1</x:v>
      </x:c>
      <x:c r="O725" s="7" t="n">
        <x:v>1</x:v>
      </x:c>
      <x:c r="P725" s="9" t="n">
        <x:v>5.32</x:v>
      </x:c>
      <x:c r="Q725" s="7" t="n">
        <x:f>'Guide'!$B$5-L725</x:f>
        <x:v>1</x:v>
      </x:c>
      <x:c r="R725" s="9" t="n">
        <x:f>K725-P725</x:f>
        <x:v>1.4799999999999995</x:v>
      </x:c>
      <x:c r="S725" s="10" t="n">
        <x:f>IF(K725&gt;0,R725/K725,"")</x:f>
        <x:v>0.21764705882352936</x:v>
      </x:c>
    </x:row>
    <x:row r="726">
      <x:c r="A726" s="7" t="n">
        <x:v>722</x:v>
      </x:c>
      <x:c r="B726" s="7" t="str">
        <x:v>Tata</x:v>
      </x:c>
      <x:c r="C726" s="7" t="str">
        <x:v>Tiago</x:v>
      </x:c>
      <x:c r="D726" s="7" t="str">
        <x:v>XE CNG</x:v>
      </x:c>
      <x:c r="E726" s="7" t="str">
        <x:v>CNG</x:v>
      </x:c>
      <x:c r="F726" s="7" t="str">
        <x:v>Manual</x:v>
      </x:c>
      <x:c r="G726" s="7" t="str">
        <x:v>Hatchback</x:v>
      </x:c>
      <x:c r="H726" s="7" t="n">
        <x:v>1199</x:v>
      </x:c>
      <x:c r="I726" s="7" t="n">
        <x:v>72</x:v>
      </x:c>
      <x:c r="J726" s="9" t="n">
        <x:v>26.5</x:v>
      </x:c>
      <x:c r="K726" s="9" t="n">
        <x:v>6.8</x:v>
      </x:c>
      <x:c r="L726" s="7" t="n">
        <x:v>2020</x:v>
      </x:c>
      <x:c r="M726" s="11" t="n">
        <x:v>66029</x:v>
      </x:c>
      <x:c r="N726" s="7" t="n">
        <x:v>1</x:v>
      </x:c>
      <x:c r="O726" s="7" t="n">
        <x:v>1</x:v>
      </x:c>
      <x:c r="P726" s="9" t="n">
        <x:v>1.84</x:v>
      </x:c>
      <x:c r="Q726" s="7" t="n">
        <x:f>'Guide'!$B$5-L726</x:f>
        <x:v>6</x:v>
      </x:c>
      <x:c r="R726" s="9" t="n">
        <x:f>K726-P726</x:f>
        <x:v>4.96</x:v>
      </x:c>
      <x:c r="S726" s="10" t="n">
        <x:f>IF(K726&gt;0,R726/K726,"")</x:f>
        <x:v>0.7294117647058823</x:v>
      </x:c>
    </x:row>
    <x:row r="727">
      <x:c r="A727" s="7" t="n">
        <x:v>723</x:v>
      </x:c>
      <x:c r="B727" s="7" t="str">
        <x:v>Tata</x:v>
      </x:c>
      <x:c r="C727" s="7" t="str">
        <x:v>Tiago</x:v>
      </x:c>
      <x:c r="D727" s="7" t="str">
        <x:v>XE CNG</x:v>
      </x:c>
      <x:c r="E727" s="7" t="str">
        <x:v>CNG</x:v>
      </x:c>
      <x:c r="F727" s="7" t="str">
        <x:v>Manual</x:v>
      </x:c>
      <x:c r="G727" s="7" t="str">
        <x:v>Hatchback</x:v>
      </x:c>
      <x:c r="H727" s="7" t="n">
        <x:v>1199</x:v>
      </x:c>
      <x:c r="I727" s="7" t="n">
        <x:v>72</x:v>
      </x:c>
      <x:c r="J727" s="9" t="n">
        <x:v>26.5</x:v>
      </x:c>
      <x:c r="K727" s="9" t="n">
        <x:v>6.8</x:v>
      </x:c>
      <x:c r="L727" s="7" t="n">
        <x:v>2025</x:v>
      </x:c>
      <x:c r="M727" s="11" t="n">
        <x:v>20276</x:v>
      </x:c>
      <x:c r="N727" s="7" t="n">
        <x:v>1</x:v>
      </x:c>
      <x:c r="O727" s="7" t="n">
        <x:v>0</x:v>
      </x:c>
      <x:c r="P727" s="9" t="n">
        <x:v>5.79</x:v>
      </x:c>
      <x:c r="Q727" s="7" t="n">
        <x:f>'Guide'!$B$5-L727</x:f>
        <x:v>1</x:v>
      </x:c>
      <x:c r="R727" s="9" t="n">
        <x:f>K727-P727</x:f>
        <x:v>1.0099999999999998</x:v>
      </x:c>
      <x:c r="S727" s="10" t="n">
        <x:f>IF(K727&gt;0,R727/K727,"")</x:f>
        <x:v>0.14852941176470585</x:v>
      </x:c>
    </x:row>
    <x:row r="728">
      <x:c r="A728" s="7" t="n">
        <x:v>724</x:v>
      </x:c>
      <x:c r="B728" s="7" t="str">
        <x:v>Tata</x:v>
      </x:c>
      <x:c r="C728" s="7" t="str">
        <x:v>Tiago</x:v>
      </x:c>
      <x:c r="D728" s="7" t="str">
        <x:v>XE CNG</x:v>
      </x:c>
      <x:c r="E728" s="7" t="str">
        <x:v>CNG</x:v>
      </x:c>
      <x:c r="F728" s="7" t="str">
        <x:v>Manual</x:v>
      </x:c>
      <x:c r="G728" s="7" t="str">
        <x:v>Hatchback</x:v>
      </x:c>
      <x:c r="H728" s="7" t="n">
        <x:v>1199</x:v>
      </x:c>
      <x:c r="I728" s="7" t="n">
        <x:v>72</x:v>
      </x:c>
      <x:c r="J728" s="9" t="n">
        <x:v>26.5</x:v>
      </x:c>
      <x:c r="K728" s="9" t="n">
        <x:v>6.8</x:v>
      </x:c>
      <x:c r="L728" s="7" t="n">
        <x:v>2026</x:v>
      </x:c>
      <x:c r="M728" s="11" t="n">
        <x:v>9529</x:v>
      </x:c>
      <x:c r="N728" s="7" t="n">
        <x:v>1</x:v>
      </x:c>
      <x:c r="O728" s="7" t="n">
        <x:v>0</x:v>
      </x:c>
      <x:c r="P728" s="9" t="n">
        <x:v>6.73</x:v>
      </x:c>
      <x:c r="Q728" s="7" t="n">
        <x:f>'Guide'!$B$5-L728</x:f>
        <x:v>0</x:v>
      </x:c>
      <x:c r="R728" s="9" t="n">
        <x:f>K728-P728</x:f>
        <x:v>0.0699999999999994</x:v>
      </x:c>
      <x:c r="S728" s="10" t="n">
        <x:f>IF(K728&gt;0,R728/K728,"")</x:f>
        <x:v>0.010294117647058735</x:v>
      </x:c>
    </x:row>
    <x:row r="729">
      <x:c r="A729" s="7" t="n">
        <x:v>725</x:v>
      </x:c>
      <x:c r="B729" s="7" t="str">
        <x:v>Tata</x:v>
      </x:c>
      <x:c r="C729" s="7" t="str">
        <x:v>Tiago</x:v>
      </x:c>
      <x:c r="D729" s="7" t="str">
        <x:v>XE CNG</x:v>
      </x:c>
      <x:c r="E729" s="7" t="str">
        <x:v>CNG</x:v>
      </x:c>
      <x:c r="F729" s="7" t="str">
        <x:v>Manual</x:v>
      </x:c>
      <x:c r="G729" s="7" t="str">
        <x:v>Hatchback</x:v>
      </x:c>
      <x:c r="H729" s="7" t="n">
        <x:v>1199</x:v>
      </x:c>
      <x:c r="I729" s="7" t="n">
        <x:v>72</x:v>
      </x:c>
      <x:c r="J729" s="9" t="n">
        <x:v>26.5</x:v>
      </x:c>
      <x:c r="K729" s="9" t="n">
        <x:v>6.8</x:v>
      </x:c>
      <x:c r="L729" s="7" t="n">
        <x:v>2024</x:v>
      </x:c>
      <x:c r="M729" s="11" t="n">
        <x:v>22501</x:v>
      </x:c>
      <x:c r="N729" s="7" t="n">
        <x:v>2</x:v>
      </x:c>
      <x:c r="O729" s="7" t="n">
        <x:v>1</x:v>
      </x:c>
      <x:c r="P729" s="9" t="n">
        <x:v>4.68</x:v>
      </x:c>
      <x:c r="Q729" s="7" t="n">
        <x:f>'Guide'!$B$5-L729</x:f>
        <x:v>2</x:v>
      </x:c>
      <x:c r="R729" s="9" t="n">
        <x:f>K729-P729</x:f>
        <x:v>2.12</x:v>
      </x:c>
      <x:c r="S729" s="10" t="n">
        <x:f>IF(K729&gt;0,R729/K729,"")</x:f>
        <x:v>0.31176470588235294</x:v>
      </x:c>
    </x:row>
    <x:row r="730">
      <x:c r="A730" s="7" t="n">
        <x:v>726</x:v>
      </x:c>
      <x:c r="B730" s="7" t="str">
        <x:v>Tata</x:v>
      </x:c>
      <x:c r="C730" s="7" t="str">
        <x:v>Tiago</x:v>
      </x:c>
      <x:c r="D730" s="7" t="str">
        <x:v>XE CNG</x:v>
      </x:c>
      <x:c r="E730" s="7" t="str">
        <x:v>CNG</x:v>
      </x:c>
      <x:c r="F730" s="7" t="str">
        <x:v>Manual</x:v>
      </x:c>
      <x:c r="G730" s="7" t="str">
        <x:v>Hatchback</x:v>
      </x:c>
      <x:c r="H730" s="7" t="n">
        <x:v>1199</x:v>
      </x:c>
      <x:c r="I730" s="7" t="n">
        <x:v>72</x:v>
      </x:c>
      <x:c r="J730" s="9" t="n">
        <x:v>26.5</x:v>
      </x:c>
      <x:c r="K730" s="9" t="n">
        <x:v>6.8</x:v>
      </x:c>
      <x:c r="L730" s="7" t="n">
        <x:v>2023</x:v>
      </x:c>
      <x:c r="M730" s="11" t="n">
        <x:v>45664</x:v>
      </x:c>
      <x:c r="N730" s="7" t="n">
        <x:v>1</x:v>
      </x:c>
      <x:c r="O730" s="7" t="n">
        <x:v>0</x:v>
      </x:c>
      <x:c r="P730" s="9" t="n">
        <x:v>4.94</x:v>
      </x:c>
      <x:c r="Q730" s="7" t="n">
        <x:f>'Guide'!$B$5-L730</x:f>
        <x:v>3</x:v>
      </x:c>
      <x:c r="R730" s="9" t="n">
        <x:f>K730-P730</x:f>
        <x:v>1.8599999999999994</x:v>
      </x:c>
      <x:c r="S730" s="10" t="n">
        <x:f>IF(K730&gt;0,R730/K730,"")</x:f>
        <x:v>0.2735294117647058</x:v>
      </x:c>
    </x:row>
    <x:row r="731">
      <x:c r="A731" s="7" t="n">
        <x:v>727</x:v>
      </x:c>
      <x:c r="B731" s="7" t="str">
        <x:v>Tata</x:v>
      </x:c>
      <x:c r="C731" s="7" t="str">
        <x:v>Tiago</x:v>
      </x:c>
      <x:c r="D731" s="7" t="str">
        <x:v>XE CNG</x:v>
      </x:c>
      <x:c r="E731" s="7" t="str">
        <x:v>CNG</x:v>
      </x:c>
      <x:c r="F731" s="7" t="str">
        <x:v>Manual</x:v>
      </x:c>
      <x:c r="G731" s="7" t="str">
        <x:v>Hatchback</x:v>
      </x:c>
      <x:c r="H731" s="7" t="n">
        <x:v>1199</x:v>
      </x:c>
      <x:c r="I731" s="7" t="n">
        <x:v>72</x:v>
      </x:c>
      <x:c r="J731" s="9" t="n">
        <x:v>26.5</x:v>
      </x:c>
      <x:c r="K731" s="9" t="n">
        <x:v>6.8</x:v>
      </x:c>
      <x:c r="L731" s="7" t="n">
        <x:v>2026</x:v>
      </x:c>
      <x:c r="M731" s="11" t="n">
        <x:v>6202</x:v>
      </x:c>
      <x:c r="N731" s="7" t="n">
        <x:v>1</x:v>
      </x:c>
      <x:c r="O731" s="7" t="n">
        <x:v>0</x:v>
      </x:c>
      <x:c r="P731" s="9" t="n">
        <x:v>6.7</x:v>
      </x:c>
      <x:c r="Q731" s="7" t="n">
        <x:f>'Guide'!$B$5-L731</x:f>
        <x:v>0</x:v>
      </x:c>
      <x:c r="R731" s="9" t="n">
        <x:f>K731-P731</x:f>
        <x:v>0.09999999999999964</x:v>
      </x:c>
      <x:c r="S731" s="10" t="n">
        <x:f>IF(K731&gt;0,R731/K731,"")</x:f>
        <x:v>0.014705882352941124</x:v>
      </x:c>
    </x:row>
    <x:row r="732">
      <x:c r="A732" s="7" t="n">
        <x:v>728</x:v>
      </x:c>
      <x:c r="B732" s="7" t="str">
        <x:v>Tata</x:v>
      </x:c>
      <x:c r="C732" s="7" t="str">
        <x:v>Tiago</x:v>
      </x:c>
      <x:c r="D732" s="7" t="str">
        <x:v>XE CNG</x:v>
      </x:c>
      <x:c r="E732" s="7" t="str">
        <x:v>CNG</x:v>
      </x:c>
      <x:c r="F732" s="7" t="str">
        <x:v>Manual</x:v>
      </x:c>
      <x:c r="G732" s="7" t="str">
        <x:v>Hatchback</x:v>
      </x:c>
      <x:c r="H732" s="7" t="n">
        <x:v>1199</x:v>
      </x:c>
      <x:c r="I732" s="7" t="n">
        <x:v>72</x:v>
      </x:c>
      <x:c r="J732" s="9" t="n">
        <x:v>26.5</x:v>
      </x:c>
      <x:c r="K732" s="9" t="n">
        <x:v>6.8</x:v>
      </x:c>
      <x:c r="L732" s="7" t="n">
        <x:v>2020</x:v>
      </x:c>
      <x:c r="M732" s="11" t="n">
        <x:v>67613</x:v>
      </x:c>
      <x:c r="N732" s="7" t="n">
        <x:v>1</x:v>
      </x:c>
      <x:c r="O732" s="7" t="n">
        <x:v>0</x:v>
      </x:c>
      <x:c r="P732" s="9" t="n">
        <x:v>3.38</x:v>
      </x:c>
      <x:c r="Q732" s="7" t="n">
        <x:f>'Guide'!$B$5-L732</x:f>
        <x:v>6</x:v>
      </x:c>
      <x:c r="R732" s="9" t="n">
        <x:f>K732-P732</x:f>
        <x:v>3.42</x:v>
      </x:c>
      <x:c r="S732" s="10" t="n">
        <x:f>IF(K732&gt;0,R732/K732,"")</x:f>
        <x:v>0.5029411764705882</x:v>
      </x:c>
    </x:row>
    <x:row r="733">
      <x:c r="A733" s="7" t="n">
        <x:v>729</x:v>
      </x:c>
      <x:c r="B733" s="7" t="str">
        <x:v>Tata</x:v>
      </x:c>
      <x:c r="C733" s="7" t="str">
        <x:v>Tiago</x:v>
      </x:c>
      <x:c r="D733" s="7" t="str">
        <x:v>XE CNG</x:v>
      </x:c>
      <x:c r="E733" s="7" t="str">
        <x:v>CNG</x:v>
      </x:c>
      <x:c r="F733" s="7" t="str">
        <x:v>Manual</x:v>
      </x:c>
      <x:c r="G733" s="7" t="str">
        <x:v>Hatchback</x:v>
      </x:c>
      <x:c r="H733" s="7" t="n">
        <x:v>1199</x:v>
      </x:c>
      <x:c r="I733" s="7" t="n">
        <x:v>72</x:v>
      </x:c>
      <x:c r="J733" s="9" t="n">
        <x:v>26.5</x:v>
      </x:c>
      <x:c r="K733" s="9" t="n">
        <x:v>6.8</x:v>
      </x:c>
      <x:c r="L733" s="7" t="n">
        <x:v>2026</x:v>
      </x:c>
      <x:c r="M733" s="11" t="n">
        <x:v>9736</x:v>
      </x:c>
      <x:c r="N733" s="7" t="n">
        <x:v>1</x:v>
      </x:c>
      <x:c r="O733" s="7" t="n">
        <x:v>0</x:v>
      </x:c>
      <x:c r="P733" s="9" t="n">
        <x:v>6.7</x:v>
      </x:c>
      <x:c r="Q733" s="7" t="n">
        <x:f>'Guide'!$B$5-L733</x:f>
        <x:v>0</x:v>
      </x:c>
      <x:c r="R733" s="9" t="n">
        <x:f>K733-P733</x:f>
        <x:v>0.09999999999999964</x:v>
      </x:c>
      <x:c r="S733" s="10" t="n">
        <x:f>IF(K733&gt;0,R733/K733,"")</x:f>
        <x:v>0.014705882352941124</x:v>
      </x:c>
    </x:row>
    <x:row r="734">
      <x:c r="A734" s="7" t="n">
        <x:v>730</x:v>
      </x:c>
      <x:c r="B734" s="7" t="str">
        <x:v>Tata</x:v>
      </x:c>
      <x:c r="C734" s="7" t="str">
        <x:v>Tiago</x:v>
      </x:c>
      <x:c r="D734" s="7" t="str">
        <x:v>XE CNG</x:v>
      </x:c>
      <x:c r="E734" s="7" t="str">
        <x:v>CNG</x:v>
      </x:c>
      <x:c r="F734" s="7" t="str">
        <x:v>Manual</x:v>
      </x:c>
      <x:c r="G734" s="7" t="str">
        <x:v>Hatchback</x:v>
      </x:c>
      <x:c r="H734" s="7" t="n">
        <x:v>1199</x:v>
      </x:c>
      <x:c r="I734" s="7" t="n">
        <x:v>72</x:v>
      </x:c>
      <x:c r="J734" s="9" t="n">
        <x:v>26.5</x:v>
      </x:c>
      <x:c r="K734" s="9" t="n">
        <x:v>6.8</x:v>
      </x:c>
      <x:c r="L734" s="7" t="n">
        <x:v>2025</x:v>
      </x:c>
      <x:c r="M734" s="11" t="n">
        <x:v>29981</x:v>
      </x:c>
      <x:c r="N734" s="7" t="n">
        <x:v>2</x:v>
      </x:c>
      <x:c r="O734" s="7" t="n">
        <x:v>0</x:v>
      </x:c>
      <x:c r="P734" s="9" t="n">
        <x:v>5.78</x:v>
      </x:c>
      <x:c r="Q734" s="7" t="n">
        <x:f>'Guide'!$B$5-L734</x:f>
        <x:v>1</x:v>
      </x:c>
      <x:c r="R734" s="9" t="n">
        <x:f>K734-P734</x:f>
        <x:v>1.0199999999999996</x:v>
      </x:c>
      <x:c r="S734" s="10" t="n">
        <x:f>IF(K734&gt;0,R734/K734,"")</x:f>
        <x:v>0.14999999999999994</x:v>
      </x:c>
    </x:row>
    <x:row r="735">
      <x:c r="A735" s="7" t="n">
        <x:v>731</x:v>
      </x:c>
      <x:c r="B735" s="7" t="str">
        <x:v>Tata</x:v>
      </x:c>
      <x:c r="C735" s="7" t="str">
        <x:v>Tiago</x:v>
      </x:c>
      <x:c r="D735" s="7" t="str">
        <x:v>XE CNG</x:v>
      </x:c>
      <x:c r="E735" s="7" t="str">
        <x:v>CNG</x:v>
      </x:c>
      <x:c r="F735" s="7" t="str">
        <x:v>Manual</x:v>
      </x:c>
      <x:c r="G735" s="7" t="str">
        <x:v>Hatchback</x:v>
      </x:c>
      <x:c r="H735" s="7" t="n">
        <x:v>1199</x:v>
      </x:c>
      <x:c r="I735" s="7" t="n">
        <x:v>72</x:v>
      </x:c>
      <x:c r="J735" s="9" t="n">
        <x:v>26.5</x:v>
      </x:c>
      <x:c r="K735" s="9" t="n">
        <x:v>6.8</x:v>
      </x:c>
      <x:c r="L735" s="7" t="n">
        <x:v>2023</x:v>
      </x:c>
      <x:c r="M735" s="11" t="n">
        <x:v>67725</x:v>
      </x:c>
      <x:c r="N735" s="7" t="n">
        <x:v>1</x:v>
      </x:c>
      <x:c r="O735" s="7" t="n">
        <x:v>0</x:v>
      </x:c>
      <x:c r="P735" s="9" t="n">
        <x:v>4.9</x:v>
      </x:c>
      <x:c r="Q735" s="7" t="n">
        <x:f>'Guide'!$B$5-L735</x:f>
        <x:v>3</x:v>
      </x:c>
      <x:c r="R735" s="9" t="n">
        <x:f>K735-P735</x:f>
        <x:v>1.8999999999999995</x:v>
      </x:c>
      <x:c r="S735" s="10" t="n">
        <x:f>IF(K735&gt;0,R735/K735,"")</x:f>
        <x:v>0.2794117647058823</x:v>
      </x:c>
    </x:row>
    <x:row r="736">
      <x:c r="A736" s="7" t="n">
        <x:v>732</x:v>
      </x:c>
      <x:c r="B736" s="7" t="str">
        <x:v>Tata</x:v>
      </x:c>
      <x:c r="C736" s="7" t="str">
        <x:v>Tiago</x:v>
      </x:c>
      <x:c r="D736" s="7" t="str">
        <x:v>XE CNG</x:v>
      </x:c>
      <x:c r="E736" s="7" t="str">
        <x:v>CNG</x:v>
      </x:c>
      <x:c r="F736" s="7" t="str">
        <x:v>Manual</x:v>
      </x:c>
      <x:c r="G736" s="7" t="str">
        <x:v>Hatchback</x:v>
      </x:c>
      <x:c r="H736" s="7" t="n">
        <x:v>1199</x:v>
      </x:c>
      <x:c r="I736" s="7" t="n">
        <x:v>72</x:v>
      </x:c>
      <x:c r="J736" s="9" t="n">
        <x:v>26.5</x:v>
      </x:c>
      <x:c r="K736" s="9" t="n">
        <x:v>6.8</x:v>
      </x:c>
      <x:c r="L736" s="7" t="n">
        <x:v>2022</x:v>
      </x:c>
      <x:c r="M736" s="11" t="n">
        <x:v>66893</x:v>
      </x:c>
      <x:c r="N736" s="7" t="n">
        <x:v>1</x:v>
      </x:c>
      <x:c r="O736" s="7" t="n">
        <x:v>0</x:v>
      </x:c>
      <x:c r="P736" s="9" t="n">
        <x:v>3.73</x:v>
      </x:c>
      <x:c r="Q736" s="7" t="n">
        <x:f>'Guide'!$B$5-L736</x:f>
        <x:v>4</x:v>
      </x:c>
      <x:c r="R736" s="9" t="n">
        <x:f>K736-P736</x:f>
        <x:v>3.07</x:v>
      </x:c>
      <x:c r="S736" s="10" t="n">
        <x:f>IF(K736&gt;0,R736/K736,"")</x:f>
        <x:v>0.4514705882352941</x:v>
      </x:c>
    </x:row>
    <x:row r="737">
      <x:c r="A737" s="7" t="n">
        <x:v>733</x:v>
      </x:c>
      <x:c r="B737" s="7" t="str">
        <x:v>Tata</x:v>
      </x:c>
      <x:c r="C737" s="7" t="str">
        <x:v>Tiago</x:v>
      </x:c>
      <x:c r="D737" s="7" t="str">
        <x:v>XE CNG</x:v>
      </x:c>
      <x:c r="E737" s="7" t="str">
        <x:v>CNG</x:v>
      </x:c>
      <x:c r="F737" s="7" t="str">
        <x:v>Manual</x:v>
      </x:c>
      <x:c r="G737" s="7" t="str">
        <x:v>Hatchback</x:v>
      </x:c>
      <x:c r="H737" s="7" t="n">
        <x:v>1199</x:v>
      </x:c>
      <x:c r="I737" s="7" t="n">
        <x:v>72</x:v>
      </x:c>
      <x:c r="J737" s="9" t="n">
        <x:v>26.5</x:v>
      </x:c>
      <x:c r="K737" s="9" t="n">
        <x:v>6.8</x:v>
      </x:c>
      <x:c r="L737" s="7" t="n">
        <x:v>2023</x:v>
      </x:c>
      <x:c r="M737" s="11" t="n">
        <x:v>52342</x:v>
      </x:c>
      <x:c r="N737" s="7" t="n">
        <x:v>2</x:v>
      </x:c>
      <x:c r="O737" s="7" t="n">
        <x:v>0</x:v>
      </x:c>
      <x:c r="P737" s="9" t="n">
        <x:v>4.17</x:v>
      </x:c>
      <x:c r="Q737" s="7" t="n">
        <x:f>'Guide'!$B$5-L737</x:f>
        <x:v>3</x:v>
      </x:c>
      <x:c r="R737" s="9" t="n">
        <x:f>K737-P737</x:f>
        <x:v>2.63</x:v>
      </x:c>
      <x:c r="S737" s="10" t="n">
        <x:f>IF(K737&gt;0,R737/K737,"")</x:f>
        <x:v>0.38676470588235295</x:v>
      </x:c>
    </x:row>
    <x:row r="738">
      <x:c r="A738" s="7" t="n">
        <x:v>734</x:v>
      </x:c>
      <x:c r="B738" s="7" t="str">
        <x:v>Tata</x:v>
      </x:c>
      <x:c r="C738" s="7" t="str">
        <x:v>Tiago</x:v>
      </x:c>
      <x:c r="D738" s="7" t="str">
        <x:v>XE CNG</x:v>
      </x:c>
      <x:c r="E738" s="7" t="str">
        <x:v>CNG</x:v>
      </x:c>
      <x:c r="F738" s="7" t="str">
        <x:v>Manual</x:v>
      </x:c>
      <x:c r="G738" s="7" t="str">
        <x:v>Hatchback</x:v>
      </x:c>
      <x:c r="H738" s="7" t="n">
        <x:v>1199</x:v>
      </x:c>
      <x:c r="I738" s="7" t="n">
        <x:v>72</x:v>
      </x:c>
      <x:c r="J738" s="9" t="n">
        <x:v>26.5</x:v>
      </x:c>
      <x:c r="K738" s="9" t="n">
        <x:v>6.8</x:v>
      </x:c>
      <x:c r="L738" s="7" t="n">
        <x:v>2022</x:v>
      </x:c>
      <x:c r="M738" s="11" t="n">
        <x:v>56910</x:v>
      </x:c>
      <x:c r="N738" s="7" t="n">
        <x:v>1</x:v>
      </x:c>
      <x:c r="O738" s="7" t="n">
        <x:v>0</x:v>
      </x:c>
      <x:c r="P738" s="9" t="n">
        <x:v>4.11</x:v>
      </x:c>
      <x:c r="Q738" s="7" t="n">
        <x:f>'Guide'!$B$5-L738</x:f>
        <x:v>4</x:v>
      </x:c>
      <x:c r="R738" s="9" t="n">
        <x:f>K738-P738</x:f>
        <x:v>2.6899999999999995</x:v>
      </x:c>
      <x:c r="S738" s="10" t="n">
        <x:f>IF(K738&gt;0,R738/K738,"")</x:f>
        <x:v>0.3955882352941176</x:v>
      </x:c>
    </x:row>
    <x:row r="739">
      <x:c r="A739" s="7" t="n">
        <x:v>735</x:v>
      </x:c>
      <x:c r="B739" s="7" t="str">
        <x:v>Tata</x:v>
      </x:c>
      <x:c r="C739" s="7" t="str">
        <x:v>Tiago</x:v>
      </x:c>
      <x:c r="D739" s="7" t="str">
        <x:v>XE CNG</x:v>
      </x:c>
      <x:c r="E739" s="7" t="str">
        <x:v>CNG</x:v>
      </x:c>
      <x:c r="F739" s="7" t="str">
        <x:v>Manual</x:v>
      </x:c>
      <x:c r="G739" s="7" t="str">
        <x:v>Hatchback</x:v>
      </x:c>
      <x:c r="H739" s="7" t="n">
        <x:v>1199</x:v>
      </x:c>
      <x:c r="I739" s="7" t="n">
        <x:v>72</x:v>
      </x:c>
      <x:c r="J739" s="9" t="n">
        <x:v>26.5</x:v>
      </x:c>
      <x:c r="K739" s="9" t="n">
        <x:v>6.8</x:v>
      </x:c>
      <x:c r="L739" s="7" t="n">
        <x:v>2023</x:v>
      </x:c>
      <x:c r="M739" s="11" t="n">
        <x:v>36491</x:v>
      </x:c>
      <x:c r="N739" s="7" t="n">
        <x:v>2</x:v>
      </x:c>
      <x:c r="O739" s="7" t="n">
        <x:v>0</x:v>
      </x:c>
      <x:c r="P739" s="9" t="n">
        <x:v>4.68</x:v>
      </x:c>
      <x:c r="Q739" s="7" t="n">
        <x:f>'Guide'!$B$5-L739</x:f>
        <x:v>3</x:v>
      </x:c>
      <x:c r="R739" s="9" t="n">
        <x:f>K739-P739</x:f>
        <x:v>2.12</x:v>
      </x:c>
      <x:c r="S739" s="10" t="n">
        <x:f>IF(K739&gt;0,R739/K739,"")</x:f>
        <x:v>0.31176470588235294</x:v>
      </x:c>
    </x:row>
    <x:row r="740">
      <x:c r="A740" s="7" t="n">
        <x:v>736</x:v>
      </x:c>
      <x:c r="B740" s="7" t="str">
        <x:v>Tata</x:v>
      </x:c>
      <x:c r="C740" s="7" t="str">
        <x:v>Tiago</x:v>
      </x:c>
      <x:c r="D740" s="7" t="str">
        <x:v>XE CNG</x:v>
      </x:c>
      <x:c r="E740" s="7" t="str">
        <x:v>CNG</x:v>
      </x:c>
      <x:c r="F740" s="7" t="str">
        <x:v>Manual</x:v>
      </x:c>
      <x:c r="G740" s="7" t="str">
        <x:v>Hatchback</x:v>
      </x:c>
      <x:c r="H740" s="7" t="n">
        <x:v>1199</x:v>
      </x:c>
      <x:c r="I740" s="7" t="n">
        <x:v>72</x:v>
      </x:c>
      <x:c r="J740" s="9" t="n">
        <x:v>26.5</x:v>
      </x:c>
      <x:c r="K740" s="9" t="n">
        <x:v>6.8</x:v>
      </x:c>
      <x:c r="L740" s="7" t="n">
        <x:v>2026</x:v>
      </x:c>
      <x:c r="M740" s="11" t="n">
        <x:v>4600</x:v>
      </x:c>
      <x:c r="N740" s="7" t="n">
        <x:v>1</x:v>
      </x:c>
      <x:c r="O740" s="7" t="n">
        <x:v>0</x:v>
      </x:c>
      <x:c r="P740" s="9" t="n">
        <x:v>6.9</x:v>
      </x:c>
      <x:c r="Q740" s="7" t="n">
        <x:f>'Guide'!$B$5-L740</x:f>
        <x:v>0</x:v>
      </x:c>
      <x:c r="R740" s="9" t="n">
        <x:f>K740-P740</x:f>
        <x:v>-0.10000000000000053</x:v>
      </x:c>
      <x:c r="S740" s="10" t="n">
        <x:f>IF(K740&gt;0,R740/K740,"")</x:f>
        <x:v>-0.014705882352941256</x:v>
      </x:c>
    </x:row>
    <x:row r="741">
      <x:c r="A741" s="7" t="n">
        <x:v>737</x:v>
      </x:c>
      <x:c r="B741" s="7" t="str">
        <x:v>Tata</x:v>
      </x:c>
      <x:c r="C741" s="7" t="str">
        <x:v>Tiago</x:v>
      </x:c>
      <x:c r="D741" s="7" t="str">
        <x:v>XE CNG</x:v>
      </x:c>
      <x:c r="E741" s="7" t="str">
        <x:v>CNG</x:v>
      </x:c>
      <x:c r="F741" s="7" t="str">
        <x:v>Manual</x:v>
      </x:c>
      <x:c r="G741" s="7" t="str">
        <x:v>Hatchback</x:v>
      </x:c>
      <x:c r="H741" s="7" t="n">
        <x:v>1199</x:v>
      </x:c>
      <x:c r="I741" s="7" t="n">
        <x:v>72</x:v>
      </x:c>
      <x:c r="J741" s="9" t="n">
        <x:v>26.5</x:v>
      </x:c>
      <x:c r="K741" s="9" t="n">
        <x:v>6.8</x:v>
      </x:c>
      <x:c r="L741" s="7" t="n">
        <x:v>2022</x:v>
      </x:c>
      <x:c r="M741" s="11" t="n">
        <x:v>62030</x:v>
      </x:c>
      <x:c r="N741" s="7" t="n">
        <x:v>1</x:v>
      </x:c>
      <x:c r="O741" s="7" t="n">
        <x:v>0</x:v>
      </x:c>
      <x:c r="P741" s="9" t="n">
        <x:v>4.39</x:v>
      </x:c>
      <x:c r="Q741" s="7" t="n">
        <x:f>'Guide'!$B$5-L741</x:f>
        <x:v>4</x:v>
      </x:c>
      <x:c r="R741" s="9" t="n">
        <x:f>K741-P741</x:f>
        <x:v>2.41</x:v>
      </x:c>
      <x:c r="S741" s="10" t="n">
        <x:f>IF(K741&gt;0,R741/K741,"")</x:f>
        <x:v>0.35441176470588237</x:v>
      </x:c>
    </x:row>
    <x:row r="742">
      <x:c r="A742" s="7" t="n">
        <x:v>738</x:v>
      </x:c>
      <x:c r="B742" s="7" t="str">
        <x:v>Tata</x:v>
      </x:c>
      <x:c r="C742" s="7" t="str">
        <x:v>Tiago</x:v>
      </x:c>
      <x:c r="D742" s="7" t="str">
        <x:v>XE CNG</x:v>
      </x:c>
      <x:c r="E742" s="7" t="str">
        <x:v>CNG</x:v>
      </x:c>
      <x:c r="F742" s="7" t="str">
        <x:v>Manual</x:v>
      </x:c>
      <x:c r="G742" s="7" t="str">
        <x:v>Hatchback</x:v>
      </x:c>
      <x:c r="H742" s="7" t="n">
        <x:v>1199</x:v>
      </x:c>
      <x:c r="I742" s="7" t="n">
        <x:v>72</x:v>
      </x:c>
      <x:c r="J742" s="9" t="n">
        <x:v>26.5</x:v>
      </x:c>
      <x:c r="K742" s="9" t="n">
        <x:v>6.8</x:v>
      </x:c>
      <x:c r="L742" s="7" t="n">
        <x:v>2024</x:v>
      </x:c>
      <x:c r="M742" s="11" t="n">
        <x:v>33801</x:v>
      </x:c>
      <x:c r="N742" s="7" t="n">
        <x:v>1</x:v>
      </x:c>
      <x:c r="O742" s="7" t="n">
        <x:v>0</x:v>
      </x:c>
      <x:c r="P742" s="9" t="n">
        <x:v>5.28</x:v>
      </x:c>
      <x:c r="Q742" s="7" t="n">
        <x:f>'Guide'!$B$5-L742</x:f>
        <x:v>2</x:v>
      </x:c>
      <x:c r="R742" s="9" t="n">
        <x:f>K742-P742</x:f>
        <x:v>1.5199999999999996</x:v>
      </x:c>
      <x:c r="S742" s="10" t="n">
        <x:f>IF(K742&gt;0,R742/K742,"")</x:f>
        <x:v>0.22352941176470584</x:v>
      </x:c>
    </x:row>
    <x:row r="743">
      <x:c r="A743" s="7" t="n">
        <x:v>739</x:v>
      </x:c>
      <x:c r="B743" s="7" t="str">
        <x:v>Tata</x:v>
      </x:c>
      <x:c r="C743" s="7" t="str">
        <x:v>Tiago</x:v>
      </x:c>
      <x:c r="D743" s="7" t="str">
        <x:v>XE CNG</x:v>
      </x:c>
      <x:c r="E743" s="7" t="str">
        <x:v>CNG</x:v>
      </x:c>
      <x:c r="F743" s="7" t="str">
        <x:v>Manual</x:v>
      </x:c>
      <x:c r="G743" s="7" t="str">
        <x:v>Hatchback</x:v>
      </x:c>
      <x:c r="H743" s="7" t="n">
        <x:v>1199</x:v>
      </x:c>
      <x:c r="I743" s="7" t="n">
        <x:v>72</x:v>
      </x:c>
      <x:c r="J743" s="9" t="n">
        <x:v>26.5</x:v>
      </x:c>
      <x:c r="K743" s="9" t="n">
        <x:v>6.8</x:v>
      </x:c>
      <x:c r="L743" s="7" t="n">
        <x:v>2023</x:v>
      </x:c>
      <x:c r="M743" s="11" t="n">
        <x:v>37506</x:v>
      </x:c>
      <x:c r="N743" s="7" t="n">
        <x:v>1</x:v>
      </x:c>
      <x:c r="O743" s="7" t="n">
        <x:v>0</x:v>
      </x:c>
      <x:c r="P743" s="9" t="n">
        <x:v>4.49</x:v>
      </x:c>
      <x:c r="Q743" s="7" t="n">
        <x:f>'Guide'!$B$5-L743</x:f>
        <x:v>3</x:v>
      </x:c>
      <x:c r="R743" s="9" t="n">
        <x:f>K743-P743</x:f>
        <x:v>2.3099999999999996</x:v>
      </x:c>
      <x:c r="S743" s="10" t="n">
        <x:f>IF(K743&gt;0,R743/K743,"")</x:f>
        <x:v>0.33970588235294114</x:v>
      </x:c>
    </x:row>
    <x:row r="744">
      <x:c r="A744" s="7" t="n">
        <x:v>740</x:v>
      </x:c>
      <x:c r="B744" s="7" t="str">
        <x:v>Tata</x:v>
      </x:c>
      <x:c r="C744" s="7" t="str">
        <x:v>Tiago</x:v>
      </x:c>
      <x:c r="D744" s="7" t="str">
        <x:v>XE CNG</x:v>
      </x:c>
      <x:c r="E744" s="7" t="str">
        <x:v>CNG</x:v>
      </x:c>
      <x:c r="F744" s="7" t="str">
        <x:v>Manual</x:v>
      </x:c>
      <x:c r="G744" s="7" t="str">
        <x:v>Hatchback</x:v>
      </x:c>
      <x:c r="H744" s="7" t="n">
        <x:v>1199</x:v>
      </x:c>
      <x:c r="I744" s="7" t="n">
        <x:v>72</x:v>
      </x:c>
      <x:c r="J744" s="9" t="n">
        <x:v>26.5</x:v>
      </x:c>
      <x:c r="K744" s="9" t="n">
        <x:v>6.8</x:v>
      </x:c>
      <x:c r="L744" s="7" t="n">
        <x:v>2026</x:v>
      </x:c>
      <x:c r="M744" s="11" t="n">
        <x:v>4109</x:v>
      </x:c>
      <x:c r="N744" s="7" t="n">
        <x:v>1</x:v>
      </x:c>
      <x:c r="O744" s="7" t="n">
        <x:v>0</x:v>
      </x:c>
      <x:c r="P744" s="9" t="n">
        <x:v>6.79</x:v>
      </x:c>
      <x:c r="Q744" s="7" t="n">
        <x:f>'Guide'!$B$5-L744</x:f>
        <x:v>0</x:v>
      </x:c>
      <x:c r="R744" s="9" t="n">
        <x:f>K744-P744</x:f>
        <x:v>0.009999999999999787</x:v>
      </x:c>
      <x:c r="S744" s="10" t="n">
        <x:f>IF(K744&gt;0,R744/K744,"")</x:f>
        <x:v>0.0014705882352940864</x:v>
      </x:c>
    </x:row>
    <x:row r="745">
      <x:c r="A745" s="7" t="n">
        <x:v>741</x:v>
      </x:c>
      <x:c r="B745" s="7" t="str">
        <x:v>Tata</x:v>
      </x:c>
      <x:c r="C745" s="7" t="str">
        <x:v>Tiago</x:v>
      </x:c>
      <x:c r="D745" s="7" t="str">
        <x:v>XE CNG</x:v>
      </x:c>
      <x:c r="E745" s="7" t="str">
        <x:v>CNG</x:v>
      </x:c>
      <x:c r="F745" s="7" t="str">
        <x:v>Manual</x:v>
      </x:c>
      <x:c r="G745" s="7" t="str">
        <x:v>Hatchback</x:v>
      </x:c>
      <x:c r="H745" s="7" t="n">
        <x:v>1199</x:v>
      </x:c>
      <x:c r="I745" s="7" t="n">
        <x:v>72</x:v>
      </x:c>
      <x:c r="J745" s="9" t="n">
        <x:v>26.5</x:v>
      </x:c>
      <x:c r="K745" s="9" t="n">
        <x:v>6.8</x:v>
      </x:c>
      <x:c r="L745" s="7" t="n">
        <x:v>2026</x:v>
      </x:c>
      <x:c r="M745" s="11" t="n">
        <x:v>4241</x:v>
      </x:c>
      <x:c r="N745" s="7" t="n">
        <x:v>1</x:v>
      </x:c>
      <x:c r="O745" s="7" t="n">
        <x:v>0</x:v>
      </x:c>
      <x:c r="P745" s="9" t="n">
        <x:v>6.51</x:v>
      </x:c>
      <x:c r="Q745" s="7" t="n">
        <x:f>'Guide'!$B$5-L745</x:f>
        <x:v>0</x:v>
      </x:c>
      <x:c r="R745" s="9" t="n">
        <x:f>K745-P745</x:f>
        <x:v>0.29000000000000004</x:v>
      </x:c>
      <x:c r="S745" s="10" t="n">
        <x:f>IF(K745&gt;0,R745/K745,"")</x:f>
        <x:v>0.04264705882352942</x:v>
      </x:c>
    </x:row>
    <x:row r="746">
      <x:c r="A746" s="7" t="n">
        <x:v>742</x:v>
      </x:c>
      <x:c r="B746" s="7" t="str">
        <x:v>Tata</x:v>
      </x:c>
      <x:c r="C746" s="7" t="str">
        <x:v>Tiago</x:v>
      </x:c>
      <x:c r="D746" s="7" t="str">
        <x:v>XE CNG</x:v>
      </x:c>
      <x:c r="E746" s="7" t="str">
        <x:v>CNG</x:v>
      </x:c>
      <x:c r="F746" s="7" t="str">
        <x:v>Manual</x:v>
      </x:c>
      <x:c r="G746" s="7" t="str">
        <x:v>Hatchback</x:v>
      </x:c>
      <x:c r="H746" s="7" t="n">
        <x:v>1199</x:v>
      </x:c>
      <x:c r="I746" s="7" t="n">
        <x:v>72</x:v>
      </x:c>
      <x:c r="J746" s="9" t="n">
        <x:v>26.5</x:v>
      </x:c>
      <x:c r="K746" s="9" t="n">
        <x:v>6.8</x:v>
      </x:c>
      <x:c r="L746" s="7" t="n">
        <x:v>2022</x:v>
      </x:c>
      <x:c r="M746" s="11" t="n">
        <x:v>39075</x:v>
      </x:c>
      <x:c r="N746" s="7" t="n">
        <x:v>1</x:v>
      </x:c>
      <x:c r="O746" s="7" t="n">
        <x:v>0</x:v>
      </x:c>
      <x:c r="P746" s="9" t="n">
        <x:v>4.68</x:v>
      </x:c>
      <x:c r="Q746" s="7" t="n">
        <x:f>'Guide'!$B$5-L746</x:f>
        <x:v>4</x:v>
      </x:c>
      <x:c r="R746" s="9" t="n">
        <x:f>K746-P746</x:f>
        <x:v>2.12</x:v>
      </x:c>
      <x:c r="S746" s="10" t="n">
        <x:f>IF(K746&gt;0,R746/K746,"")</x:f>
        <x:v>0.31176470588235294</x:v>
      </x:c>
    </x:row>
    <x:row r="747">
      <x:c r="A747" s="7" t="n">
        <x:v>743</x:v>
      </x:c>
      <x:c r="B747" s="7" t="str">
        <x:v>Tata</x:v>
      </x:c>
      <x:c r="C747" s="7" t="str">
        <x:v>Tiago</x:v>
      </x:c>
      <x:c r="D747" s="7" t="str">
        <x:v>XE CNG</x:v>
      </x:c>
      <x:c r="E747" s="7" t="str">
        <x:v>CNG</x:v>
      </x:c>
      <x:c r="F747" s="7" t="str">
        <x:v>Manual</x:v>
      </x:c>
      <x:c r="G747" s="7" t="str">
        <x:v>Hatchback</x:v>
      </x:c>
      <x:c r="H747" s="7" t="n">
        <x:v>1199</x:v>
      </x:c>
      <x:c r="I747" s="7" t="n">
        <x:v>72</x:v>
      </x:c>
      <x:c r="J747" s="9" t="n">
        <x:v>26.5</x:v>
      </x:c>
      <x:c r="K747" s="9" t="n">
        <x:v>6.8</x:v>
      </x:c>
      <x:c r="L747" s="7" t="n">
        <x:v>2025</x:v>
      </x:c>
      <x:c r="M747" s="11" t="n">
        <x:v>17231</x:v>
      </x:c>
      <x:c r="N747" s="7" t="n">
        <x:v>3</x:v>
      </x:c>
      <x:c r="O747" s="7" t="n">
        <x:v>1</x:v>
      </x:c>
      <x:c r="P747" s="9" t="n">
        <x:v>4.14</x:v>
      </x:c>
      <x:c r="Q747" s="7" t="n">
        <x:f>'Guide'!$B$5-L747</x:f>
        <x:v>1</x:v>
      </x:c>
      <x:c r="R747" s="9" t="n">
        <x:f>K747-P747</x:f>
        <x:v>2.66</x:v>
      </x:c>
      <x:c r="S747" s="10" t="n">
        <x:f>IF(K747&gt;0,R747/K747,"")</x:f>
        <x:v>0.39117647058823535</x:v>
      </x:c>
    </x:row>
    <x:row r="748">
      <x:c r="A748" s="7" t="n">
        <x:v>744</x:v>
      </x:c>
      <x:c r="B748" s="7" t="str">
        <x:v>Tata</x:v>
      </x:c>
      <x:c r="C748" s="7" t="str">
        <x:v>Tiago</x:v>
      </x:c>
      <x:c r="D748" s="7" t="str">
        <x:v>XE CNG</x:v>
      </x:c>
      <x:c r="E748" s="7" t="str">
        <x:v>CNG</x:v>
      </x:c>
      <x:c r="F748" s="7" t="str">
        <x:v>Manual</x:v>
      </x:c>
      <x:c r="G748" s="7" t="str">
        <x:v>Hatchback</x:v>
      </x:c>
      <x:c r="H748" s="7" t="n">
        <x:v>1199</x:v>
      </x:c>
      <x:c r="I748" s="7" t="n">
        <x:v>72</x:v>
      </x:c>
      <x:c r="J748" s="9" t="n">
        <x:v>26.5</x:v>
      </x:c>
      <x:c r="K748" s="9" t="n">
        <x:v>6.8</x:v>
      </x:c>
      <x:c r="L748" s="7" t="n">
        <x:v>2025</x:v>
      </x:c>
      <x:c r="M748" s="11" t="n">
        <x:v>14007</x:v>
      </x:c>
      <x:c r="N748" s="7" t="n">
        <x:v>1</x:v>
      </x:c>
      <x:c r="O748" s="7" t="n">
        <x:v>0</x:v>
      </x:c>
      <x:c r="P748" s="9" t="n">
        <x:v>6.12</x:v>
      </x:c>
      <x:c r="Q748" s="7" t="n">
        <x:f>'Guide'!$B$5-L748</x:f>
        <x:v>1</x:v>
      </x:c>
      <x:c r="R748" s="9" t="n">
        <x:f>K748-P748</x:f>
        <x:v>0.6799999999999997</x:v>
      </x:c>
      <x:c r="S748" s="10" t="n">
        <x:f>IF(K748&gt;0,R748/K748,"")</x:f>
        <x:v>0.09999999999999996</x:v>
      </x:c>
    </x:row>
    <x:row r="749">
      <x:c r="A749" s="7" t="n">
        <x:v>745</x:v>
      </x:c>
      <x:c r="B749" s="7" t="str">
        <x:v>Tata</x:v>
      </x:c>
      <x:c r="C749" s="7" t="str">
        <x:v>Tiago</x:v>
      </x:c>
      <x:c r="D749" s="7" t="str">
        <x:v>XE CNG</x:v>
      </x:c>
      <x:c r="E749" s="7" t="str">
        <x:v>CNG</x:v>
      </x:c>
      <x:c r="F749" s="7" t="str">
        <x:v>Manual</x:v>
      </x:c>
      <x:c r="G749" s="7" t="str">
        <x:v>Hatchback</x:v>
      </x:c>
      <x:c r="H749" s="7" t="n">
        <x:v>1199</x:v>
      </x:c>
      <x:c r="I749" s="7" t="n">
        <x:v>72</x:v>
      </x:c>
      <x:c r="J749" s="9" t="n">
        <x:v>26.5</x:v>
      </x:c>
      <x:c r="K749" s="9" t="n">
        <x:v>6.8</x:v>
      </x:c>
      <x:c r="L749" s="7" t="n">
        <x:v>2024</x:v>
      </x:c>
      <x:c r="M749" s="11" t="n">
        <x:v>36500</x:v>
      </x:c>
      <x:c r="N749" s="7" t="n">
        <x:v>1</x:v>
      </x:c>
      <x:c r="O749" s="7" t="n">
        <x:v>0</x:v>
      </x:c>
      <x:c r="P749" s="9" t="n">
        <x:v>5.2</x:v>
      </x:c>
      <x:c r="Q749" s="7" t="n">
        <x:f>'Guide'!$B$5-L749</x:f>
        <x:v>2</x:v>
      </x:c>
      <x:c r="R749" s="9" t="n">
        <x:f>K749-P749</x:f>
        <x:v>1.5999999999999996</x:v>
      </x:c>
      <x:c r="S749" s="10" t="n">
        <x:f>IF(K749&gt;0,R749/K749,"")</x:f>
        <x:v>0.23529411764705876</x:v>
      </x:c>
    </x:row>
    <x:row r="750">
      <x:c r="A750" s="7" t="n">
        <x:v>746</x:v>
      </x:c>
      <x:c r="B750" s="7" t="str">
        <x:v>Tata</x:v>
      </x:c>
      <x:c r="C750" s="7" t="str">
        <x:v>Tiago</x:v>
      </x:c>
      <x:c r="D750" s="7" t="str">
        <x:v>XE CNG</x:v>
      </x:c>
      <x:c r="E750" s="7" t="str">
        <x:v>CNG</x:v>
      </x:c>
      <x:c r="F750" s="7" t="str">
        <x:v>Manual</x:v>
      </x:c>
      <x:c r="G750" s="7" t="str">
        <x:v>Hatchback</x:v>
      </x:c>
      <x:c r="H750" s="7" t="n">
        <x:v>1199</x:v>
      </x:c>
      <x:c r="I750" s="7" t="n">
        <x:v>72</x:v>
      </x:c>
      <x:c r="J750" s="9" t="n">
        <x:v>26.5</x:v>
      </x:c>
      <x:c r="K750" s="9" t="n">
        <x:v>6.8</x:v>
      </x:c>
      <x:c r="L750" s="7" t="n">
        <x:v>2024</x:v>
      </x:c>
      <x:c r="M750" s="11" t="n">
        <x:v>49106</x:v>
      </x:c>
      <x:c r="N750" s="7" t="n">
        <x:v>2</x:v>
      </x:c>
      <x:c r="O750" s="7" t="n">
        <x:v>0</x:v>
      </x:c>
      <x:c r="P750" s="9" t="n">
        <x:v>4.89</x:v>
      </x:c>
      <x:c r="Q750" s="7" t="n">
        <x:f>'Guide'!$B$5-L750</x:f>
        <x:v>2</x:v>
      </x:c>
      <x:c r="R750" s="9" t="n">
        <x:f>K750-P750</x:f>
        <x:v>1.9100000000000001</x:v>
      </x:c>
      <x:c r="S750" s="10" t="n">
        <x:f>IF(K750&gt;0,R750/K750,"")</x:f>
        <x:v>0.28088235294117647</x:v>
      </x:c>
    </x:row>
    <x:row r="751">
      <x:c r="A751" s="7" t="n">
        <x:v>747</x:v>
      </x:c>
      <x:c r="B751" s="7" t="str">
        <x:v>Tata</x:v>
      </x:c>
      <x:c r="C751" s="7" t="str">
        <x:v>Tiago</x:v>
      </x:c>
      <x:c r="D751" s="7" t="str">
        <x:v>XE CNG</x:v>
      </x:c>
      <x:c r="E751" s="7" t="str">
        <x:v>CNG</x:v>
      </x:c>
      <x:c r="F751" s="7" t="str">
        <x:v>Manual</x:v>
      </x:c>
      <x:c r="G751" s="7" t="str">
        <x:v>Hatchback</x:v>
      </x:c>
      <x:c r="H751" s="7" t="n">
        <x:v>1199</x:v>
      </x:c>
      <x:c r="I751" s="7" t="n">
        <x:v>72</x:v>
      </x:c>
      <x:c r="J751" s="9" t="n">
        <x:v>26.5</x:v>
      </x:c>
      <x:c r="K751" s="9" t="n">
        <x:v>6.8</x:v>
      </x:c>
      <x:c r="L751" s="7" t="n">
        <x:v>2020</x:v>
      </x:c>
      <x:c r="M751" s="11" t="n">
        <x:v>129391</x:v>
      </x:c>
      <x:c r="N751" s="7" t="n">
        <x:v>2</x:v>
      </x:c>
      <x:c r="O751" s="7" t="n">
        <x:v>0</x:v>
      </x:c>
      <x:c r="P751" s="9" t="n">
        <x:v>2.14</x:v>
      </x:c>
      <x:c r="Q751" s="7" t="n">
        <x:f>'Guide'!$B$5-L751</x:f>
        <x:v>6</x:v>
      </x:c>
      <x:c r="R751" s="9" t="n">
        <x:f>K751-P751</x:f>
        <x:v>4.66</x:v>
      </x:c>
      <x:c r="S751" s="10" t="n">
        <x:f>IF(K751&gt;0,R751/K751,"")</x:f>
        <x:v>0.6852941176470588</x:v>
      </x:c>
    </x:row>
    <x:row r="752">
      <x:c r="A752" s="7" t="n">
        <x:v>748</x:v>
      </x:c>
      <x:c r="B752" s="7" t="str">
        <x:v>Tata</x:v>
      </x:c>
      <x:c r="C752" s="7" t="str">
        <x:v>Tiago</x:v>
      </x:c>
      <x:c r="D752" s="7" t="str">
        <x:v>XE CNG</x:v>
      </x:c>
      <x:c r="E752" s="7" t="str">
        <x:v>CNG</x:v>
      </x:c>
      <x:c r="F752" s="7" t="str">
        <x:v>Manual</x:v>
      </x:c>
      <x:c r="G752" s="7" t="str">
        <x:v>Hatchback</x:v>
      </x:c>
      <x:c r="H752" s="7" t="n">
        <x:v>1199</x:v>
      </x:c>
      <x:c r="I752" s="7" t="n">
        <x:v>72</x:v>
      </x:c>
      <x:c r="J752" s="9" t="n">
        <x:v>26.5</x:v>
      </x:c>
      <x:c r="K752" s="9" t="n">
        <x:v>6.8</x:v>
      </x:c>
      <x:c r="L752" s="7" t="n">
        <x:v>2020</x:v>
      </x:c>
      <x:c r="M752" s="11" t="n">
        <x:v>56755</x:v>
      </x:c>
      <x:c r="N752" s="7" t="n">
        <x:v>1</x:v>
      </x:c>
      <x:c r="O752" s="7" t="n">
        <x:v>1</x:v>
      </x:c>
      <x:c r="P752" s="9" t="n">
        <x:v>2.37</x:v>
      </x:c>
      <x:c r="Q752" s="7" t="n">
        <x:f>'Guide'!$B$5-L752</x:f>
        <x:v>6</x:v>
      </x:c>
      <x:c r="R752" s="9" t="n">
        <x:f>K752-P752</x:f>
        <x:v>4.43</x:v>
      </x:c>
      <x:c r="S752" s="10" t="n">
        <x:f>IF(K752&gt;0,R752/K752,"")</x:f>
        <x:v>0.6514705882352941</x:v>
      </x:c>
    </x:row>
    <x:row r="753">
      <x:c r="A753" s="7" t="n">
        <x:v>749</x:v>
      </x:c>
      <x:c r="B753" s="7" t="str">
        <x:v>Tata</x:v>
      </x:c>
      <x:c r="C753" s="7" t="str">
        <x:v>Tiago</x:v>
      </x:c>
      <x:c r="D753" s="7" t="str">
        <x:v>XE CNG</x:v>
      </x:c>
      <x:c r="E753" s="7" t="str">
        <x:v>CNG</x:v>
      </x:c>
      <x:c r="F753" s="7" t="str">
        <x:v>Manual</x:v>
      </x:c>
      <x:c r="G753" s="7" t="str">
        <x:v>Hatchback</x:v>
      </x:c>
      <x:c r="H753" s="7" t="n">
        <x:v>1199</x:v>
      </x:c>
      <x:c r="I753" s="7" t="n">
        <x:v>72</x:v>
      </x:c>
      <x:c r="J753" s="9" t="n">
        <x:v>26.5</x:v>
      </x:c>
      <x:c r="K753" s="9" t="n">
        <x:v>6.8</x:v>
      </x:c>
      <x:c r="L753" s="7" t="n">
        <x:v>2020</x:v>
      </x:c>
      <x:c r="M753" s="11" t="n">
        <x:v>84650</x:v>
      </x:c>
      <x:c r="N753" s="7" t="n">
        <x:v>2</x:v>
      </x:c>
      <x:c r="O753" s="7" t="n">
        <x:v>0</x:v>
      </x:c>
      <x:c r="P753" s="9" t="n">
        <x:v>2.68</x:v>
      </x:c>
      <x:c r="Q753" s="7" t="n">
        <x:f>'Guide'!$B$5-L753</x:f>
        <x:v>6</x:v>
      </x:c>
      <x:c r="R753" s="9" t="n">
        <x:f>K753-P753</x:f>
        <x:v>4.119999999999999</x:v>
      </x:c>
      <x:c r="S753" s="10" t="n">
        <x:f>IF(K753&gt;0,R753/K753,"")</x:f>
        <x:v>0.6058823529411763</x:v>
      </x:c>
    </x:row>
    <x:row r="754">
      <x:c r="A754" s="7" t="n">
        <x:v>750</x:v>
      </x:c>
      <x:c r="B754" s="7" t="str">
        <x:v>Tata</x:v>
      </x:c>
      <x:c r="C754" s="7" t="str">
        <x:v>Tiago</x:v>
      </x:c>
      <x:c r="D754" s="7" t="str">
        <x:v>XE CNG</x:v>
      </x:c>
      <x:c r="E754" s="7" t="str">
        <x:v>CNG</x:v>
      </x:c>
      <x:c r="F754" s="7" t="str">
        <x:v>Manual</x:v>
      </x:c>
      <x:c r="G754" s="7" t="str">
        <x:v>Hatchback</x:v>
      </x:c>
      <x:c r="H754" s="7" t="n">
        <x:v>1199</x:v>
      </x:c>
      <x:c r="I754" s="7" t="n">
        <x:v>72</x:v>
      </x:c>
      <x:c r="J754" s="9" t="n">
        <x:v>26.5</x:v>
      </x:c>
      <x:c r="K754" s="9" t="n">
        <x:v>6.8</x:v>
      </x:c>
      <x:c r="L754" s="7" t="n">
        <x:v>2021</x:v>
      </x:c>
      <x:c r="M754" s="11" t="n">
        <x:v>94072</x:v>
      </x:c>
      <x:c r="N754" s="7" t="n">
        <x:v>1</x:v>
      </x:c>
      <x:c r="O754" s="7" t="n">
        <x:v>0</x:v>
      </x:c>
      <x:c r="P754" s="9" t="n">
        <x:v>3.24</x:v>
      </x:c>
      <x:c r="Q754" s="7" t="n">
        <x:f>'Guide'!$B$5-L754</x:f>
        <x:v>5</x:v>
      </x:c>
      <x:c r="R754" s="9" t="n">
        <x:f>K754-P754</x:f>
        <x:v>3.5599999999999996</x:v>
      </x:c>
      <x:c r="S754" s="10" t="n">
        <x:f>IF(K754&gt;0,R754/K754,"")</x:f>
        <x:v>0.5235294117647058</x:v>
      </x:c>
    </x:row>
    <x:row r="755">
      <x:c r="A755" s="7" t="n">
        <x:v>751</x:v>
      </x:c>
      <x:c r="B755" s="7" t="str">
        <x:v>Tata</x:v>
      </x:c>
      <x:c r="C755" s="7" t="str">
        <x:v>Tiago</x:v>
      </x:c>
      <x:c r="D755" s="7" t="str">
        <x:v>XE CNG</x:v>
      </x:c>
      <x:c r="E755" s="7" t="str">
        <x:v>CNG</x:v>
      </x:c>
      <x:c r="F755" s="7" t="str">
        <x:v>Manual</x:v>
      </x:c>
      <x:c r="G755" s="7" t="str">
        <x:v>Hatchback</x:v>
      </x:c>
      <x:c r="H755" s="7" t="n">
        <x:v>1199</x:v>
      </x:c>
      <x:c r="I755" s="7" t="n">
        <x:v>72</x:v>
      </x:c>
      <x:c r="J755" s="9" t="n">
        <x:v>26.5</x:v>
      </x:c>
      <x:c r="K755" s="9" t="n">
        <x:v>6.8</x:v>
      </x:c>
      <x:c r="L755" s="7" t="n">
        <x:v>2023</x:v>
      </x:c>
      <x:c r="M755" s="11" t="n">
        <x:v>44096</x:v>
      </x:c>
      <x:c r="N755" s="7" t="n">
        <x:v>1</x:v>
      </x:c>
      <x:c r="O755" s="7" t="n">
        <x:v>0</x:v>
      </x:c>
      <x:c r="P755" s="9" t="n">
        <x:v>4.86</x:v>
      </x:c>
      <x:c r="Q755" s="7" t="n">
        <x:f>'Guide'!$B$5-L755</x:f>
        <x:v>3</x:v>
      </x:c>
      <x:c r="R755" s="9" t="n">
        <x:f>K755-P755</x:f>
        <x:v>1.9399999999999995</x:v>
      </x:c>
      <x:c r="S755" s="10" t="n">
        <x:f>IF(K755&gt;0,R755/K755,"")</x:f>
        <x:v>0.28529411764705875</x:v>
      </x:c>
    </x:row>
    <x:row r="756">
      <x:c r="A756" s="7" t="n">
        <x:v>752</x:v>
      </x:c>
      <x:c r="B756" s="7" t="str">
        <x:v>Tata</x:v>
      </x:c>
      <x:c r="C756" s="7" t="str">
        <x:v>Tiago</x:v>
      </x:c>
      <x:c r="D756" s="7" t="str">
        <x:v>XE CNG</x:v>
      </x:c>
      <x:c r="E756" s="7" t="str">
        <x:v>CNG</x:v>
      </x:c>
      <x:c r="F756" s="7" t="str">
        <x:v>Manual</x:v>
      </x:c>
      <x:c r="G756" s="7" t="str">
        <x:v>Hatchback</x:v>
      </x:c>
      <x:c r="H756" s="7" t="n">
        <x:v>1199</x:v>
      </x:c>
      <x:c r="I756" s="7" t="n">
        <x:v>72</x:v>
      </x:c>
      <x:c r="J756" s="9" t="n">
        <x:v>26.5</x:v>
      </x:c>
      <x:c r="K756" s="9" t="n">
        <x:v>6.8</x:v>
      </x:c>
      <x:c r="L756" s="7" t="n">
        <x:v>2020</x:v>
      </x:c>
      <x:c r="M756" s="11" t="n">
        <x:v>72882</x:v>
      </x:c>
      <x:c r="N756" s="7" t="n">
        <x:v>2</x:v>
      </x:c>
      <x:c r="O756" s="7" t="n">
        <x:v>0</x:v>
      </x:c>
      <x:c r="P756" s="9" t="n">
        <x:v>2.79</x:v>
      </x:c>
      <x:c r="Q756" s="7" t="n">
        <x:f>'Guide'!$B$5-L756</x:f>
        <x:v>6</x:v>
      </x:c>
      <x:c r="R756" s="9" t="n">
        <x:f>K756-P756</x:f>
        <x:v>4.01</x:v>
      </x:c>
      <x:c r="S756" s="10" t="n">
        <x:f>IF(K756&gt;0,R756/K756,"")</x:f>
        <x:v>0.5897058823529412</x:v>
      </x:c>
    </x:row>
    <x:row r="757">
      <x:c r="A757" s="7" t="n">
        <x:v>753</x:v>
      </x:c>
      <x:c r="B757" s="7" t="str">
        <x:v>Tata</x:v>
      </x:c>
      <x:c r="C757" s="7" t="str">
        <x:v>Tiago</x:v>
      </x:c>
      <x:c r="D757" s="7" t="str">
        <x:v>XE CNG</x:v>
      </x:c>
      <x:c r="E757" s="7" t="str">
        <x:v>CNG</x:v>
      </x:c>
      <x:c r="F757" s="7" t="str">
        <x:v>Manual</x:v>
      </x:c>
      <x:c r="G757" s="7" t="str">
        <x:v>Hatchback</x:v>
      </x:c>
      <x:c r="H757" s="7" t="n">
        <x:v>1199</x:v>
      </x:c>
      <x:c r="I757" s="7" t="n">
        <x:v>72</x:v>
      </x:c>
      <x:c r="J757" s="9" t="n">
        <x:v>26.5</x:v>
      </x:c>
      <x:c r="K757" s="9" t="n">
        <x:v>6.8</x:v>
      </x:c>
      <x:c r="L757" s="7" t="n">
        <x:v>2022</x:v>
      </x:c>
      <x:c r="M757" s="11" t="n">
        <x:v>61487</x:v>
      </x:c>
      <x:c r="N757" s="7" t="n">
        <x:v>1</x:v>
      </x:c>
      <x:c r="O757" s="7" t="n">
        <x:v>0</x:v>
      </x:c>
      <x:c r="P757" s="9" t="n">
        <x:v>4.3</x:v>
      </x:c>
      <x:c r="Q757" s="7" t="n">
        <x:f>'Guide'!$B$5-L757</x:f>
        <x:v>4</x:v>
      </x:c>
      <x:c r="R757" s="9" t="n">
        <x:f>K757-P757</x:f>
        <x:v>2.5</x:v>
      </x:c>
      <x:c r="S757" s="10" t="n">
        <x:f>IF(K757&gt;0,R757/K757,"")</x:f>
        <x:v>0.36764705882352944</x:v>
      </x:c>
    </x:row>
    <x:row r="758">
      <x:c r="A758" s="7" t="n">
        <x:v>754</x:v>
      </x:c>
      <x:c r="B758" s="7" t="str">
        <x:v>Tata</x:v>
      </x:c>
      <x:c r="C758" s="7" t="str">
        <x:v>Tiago</x:v>
      </x:c>
      <x:c r="D758" s="7" t="str">
        <x:v>XE CNG</x:v>
      </x:c>
      <x:c r="E758" s="7" t="str">
        <x:v>CNG</x:v>
      </x:c>
      <x:c r="F758" s="7" t="str">
        <x:v>Manual</x:v>
      </x:c>
      <x:c r="G758" s="7" t="str">
        <x:v>Hatchback</x:v>
      </x:c>
      <x:c r="H758" s="7" t="n">
        <x:v>1199</x:v>
      </x:c>
      <x:c r="I758" s="7" t="n">
        <x:v>72</x:v>
      </x:c>
      <x:c r="J758" s="9" t="n">
        <x:v>26.5</x:v>
      </x:c>
      <x:c r="K758" s="9" t="n">
        <x:v>6.8</x:v>
      </x:c>
      <x:c r="L758" s="7" t="n">
        <x:v>2023</x:v>
      </x:c>
      <x:c r="M758" s="11" t="n">
        <x:v>60299</x:v>
      </x:c>
      <x:c r="N758" s="7" t="n">
        <x:v>1</x:v>
      </x:c>
      <x:c r="O758" s="7" t="n">
        <x:v>0</x:v>
      </x:c>
      <x:c r="P758" s="9" t="n">
        <x:v>5.03</x:v>
      </x:c>
      <x:c r="Q758" s="7" t="n">
        <x:f>'Guide'!$B$5-L758</x:f>
        <x:v>3</x:v>
      </x:c>
      <x:c r="R758" s="9" t="n">
        <x:f>K758-P758</x:f>
        <x:v>1.7699999999999996</x:v>
      </x:c>
      <x:c r="S758" s="10" t="n">
        <x:f>IF(K758&gt;0,R758/K758,"")</x:f>
        <x:v>0.2602941176470588</x:v>
      </x:c>
    </x:row>
    <x:row r="759">
      <x:c r="A759" s="7" t="n">
        <x:v>755</x:v>
      </x:c>
      <x:c r="B759" s="7" t="str">
        <x:v>Tata</x:v>
      </x:c>
      <x:c r="C759" s="7" t="str">
        <x:v>Tiago</x:v>
      </x:c>
      <x:c r="D759" s="7" t="str">
        <x:v>XE CNG</x:v>
      </x:c>
      <x:c r="E759" s="7" t="str">
        <x:v>CNG</x:v>
      </x:c>
      <x:c r="F759" s="7" t="str">
        <x:v>Manual</x:v>
      </x:c>
      <x:c r="G759" s="7" t="str">
        <x:v>Hatchback</x:v>
      </x:c>
      <x:c r="H759" s="7" t="n">
        <x:v>1199</x:v>
      </x:c>
      <x:c r="I759" s="7" t="n">
        <x:v>72</x:v>
      </x:c>
      <x:c r="J759" s="9" t="n">
        <x:v>26.5</x:v>
      </x:c>
      <x:c r="K759" s="9" t="n">
        <x:v>6.8</x:v>
      </x:c>
      <x:c r="L759" s="7" t="n">
        <x:v>2024</x:v>
      </x:c>
      <x:c r="M759" s="11" t="n">
        <x:v>21567</x:v>
      </x:c>
      <x:c r="N759" s="7" t="n">
        <x:v>1</x:v>
      </x:c>
      <x:c r="O759" s="7" t="n">
        <x:v>0</x:v>
      </x:c>
      <x:c r="P759" s="9" t="n">
        <x:v>5.77</x:v>
      </x:c>
      <x:c r="Q759" s="7" t="n">
        <x:f>'Guide'!$B$5-L759</x:f>
        <x:v>2</x:v>
      </x:c>
      <x:c r="R759" s="9" t="n">
        <x:f>K759-P759</x:f>
        <x:v>1.0300000000000002</x:v>
      </x:c>
      <x:c r="S759" s="10" t="n">
        <x:f>IF(K759&gt;0,R759/K759,"")</x:f>
        <x:v>0.15147058823529416</x:v>
      </x:c>
    </x:row>
    <x:row r="760">
      <x:c r="A760" s="7" t="n">
        <x:v>756</x:v>
      </x:c>
      <x:c r="B760" s="7" t="str">
        <x:v>Tata</x:v>
      </x:c>
      <x:c r="C760" s="7" t="str">
        <x:v>Tiago</x:v>
      </x:c>
      <x:c r="D760" s="7" t="str">
        <x:v>XE CNG</x:v>
      </x:c>
      <x:c r="E760" s="7" t="str">
        <x:v>CNG</x:v>
      </x:c>
      <x:c r="F760" s="7" t="str">
        <x:v>Manual</x:v>
      </x:c>
      <x:c r="G760" s="7" t="str">
        <x:v>Hatchback</x:v>
      </x:c>
      <x:c r="H760" s="7" t="n">
        <x:v>1199</x:v>
      </x:c>
      <x:c r="I760" s="7" t="n">
        <x:v>72</x:v>
      </x:c>
      <x:c r="J760" s="9" t="n">
        <x:v>26.5</x:v>
      </x:c>
      <x:c r="K760" s="9" t="n">
        <x:v>6.8</x:v>
      </x:c>
      <x:c r="L760" s="7" t="n">
        <x:v>2023</x:v>
      </x:c>
      <x:c r="M760" s="11" t="n">
        <x:v>58918</x:v>
      </x:c>
      <x:c r="N760" s="7" t="n">
        <x:v>1</x:v>
      </x:c>
      <x:c r="O760" s="7" t="n">
        <x:v>0</x:v>
      </x:c>
      <x:c r="P760" s="9" t="n">
        <x:v>4.3</x:v>
      </x:c>
      <x:c r="Q760" s="7" t="n">
        <x:f>'Guide'!$B$5-L760</x:f>
        <x:v>3</x:v>
      </x:c>
      <x:c r="R760" s="9" t="n">
        <x:f>K760-P760</x:f>
        <x:v>2.5</x:v>
      </x:c>
      <x:c r="S760" s="10" t="n">
        <x:f>IF(K760&gt;0,R760/K760,"")</x:f>
        <x:v>0.36764705882352944</x:v>
      </x:c>
    </x:row>
    <x:row r="761">
      <x:c r="A761" s="7" t="n">
        <x:v>757</x:v>
      </x:c>
      <x:c r="B761" s="7" t="str">
        <x:v>Tata</x:v>
      </x:c>
      <x:c r="C761" s="7" t="str">
        <x:v>Tiago</x:v>
      </x:c>
      <x:c r="D761" s="7" t="str">
        <x:v>XE CNG</x:v>
      </x:c>
      <x:c r="E761" s="7" t="str">
        <x:v>CNG</x:v>
      </x:c>
      <x:c r="F761" s="7" t="str">
        <x:v>Manual</x:v>
      </x:c>
      <x:c r="G761" s="7" t="str">
        <x:v>Hatchback</x:v>
      </x:c>
      <x:c r="H761" s="7" t="n">
        <x:v>1199</x:v>
      </x:c>
      <x:c r="I761" s="7" t="n">
        <x:v>72</x:v>
      </x:c>
      <x:c r="J761" s="9" t="n">
        <x:v>26.5</x:v>
      </x:c>
      <x:c r="K761" s="9" t="n">
        <x:v>6.8</x:v>
      </x:c>
      <x:c r="L761" s="7" t="n">
        <x:v>2022</x:v>
      </x:c>
      <x:c r="M761" s="11" t="n">
        <x:v>65670</x:v>
      </x:c>
      <x:c r="N761" s="7" t="n">
        <x:v>1</x:v>
      </x:c>
      <x:c r="O761" s="7" t="n">
        <x:v>1</x:v>
      </x:c>
      <x:c r="P761" s="9" t="n">
        <x:v>3.47</x:v>
      </x:c>
      <x:c r="Q761" s="7" t="n">
        <x:f>'Guide'!$B$5-L761</x:f>
        <x:v>4</x:v>
      </x:c>
      <x:c r="R761" s="9" t="n">
        <x:f>K761-P761</x:f>
        <x:v>3.3299999999999996</x:v>
      </x:c>
      <x:c r="S761" s="10" t="n">
        <x:f>IF(K761&gt;0,R761/K761,"")</x:f>
        <x:v>0.48970588235294116</x:v>
      </x:c>
    </x:row>
    <x:row r="762">
      <x:c r="A762" s="7" t="n">
        <x:v>758</x:v>
      </x:c>
      <x:c r="B762" s="7" t="str">
        <x:v>Tata</x:v>
      </x:c>
      <x:c r="C762" s="7" t="str">
        <x:v>Tiago</x:v>
      </x:c>
      <x:c r="D762" s="7" t="str">
        <x:v>XE CNG</x:v>
      </x:c>
      <x:c r="E762" s="7" t="str">
        <x:v>CNG</x:v>
      </x:c>
      <x:c r="F762" s="7" t="str">
        <x:v>Manual</x:v>
      </x:c>
      <x:c r="G762" s="7" t="str">
        <x:v>Hatchback</x:v>
      </x:c>
      <x:c r="H762" s="7" t="n">
        <x:v>1199</x:v>
      </x:c>
      <x:c r="I762" s="7" t="n">
        <x:v>72</x:v>
      </x:c>
      <x:c r="J762" s="9" t="n">
        <x:v>26.5</x:v>
      </x:c>
      <x:c r="K762" s="9" t="n">
        <x:v>6.8</x:v>
      </x:c>
      <x:c r="L762" s="7" t="n">
        <x:v>2021</x:v>
      </x:c>
      <x:c r="M762" s="11" t="n">
        <x:v>75877</x:v>
      </x:c>
      <x:c r="N762" s="7" t="n">
        <x:v>1</x:v>
      </x:c>
      <x:c r="O762" s="7" t="n">
        <x:v>0</x:v>
      </x:c>
      <x:c r="P762" s="9" t="n">
        <x:v>3.76</x:v>
      </x:c>
      <x:c r="Q762" s="7" t="n">
        <x:f>'Guide'!$B$5-L762</x:f>
        <x:v>5</x:v>
      </x:c>
      <x:c r="R762" s="9" t="n">
        <x:f>K762-P762</x:f>
        <x:v>3.04</x:v>
      </x:c>
      <x:c r="S762" s="10" t="n">
        <x:f>IF(K762&gt;0,R762/K762,"")</x:f>
        <x:v>0.4470588235294118</x:v>
      </x:c>
    </x:row>
    <x:row r="763">
      <x:c r="A763" s="7" t="n">
        <x:v>759</x:v>
      </x:c>
      <x:c r="B763" s="7" t="str">
        <x:v>Tata</x:v>
      </x:c>
      <x:c r="C763" s="7" t="str">
        <x:v>Tiago</x:v>
      </x:c>
      <x:c r="D763" s="7" t="str">
        <x:v>XE CNG</x:v>
      </x:c>
      <x:c r="E763" s="7" t="str">
        <x:v>CNG</x:v>
      </x:c>
      <x:c r="F763" s="7" t="str">
        <x:v>Manual</x:v>
      </x:c>
      <x:c r="G763" s="7" t="str">
        <x:v>Hatchback</x:v>
      </x:c>
      <x:c r="H763" s="7" t="n">
        <x:v>1199</x:v>
      </x:c>
      <x:c r="I763" s="7" t="n">
        <x:v>72</x:v>
      </x:c>
      <x:c r="J763" s="9" t="n">
        <x:v>26.5</x:v>
      </x:c>
      <x:c r="K763" s="9" t="n">
        <x:v>6.8</x:v>
      </x:c>
      <x:c r="L763" s="7" t="n">
        <x:v>2025</x:v>
      </x:c>
      <x:c r="M763" s="11" t="n">
        <x:v>19548</x:v>
      </x:c>
      <x:c r="N763" s="7" t="n">
        <x:v>1</x:v>
      </x:c>
      <x:c r="O763" s="7" t="n">
        <x:v>0</x:v>
      </x:c>
      <x:c r="P763" s="9" t="n">
        <x:v>6.44</x:v>
      </x:c>
      <x:c r="Q763" s="7" t="n">
        <x:f>'Guide'!$B$5-L763</x:f>
        <x:v>1</x:v>
      </x:c>
      <x:c r="R763" s="9" t="n">
        <x:f>K763-P763</x:f>
        <x:v>0.35999999999999943</x:v>
      </x:c>
      <x:c r="S763" s="10" t="n">
        <x:f>IF(K763&gt;0,R763/K763,"")</x:f>
        <x:v>0.05294117647058815</x:v>
      </x:c>
    </x:row>
    <x:row r="764">
      <x:c r="A764" s="7" t="n">
        <x:v>760</x:v>
      </x:c>
      <x:c r="B764" s="7" t="str">
        <x:v>Tata</x:v>
      </x:c>
      <x:c r="C764" s="7" t="str">
        <x:v>Tiago</x:v>
      </x:c>
      <x:c r="D764" s="7" t="str">
        <x:v>XE CNG</x:v>
      </x:c>
      <x:c r="E764" s="7" t="str">
        <x:v>CNG</x:v>
      </x:c>
      <x:c r="F764" s="7" t="str">
        <x:v>Manual</x:v>
      </x:c>
      <x:c r="G764" s="7" t="str">
        <x:v>Hatchback</x:v>
      </x:c>
      <x:c r="H764" s="7" t="n">
        <x:v>1199</x:v>
      </x:c>
      <x:c r="I764" s="7" t="n">
        <x:v>72</x:v>
      </x:c>
      <x:c r="J764" s="9" t="n">
        <x:v>26.5</x:v>
      </x:c>
      <x:c r="K764" s="9" t="n">
        <x:v>6.8</x:v>
      </x:c>
      <x:c r="L764" s="7" t="n">
        <x:v>2026</x:v>
      </x:c>
      <x:c r="M764" s="11" t="n">
        <x:v>7857</x:v>
      </x:c>
      <x:c r="N764" s="7" t="n">
        <x:v>1</x:v>
      </x:c>
      <x:c r="O764" s="7" t="n">
        <x:v>1</x:v>
      </x:c>
      <x:c r="P764" s="9" t="n">
        <x:v>5.99</x:v>
      </x:c>
      <x:c r="Q764" s="7" t="n">
        <x:f>'Guide'!$B$5-L764</x:f>
        <x:v>0</x:v>
      </x:c>
      <x:c r="R764" s="9" t="n">
        <x:f>K764-P764</x:f>
        <x:v>0.8099999999999996</x:v>
      </x:c>
      <x:c r="S764" s="10" t="n">
        <x:f>IF(K764&gt;0,R764/K764,"")</x:f>
        <x:v>0.11911764705882348</x:v>
      </x:c>
    </x:row>
    <x:row r="765">
      <x:c r="A765" s="7" t="n">
        <x:v>761</x:v>
      </x:c>
      <x:c r="B765" s="7" t="str">
        <x:v>Tata</x:v>
      </x:c>
      <x:c r="C765" s="7" t="str">
        <x:v>Tiago</x:v>
      </x:c>
      <x:c r="D765" s="7" t="str">
        <x:v>XE CNG</x:v>
      </x:c>
      <x:c r="E765" s="7" t="str">
        <x:v>CNG</x:v>
      </x:c>
      <x:c r="F765" s="7" t="str">
        <x:v>Manual</x:v>
      </x:c>
      <x:c r="G765" s="7" t="str">
        <x:v>Hatchback</x:v>
      </x:c>
      <x:c r="H765" s="7" t="n">
        <x:v>1199</x:v>
      </x:c>
      <x:c r="I765" s="7" t="n">
        <x:v>72</x:v>
      </x:c>
      <x:c r="J765" s="9" t="n">
        <x:v>26.5</x:v>
      </x:c>
      <x:c r="K765" s="9" t="n">
        <x:v>6.8</x:v>
      </x:c>
      <x:c r="L765" s="7" t="n">
        <x:v>2025</x:v>
      </x:c>
      <x:c r="M765" s="11" t="n">
        <x:v>21164</x:v>
      </x:c>
      <x:c r="N765" s="7" t="n">
        <x:v>1</x:v>
      </x:c>
      <x:c r="O765" s="7" t="n">
        <x:v>0</x:v>
      </x:c>
      <x:c r="P765" s="9" t="n">
        <x:v>5.78</x:v>
      </x:c>
      <x:c r="Q765" s="7" t="n">
        <x:f>'Guide'!$B$5-L765</x:f>
        <x:v>1</x:v>
      </x:c>
      <x:c r="R765" s="9" t="n">
        <x:f>K765-P765</x:f>
        <x:v>1.0199999999999996</x:v>
      </x:c>
      <x:c r="S765" s="10" t="n">
        <x:f>IF(K765&gt;0,R765/K765,"")</x:f>
        <x:v>0.14999999999999994</x:v>
      </x:c>
    </x:row>
    <x:row r="766">
      <x:c r="A766" s="7" t="n">
        <x:v>762</x:v>
      </x:c>
      <x:c r="B766" s="7" t="str">
        <x:v>Tata</x:v>
      </x:c>
      <x:c r="C766" s="7" t="str">
        <x:v>Tiago</x:v>
      </x:c>
      <x:c r="D766" s="7" t="str">
        <x:v>XE CNG</x:v>
      </x:c>
      <x:c r="E766" s="7" t="str">
        <x:v>CNG</x:v>
      </x:c>
      <x:c r="F766" s="7" t="str">
        <x:v>Manual</x:v>
      </x:c>
      <x:c r="G766" s="7" t="str">
        <x:v>Hatchback</x:v>
      </x:c>
      <x:c r="H766" s="7" t="n">
        <x:v>1199</x:v>
      </x:c>
      <x:c r="I766" s="7" t="n">
        <x:v>72</x:v>
      </x:c>
      <x:c r="J766" s="9" t="n">
        <x:v>26.5</x:v>
      </x:c>
      <x:c r="K766" s="9" t="n">
        <x:v>6.8</x:v>
      </x:c>
      <x:c r="L766" s="7" t="n">
        <x:v>2025</x:v>
      </x:c>
      <x:c r="M766" s="11" t="n">
        <x:v>28445</x:v>
      </x:c>
      <x:c r="N766" s="7" t="n">
        <x:v>1</x:v>
      </x:c>
      <x:c r="O766" s="7" t="n">
        <x:v>0</x:v>
      </x:c>
      <x:c r="P766" s="9" t="n">
        <x:v>5.71</x:v>
      </x:c>
      <x:c r="Q766" s="7" t="n">
        <x:f>'Guide'!$B$5-L766</x:f>
        <x:v>1</x:v>
      </x:c>
      <x:c r="R766" s="9" t="n">
        <x:f>K766-P766</x:f>
        <x:v>1.0899999999999999</x:v>
      </x:c>
      <x:c r="S766" s="10" t="n">
        <x:f>IF(K766&gt;0,R766/K766,"")</x:f>
        <x:v>0.1602941176470588</x:v>
      </x:c>
    </x:row>
    <x:row r="767">
      <x:c r="A767" s="7" t="n">
        <x:v>763</x:v>
      </x:c>
      <x:c r="B767" s="7" t="str">
        <x:v>Tata</x:v>
      </x:c>
      <x:c r="C767" s="7" t="str">
        <x:v>Tiago</x:v>
      </x:c>
      <x:c r="D767" s="7" t="str">
        <x:v>XE CNG</x:v>
      </x:c>
      <x:c r="E767" s="7" t="str">
        <x:v>CNG</x:v>
      </x:c>
      <x:c r="F767" s="7" t="str">
        <x:v>Manual</x:v>
      </x:c>
      <x:c r="G767" s="7" t="str">
        <x:v>Hatchback</x:v>
      </x:c>
      <x:c r="H767" s="7" t="n">
        <x:v>1199</x:v>
      </x:c>
      <x:c r="I767" s="7" t="n">
        <x:v>72</x:v>
      </x:c>
      <x:c r="J767" s="9" t="n">
        <x:v>26.5</x:v>
      </x:c>
      <x:c r="K767" s="9" t="n">
        <x:v>6.8</x:v>
      </x:c>
      <x:c r="L767" s="7" t="n">
        <x:v>2026</x:v>
      </x:c>
      <x:c r="M767" s="11" t="n">
        <x:v>9647</x:v>
      </x:c>
      <x:c r="N767" s="7" t="n">
        <x:v>1</x:v>
      </x:c>
      <x:c r="O767" s="7" t="n">
        <x:v>0</x:v>
      </x:c>
      <x:c r="P767" s="9" t="n">
        <x:v>6.37</x:v>
      </x:c>
      <x:c r="Q767" s="7" t="n">
        <x:f>'Guide'!$B$5-L767</x:f>
        <x:v>0</x:v>
      </x:c>
      <x:c r="R767" s="9" t="n">
        <x:f>K767-P767</x:f>
        <x:v>0.4299999999999997</x:v>
      </x:c>
      <x:c r="S767" s="10" t="n">
        <x:f>IF(K767&gt;0,R767/K767,"")</x:f>
        <x:v>0.06323529411764701</x:v>
      </x:c>
    </x:row>
    <x:row r="768">
      <x:c r="A768" s="7" t="n">
        <x:v>764</x:v>
      </x:c>
      <x:c r="B768" s="7" t="str">
        <x:v>Tata</x:v>
      </x:c>
      <x:c r="C768" s="7" t="str">
        <x:v>Tiago</x:v>
      </x:c>
      <x:c r="D768" s="7" t="str">
        <x:v>XE CNG</x:v>
      </x:c>
      <x:c r="E768" s="7" t="str">
        <x:v>CNG</x:v>
      </x:c>
      <x:c r="F768" s="7" t="str">
        <x:v>Manual</x:v>
      </x:c>
      <x:c r="G768" s="7" t="str">
        <x:v>Hatchback</x:v>
      </x:c>
      <x:c r="H768" s="7" t="n">
        <x:v>1199</x:v>
      </x:c>
      <x:c r="I768" s="7" t="n">
        <x:v>72</x:v>
      </x:c>
      <x:c r="J768" s="9" t="n">
        <x:v>26.5</x:v>
      </x:c>
      <x:c r="K768" s="9" t="n">
        <x:v>6.8</x:v>
      </x:c>
      <x:c r="L768" s="7" t="n">
        <x:v>2025</x:v>
      </x:c>
      <x:c r="M768" s="11" t="n">
        <x:v>26198</x:v>
      </x:c>
      <x:c r="N768" s="7" t="n">
        <x:v>1</x:v>
      </x:c>
      <x:c r="O768" s="7" t="n">
        <x:v>1</x:v>
      </x:c>
      <x:c r="P768" s="9" t="n">
        <x:v>5.14</x:v>
      </x:c>
      <x:c r="Q768" s="7" t="n">
        <x:f>'Guide'!$B$5-L768</x:f>
        <x:v>1</x:v>
      </x:c>
      <x:c r="R768" s="9" t="n">
        <x:f>K768-P768</x:f>
        <x:v>1.6600000000000001</x:v>
      </x:c>
      <x:c r="S768" s="10" t="n">
        <x:f>IF(K768&gt;0,R768/K768,"")</x:f>
        <x:v>0.24411764705882355</x:v>
      </x:c>
    </x:row>
    <x:row r="769">
      <x:c r="A769" s="7" t="n">
        <x:v>765</x:v>
      </x:c>
      <x:c r="B769" s="7" t="str">
        <x:v>Tata</x:v>
      </x:c>
      <x:c r="C769" s="7" t="str">
        <x:v>Tiago</x:v>
      </x:c>
      <x:c r="D769" s="7" t="str">
        <x:v>XE CNG</x:v>
      </x:c>
      <x:c r="E769" s="7" t="str">
        <x:v>CNG</x:v>
      </x:c>
      <x:c r="F769" s="7" t="str">
        <x:v>Manual</x:v>
      </x:c>
      <x:c r="G769" s="7" t="str">
        <x:v>Hatchback</x:v>
      </x:c>
      <x:c r="H769" s="7" t="n">
        <x:v>1199</x:v>
      </x:c>
      <x:c r="I769" s="7" t="n">
        <x:v>72</x:v>
      </x:c>
      <x:c r="J769" s="9" t="n">
        <x:v>26.5</x:v>
      </x:c>
      <x:c r="K769" s="9" t="n">
        <x:v>6.8</x:v>
      </x:c>
      <x:c r="L769" s="7" t="n">
        <x:v>2022</x:v>
      </x:c>
      <x:c r="M769" s="11" t="n">
        <x:v>36077</x:v>
      </x:c>
      <x:c r="N769" s="7" t="n">
        <x:v>1</x:v>
      </x:c>
      <x:c r="O769" s="7" t="n">
        <x:v>0</x:v>
      </x:c>
      <x:c r="P769" s="9" t="n">
        <x:v>4.65</x:v>
      </x:c>
      <x:c r="Q769" s="7" t="n">
        <x:f>'Guide'!$B$5-L769</x:f>
        <x:v>4</x:v>
      </x:c>
      <x:c r="R769" s="9" t="n">
        <x:f>K769-P769</x:f>
        <x:v>2.1499999999999995</x:v>
      </x:c>
      <x:c r="S769" s="10" t="n">
        <x:f>IF(K769&gt;0,R769/K769,"")</x:f>
        <x:v>0.3161764705882352</x:v>
      </x:c>
    </x:row>
    <x:row r="770">
      <x:c r="A770" s="7" t="n">
        <x:v>766</x:v>
      </x:c>
      <x:c r="B770" s="7" t="str">
        <x:v>Tata</x:v>
      </x:c>
      <x:c r="C770" s="7" t="str">
        <x:v>Tiago</x:v>
      </x:c>
      <x:c r="D770" s="7" t="str">
        <x:v>XE CNG</x:v>
      </x:c>
      <x:c r="E770" s="7" t="str">
        <x:v>CNG</x:v>
      </x:c>
      <x:c r="F770" s="7" t="str">
        <x:v>Manual</x:v>
      </x:c>
      <x:c r="G770" s="7" t="str">
        <x:v>Hatchback</x:v>
      </x:c>
      <x:c r="H770" s="7" t="n">
        <x:v>1199</x:v>
      </x:c>
      <x:c r="I770" s="7" t="n">
        <x:v>72</x:v>
      </x:c>
      <x:c r="J770" s="9" t="n">
        <x:v>26.5</x:v>
      </x:c>
      <x:c r="K770" s="9" t="n">
        <x:v>6.8</x:v>
      </x:c>
      <x:c r="L770" s="7" t="n">
        <x:v>2022</x:v>
      </x:c>
      <x:c r="M770" s="11" t="n">
        <x:v>47671</x:v>
      </x:c>
      <x:c r="N770" s="7" t="n">
        <x:v>1</x:v>
      </x:c>
      <x:c r="O770" s="7" t="n">
        <x:v>0</x:v>
      </x:c>
      <x:c r="P770" s="9" t="n">
        <x:v>3.95</x:v>
      </x:c>
      <x:c r="Q770" s="7" t="n">
        <x:f>'Guide'!$B$5-L770</x:f>
        <x:v>4</x:v>
      </x:c>
      <x:c r="R770" s="9" t="n">
        <x:f>K770-P770</x:f>
        <x:v>2.8499999999999996</x:v>
      </x:c>
      <x:c r="S770" s="10" t="n">
        <x:f>IF(K770&gt;0,R770/K770,"")</x:f>
        <x:v>0.4191176470588235</x:v>
      </x:c>
    </x:row>
    <x:row r="771">
      <x:c r="A771" s="7" t="n">
        <x:v>767</x:v>
      </x:c>
      <x:c r="B771" s="7" t="str">
        <x:v>Tata</x:v>
      </x:c>
      <x:c r="C771" s="7" t="str">
        <x:v>Tiago</x:v>
      </x:c>
      <x:c r="D771" s="7" t="str">
        <x:v>XE CNG</x:v>
      </x:c>
      <x:c r="E771" s="7" t="str">
        <x:v>CNG</x:v>
      </x:c>
      <x:c r="F771" s="7" t="str">
        <x:v>Manual</x:v>
      </x:c>
      <x:c r="G771" s="7" t="str">
        <x:v>Hatchback</x:v>
      </x:c>
      <x:c r="H771" s="7" t="n">
        <x:v>1199</x:v>
      </x:c>
      <x:c r="I771" s="7" t="n">
        <x:v>72</x:v>
      </x:c>
      <x:c r="J771" s="9" t="n">
        <x:v>26.5</x:v>
      </x:c>
      <x:c r="K771" s="9" t="n">
        <x:v>6.8</x:v>
      </x:c>
      <x:c r="L771" s="7" t="n">
        <x:v>2023</x:v>
      </x:c>
      <x:c r="M771" s="11" t="n">
        <x:v>35710</x:v>
      </x:c>
      <x:c r="N771" s="7" t="n">
        <x:v>1</x:v>
      </x:c>
      <x:c r="O771" s="7" t="n">
        <x:v>0</x:v>
      </x:c>
      <x:c r="P771" s="9" t="n">
        <x:v>4.63</x:v>
      </x:c>
      <x:c r="Q771" s="7" t="n">
        <x:f>'Guide'!$B$5-L771</x:f>
        <x:v>3</x:v>
      </x:c>
      <x:c r="R771" s="9" t="n">
        <x:f>K771-P771</x:f>
        <x:v>2.17</x:v>
      </x:c>
      <x:c r="S771" s="10" t="n">
        <x:f>IF(K771&gt;0,R771/K771,"")</x:f>
        <x:v>0.3191176470588235</x:v>
      </x:c>
    </x:row>
    <x:row r="772">
      <x:c r="A772" s="7" t="n">
        <x:v>768</x:v>
      </x:c>
      <x:c r="B772" s="7" t="str">
        <x:v>Tata</x:v>
      </x:c>
      <x:c r="C772" s="7" t="str">
        <x:v>Tiago</x:v>
      </x:c>
      <x:c r="D772" s="7" t="str">
        <x:v>XE CNG</x:v>
      </x:c>
      <x:c r="E772" s="7" t="str">
        <x:v>CNG</x:v>
      </x:c>
      <x:c r="F772" s="7" t="str">
        <x:v>Manual</x:v>
      </x:c>
      <x:c r="G772" s="7" t="str">
        <x:v>Hatchback</x:v>
      </x:c>
      <x:c r="H772" s="7" t="n">
        <x:v>1199</x:v>
      </x:c>
      <x:c r="I772" s="7" t="n">
        <x:v>72</x:v>
      </x:c>
      <x:c r="J772" s="9" t="n">
        <x:v>26.5</x:v>
      </x:c>
      <x:c r="K772" s="9" t="n">
        <x:v>6.8</x:v>
      </x:c>
      <x:c r="L772" s="7" t="n">
        <x:v>2021</x:v>
      </x:c>
      <x:c r="M772" s="11" t="n">
        <x:v>48490</x:v>
      </x:c>
      <x:c r="N772" s="7" t="n">
        <x:v>1</x:v>
      </x:c>
      <x:c r="O772" s="7" t="n">
        <x:v>0</x:v>
      </x:c>
      <x:c r="P772" s="9" t="n">
        <x:v>3.86</x:v>
      </x:c>
      <x:c r="Q772" s="7" t="n">
        <x:f>'Guide'!$B$5-L772</x:f>
        <x:v>5</x:v>
      </x:c>
      <x:c r="R772" s="9" t="n">
        <x:f>K772-P772</x:f>
        <x:v>2.94</x:v>
      </x:c>
      <x:c r="S772" s="10" t="n">
        <x:f>IF(K772&gt;0,R772/K772,"")</x:f>
        <x:v>0.4323529411764706</x:v>
      </x:c>
    </x:row>
    <x:row r="773">
      <x:c r="A773" s="7" t="n">
        <x:v>769</x:v>
      </x:c>
      <x:c r="B773" s="7" t="str">
        <x:v>Tata</x:v>
      </x:c>
      <x:c r="C773" s="7" t="str">
        <x:v>Tiago</x:v>
      </x:c>
      <x:c r="D773" s="7" t="str">
        <x:v>XE CNG</x:v>
      </x:c>
      <x:c r="E773" s="7" t="str">
        <x:v>CNG</x:v>
      </x:c>
      <x:c r="F773" s="7" t="str">
        <x:v>Manual</x:v>
      </x:c>
      <x:c r="G773" s="7" t="str">
        <x:v>Hatchback</x:v>
      </x:c>
      <x:c r="H773" s="7" t="n">
        <x:v>1199</x:v>
      </x:c>
      <x:c r="I773" s="7" t="n">
        <x:v>72</x:v>
      </x:c>
      <x:c r="J773" s="9" t="n">
        <x:v>26.5</x:v>
      </x:c>
      <x:c r="K773" s="9" t="n">
        <x:v>6.8</x:v>
      </x:c>
      <x:c r="L773" s="7" t="n">
        <x:v>2022</x:v>
      </x:c>
      <x:c r="M773" s="11" t="n">
        <x:v>80527</x:v>
      </x:c>
      <x:c r="N773" s="7" t="n">
        <x:v>1</x:v>
      </x:c>
      <x:c r="O773" s="7" t="n">
        <x:v>1</x:v>
      </x:c>
      <x:c r="P773" s="9" t="n">
        <x:v>3.31</x:v>
      </x:c>
      <x:c r="Q773" s="7" t="n">
        <x:f>'Guide'!$B$5-L773</x:f>
        <x:v>4</x:v>
      </x:c>
      <x:c r="R773" s="9" t="n">
        <x:f>K773-P773</x:f>
        <x:v>3.4899999999999998</x:v>
      </x:c>
      <x:c r="S773" s="10" t="n">
        <x:f>IF(K773&gt;0,R773/K773,"")</x:f>
        <x:v>0.513235294117647</x:v>
      </x:c>
    </x:row>
    <x:row r="774">
      <x:c r="A774" s="7" t="n">
        <x:v>770</x:v>
      </x:c>
      <x:c r="B774" s="7" t="str">
        <x:v>Tata</x:v>
      </x:c>
      <x:c r="C774" s="7" t="str">
        <x:v>Tiago</x:v>
      </x:c>
      <x:c r="D774" s="7" t="str">
        <x:v>XE CNG</x:v>
      </x:c>
      <x:c r="E774" s="7" t="str">
        <x:v>CNG</x:v>
      </x:c>
      <x:c r="F774" s="7" t="str">
        <x:v>Manual</x:v>
      </x:c>
      <x:c r="G774" s="7" t="str">
        <x:v>Hatchback</x:v>
      </x:c>
      <x:c r="H774" s="7" t="n">
        <x:v>1199</x:v>
      </x:c>
      <x:c r="I774" s="7" t="n">
        <x:v>72</x:v>
      </x:c>
      <x:c r="J774" s="9" t="n">
        <x:v>26.5</x:v>
      </x:c>
      <x:c r="K774" s="9" t="n">
        <x:v>6.8</x:v>
      </x:c>
      <x:c r="L774" s="7" t="n">
        <x:v>2023</x:v>
      </x:c>
      <x:c r="M774" s="11" t="n">
        <x:v>65466</x:v>
      </x:c>
      <x:c r="N774" s="7" t="n">
        <x:v>2</x:v>
      </x:c>
      <x:c r="O774" s="7" t="n">
        <x:v>0</x:v>
      </x:c>
      <x:c r="P774" s="9" t="n">
        <x:v>4.39</x:v>
      </x:c>
      <x:c r="Q774" s="7" t="n">
        <x:f>'Guide'!$B$5-L774</x:f>
        <x:v>3</x:v>
      </x:c>
      <x:c r="R774" s="9" t="n">
        <x:f>K774-P774</x:f>
        <x:v>2.41</x:v>
      </x:c>
      <x:c r="S774" s="10" t="n">
        <x:f>IF(K774&gt;0,R774/K774,"")</x:f>
        <x:v>0.35441176470588237</x:v>
      </x:c>
    </x:row>
    <x:row r="775">
      <x:c r="A775" s="7" t="n">
        <x:v>771</x:v>
      </x:c>
      <x:c r="B775" s="7" t="str">
        <x:v>Tata</x:v>
      </x:c>
      <x:c r="C775" s="7" t="str">
        <x:v>Tiago</x:v>
      </x:c>
      <x:c r="D775" s="7" t="str">
        <x:v>XE CNG</x:v>
      </x:c>
      <x:c r="E775" s="7" t="str">
        <x:v>CNG</x:v>
      </x:c>
      <x:c r="F775" s="7" t="str">
        <x:v>Manual</x:v>
      </x:c>
      <x:c r="G775" s="7" t="str">
        <x:v>Hatchback</x:v>
      </x:c>
      <x:c r="H775" s="7" t="n">
        <x:v>1199</x:v>
      </x:c>
      <x:c r="I775" s="7" t="n">
        <x:v>72</x:v>
      </x:c>
      <x:c r="J775" s="9" t="n">
        <x:v>26.5</x:v>
      </x:c>
      <x:c r="K775" s="9" t="n">
        <x:v>6.8</x:v>
      </x:c>
      <x:c r="L775" s="7" t="n">
        <x:v>2022</x:v>
      </x:c>
      <x:c r="M775" s="11" t="n">
        <x:v>48360</x:v>
      </x:c>
      <x:c r="N775" s="7" t="n">
        <x:v>2</x:v>
      </x:c>
      <x:c r="O775" s="7" t="n">
        <x:v>0</x:v>
      </x:c>
      <x:c r="P775" s="9" t="n">
        <x:v>4.16</x:v>
      </x:c>
      <x:c r="Q775" s="7" t="n">
        <x:f>'Guide'!$B$5-L775</x:f>
        <x:v>4</x:v>
      </x:c>
      <x:c r="R775" s="9" t="n">
        <x:f>K775-P775</x:f>
        <x:v>2.6399999999999997</x:v>
      </x:c>
      <x:c r="S775" s="10" t="n">
        <x:f>IF(K775&gt;0,R775/K775,"")</x:f>
        <x:v>0.388235294117647</x:v>
      </x:c>
    </x:row>
    <x:row r="776">
      <x:c r="A776" s="7" t="n">
        <x:v>772</x:v>
      </x:c>
      <x:c r="B776" s="7" t="str">
        <x:v>Tata</x:v>
      </x:c>
      <x:c r="C776" s="7" t="str">
        <x:v>Tiago</x:v>
      </x:c>
      <x:c r="D776" s="7" t="str">
        <x:v>XE CNG</x:v>
      </x:c>
      <x:c r="E776" s="7" t="str">
        <x:v>CNG</x:v>
      </x:c>
      <x:c r="F776" s="7" t="str">
        <x:v>Manual</x:v>
      </x:c>
      <x:c r="G776" s="7" t="str">
        <x:v>Hatchback</x:v>
      </x:c>
      <x:c r="H776" s="7" t="n">
        <x:v>1199</x:v>
      </x:c>
      <x:c r="I776" s="7" t="n">
        <x:v>72</x:v>
      </x:c>
      <x:c r="J776" s="9" t="n">
        <x:v>26.5</x:v>
      </x:c>
      <x:c r="K776" s="9" t="n">
        <x:v>6.8</x:v>
      </x:c>
      <x:c r="L776" s="7" t="n">
        <x:v>2021</x:v>
      </x:c>
      <x:c r="M776" s="11" t="n">
        <x:v>56996</x:v>
      </x:c>
      <x:c r="N776" s="7" t="n">
        <x:v>1</x:v>
      </x:c>
      <x:c r="O776" s="7" t="n">
        <x:v>0</x:v>
      </x:c>
      <x:c r="P776" s="9" t="n">
        <x:v>3.99</x:v>
      </x:c>
      <x:c r="Q776" s="7" t="n">
        <x:f>'Guide'!$B$5-L776</x:f>
        <x:v>5</x:v>
      </x:c>
      <x:c r="R776" s="9" t="n">
        <x:f>K776-P776</x:f>
        <x:v>2.8099999999999996</x:v>
      </x:c>
      <x:c r="S776" s="10" t="n">
        <x:f>IF(K776&gt;0,R776/K776,"")</x:f>
        <x:v>0.41323529411764703</x:v>
      </x:c>
    </x:row>
    <x:row r="777">
      <x:c r="A777" s="7" t="n">
        <x:v>773</x:v>
      </x:c>
      <x:c r="B777" s="7" t="str">
        <x:v>Tata</x:v>
      </x:c>
      <x:c r="C777" s="7" t="str">
        <x:v>Tiago</x:v>
      </x:c>
      <x:c r="D777" s="7" t="str">
        <x:v>XE CNG</x:v>
      </x:c>
      <x:c r="E777" s="7" t="str">
        <x:v>CNG</x:v>
      </x:c>
      <x:c r="F777" s="7" t="str">
        <x:v>Manual</x:v>
      </x:c>
      <x:c r="G777" s="7" t="str">
        <x:v>Hatchback</x:v>
      </x:c>
      <x:c r="H777" s="7" t="n">
        <x:v>1199</x:v>
      </x:c>
      <x:c r="I777" s="7" t="n">
        <x:v>72</x:v>
      </x:c>
      <x:c r="J777" s="9" t="n">
        <x:v>26.5</x:v>
      </x:c>
      <x:c r="K777" s="9" t="n">
        <x:v>6.8</x:v>
      </x:c>
      <x:c r="L777" s="7" t="n">
        <x:v>2022</x:v>
      </x:c>
      <x:c r="M777" s="11" t="n">
        <x:v>42855</x:v>
      </x:c>
      <x:c r="N777" s="7" t="n">
        <x:v>1</x:v>
      </x:c>
      <x:c r="O777" s="7" t="n">
        <x:v>1</x:v>
      </x:c>
      <x:c r="P777" s="9" t="n">
        <x:v>3.17</x:v>
      </x:c>
      <x:c r="Q777" s="7" t="n">
        <x:f>'Guide'!$B$5-L777</x:f>
        <x:v>4</x:v>
      </x:c>
      <x:c r="R777" s="9" t="n">
        <x:f>K777-P777</x:f>
        <x:v>3.63</x:v>
      </x:c>
      <x:c r="S777" s="10" t="n">
        <x:f>IF(K777&gt;0,R777/K777,"")</x:f>
        <x:v>0.5338235294117647</x:v>
      </x:c>
    </x:row>
    <x:row r="778">
      <x:c r="A778" s="7" t="n">
        <x:v>774</x:v>
      </x:c>
      <x:c r="B778" s="7" t="str">
        <x:v>Tata</x:v>
      </x:c>
      <x:c r="C778" s="7" t="str">
        <x:v>Tiago</x:v>
      </x:c>
      <x:c r="D778" s="7" t="str">
        <x:v>XE CNG</x:v>
      </x:c>
      <x:c r="E778" s="7" t="str">
        <x:v>CNG</x:v>
      </x:c>
      <x:c r="F778" s="7" t="str">
        <x:v>Manual</x:v>
      </x:c>
      <x:c r="G778" s="7" t="str">
        <x:v>Hatchback</x:v>
      </x:c>
      <x:c r="H778" s="7" t="n">
        <x:v>1199</x:v>
      </x:c>
      <x:c r="I778" s="7" t="n">
        <x:v>72</x:v>
      </x:c>
      <x:c r="J778" s="9" t="n">
        <x:v>26.5</x:v>
      </x:c>
      <x:c r="K778" s="9" t="n">
        <x:v>6.8</x:v>
      </x:c>
      <x:c r="L778" s="7" t="n">
        <x:v>2020</x:v>
      </x:c>
      <x:c r="M778" s="11" t="n">
        <x:v>61405</x:v>
      </x:c>
      <x:c r="N778" s="7" t="n">
        <x:v>1</x:v>
      </x:c>
      <x:c r="O778" s="7" t="n">
        <x:v>0</x:v>
      </x:c>
      <x:c r="P778" s="9" t="n">
        <x:v>2.67</x:v>
      </x:c>
      <x:c r="Q778" s="7" t="n">
        <x:f>'Guide'!$B$5-L778</x:f>
        <x:v>6</x:v>
      </x:c>
      <x:c r="R778" s="9" t="n">
        <x:f>K778-P778</x:f>
        <x:v>4.13</x:v>
      </x:c>
      <x:c r="S778" s="10" t="n">
        <x:f>IF(K778&gt;0,R778/K778,"")</x:f>
        <x:v>0.6073529411764705</x:v>
      </x:c>
    </x:row>
    <x:row r="779">
      <x:c r="A779" s="7" t="n">
        <x:v>775</x:v>
      </x:c>
      <x:c r="B779" s="7" t="str">
        <x:v>Tata</x:v>
      </x:c>
      <x:c r="C779" s="7" t="str">
        <x:v>Tiago</x:v>
      </x:c>
      <x:c r="D779" s="7" t="str">
        <x:v>XE CNG</x:v>
      </x:c>
      <x:c r="E779" s="7" t="str">
        <x:v>CNG</x:v>
      </x:c>
      <x:c r="F779" s="7" t="str">
        <x:v>Manual</x:v>
      </x:c>
      <x:c r="G779" s="7" t="str">
        <x:v>Hatchback</x:v>
      </x:c>
      <x:c r="H779" s="7" t="n">
        <x:v>1199</x:v>
      </x:c>
      <x:c r="I779" s="7" t="n">
        <x:v>72</x:v>
      </x:c>
      <x:c r="J779" s="9" t="n">
        <x:v>26.5</x:v>
      </x:c>
      <x:c r="K779" s="9" t="n">
        <x:v>6.8</x:v>
      </x:c>
      <x:c r="L779" s="7" t="n">
        <x:v>2020</x:v>
      </x:c>
      <x:c r="M779" s="11" t="n">
        <x:v>52658</x:v>
      </x:c>
      <x:c r="N779" s="7" t="n">
        <x:v>1</x:v>
      </x:c>
      <x:c r="O779" s="7" t="n">
        <x:v>0</x:v>
      </x:c>
      <x:c r="P779" s="9" t="n">
        <x:v>2.84</x:v>
      </x:c>
      <x:c r="Q779" s="7" t="n">
        <x:f>'Guide'!$B$5-L779</x:f>
        <x:v>6</x:v>
      </x:c>
      <x:c r="R779" s="9" t="n">
        <x:f>K779-P779</x:f>
        <x:v>3.96</x:v>
      </x:c>
      <x:c r="S779" s="10" t="n">
        <x:f>IF(K779&gt;0,R779/K779,"")</x:f>
        <x:v>0.5823529411764706</x:v>
      </x:c>
    </x:row>
    <x:row r="780">
      <x:c r="A780" s="7" t="n">
        <x:v>776</x:v>
      </x:c>
      <x:c r="B780" s="7" t="str">
        <x:v>Tata</x:v>
      </x:c>
      <x:c r="C780" s="7" t="str">
        <x:v>Tiago</x:v>
      </x:c>
      <x:c r="D780" s="7" t="str">
        <x:v>XE CNG</x:v>
      </x:c>
      <x:c r="E780" s="7" t="str">
        <x:v>CNG</x:v>
      </x:c>
      <x:c r="F780" s="7" t="str">
        <x:v>Manual</x:v>
      </x:c>
      <x:c r="G780" s="7" t="str">
        <x:v>Hatchback</x:v>
      </x:c>
      <x:c r="H780" s="7" t="n">
        <x:v>1199</x:v>
      </x:c>
      <x:c r="I780" s="7" t="n">
        <x:v>72</x:v>
      </x:c>
      <x:c r="J780" s="9" t="n">
        <x:v>26.5</x:v>
      </x:c>
      <x:c r="K780" s="9" t="n">
        <x:v>6.8</x:v>
      </x:c>
      <x:c r="L780" s="7" t="n">
        <x:v>2022</x:v>
      </x:c>
      <x:c r="M780" s="11" t="n">
        <x:v>52833</x:v>
      </x:c>
      <x:c r="N780" s="7" t="n">
        <x:v>1</x:v>
      </x:c>
      <x:c r="O780" s="7" t="n">
        <x:v>0</x:v>
      </x:c>
      <x:c r="P780" s="9" t="n">
        <x:v>4.32</x:v>
      </x:c>
      <x:c r="Q780" s="7" t="n">
        <x:f>'Guide'!$B$5-L780</x:f>
        <x:v>4</x:v>
      </x:c>
      <x:c r="R780" s="9" t="n">
        <x:f>K780-P780</x:f>
        <x:v>2.4799999999999995</x:v>
      </x:c>
      <x:c r="S780" s="10" t="n">
        <x:f>IF(K780&gt;0,R780/K780,"")</x:f>
        <x:v>0.3647058823529411</x:v>
      </x:c>
    </x:row>
    <x:row r="781">
      <x:c r="A781" s="7" t="n">
        <x:v>777</x:v>
      </x:c>
      <x:c r="B781" s="7" t="str">
        <x:v>Tata</x:v>
      </x:c>
      <x:c r="C781" s="7" t="str">
        <x:v>Tiago</x:v>
      </x:c>
      <x:c r="D781" s="7" t="str">
        <x:v>XE CNG</x:v>
      </x:c>
      <x:c r="E781" s="7" t="str">
        <x:v>CNG</x:v>
      </x:c>
      <x:c r="F781" s="7" t="str">
        <x:v>Manual</x:v>
      </x:c>
      <x:c r="G781" s="7" t="str">
        <x:v>Hatchback</x:v>
      </x:c>
      <x:c r="H781" s="7" t="n">
        <x:v>1199</x:v>
      </x:c>
      <x:c r="I781" s="7" t="n">
        <x:v>72</x:v>
      </x:c>
      <x:c r="J781" s="9" t="n">
        <x:v>26.5</x:v>
      </x:c>
      <x:c r="K781" s="9" t="n">
        <x:v>6.8</x:v>
      </x:c>
      <x:c r="L781" s="7" t="n">
        <x:v>2021</x:v>
      </x:c>
      <x:c r="M781" s="11" t="n">
        <x:v>93756</x:v>
      </x:c>
      <x:c r="N781" s="7" t="n">
        <x:v>1</x:v>
      </x:c>
      <x:c r="O781" s="7" t="n">
        <x:v>0</x:v>
      </x:c>
      <x:c r="P781" s="9" t="n">
        <x:v>3.33</x:v>
      </x:c>
      <x:c r="Q781" s="7" t="n">
        <x:f>'Guide'!$B$5-L781</x:f>
        <x:v>5</x:v>
      </x:c>
      <x:c r="R781" s="9" t="n">
        <x:f>K781-P781</x:f>
        <x:v>3.4699999999999998</x:v>
      </x:c>
      <x:c r="S781" s="10" t="n">
        <x:f>IF(K781&gt;0,R781/K781,"")</x:f>
        <x:v>0.5102941176470588</x:v>
      </x:c>
    </x:row>
    <x:row r="782">
      <x:c r="A782" s="7" t="n">
        <x:v>778</x:v>
      </x:c>
      <x:c r="B782" s="7" t="str">
        <x:v>Tata</x:v>
      </x:c>
      <x:c r="C782" s="7" t="str">
        <x:v>Tiago</x:v>
      </x:c>
      <x:c r="D782" s="7" t="str">
        <x:v>XE CNG</x:v>
      </x:c>
      <x:c r="E782" s="7" t="str">
        <x:v>CNG</x:v>
      </x:c>
      <x:c r="F782" s="7" t="str">
        <x:v>Manual</x:v>
      </x:c>
      <x:c r="G782" s="7" t="str">
        <x:v>Hatchback</x:v>
      </x:c>
      <x:c r="H782" s="7" t="n">
        <x:v>1199</x:v>
      </x:c>
      <x:c r="I782" s="7" t="n">
        <x:v>72</x:v>
      </x:c>
      <x:c r="J782" s="9" t="n">
        <x:v>26.5</x:v>
      </x:c>
      <x:c r="K782" s="9" t="n">
        <x:v>6.8</x:v>
      </x:c>
      <x:c r="L782" s="7" t="n">
        <x:v>2024</x:v>
      </x:c>
      <x:c r="M782" s="11" t="n">
        <x:v>24692</x:v>
      </x:c>
      <x:c r="N782" s="7" t="n">
        <x:v>2</x:v>
      </x:c>
      <x:c r="O782" s="7" t="n">
        <x:v>0</x:v>
      </x:c>
      <x:c r="P782" s="9" t="n">
        <x:v>5.18</x:v>
      </x:c>
      <x:c r="Q782" s="7" t="n">
        <x:f>'Guide'!$B$5-L782</x:f>
        <x:v>2</x:v>
      </x:c>
      <x:c r="R782" s="9" t="n">
        <x:f>K782-P782</x:f>
        <x:v>1.62</x:v>
      </x:c>
      <x:c r="S782" s="10" t="n">
        <x:f>IF(K782&gt;0,R782/K782,"")</x:f>
        <x:v>0.23823529411764707</x:v>
      </x:c>
    </x:row>
    <x:row r="783">
      <x:c r="A783" s="7" t="n">
        <x:v>779</x:v>
      </x:c>
      <x:c r="B783" s="7" t="str">
        <x:v>Tata</x:v>
      </x:c>
      <x:c r="C783" s="7" t="str">
        <x:v>Tiago</x:v>
      </x:c>
      <x:c r="D783" s="7" t="str">
        <x:v>XE CNG</x:v>
      </x:c>
      <x:c r="E783" s="7" t="str">
        <x:v>CNG</x:v>
      </x:c>
      <x:c r="F783" s="7" t="str">
        <x:v>Manual</x:v>
      </x:c>
      <x:c r="G783" s="7" t="str">
        <x:v>Hatchback</x:v>
      </x:c>
      <x:c r="H783" s="7" t="n">
        <x:v>1199</x:v>
      </x:c>
      <x:c r="I783" s="7" t="n">
        <x:v>72</x:v>
      </x:c>
      <x:c r="J783" s="9" t="n">
        <x:v>26.5</x:v>
      </x:c>
      <x:c r="K783" s="9" t="n">
        <x:v>6.8</x:v>
      </x:c>
      <x:c r="L783" s="7" t="n">
        <x:v>2025</x:v>
      </x:c>
      <x:c r="M783" s="11" t="n">
        <x:v>12362</x:v>
      </x:c>
      <x:c r="N783" s="7" t="n">
        <x:v>1</x:v>
      </x:c>
      <x:c r="O783" s="7" t="n">
        <x:v>0</x:v>
      </x:c>
      <x:c r="P783" s="9" t="n">
        <x:v>6.32</x:v>
      </x:c>
      <x:c r="Q783" s="7" t="n">
        <x:f>'Guide'!$B$5-L783</x:f>
        <x:v>1</x:v>
      </x:c>
      <x:c r="R783" s="9" t="n">
        <x:f>K783-P783</x:f>
        <x:v>0.47999999999999954</x:v>
      </x:c>
      <x:c r="S783" s="10" t="n">
        <x:f>IF(K783&gt;0,R783/K783,"")</x:f>
        <x:v>0.07058823529411758</x:v>
      </x:c>
    </x:row>
    <x:row r="784">
      <x:c r="A784" s="7" t="n">
        <x:v>780</x:v>
      </x:c>
      <x:c r="B784" s="7" t="str">
        <x:v>Tata</x:v>
      </x:c>
      <x:c r="C784" s="7" t="str">
        <x:v>Tiago</x:v>
      </x:c>
      <x:c r="D784" s="7" t="str">
        <x:v>XE CNG</x:v>
      </x:c>
      <x:c r="E784" s="7" t="str">
        <x:v>CNG</x:v>
      </x:c>
      <x:c r="F784" s="7" t="str">
        <x:v>Manual</x:v>
      </x:c>
      <x:c r="G784" s="7" t="str">
        <x:v>Hatchback</x:v>
      </x:c>
      <x:c r="H784" s="7" t="n">
        <x:v>1199</x:v>
      </x:c>
      <x:c r="I784" s="7" t="n">
        <x:v>72</x:v>
      </x:c>
      <x:c r="J784" s="9" t="n">
        <x:v>26.5</x:v>
      </x:c>
      <x:c r="K784" s="9" t="n">
        <x:v>6.8</x:v>
      </x:c>
      <x:c r="L784" s="7" t="n">
        <x:v>2024</x:v>
      </x:c>
      <x:c r="M784" s="11" t="n">
        <x:v>30250</x:v>
      </x:c>
      <x:c r="N784" s="7" t="n">
        <x:v>1</x:v>
      </x:c>
      <x:c r="O784" s="7" t="n">
        <x:v>0</x:v>
      </x:c>
      <x:c r="P784" s="9" t="n">
        <x:v>5.31</x:v>
      </x:c>
      <x:c r="Q784" s="7" t="n">
        <x:f>'Guide'!$B$5-L784</x:f>
        <x:v>2</x:v>
      </x:c>
      <x:c r="R784" s="9" t="n">
        <x:f>K784-P784</x:f>
        <x:v>1.4900000000000002</x:v>
      </x:c>
      <x:c r="S784" s="10" t="n">
        <x:f>IF(K784&gt;0,R784/K784,"")</x:f>
        <x:v>0.21911764705882356</x:v>
      </x:c>
    </x:row>
    <x:row r="785">
      <x:c r="A785" s="7" t="n">
        <x:v>781</x:v>
      </x:c>
      <x:c r="B785" s="7" t="str">
        <x:v>Tata</x:v>
      </x:c>
      <x:c r="C785" s="7" t="str">
        <x:v>Tiago</x:v>
      </x:c>
      <x:c r="D785" s="7" t="str">
        <x:v>XE CNG</x:v>
      </x:c>
      <x:c r="E785" s="7" t="str">
        <x:v>CNG</x:v>
      </x:c>
      <x:c r="F785" s="7" t="str">
        <x:v>Manual</x:v>
      </x:c>
      <x:c r="G785" s="7" t="str">
        <x:v>Hatchback</x:v>
      </x:c>
      <x:c r="H785" s="7" t="n">
        <x:v>1199</x:v>
      </x:c>
      <x:c r="I785" s="7" t="n">
        <x:v>72</x:v>
      </x:c>
      <x:c r="J785" s="9" t="n">
        <x:v>26.5</x:v>
      </x:c>
      <x:c r="K785" s="9" t="n">
        <x:v>6.8</x:v>
      </x:c>
      <x:c r="L785" s="7" t="n">
        <x:v>2022</x:v>
      </x:c>
      <x:c r="M785" s="11" t="n">
        <x:v>41424</x:v>
      </x:c>
      <x:c r="N785" s="7" t="n">
        <x:v>1</x:v>
      </x:c>
      <x:c r="O785" s="7" t="n">
        <x:v>0</x:v>
      </x:c>
      <x:c r="P785" s="9" t="n">
        <x:v>4.14</x:v>
      </x:c>
      <x:c r="Q785" s="7" t="n">
        <x:f>'Guide'!$B$5-L785</x:f>
        <x:v>4</x:v>
      </x:c>
      <x:c r="R785" s="9" t="n">
        <x:f>K785-P785</x:f>
        <x:v>2.66</x:v>
      </x:c>
      <x:c r="S785" s="10" t="n">
        <x:f>IF(K785&gt;0,R785/K785,"")</x:f>
        <x:v>0.39117647058823535</x:v>
      </x:c>
    </x:row>
    <x:row r="786">
      <x:c r="A786" s="7" t="n">
        <x:v>782</x:v>
      </x:c>
      <x:c r="B786" s="7" t="str">
        <x:v>Tata</x:v>
      </x:c>
      <x:c r="C786" s="7" t="str">
        <x:v>Tiago</x:v>
      </x:c>
      <x:c r="D786" s="7" t="str">
        <x:v>XE CNG</x:v>
      </x:c>
      <x:c r="E786" s="7" t="str">
        <x:v>CNG</x:v>
      </x:c>
      <x:c r="F786" s="7" t="str">
        <x:v>Manual</x:v>
      </x:c>
      <x:c r="G786" s="7" t="str">
        <x:v>Hatchback</x:v>
      </x:c>
      <x:c r="H786" s="7" t="n">
        <x:v>1199</x:v>
      </x:c>
      <x:c r="I786" s="7" t="n">
        <x:v>72</x:v>
      </x:c>
      <x:c r="J786" s="9" t="n">
        <x:v>26.5</x:v>
      </x:c>
      <x:c r="K786" s="9" t="n">
        <x:v>6.8</x:v>
      </x:c>
      <x:c r="L786" s="7" t="n">
        <x:v>2023</x:v>
      </x:c>
      <x:c r="M786" s="11" t="n">
        <x:v>32582</x:v>
      </x:c>
      <x:c r="N786" s="7" t="n">
        <x:v>1</x:v>
      </x:c>
      <x:c r="O786" s="7" t="n">
        <x:v>0</x:v>
      </x:c>
      <x:c r="P786" s="9" t="n">
        <x:v>5.13</x:v>
      </x:c>
      <x:c r="Q786" s="7" t="n">
        <x:f>'Guide'!$B$5-L786</x:f>
        <x:v>3</x:v>
      </x:c>
      <x:c r="R786" s="9" t="n">
        <x:f>K786-P786</x:f>
        <x:v>1.67</x:v>
      </x:c>
      <x:c r="S786" s="10" t="n">
        <x:f>IF(K786&gt;0,R786/K786,"")</x:f>
        <x:v>0.24558823529411763</x:v>
      </x:c>
    </x:row>
    <x:row r="787">
      <x:c r="A787" s="7" t="n">
        <x:v>783</x:v>
      </x:c>
      <x:c r="B787" s="7" t="str">
        <x:v>Tata</x:v>
      </x:c>
      <x:c r="C787" s="7" t="str">
        <x:v>Tiago</x:v>
      </x:c>
      <x:c r="D787" s="7" t="str">
        <x:v>XE CNG</x:v>
      </x:c>
      <x:c r="E787" s="7" t="str">
        <x:v>CNG</x:v>
      </x:c>
      <x:c r="F787" s="7" t="str">
        <x:v>Manual</x:v>
      </x:c>
      <x:c r="G787" s="7" t="str">
        <x:v>Hatchback</x:v>
      </x:c>
      <x:c r="H787" s="7" t="n">
        <x:v>1199</x:v>
      </x:c>
      <x:c r="I787" s="7" t="n">
        <x:v>72</x:v>
      </x:c>
      <x:c r="J787" s="9" t="n">
        <x:v>26.5</x:v>
      </x:c>
      <x:c r="K787" s="9" t="n">
        <x:v>6.8</x:v>
      </x:c>
      <x:c r="L787" s="7" t="n">
        <x:v>2023</x:v>
      </x:c>
      <x:c r="M787" s="11" t="n">
        <x:v>60267</x:v>
      </x:c>
      <x:c r="N787" s="7" t="n">
        <x:v>2</x:v>
      </x:c>
      <x:c r="O787" s="7" t="n">
        <x:v>0</x:v>
      </x:c>
      <x:c r="P787" s="9" t="n">
        <x:v>3.98</x:v>
      </x:c>
      <x:c r="Q787" s="7" t="n">
        <x:f>'Guide'!$B$5-L787</x:f>
        <x:v>3</x:v>
      </x:c>
      <x:c r="R787" s="9" t="n">
        <x:f>K787-P787</x:f>
        <x:v>2.82</x:v>
      </x:c>
      <x:c r="S787" s="10" t="n">
        <x:f>IF(K787&gt;0,R787/K787,"")</x:f>
        <x:v>0.41470588235294115</x:v>
      </x:c>
    </x:row>
    <x:row r="788">
      <x:c r="A788" s="7" t="n">
        <x:v>784</x:v>
      </x:c>
      <x:c r="B788" s="7" t="str">
        <x:v>Tata</x:v>
      </x:c>
      <x:c r="C788" s="7" t="str">
        <x:v>Tiago</x:v>
      </x:c>
      <x:c r="D788" s="7" t="str">
        <x:v>XE CNG</x:v>
      </x:c>
      <x:c r="E788" s="7" t="str">
        <x:v>CNG</x:v>
      </x:c>
      <x:c r="F788" s="7" t="str">
        <x:v>Manual</x:v>
      </x:c>
      <x:c r="G788" s="7" t="str">
        <x:v>Hatchback</x:v>
      </x:c>
      <x:c r="H788" s="7" t="n">
        <x:v>1199</x:v>
      </x:c>
      <x:c r="I788" s="7" t="n">
        <x:v>72</x:v>
      </x:c>
      <x:c r="J788" s="9" t="n">
        <x:v>26.5</x:v>
      </x:c>
      <x:c r="K788" s="9" t="n">
        <x:v>6.8</x:v>
      </x:c>
      <x:c r="L788" s="7" t="n">
        <x:v>2023</x:v>
      </x:c>
      <x:c r="M788" s="11" t="n">
        <x:v>57045</x:v>
      </x:c>
      <x:c r="N788" s="7" t="n">
        <x:v>2</x:v>
      </x:c>
      <x:c r="O788" s="7" t="n">
        <x:v>0</x:v>
      </x:c>
      <x:c r="P788" s="9" t="n">
        <x:v>4.36</x:v>
      </x:c>
      <x:c r="Q788" s="7" t="n">
        <x:f>'Guide'!$B$5-L788</x:f>
        <x:v>3</x:v>
      </x:c>
      <x:c r="R788" s="9" t="n">
        <x:f>K788-P788</x:f>
        <x:v>2.4399999999999995</x:v>
      </x:c>
      <x:c r="S788" s="10" t="n">
        <x:f>IF(K788&gt;0,R788/K788,"")</x:f>
        <x:v>0.35882352941176465</x:v>
      </x:c>
    </x:row>
    <x:row r="789">
      <x:c r="A789" s="7" t="n">
        <x:v>785</x:v>
      </x:c>
      <x:c r="B789" s="7" t="str">
        <x:v>Tata</x:v>
      </x:c>
      <x:c r="C789" s="7" t="str">
        <x:v>Tiago</x:v>
      </x:c>
      <x:c r="D789" s="7" t="str">
        <x:v>XE CNG</x:v>
      </x:c>
      <x:c r="E789" s="7" t="str">
        <x:v>CNG</x:v>
      </x:c>
      <x:c r="F789" s="7" t="str">
        <x:v>Manual</x:v>
      </x:c>
      <x:c r="G789" s="7" t="str">
        <x:v>Hatchback</x:v>
      </x:c>
      <x:c r="H789" s="7" t="n">
        <x:v>1199</x:v>
      </x:c>
      <x:c r="I789" s="7" t="n">
        <x:v>72</x:v>
      </x:c>
      <x:c r="J789" s="9" t="n">
        <x:v>26.5</x:v>
      </x:c>
      <x:c r="K789" s="9" t="n">
        <x:v>6.8</x:v>
      </x:c>
      <x:c r="L789" s="7" t="n">
        <x:v>2022</x:v>
      </x:c>
      <x:c r="M789" s="11" t="n">
        <x:v>74763</x:v>
      </x:c>
      <x:c r="N789" s="7" t="n">
        <x:v>1</x:v>
      </x:c>
      <x:c r="O789" s="7" t="n">
        <x:v>0</x:v>
      </x:c>
      <x:c r="P789" s="9" t="n">
        <x:v>4.4</x:v>
      </x:c>
      <x:c r="Q789" s="7" t="n">
        <x:f>'Guide'!$B$5-L789</x:f>
        <x:v>4</x:v>
      </x:c>
      <x:c r="R789" s="9" t="n">
        <x:f>K789-P789</x:f>
        <x:v>2.3999999999999995</x:v>
      </x:c>
      <x:c r="S789" s="10" t="n">
        <x:f>IF(K789&gt;0,R789/K789,"")</x:f>
        <x:v>0.35294117647058815</x:v>
      </x:c>
    </x:row>
    <x:row r="790">
      <x:c r="A790" s="7" t="n">
        <x:v>786</x:v>
      </x:c>
      <x:c r="B790" s="7" t="str">
        <x:v>Tata</x:v>
      </x:c>
      <x:c r="C790" s="7" t="str">
        <x:v>Tiago</x:v>
      </x:c>
      <x:c r="D790" s="7" t="str">
        <x:v>XE CNG</x:v>
      </x:c>
      <x:c r="E790" s="7" t="str">
        <x:v>CNG</x:v>
      </x:c>
      <x:c r="F790" s="7" t="str">
        <x:v>Manual</x:v>
      </x:c>
      <x:c r="G790" s="7" t="str">
        <x:v>Hatchback</x:v>
      </x:c>
      <x:c r="H790" s="7" t="n">
        <x:v>1199</x:v>
      </x:c>
      <x:c r="I790" s="7" t="n">
        <x:v>72</x:v>
      </x:c>
      <x:c r="J790" s="9" t="n">
        <x:v>26.5</x:v>
      </x:c>
      <x:c r="K790" s="9" t="n">
        <x:v>6.8</x:v>
      </x:c>
      <x:c r="L790" s="7" t="n">
        <x:v>2023</x:v>
      </x:c>
      <x:c r="M790" s="11" t="n">
        <x:v>48016</x:v>
      </x:c>
      <x:c r="N790" s="7" t="n">
        <x:v>1</x:v>
      </x:c>
      <x:c r="O790" s="7" t="n">
        <x:v>0</x:v>
      </x:c>
      <x:c r="P790" s="9" t="n">
        <x:v>4.74</x:v>
      </x:c>
      <x:c r="Q790" s="7" t="n">
        <x:f>'Guide'!$B$5-L790</x:f>
        <x:v>3</x:v>
      </x:c>
      <x:c r="R790" s="9" t="n">
        <x:f>K790-P790</x:f>
        <x:v>2.0599999999999996</x:v>
      </x:c>
      <x:c r="S790" s="10" t="n">
        <x:f>IF(K790&gt;0,R790/K790,"")</x:f>
        <x:v>0.30294117647058816</x:v>
      </x:c>
    </x:row>
    <x:row r="791">
      <x:c r="A791" s="7" t="n">
        <x:v>787</x:v>
      </x:c>
      <x:c r="B791" s="7" t="str">
        <x:v>Tata</x:v>
      </x:c>
      <x:c r="C791" s="7" t="str">
        <x:v>Tiago</x:v>
      </x:c>
      <x:c r="D791" s="7" t="str">
        <x:v>XE CNG</x:v>
      </x:c>
      <x:c r="E791" s="7" t="str">
        <x:v>CNG</x:v>
      </x:c>
      <x:c r="F791" s="7" t="str">
        <x:v>Manual</x:v>
      </x:c>
      <x:c r="G791" s="7" t="str">
        <x:v>Hatchback</x:v>
      </x:c>
      <x:c r="H791" s="7" t="n">
        <x:v>1199</x:v>
      </x:c>
      <x:c r="I791" s="7" t="n">
        <x:v>72</x:v>
      </x:c>
      <x:c r="J791" s="9" t="n">
        <x:v>26.5</x:v>
      </x:c>
      <x:c r="K791" s="9" t="n">
        <x:v>6.8</x:v>
      </x:c>
      <x:c r="L791" s="7" t="n">
        <x:v>2026</x:v>
      </x:c>
      <x:c r="M791" s="11" t="n">
        <x:v>5057</x:v>
      </x:c>
      <x:c r="N791" s="7" t="n">
        <x:v>1</x:v>
      </x:c>
      <x:c r="O791" s="7" t="n">
        <x:v>0</x:v>
      </x:c>
      <x:c r="P791" s="9" t="n">
        <x:v>7.07</x:v>
      </x:c>
      <x:c r="Q791" s="7" t="n">
        <x:f>'Guide'!$B$5-L791</x:f>
        <x:v>0</x:v>
      </x:c>
      <x:c r="R791" s="9" t="n">
        <x:f>K791-P791</x:f>
        <x:v>-0.27000000000000046</x:v>
      </x:c>
      <x:c r="S791" s="10" t="n">
        <x:f>IF(K791&gt;0,R791/K791,"")</x:f>
        <x:v>-0.039705882352941244</x:v>
      </x:c>
    </x:row>
    <x:row r="792">
      <x:c r="A792" s="7" t="n">
        <x:v>788</x:v>
      </x:c>
      <x:c r="B792" s="7" t="str">
        <x:v>Tata</x:v>
      </x:c>
      <x:c r="C792" s="7" t="str">
        <x:v>Tiago</x:v>
      </x:c>
      <x:c r="D792" s="7" t="str">
        <x:v>XE CNG</x:v>
      </x:c>
      <x:c r="E792" s="7" t="str">
        <x:v>CNG</x:v>
      </x:c>
      <x:c r="F792" s="7" t="str">
        <x:v>Manual</x:v>
      </x:c>
      <x:c r="G792" s="7" t="str">
        <x:v>Hatchback</x:v>
      </x:c>
      <x:c r="H792" s="7" t="n">
        <x:v>1199</x:v>
      </x:c>
      <x:c r="I792" s="7" t="n">
        <x:v>72</x:v>
      </x:c>
      <x:c r="J792" s="9" t="n">
        <x:v>26.5</x:v>
      </x:c>
      <x:c r="K792" s="9" t="n">
        <x:v>6.8</x:v>
      </x:c>
      <x:c r="L792" s="7" t="n">
        <x:v>2024</x:v>
      </x:c>
      <x:c r="M792" s="11" t="n">
        <x:v>29343</x:v>
      </x:c>
      <x:c r="N792" s="7" t="n">
        <x:v>1</x:v>
      </x:c>
      <x:c r="O792" s="7" t="n">
        <x:v>0</x:v>
      </x:c>
      <x:c r="P792" s="9" t="n">
        <x:v>5.26</x:v>
      </x:c>
      <x:c r="Q792" s="7" t="n">
        <x:f>'Guide'!$B$5-L792</x:f>
        <x:v>2</x:v>
      </x:c>
      <x:c r="R792" s="9" t="n">
        <x:f>K792-P792</x:f>
        <x:v>1.54</x:v>
      </x:c>
      <x:c r="S792" s="10" t="n">
        <x:f>IF(K792&gt;0,R792/K792,"")</x:f>
        <x:v>0.22647058823529412</x:v>
      </x:c>
    </x:row>
    <x:row r="793">
      <x:c r="A793" s="7" t="n">
        <x:v>789</x:v>
      </x:c>
      <x:c r="B793" s="7" t="str">
        <x:v>Tata</x:v>
      </x:c>
      <x:c r="C793" s="7" t="str">
        <x:v>Tiago</x:v>
      </x:c>
      <x:c r="D793" s="7" t="str">
        <x:v>XE CNG</x:v>
      </x:c>
      <x:c r="E793" s="7" t="str">
        <x:v>CNG</x:v>
      </x:c>
      <x:c r="F793" s="7" t="str">
        <x:v>Manual</x:v>
      </x:c>
      <x:c r="G793" s="7" t="str">
        <x:v>Hatchback</x:v>
      </x:c>
      <x:c r="H793" s="7" t="n">
        <x:v>1199</x:v>
      </x:c>
      <x:c r="I793" s="7" t="n">
        <x:v>72</x:v>
      </x:c>
      <x:c r="J793" s="9" t="n">
        <x:v>26.5</x:v>
      </x:c>
      <x:c r="K793" s="9" t="n">
        <x:v>6.8</x:v>
      </x:c>
      <x:c r="L793" s="7" t="n">
        <x:v>2020</x:v>
      </x:c>
      <x:c r="M793" s="11" t="n">
        <x:v>53697</x:v>
      </x:c>
      <x:c r="N793" s="7" t="n">
        <x:v>1</x:v>
      </x:c>
      <x:c r="O793" s="7" t="n">
        <x:v>0</x:v>
      </x:c>
      <x:c r="P793" s="9" t="n">
        <x:v>3.09</x:v>
      </x:c>
      <x:c r="Q793" s="7" t="n">
        <x:f>'Guide'!$B$5-L793</x:f>
        <x:v>6</x:v>
      </x:c>
      <x:c r="R793" s="9" t="n">
        <x:f>K793-P793</x:f>
        <x:v>3.71</x:v>
      </x:c>
      <x:c r="S793" s="10" t="n">
        <x:f>IF(K793&gt;0,R793/K793,"")</x:f>
        <x:v>0.5455882352941177</x:v>
      </x:c>
    </x:row>
    <x:row r="794">
      <x:c r="A794" s="7" t="n">
        <x:v>790</x:v>
      </x:c>
      <x:c r="B794" s="7" t="str">
        <x:v>Tata</x:v>
      </x:c>
      <x:c r="C794" s="7" t="str">
        <x:v>Tiago</x:v>
      </x:c>
      <x:c r="D794" s="7" t="str">
        <x:v>XE CNG</x:v>
      </x:c>
      <x:c r="E794" s="7" t="str">
        <x:v>CNG</x:v>
      </x:c>
      <x:c r="F794" s="7" t="str">
        <x:v>Manual</x:v>
      </x:c>
      <x:c r="G794" s="7" t="str">
        <x:v>Hatchback</x:v>
      </x:c>
      <x:c r="H794" s="7" t="n">
        <x:v>1199</x:v>
      </x:c>
      <x:c r="I794" s="7" t="n">
        <x:v>72</x:v>
      </x:c>
      <x:c r="J794" s="9" t="n">
        <x:v>26.5</x:v>
      </x:c>
      <x:c r="K794" s="9" t="n">
        <x:v>6.8</x:v>
      </x:c>
      <x:c r="L794" s="7" t="n">
        <x:v>2024</x:v>
      </x:c>
      <x:c r="M794" s="11" t="n">
        <x:v>44912</x:v>
      </x:c>
      <x:c r="N794" s="7" t="n">
        <x:v>1</x:v>
      </x:c>
      <x:c r="O794" s="7" t="n">
        <x:v>0</x:v>
      </x:c>
      <x:c r="P794" s="9" t="n">
        <x:v>5.53</x:v>
      </x:c>
      <x:c r="Q794" s="7" t="n">
        <x:f>'Guide'!$B$5-L794</x:f>
        <x:v>2</x:v>
      </x:c>
      <x:c r="R794" s="9" t="n">
        <x:f>K794-P794</x:f>
        <x:v>1.2699999999999996</x:v>
      </x:c>
      <x:c r="S794" s="10" t="n">
        <x:f>IF(K794&gt;0,R794/K794,"")</x:f>
        <x:v>0.1867647058823529</x:v>
      </x:c>
    </x:row>
    <x:row r="795">
      <x:c r="A795" s="7" t="n">
        <x:v>791</x:v>
      </x:c>
      <x:c r="B795" s="7" t="str">
        <x:v>Tata</x:v>
      </x:c>
      <x:c r="C795" s="7" t="str">
        <x:v>Tiago</x:v>
      </x:c>
      <x:c r="D795" s="7" t="str">
        <x:v>XE CNG</x:v>
      </x:c>
      <x:c r="E795" s="7" t="str">
        <x:v>CNG</x:v>
      </x:c>
      <x:c r="F795" s="7" t="str">
        <x:v>Manual</x:v>
      </x:c>
      <x:c r="G795" s="7" t="str">
        <x:v>Hatchback</x:v>
      </x:c>
      <x:c r="H795" s="7" t="n">
        <x:v>1199</x:v>
      </x:c>
      <x:c r="I795" s="7" t="n">
        <x:v>72</x:v>
      </x:c>
      <x:c r="J795" s="9" t="n">
        <x:v>26.5</x:v>
      </x:c>
      <x:c r="K795" s="9" t="n">
        <x:v>6.8</x:v>
      </x:c>
      <x:c r="L795" s="7" t="n">
        <x:v>2023</x:v>
      </x:c>
      <x:c r="M795" s="11" t="n">
        <x:v>39795</x:v>
      </x:c>
      <x:c r="N795" s="7" t="n">
        <x:v>1</x:v>
      </x:c>
      <x:c r="O795" s="7" t="n">
        <x:v>0</x:v>
      </x:c>
      <x:c r="P795" s="9" t="n">
        <x:v>5.17</x:v>
      </x:c>
      <x:c r="Q795" s="7" t="n">
        <x:f>'Guide'!$B$5-L795</x:f>
        <x:v>3</x:v>
      </x:c>
      <x:c r="R795" s="9" t="n">
        <x:f>K795-P795</x:f>
        <x:v>1.63</x:v>
      </x:c>
      <x:c r="S795" s="10" t="n">
        <x:f>IF(K795&gt;0,R795/K795,"")</x:f>
        <x:v>0.23970588235294116</x:v>
      </x:c>
    </x:row>
    <x:row r="796">
      <x:c r="A796" s="7" t="n">
        <x:v>792</x:v>
      </x:c>
      <x:c r="B796" s="7" t="str">
        <x:v>Tata</x:v>
      </x:c>
      <x:c r="C796" s="7" t="str">
        <x:v>Tiago</x:v>
      </x:c>
      <x:c r="D796" s="7" t="str">
        <x:v>XE CNG</x:v>
      </x:c>
      <x:c r="E796" s="7" t="str">
        <x:v>CNG</x:v>
      </x:c>
      <x:c r="F796" s="7" t="str">
        <x:v>Manual</x:v>
      </x:c>
      <x:c r="G796" s="7" t="str">
        <x:v>Hatchback</x:v>
      </x:c>
      <x:c r="H796" s="7" t="n">
        <x:v>1199</x:v>
      </x:c>
      <x:c r="I796" s="7" t="n">
        <x:v>72</x:v>
      </x:c>
      <x:c r="J796" s="9" t="n">
        <x:v>26.5</x:v>
      </x:c>
      <x:c r="K796" s="9" t="n">
        <x:v>6.8</x:v>
      </x:c>
      <x:c r="L796" s="7" t="n">
        <x:v>2022</x:v>
      </x:c>
      <x:c r="M796" s="11" t="n">
        <x:v>83849</x:v>
      </x:c>
      <x:c r="N796" s="7" t="n">
        <x:v>1</x:v>
      </x:c>
      <x:c r="O796" s="7" t="n">
        <x:v>0</x:v>
      </x:c>
      <x:c r="P796" s="9" t="n">
        <x:v>4.16</x:v>
      </x:c>
      <x:c r="Q796" s="7" t="n">
        <x:f>'Guide'!$B$5-L796</x:f>
        <x:v>4</x:v>
      </x:c>
      <x:c r="R796" s="9" t="n">
        <x:f>K796-P796</x:f>
        <x:v>2.6399999999999997</x:v>
      </x:c>
      <x:c r="S796" s="10" t="n">
        <x:f>IF(K796&gt;0,R796/K796,"")</x:f>
        <x:v>0.388235294117647</x:v>
      </x:c>
    </x:row>
    <x:row r="797">
      <x:c r="A797" s="7" t="n">
        <x:v>793</x:v>
      </x:c>
      <x:c r="B797" s="7" t="str">
        <x:v>Tata</x:v>
      </x:c>
      <x:c r="C797" s="7" t="str">
        <x:v>Tiago</x:v>
      </x:c>
      <x:c r="D797" s="7" t="str">
        <x:v>XE CNG</x:v>
      </x:c>
      <x:c r="E797" s="7" t="str">
        <x:v>CNG</x:v>
      </x:c>
      <x:c r="F797" s="7" t="str">
        <x:v>Manual</x:v>
      </x:c>
      <x:c r="G797" s="7" t="str">
        <x:v>Hatchback</x:v>
      </x:c>
      <x:c r="H797" s="7" t="n">
        <x:v>1199</x:v>
      </x:c>
      <x:c r="I797" s="7" t="n">
        <x:v>72</x:v>
      </x:c>
      <x:c r="J797" s="9" t="n">
        <x:v>26.5</x:v>
      </x:c>
      <x:c r="K797" s="9" t="n">
        <x:v>6.8</x:v>
      </x:c>
      <x:c r="L797" s="7" t="n">
        <x:v>2025</x:v>
      </x:c>
      <x:c r="M797" s="11" t="n">
        <x:v>24240</x:v>
      </x:c>
      <x:c r="N797" s="7" t="n">
        <x:v>1</x:v>
      </x:c>
      <x:c r="O797" s="7" t="n">
        <x:v>0</x:v>
      </x:c>
      <x:c r="P797" s="9" t="n">
        <x:v>6.02</x:v>
      </x:c>
      <x:c r="Q797" s="7" t="n">
        <x:f>'Guide'!$B$5-L797</x:f>
        <x:v>1</x:v>
      </x:c>
      <x:c r="R797" s="9" t="n">
        <x:f>K797-P797</x:f>
        <x:v>0.7800000000000002</x:v>
      </x:c>
      <x:c r="S797" s="10" t="n">
        <x:f>IF(K797&gt;0,R797/K797,"")</x:f>
        <x:v>0.11470588235294121</x:v>
      </x:c>
    </x:row>
    <x:row r="798">
      <x:c r="A798" s="7" t="n">
        <x:v>794</x:v>
      </x:c>
      <x:c r="B798" s="7" t="str">
        <x:v>Tata</x:v>
      </x:c>
      <x:c r="C798" s="7" t="str">
        <x:v>Tiago</x:v>
      </x:c>
      <x:c r="D798" s="7" t="str">
        <x:v>XE CNG</x:v>
      </x:c>
      <x:c r="E798" s="7" t="str">
        <x:v>CNG</x:v>
      </x:c>
      <x:c r="F798" s="7" t="str">
        <x:v>Manual</x:v>
      </x:c>
      <x:c r="G798" s="7" t="str">
        <x:v>Hatchback</x:v>
      </x:c>
      <x:c r="H798" s="7" t="n">
        <x:v>1199</x:v>
      </x:c>
      <x:c r="I798" s="7" t="n">
        <x:v>72</x:v>
      </x:c>
      <x:c r="J798" s="9" t="n">
        <x:v>26.5</x:v>
      </x:c>
      <x:c r="K798" s="9" t="n">
        <x:v>6.8</x:v>
      </x:c>
      <x:c r="L798" s="7" t="n">
        <x:v>2025</x:v>
      </x:c>
      <x:c r="M798" s="11" t="n">
        <x:v>20212</x:v>
      </x:c>
      <x:c r="N798" s="7" t="n">
        <x:v>2</x:v>
      </x:c>
      <x:c r="O798" s="7" t="n">
        <x:v>1</x:v>
      </x:c>
      <x:c r="P798" s="9" t="n">
        <x:v>4.69</x:v>
      </x:c>
      <x:c r="Q798" s="7" t="n">
        <x:f>'Guide'!$B$5-L798</x:f>
        <x:v>1</x:v>
      </x:c>
      <x:c r="R798" s="9" t="n">
        <x:f>K798-P798</x:f>
        <x:v>2.1099999999999994</x:v>
      </x:c>
      <x:c r="S798" s="10" t="n">
        <x:f>IF(K798&gt;0,R798/K798,"")</x:f>
        <x:v>0.3102941176470587</x:v>
      </x:c>
    </x:row>
    <x:row r="799">
      <x:c r="A799" s="7" t="n">
        <x:v>795</x:v>
      </x:c>
      <x:c r="B799" s="7" t="str">
        <x:v>Tata</x:v>
      </x:c>
      <x:c r="C799" s="7" t="str">
        <x:v>Tiago</x:v>
      </x:c>
      <x:c r="D799" s="7" t="str">
        <x:v>XE CNG</x:v>
      </x:c>
      <x:c r="E799" s="7" t="str">
        <x:v>CNG</x:v>
      </x:c>
      <x:c r="F799" s="7" t="str">
        <x:v>Manual</x:v>
      </x:c>
      <x:c r="G799" s="7" t="str">
        <x:v>Hatchback</x:v>
      </x:c>
      <x:c r="H799" s="7" t="n">
        <x:v>1199</x:v>
      </x:c>
      <x:c r="I799" s="7" t="n">
        <x:v>72</x:v>
      </x:c>
      <x:c r="J799" s="9" t="n">
        <x:v>26.5</x:v>
      </x:c>
      <x:c r="K799" s="9" t="n">
        <x:v>6.8</x:v>
      </x:c>
      <x:c r="L799" s="7" t="n">
        <x:v>2021</x:v>
      </x:c>
      <x:c r="M799" s="11" t="n">
        <x:v>90205</x:v>
      </x:c>
      <x:c r="N799" s="7" t="n">
        <x:v>3</x:v>
      </x:c>
      <x:c r="O799" s="7" t="n">
        <x:v>0</x:v>
      </x:c>
      <x:c r="P799" s="9" t="n">
        <x:v>2.24</x:v>
      </x:c>
      <x:c r="Q799" s="7" t="n">
        <x:f>'Guide'!$B$5-L799</x:f>
        <x:v>5</x:v>
      </x:c>
      <x:c r="R799" s="9" t="n">
        <x:f>K799-P799</x:f>
        <x:v>4.56</x:v>
      </x:c>
      <x:c r="S799" s="10" t="n">
        <x:f>IF(K799&gt;0,R799/K799,"")</x:f>
        <x:v>0.6705882352941176</x:v>
      </x:c>
    </x:row>
    <x:row r="800">
      <x:c r="A800" s="7" t="n">
        <x:v>796</x:v>
      </x:c>
      <x:c r="B800" s="7" t="str">
        <x:v>Tata</x:v>
      </x:c>
      <x:c r="C800" s="7" t="str">
        <x:v>Tiago</x:v>
      </x:c>
      <x:c r="D800" s="7" t="str">
        <x:v>XE CNG</x:v>
      </x:c>
      <x:c r="E800" s="7" t="str">
        <x:v>CNG</x:v>
      </x:c>
      <x:c r="F800" s="7" t="str">
        <x:v>Manual</x:v>
      </x:c>
      <x:c r="G800" s="7" t="str">
        <x:v>Hatchback</x:v>
      </x:c>
      <x:c r="H800" s="7" t="n">
        <x:v>1199</x:v>
      </x:c>
      <x:c r="I800" s="7" t="n">
        <x:v>72</x:v>
      </x:c>
      <x:c r="J800" s="9" t="n">
        <x:v>26.5</x:v>
      </x:c>
      <x:c r="K800" s="9" t="n">
        <x:v>6.8</x:v>
      </x:c>
      <x:c r="L800" s="7" t="n">
        <x:v>2024</x:v>
      </x:c>
      <x:c r="M800" s="11" t="n">
        <x:v>33815</x:v>
      </x:c>
      <x:c r="N800" s="7" t="n">
        <x:v>1</x:v>
      </x:c>
      <x:c r="O800" s="7" t="n">
        <x:v>0</x:v>
      </x:c>
      <x:c r="P800" s="9" t="n">
        <x:v>5.79</x:v>
      </x:c>
      <x:c r="Q800" s="7" t="n">
        <x:f>'Guide'!$B$5-L800</x:f>
        <x:v>2</x:v>
      </x:c>
      <x:c r="R800" s="9" t="n">
        <x:f>K800-P800</x:f>
        <x:v>1.0099999999999998</x:v>
      </x:c>
      <x:c r="S800" s="10" t="n">
        <x:f>IF(K800&gt;0,R800/K800,"")</x:f>
        <x:v>0.14852941176470585</x:v>
      </x:c>
    </x:row>
    <x:row r="801">
      <x:c r="A801" s="7" t="n">
        <x:v>797</x:v>
      </x:c>
      <x:c r="B801" s="7" t="str">
        <x:v>Tata</x:v>
      </x:c>
      <x:c r="C801" s="7" t="str">
        <x:v>Tiago</x:v>
      </x:c>
      <x:c r="D801" s="7" t="str">
        <x:v>XE CNG</x:v>
      </x:c>
      <x:c r="E801" s="7" t="str">
        <x:v>CNG</x:v>
      </x:c>
      <x:c r="F801" s="7" t="str">
        <x:v>Manual</x:v>
      </x:c>
      <x:c r="G801" s="7" t="str">
        <x:v>Hatchback</x:v>
      </x:c>
      <x:c r="H801" s="7" t="n">
        <x:v>1199</x:v>
      </x:c>
      <x:c r="I801" s="7" t="n">
        <x:v>72</x:v>
      </x:c>
      <x:c r="J801" s="9" t="n">
        <x:v>26.5</x:v>
      </x:c>
      <x:c r="K801" s="9" t="n">
        <x:v>6.8</x:v>
      </x:c>
      <x:c r="L801" s="7" t="n">
        <x:v>2023</x:v>
      </x:c>
      <x:c r="M801" s="11" t="n">
        <x:v>50092</x:v>
      </x:c>
      <x:c r="N801" s="7" t="n">
        <x:v>1</x:v>
      </x:c>
      <x:c r="O801" s="7" t="n">
        <x:v>0</x:v>
      </x:c>
      <x:c r="P801" s="9" t="n">
        <x:v>5.04</x:v>
      </x:c>
      <x:c r="Q801" s="7" t="n">
        <x:f>'Guide'!$B$5-L801</x:f>
        <x:v>3</x:v>
      </x:c>
      <x:c r="R801" s="9" t="n">
        <x:f>K801-P801</x:f>
        <x:v>1.7599999999999998</x:v>
      </x:c>
      <x:c r="S801" s="10" t="n">
        <x:f>IF(K801&gt;0,R801/K801,"")</x:f>
        <x:v>0.2588235294117647</x:v>
      </x:c>
    </x:row>
    <x:row r="802">
      <x:c r="A802" s="7" t="n">
        <x:v>798</x:v>
      </x:c>
      <x:c r="B802" s="7" t="str">
        <x:v>Tata</x:v>
      </x:c>
      <x:c r="C802" s="7" t="str">
        <x:v>Tiago</x:v>
      </x:c>
      <x:c r="D802" s="7" t="str">
        <x:v>XE CNG</x:v>
      </x:c>
      <x:c r="E802" s="7" t="str">
        <x:v>CNG</x:v>
      </x:c>
      <x:c r="F802" s="7" t="str">
        <x:v>Manual</x:v>
      </x:c>
      <x:c r="G802" s="7" t="str">
        <x:v>Hatchback</x:v>
      </x:c>
      <x:c r="H802" s="7" t="n">
        <x:v>1199</x:v>
      </x:c>
      <x:c r="I802" s="7" t="n">
        <x:v>72</x:v>
      </x:c>
      <x:c r="J802" s="9" t="n">
        <x:v>26.5</x:v>
      </x:c>
      <x:c r="K802" s="9" t="n">
        <x:v>6.8</x:v>
      </x:c>
      <x:c r="L802" s="7" t="n">
        <x:v>2024</x:v>
      </x:c>
      <x:c r="M802" s="11" t="n">
        <x:v>40674</x:v>
      </x:c>
      <x:c r="N802" s="7" t="n">
        <x:v>1</x:v>
      </x:c>
      <x:c r="O802" s="7" t="n">
        <x:v>0</x:v>
      </x:c>
      <x:c r="P802" s="9" t="n">
        <x:v>5.58</x:v>
      </x:c>
      <x:c r="Q802" s="7" t="n">
        <x:f>'Guide'!$B$5-L802</x:f>
        <x:v>2</x:v>
      </x:c>
      <x:c r="R802" s="9" t="n">
        <x:f>K802-P802</x:f>
        <x:v>1.2199999999999998</x:v>
      </x:c>
      <x:c r="S802" s="10" t="n">
        <x:f>IF(K802&gt;0,R802/K802,"")</x:f>
        <x:v>0.17941176470588233</x:v>
      </x:c>
    </x:row>
    <x:row r="803">
      <x:c r="A803" s="7" t="n">
        <x:v>799</x:v>
      </x:c>
      <x:c r="B803" s="7" t="str">
        <x:v>Tata</x:v>
      </x:c>
      <x:c r="C803" s="7" t="str">
        <x:v>Tiago</x:v>
      </x:c>
      <x:c r="D803" s="7" t="str">
        <x:v>XE CNG</x:v>
      </x:c>
      <x:c r="E803" s="7" t="str">
        <x:v>CNG</x:v>
      </x:c>
      <x:c r="F803" s="7" t="str">
        <x:v>Manual</x:v>
      </x:c>
      <x:c r="G803" s="7" t="str">
        <x:v>Hatchback</x:v>
      </x:c>
      <x:c r="H803" s="7" t="n">
        <x:v>1199</x:v>
      </x:c>
      <x:c r="I803" s="7" t="n">
        <x:v>72</x:v>
      </x:c>
      <x:c r="J803" s="9" t="n">
        <x:v>26.5</x:v>
      </x:c>
      <x:c r="K803" s="9" t="n">
        <x:v>6.8</x:v>
      </x:c>
      <x:c r="L803" s="7" t="n">
        <x:v>2021</x:v>
      </x:c>
      <x:c r="M803" s="11" t="n">
        <x:v>82523</x:v>
      </x:c>
      <x:c r="N803" s="7" t="n">
        <x:v>2</x:v>
      </x:c>
      <x:c r="O803" s="7" t="n">
        <x:v>0</x:v>
      </x:c>
      <x:c r="P803" s="9" t="n">
        <x:v>3.15</x:v>
      </x:c>
      <x:c r="Q803" s="7" t="n">
        <x:f>'Guide'!$B$5-L803</x:f>
        <x:v>5</x:v>
      </x:c>
      <x:c r="R803" s="9" t="n">
        <x:f>K803-P803</x:f>
        <x:v>3.65</x:v>
      </x:c>
      <x:c r="S803" s="10" t="n">
        <x:f>IF(K803&gt;0,R803/K803,"")</x:f>
        <x:v>0.5367647058823529</x:v>
      </x:c>
    </x:row>
    <x:row r="804">
      <x:c r="A804" s="7" t="n">
        <x:v>800</x:v>
      </x:c>
      <x:c r="B804" s="7" t="str">
        <x:v>Tata</x:v>
      </x:c>
      <x:c r="C804" s="7" t="str">
        <x:v>Tiago</x:v>
      </x:c>
      <x:c r="D804" s="7" t="str">
        <x:v>XE CNG</x:v>
      </x:c>
      <x:c r="E804" s="7" t="str">
        <x:v>CNG</x:v>
      </x:c>
      <x:c r="F804" s="7" t="str">
        <x:v>Manual</x:v>
      </x:c>
      <x:c r="G804" s="7" t="str">
        <x:v>Hatchback</x:v>
      </x:c>
      <x:c r="H804" s="7" t="n">
        <x:v>1199</x:v>
      </x:c>
      <x:c r="I804" s="7" t="n">
        <x:v>72</x:v>
      </x:c>
      <x:c r="J804" s="9" t="n">
        <x:v>26.5</x:v>
      </x:c>
      <x:c r="K804" s="9" t="n">
        <x:v>6.8</x:v>
      </x:c>
      <x:c r="L804" s="7" t="n">
        <x:v>2025</x:v>
      </x:c>
      <x:c r="M804" s="11" t="n">
        <x:v>21320</x:v>
      </x:c>
      <x:c r="N804" s="7" t="n">
        <x:v>1</x:v>
      </x:c>
      <x:c r="O804" s="7" t="n">
        <x:v>0</x:v>
      </x:c>
      <x:c r="P804" s="9" t="n">
        <x:v>6.19</x:v>
      </x:c>
      <x:c r="Q804" s="7" t="n">
        <x:f>'Guide'!$B$5-L804</x:f>
        <x:v>1</x:v>
      </x:c>
      <x:c r="R804" s="9" t="n">
        <x:f>K804-P804</x:f>
        <x:v>0.6099999999999994</x:v>
      </x:c>
      <x:c r="S804" s="10" t="n">
        <x:f>IF(K804&gt;0,R804/K804,"")</x:f>
        <x:v>0.0897058823529411</x:v>
      </x:c>
    </x:row>
    <x:row r="805">
      <x:c r="A805" s="7" t="n">
        <x:v>801</x:v>
      </x:c>
      <x:c r="B805" s="7" t="str">
        <x:v>Tata</x:v>
      </x:c>
      <x:c r="C805" s="7" t="str">
        <x:v>Tigor</x:v>
      </x:c>
      <x:c r="D805" s="7" t="str">
        <x:v>XE</x:v>
      </x:c>
      <x:c r="E805" s="7" t="str">
        <x:v>Petrol</x:v>
      </x:c>
      <x:c r="F805" s="7" t="str">
        <x:v>Manual</x:v>
      </x:c>
      <x:c r="G805" s="7" t="str">
        <x:v>Sedan</x:v>
      </x:c>
      <x:c r="H805" s="7" t="n">
        <x:v>1199</x:v>
      </x:c>
      <x:c r="I805" s="7" t="n">
        <x:v>85</x:v>
      </x:c>
      <x:c r="J805" s="9" t="n">
        <x:v>20.3</x:v>
      </x:c>
      <x:c r="K805" s="9" t="n">
        <x:v>6.4</x:v>
      </x:c>
      <x:c r="L805" s="7" t="n">
        <x:v>2023</x:v>
      </x:c>
      <x:c r="M805" s="11" t="n">
        <x:v>30472</x:v>
      </x:c>
      <x:c r="N805" s="7" t="n">
        <x:v>1</x:v>
      </x:c>
      <x:c r="O805" s="7" t="n">
        <x:v>0</x:v>
      </x:c>
      <x:c r="P805" s="9" t="n">
        <x:v>4.69</x:v>
      </x:c>
      <x:c r="Q805" s="7" t="n">
        <x:f>'Guide'!$B$5-L805</x:f>
        <x:v>3</x:v>
      </x:c>
      <x:c r="R805" s="9" t="n">
        <x:f>K805-P805</x:f>
        <x:v>1.71</x:v>
      </x:c>
      <x:c r="S805" s="10" t="n">
        <x:f>IF(K805&gt;0,R805/K805,"")</x:f>
        <x:v>0.26718749999999997</x:v>
      </x:c>
    </x:row>
    <x:row r="806">
      <x:c r="A806" s="7" t="n">
        <x:v>802</x:v>
      </x:c>
      <x:c r="B806" s="7" t="str">
        <x:v>Tata</x:v>
      </x:c>
      <x:c r="C806" s="7" t="str">
        <x:v>Tigor</x:v>
      </x:c>
      <x:c r="D806" s="7" t="str">
        <x:v>XE</x:v>
      </x:c>
      <x:c r="E806" s="7" t="str">
        <x:v>Petrol</x:v>
      </x:c>
      <x:c r="F806" s="7" t="str">
        <x:v>Manual</x:v>
      </x:c>
      <x:c r="G806" s="7" t="str">
        <x:v>Sedan</x:v>
      </x:c>
      <x:c r="H806" s="7" t="n">
        <x:v>1199</x:v>
      </x:c>
      <x:c r="I806" s="7" t="n">
        <x:v>85</x:v>
      </x:c>
      <x:c r="J806" s="9" t="n">
        <x:v>20.3</x:v>
      </x:c>
      <x:c r="K806" s="9" t="n">
        <x:v>6.4</x:v>
      </x:c>
      <x:c r="L806" s="7" t="n">
        <x:v>2025</x:v>
      </x:c>
      <x:c r="M806" s="11" t="n">
        <x:v>28838</x:v>
      </x:c>
      <x:c r="N806" s="7" t="n">
        <x:v>2</x:v>
      </x:c>
      <x:c r="O806" s="7" t="n">
        <x:v>0</x:v>
      </x:c>
      <x:c r="P806" s="9" t="n">
        <x:v>5.34</x:v>
      </x:c>
      <x:c r="Q806" s="7" t="n">
        <x:f>'Guide'!$B$5-L806</x:f>
        <x:v>1</x:v>
      </x:c>
      <x:c r="R806" s="9" t="n">
        <x:f>K806-P806</x:f>
        <x:v>1.0600000000000005</x:v>
      </x:c>
      <x:c r="S806" s="10" t="n">
        <x:f>IF(K806&gt;0,R806/K806,"")</x:f>
        <x:v>0.16562500000000008</x:v>
      </x:c>
    </x:row>
    <x:row r="807">
      <x:c r="A807" s="7" t="n">
        <x:v>803</x:v>
      </x:c>
      <x:c r="B807" s="7" t="str">
        <x:v>Tata</x:v>
      </x:c>
      <x:c r="C807" s="7" t="str">
        <x:v>Tigor</x:v>
      </x:c>
      <x:c r="D807" s="7" t="str">
        <x:v>XE</x:v>
      </x:c>
      <x:c r="E807" s="7" t="str">
        <x:v>Petrol</x:v>
      </x:c>
      <x:c r="F807" s="7" t="str">
        <x:v>Manual</x:v>
      </x:c>
      <x:c r="G807" s="7" t="str">
        <x:v>Sedan</x:v>
      </x:c>
      <x:c r="H807" s="7" t="n">
        <x:v>1199</x:v>
      </x:c>
      <x:c r="I807" s="7" t="n">
        <x:v>85</x:v>
      </x:c>
      <x:c r="J807" s="9" t="n">
        <x:v>20.3</x:v>
      </x:c>
      <x:c r="K807" s="9" t="n">
        <x:v>6.4</x:v>
      </x:c>
      <x:c r="L807" s="7" t="n">
        <x:v>2022</x:v>
      </x:c>
      <x:c r="M807" s="11" t="n">
        <x:v>84040</x:v>
      </x:c>
      <x:c r="N807" s="7" t="n">
        <x:v>1</x:v>
      </x:c>
      <x:c r="O807" s="7" t="n">
        <x:v>0</x:v>
      </x:c>
      <x:c r="P807" s="9" t="n">
        <x:v>3.69</x:v>
      </x:c>
      <x:c r="Q807" s="7" t="n">
        <x:f>'Guide'!$B$5-L807</x:f>
        <x:v>4</x:v>
      </x:c>
      <x:c r="R807" s="9" t="n">
        <x:f>K807-P807</x:f>
        <x:v>2.7100000000000004</x:v>
      </x:c>
      <x:c r="S807" s="10" t="n">
        <x:f>IF(K807&gt;0,R807/K807,"")</x:f>
        <x:v>0.4234375</x:v>
      </x:c>
    </x:row>
    <x:row r="808">
      <x:c r="A808" s="7" t="n">
        <x:v>804</x:v>
      </x:c>
      <x:c r="B808" s="7" t="str">
        <x:v>Tata</x:v>
      </x:c>
      <x:c r="C808" s="7" t="str">
        <x:v>Tigor</x:v>
      </x:c>
      <x:c r="D808" s="7" t="str">
        <x:v>XE</x:v>
      </x:c>
      <x:c r="E808" s="7" t="str">
        <x:v>Petrol</x:v>
      </x:c>
      <x:c r="F808" s="7" t="str">
        <x:v>Manual</x:v>
      </x:c>
      <x:c r="G808" s="7" t="str">
        <x:v>Sedan</x:v>
      </x:c>
      <x:c r="H808" s="7" t="n">
        <x:v>1199</x:v>
      </x:c>
      <x:c r="I808" s="7" t="n">
        <x:v>85</x:v>
      </x:c>
      <x:c r="J808" s="9" t="n">
        <x:v>20.3</x:v>
      </x:c>
      <x:c r="K808" s="9" t="n">
        <x:v>6.4</x:v>
      </x:c>
      <x:c r="L808" s="7" t="n">
        <x:v>2022</x:v>
      </x:c>
      <x:c r="M808" s="11" t="n">
        <x:v>37834</x:v>
      </x:c>
      <x:c r="N808" s="7" t="n">
        <x:v>1</x:v>
      </x:c>
      <x:c r="O808" s="7" t="n">
        <x:v>0</x:v>
      </x:c>
      <x:c r="P808" s="9" t="n">
        <x:v>4.17</x:v>
      </x:c>
      <x:c r="Q808" s="7" t="n">
        <x:f>'Guide'!$B$5-L808</x:f>
        <x:v>4</x:v>
      </x:c>
      <x:c r="R808" s="9" t="n">
        <x:f>K808-P808</x:f>
        <x:v>2.2300000000000004</x:v>
      </x:c>
      <x:c r="S808" s="10" t="n">
        <x:f>IF(K808&gt;0,R808/K808,"")</x:f>
        <x:v>0.34843750000000007</x:v>
      </x:c>
    </x:row>
    <x:row r="809">
      <x:c r="A809" s="7" t="n">
        <x:v>805</x:v>
      </x:c>
      <x:c r="B809" s="7" t="str">
        <x:v>Tata</x:v>
      </x:c>
      <x:c r="C809" s="7" t="str">
        <x:v>Tigor</x:v>
      </x:c>
      <x:c r="D809" s="7" t="str">
        <x:v>XE</x:v>
      </x:c>
      <x:c r="E809" s="7" t="str">
        <x:v>Petrol</x:v>
      </x:c>
      <x:c r="F809" s="7" t="str">
        <x:v>Manual</x:v>
      </x:c>
      <x:c r="G809" s="7" t="str">
        <x:v>Sedan</x:v>
      </x:c>
      <x:c r="H809" s="7" t="n">
        <x:v>1199</x:v>
      </x:c>
      <x:c r="I809" s="7" t="n">
        <x:v>85</x:v>
      </x:c>
      <x:c r="J809" s="9" t="n">
        <x:v>20.3</x:v>
      </x:c>
      <x:c r="K809" s="9" t="n">
        <x:v>6.4</x:v>
      </x:c>
      <x:c r="L809" s="7" t="n">
        <x:v>2020</x:v>
      </x:c>
      <x:c r="M809" s="11" t="n">
        <x:v>124172</x:v>
      </x:c>
      <x:c r="N809" s="7" t="n">
        <x:v>1</x:v>
      </x:c>
      <x:c r="O809" s="7" t="n">
        <x:v>0</x:v>
      </x:c>
      <x:c r="P809" s="9" t="n">
        <x:v>2.21</x:v>
      </x:c>
      <x:c r="Q809" s="7" t="n">
        <x:f>'Guide'!$B$5-L809</x:f>
        <x:v>6</x:v>
      </x:c>
      <x:c r="R809" s="9" t="n">
        <x:f>K809-P809</x:f>
        <x:v>4.19</x:v>
      </x:c>
      <x:c r="S809" s="10" t="n">
        <x:f>IF(K809&gt;0,R809/K809,"")</x:f>
        <x:v>0.6546875</x:v>
      </x:c>
    </x:row>
    <x:row r="810">
      <x:c r="A810" s="7" t="n">
        <x:v>806</x:v>
      </x:c>
      <x:c r="B810" s="7" t="str">
        <x:v>Tata</x:v>
      </x:c>
      <x:c r="C810" s="7" t="str">
        <x:v>Tigor</x:v>
      </x:c>
      <x:c r="D810" s="7" t="str">
        <x:v>XE</x:v>
      </x:c>
      <x:c r="E810" s="7" t="str">
        <x:v>Petrol</x:v>
      </x:c>
      <x:c r="F810" s="7" t="str">
        <x:v>Manual</x:v>
      </x:c>
      <x:c r="G810" s="7" t="str">
        <x:v>Sedan</x:v>
      </x:c>
      <x:c r="H810" s="7" t="n">
        <x:v>1199</x:v>
      </x:c>
      <x:c r="I810" s="7" t="n">
        <x:v>85</x:v>
      </x:c>
      <x:c r="J810" s="9" t="n">
        <x:v>20.3</x:v>
      </x:c>
      <x:c r="K810" s="9" t="n">
        <x:v>6.4</x:v>
      </x:c>
      <x:c r="L810" s="7" t="n">
        <x:v>2026</x:v>
      </x:c>
      <x:c r="M810" s="11" t="n">
        <x:v>6041</x:v>
      </x:c>
      <x:c r="N810" s="7" t="n">
        <x:v>1</x:v>
      </x:c>
      <x:c r="O810" s="7" t="n">
        <x:v>0</x:v>
      </x:c>
      <x:c r="P810" s="9" t="n">
        <x:v>6.36</x:v>
      </x:c>
      <x:c r="Q810" s="7" t="n">
        <x:f>'Guide'!$B$5-L810</x:f>
        <x:v>0</x:v>
      </x:c>
      <x:c r="R810" s="9" t="n">
        <x:f>K810-P810</x:f>
        <x:v>0.040000000000000036</x:v>
      </x:c>
      <x:c r="S810" s="10" t="n">
        <x:f>IF(K810&gt;0,R810/K810,"")</x:f>
        <x:v>0.0062500000000000056</x:v>
      </x:c>
    </x:row>
    <x:row r="811">
      <x:c r="A811" s="7" t="n">
        <x:v>807</x:v>
      </x:c>
      <x:c r="B811" s="7" t="str">
        <x:v>Tata</x:v>
      </x:c>
      <x:c r="C811" s="7" t="str">
        <x:v>Tigor</x:v>
      </x:c>
      <x:c r="D811" s="7" t="str">
        <x:v>XE</x:v>
      </x:c>
      <x:c r="E811" s="7" t="str">
        <x:v>Petrol</x:v>
      </x:c>
      <x:c r="F811" s="7" t="str">
        <x:v>Manual</x:v>
      </x:c>
      <x:c r="G811" s="7" t="str">
        <x:v>Sedan</x:v>
      </x:c>
      <x:c r="H811" s="7" t="n">
        <x:v>1199</x:v>
      </x:c>
      <x:c r="I811" s="7" t="n">
        <x:v>85</x:v>
      </x:c>
      <x:c r="J811" s="9" t="n">
        <x:v>20.3</x:v>
      </x:c>
      <x:c r="K811" s="9" t="n">
        <x:v>6.4</x:v>
      </x:c>
      <x:c r="L811" s="7" t="n">
        <x:v>2025</x:v>
      </x:c>
      <x:c r="M811" s="11" t="n">
        <x:v>14104</x:v>
      </x:c>
      <x:c r="N811" s="7" t="n">
        <x:v>1</x:v>
      </x:c>
      <x:c r="O811" s="7" t="n">
        <x:v>0</x:v>
      </x:c>
      <x:c r="P811" s="9" t="n">
        <x:v>5.87</x:v>
      </x:c>
      <x:c r="Q811" s="7" t="n">
        <x:f>'Guide'!$B$5-L811</x:f>
        <x:v>1</x:v>
      </x:c>
      <x:c r="R811" s="9" t="n">
        <x:f>K811-P811</x:f>
        <x:v>0.5300000000000002</x:v>
      </x:c>
      <x:c r="S811" s="10" t="n">
        <x:f>IF(K811&gt;0,R811/K811,"")</x:f>
        <x:v>0.08281250000000004</x:v>
      </x:c>
    </x:row>
    <x:row r="812">
      <x:c r="A812" s="7" t="n">
        <x:v>808</x:v>
      </x:c>
      <x:c r="B812" s="7" t="str">
        <x:v>Tata</x:v>
      </x:c>
      <x:c r="C812" s="7" t="str">
        <x:v>Tigor</x:v>
      </x:c>
      <x:c r="D812" s="7" t="str">
        <x:v>XE</x:v>
      </x:c>
      <x:c r="E812" s="7" t="str">
        <x:v>Petrol</x:v>
      </x:c>
      <x:c r="F812" s="7" t="str">
        <x:v>Manual</x:v>
      </x:c>
      <x:c r="G812" s="7" t="str">
        <x:v>Sedan</x:v>
      </x:c>
      <x:c r="H812" s="7" t="n">
        <x:v>1199</x:v>
      </x:c>
      <x:c r="I812" s="7" t="n">
        <x:v>85</x:v>
      </x:c>
      <x:c r="J812" s="9" t="n">
        <x:v>20.3</x:v>
      </x:c>
      <x:c r="K812" s="9" t="n">
        <x:v>6.4</x:v>
      </x:c>
      <x:c r="L812" s="7" t="n">
        <x:v>2025</x:v>
      </x:c>
      <x:c r="M812" s="11" t="n">
        <x:v>13160</x:v>
      </x:c>
      <x:c r="N812" s="7" t="n">
        <x:v>1</x:v>
      </x:c>
      <x:c r="O812" s="7" t="n">
        <x:v>0</x:v>
      </x:c>
      <x:c r="P812" s="9" t="n">
        <x:v>5.68</x:v>
      </x:c>
      <x:c r="Q812" s="7" t="n">
        <x:f>'Guide'!$B$5-L812</x:f>
        <x:v>1</x:v>
      </x:c>
      <x:c r="R812" s="9" t="n">
        <x:f>K812-P812</x:f>
        <x:v>0.7200000000000006</x:v>
      </x:c>
      <x:c r="S812" s="10" t="n">
        <x:f>IF(K812&gt;0,R812/K812,"")</x:f>
        <x:v>0.1125000000000001</x:v>
      </x:c>
    </x:row>
    <x:row r="813">
      <x:c r="A813" s="7" t="n">
        <x:v>809</x:v>
      </x:c>
      <x:c r="B813" s="7" t="str">
        <x:v>Tata</x:v>
      </x:c>
      <x:c r="C813" s="7" t="str">
        <x:v>Tigor</x:v>
      </x:c>
      <x:c r="D813" s="7" t="str">
        <x:v>XE</x:v>
      </x:c>
      <x:c r="E813" s="7" t="str">
        <x:v>Petrol</x:v>
      </x:c>
      <x:c r="F813" s="7" t="str">
        <x:v>Manual</x:v>
      </x:c>
      <x:c r="G813" s="7" t="str">
        <x:v>Sedan</x:v>
      </x:c>
      <x:c r="H813" s="7" t="n">
        <x:v>1199</x:v>
      </x:c>
      <x:c r="I813" s="7" t="n">
        <x:v>85</x:v>
      </x:c>
      <x:c r="J813" s="9" t="n">
        <x:v>20.3</x:v>
      </x:c>
      <x:c r="K813" s="9" t="n">
        <x:v>6.4</x:v>
      </x:c>
      <x:c r="L813" s="7" t="n">
        <x:v>2025</x:v>
      </x:c>
      <x:c r="M813" s="11" t="n">
        <x:v>24403</x:v>
      </x:c>
      <x:c r="N813" s="7" t="n">
        <x:v>1</x:v>
      </x:c>
      <x:c r="O813" s="7" t="n">
        <x:v>0</x:v>
      </x:c>
      <x:c r="P813" s="9" t="n">
        <x:v>5.75</x:v>
      </x:c>
      <x:c r="Q813" s="7" t="n">
        <x:f>'Guide'!$B$5-L813</x:f>
        <x:v>1</x:v>
      </x:c>
      <x:c r="R813" s="9" t="n">
        <x:f>K813-P813</x:f>
        <x:v>0.6500000000000004</x:v>
      </x:c>
      <x:c r="S813" s="10" t="n">
        <x:f>IF(K813&gt;0,R813/K813,"")</x:f>
        <x:v>0.10156250000000006</x:v>
      </x:c>
    </x:row>
    <x:row r="814">
      <x:c r="A814" s="7" t="n">
        <x:v>810</x:v>
      </x:c>
      <x:c r="B814" s="7" t="str">
        <x:v>Tata</x:v>
      </x:c>
      <x:c r="C814" s="7" t="str">
        <x:v>Tigor</x:v>
      </x:c>
      <x:c r="D814" s="7" t="str">
        <x:v>XE</x:v>
      </x:c>
      <x:c r="E814" s="7" t="str">
        <x:v>Petrol</x:v>
      </x:c>
      <x:c r="F814" s="7" t="str">
        <x:v>Manual</x:v>
      </x:c>
      <x:c r="G814" s="7" t="str">
        <x:v>Sedan</x:v>
      </x:c>
      <x:c r="H814" s="7" t="n">
        <x:v>1199</x:v>
      </x:c>
      <x:c r="I814" s="7" t="n">
        <x:v>85</x:v>
      </x:c>
      <x:c r="J814" s="9" t="n">
        <x:v>20.3</x:v>
      </x:c>
      <x:c r="K814" s="9" t="n">
        <x:v>6.4</x:v>
      </x:c>
      <x:c r="L814" s="7" t="n">
        <x:v>2021</x:v>
      </x:c>
      <x:c r="M814" s="11" t="n">
        <x:v>96815</x:v>
      </x:c>
      <x:c r="N814" s="7" t="n">
        <x:v>2</x:v>
      </x:c>
      <x:c r="O814" s="7" t="n">
        <x:v>1</x:v>
      </x:c>
      <x:c r="P814" s="9" t="n">
        <x:v>2.05</x:v>
      </x:c>
      <x:c r="Q814" s="7" t="n">
        <x:f>'Guide'!$B$5-L814</x:f>
        <x:v>5</x:v>
      </x:c>
      <x:c r="R814" s="9" t="n">
        <x:f>K814-P814</x:f>
        <x:v>4.3500000000000005</x:v>
      </x:c>
      <x:c r="S814" s="10" t="n">
        <x:f>IF(K814&gt;0,R814/K814,"")</x:f>
        <x:v>0.6796875</x:v>
      </x:c>
    </x:row>
    <x:row r="815">
      <x:c r="A815" s="7" t="n">
        <x:v>811</x:v>
      </x:c>
      <x:c r="B815" s="7" t="str">
        <x:v>Tata</x:v>
      </x:c>
      <x:c r="C815" s="7" t="str">
        <x:v>Tigor</x:v>
      </x:c>
      <x:c r="D815" s="7" t="str">
        <x:v>XE</x:v>
      </x:c>
      <x:c r="E815" s="7" t="str">
        <x:v>Petrol</x:v>
      </x:c>
      <x:c r="F815" s="7" t="str">
        <x:v>Manual</x:v>
      </x:c>
      <x:c r="G815" s="7" t="str">
        <x:v>Sedan</x:v>
      </x:c>
      <x:c r="H815" s="7" t="n">
        <x:v>1199</x:v>
      </x:c>
      <x:c r="I815" s="7" t="n">
        <x:v>85</x:v>
      </x:c>
      <x:c r="J815" s="9" t="n">
        <x:v>20.3</x:v>
      </x:c>
      <x:c r="K815" s="9" t="n">
        <x:v>6.4</x:v>
      </x:c>
      <x:c r="L815" s="7" t="n">
        <x:v>2020</x:v>
      </x:c>
      <x:c r="M815" s="11" t="n">
        <x:v>58083</x:v>
      </x:c>
      <x:c r="N815" s="7" t="n">
        <x:v>1</x:v>
      </x:c>
      <x:c r="O815" s="7" t="n">
        <x:v>0</x:v>
      </x:c>
      <x:c r="P815" s="9" t="n">
        <x:v>3.06</x:v>
      </x:c>
      <x:c r="Q815" s="7" t="n">
        <x:f>'Guide'!$B$5-L815</x:f>
        <x:v>6</x:v>
      </x:c>
      <x:c r="R815" s="9" t="n">
        <x:f>K815-P815</x:f>
        <x:v>3.3400000000000003</x:v>
      </x:c>
      <x:c r="S815" s="10" t="n">
        <x:f>IF(K815&gt;0,R815/K815,"")</x:f>
        <x:v>0.521875</x:v>
      </x:c>
    </x:row>
    <x:row r="816">
      <x:c r="A816" s="7" t="n">
        <x:v>812</x:v>
      </x:c>
      <x:c r="B816" s="7" t="str">
        <x:v>Tata</x:v>
      </x:c>
      <x:c r="C816" s="7" t="str">
        <x:v>Tigor</x:v>
      </x:c>
      <x:c r="D816" s="7" t="str">
        <x:v>XE</x:v>
      </x:c>
      <x:c r="E816" s="7" t="str">
        <x:v>Petrol</x:v>
      </x:c>
      <x:c r="F816" s="7" t="str">
        <x:v>Manual</x:v>
      </x:c>
      <x:c r="G816" s="7" t="str">
        <x:v>Sedan</x:v>
      </x:c>
      <x:c r="H816" s="7" t="n">
        <x:v>1199</x:v>
      </x:c>
      <x:c r="I816" s="7" t="n">
        <x:v>85</x:v>
      </x:c>
      <x:c r="J816" s="9" t="n">
        <x:v>20.3</x:v>
      </x:c>
      <x:c r="K816" s="9" t="n">
        <x:v>6.4</x:v>
      </x:c>
      <x:c r="L816" s="7" t="n">
        <x:v>2024</x:v>
      </x:c>
      <x:c r="M816" s="11" t="n">
        <x:v>47901</x:v>
      </x:c>
      <x:c r="N816" s="7" t="n">
        <x:v>1</x:v>
      </x:c>
      <x:c r="O816" s="7" t="n">
        <x:v>0</x:v>
      </x:c>
      <x:c r="P816" s="9" t="n">
        <x:v>4.97</x:v>
      </x:c>
      <x:c r="Q816" s="7" t="n">
        <x:f>'Guide'!$B$5-L816</x:f>
        <x:v>2</x:v>
      </x:c>
      <x:c r="R816" s="9" t="n">
        <x:f>K816-P816</x:f>
        <x:v>1.4300000000000006</x:v>
      </x:c>
      <x:c r="S816" s="10" t="n">
        <x:f>IF(K816&gt;0,R816/K816,"")</x:f>
        <x:v>0.2234375000000001</x:v>
      </x:c>
    </x:row>
    <x:row r="817">
      <x:c r="A817" s="7" t="n">
        <x:v>813</x:v>
      </x:c>
      <x:c r="B817" s="7" t="str">
        <x:v>Tata</x:v>
      </x:c>
      <x:c r="C817" s="7" t="str">
        <x:v>Tigor</x:v>
      </x:c>
      <x:c r="D817" s="7" t="str">
        <x:v>XE</x:v>
      </x:c>
      <x:c r="E817" s="7" t="str">
        <x:v>Petrol</x:v>
      </x:c>
      <x:c r="F817" s="7" t="str">
        <x:v>Manual</x:v>
      </x:c>
      <x:c r="G817" s="7" t="str">
        <x:v>Sedan</x:v>
      </x:c>
      <x:c r="H817" s="7" t="n">
        <x:v>1199</x:v>
      </x:c>
      <x:c r="I817" s="7" t="n">
        <x:v>85</x:v>
      </x:c>
      <x:c r="J817" s="9" t="n">
        <x:v>20.3</x:v>
      </x:c>
      <x:c r="K817" s="9" t="n">
        <x:v>6.4</x:v>
      </x:c>
      <x:c r="L817" s="7" t="n">
        <x:v>2021</x:v>
      </x:c>
      <x:c r="M817" s="11" t="n">
        <x:v>99252</x:v>
      </x:c>
      <x:c r="N817" s="7" t="n">
        <x:v>1</x:v>
      </x:c>
      <x:c r="O817" s="7" t="n">
        <x:v>0</x:v>
      </x:c>
      <x:c r="P817" s="9" t="n">
        <x:v>2.98</x:v>
      </x:c>
      <x:c r="Q817" s="7" t="n">
        <x:f>'Guide'!$B$5-L817</x:f>
        <x:v>5</x:v>
      </x:c>
      <x:c r="R817" s="9" t="n">
        <x:f>K817-P817</x:f>
        <x:v>3.4200000000000004</x:v>
      </x:c>
      <x:c r="S817" s="10" t="n">
        <x:f>IF(K817&gt;0,R817/K817,"")</x:f>
        <x:v>0.534375</x:v>
      </x:c>
    </x:row>
    <x:row r="818">
      <x:c r="A818" s="7" t="n">
        <x:v>814</x:v>
      </x:c>
      <x:c r="B818" s="7" t="str">
        <x:v>Tata</x:v>
      </x:c>
      <x:c r="C818" s="7" t="str">
        <x:v>Tigor</x:v>
      </x:c>
      <x:c r="D818" s="7" t="str">
        <x:v>XE</x:v>
      </x:c>
      <x:c r="E818" s="7" t="str">
        <x:v>Petrol</x:v>
      </x:c>
      <x:c r="F818" s="7" t="str">
        <x:v>Manual</x:v>
      </x:c>
      <x:c r="G818" s="7" t="str">
        <x:v>Sedan</x:v>
      </x:c>
      <x:c r="H818" s="7" t="n">
        <x:v>1199</x:v>
      </x:c>
      <x:c r="I818" s="7" t="n">
        <x:v>85</x:v>
      </x:c>
      <x:c r="J818" s="9" t="n">
        <x:v>20.3</x:v>
      </x:c>
      <x:c r="K818" s="9" t="n">
        <x:v>6.4</x:v>
      </x:c>
      <x:c r="L818" s="7" t="n">
        <x:v>2024</x:v>
      </x:c>
      <x:c r="M818" s="11" t="n">
        <x:v>49894</x:v>
      </x:c>
      <x:c r="N818" s="7" t="n">
        <x:v>1</x:v>
      </x:c>
      <x:c r="O818" s="7" t="n">
        <x:v>0</x:v>
      </x:c>
      <x:c r="P818" s="9" t="n">
        <x:v>5.04</x:v>
      </x:c>
      <x:c r="Q818" s="7" t="n">
        <x:f>'Guide'!$B$5-L818</x:f>
        <x:v>2</x:v>
      </x:c>
      <x:c r="R818" s="9" t="n">
        <x:f>K818-P818</x:f>
        <x:v>1.3600000000000003</x:v>
      </x:c>
      <x:c r="S818" s="10" t="n">
        <x:f>IF(K818&gt;0,R818/K818,"")</x:f>
        <x:v>0.21250000000000005</x:v>
      </x:c>
    </x:row>
    <x:row r="819">
      <x:c r="A819" s="7" t="n">
        <x:v>815</x:v>
      </x:c>
      <x:c r="B819" s="7" t="str">
        <x:v>Tata</x:v>
      </x:c>
      <x:c r="C819" s="7" t="str">
        <x:v>Tigor</x:v>
      </x:c>
      <x:c r="D819" s="7" t="str">
        <x:v>XE</x:v>
      </x:c>
      <x:c r="E819" s="7" t="str">
        <x:v>Petrol</x:v>
      </x:c>
      <x:c r="F819" s="7" t="str">
        <x:v>Manual</x:v>
      </x:c>
      <x:c r="G819" s="7" t="str">
        <x:v>Sedan</x:v>
      </x:c>
      <x:c r="H819" s="7" t="n">
        <x:v>1199</x:v>
      </x:c>
      <x:c r="I819" s="7" t="n">
        <x:v>85</x:v>
      </x:c>
      <x:c r="J819" s="9" t="n">
        <x:v>20.3</x:v>
      </x:c>
      <x:c r="K819" s="9" t="n">
        <x:v>6.4</x:v>
      </x:c>
      <x:c r="L819" s="7" t="n">
        <x:v>2023</x:v>
      </x:c>
      <x:c r="M819" s="11" t="n">
        <x:v>29186</x:v>
      </x:c>
      <x:c r="N819" s="7" t="n">
        <x:v>1</x:v>
      </x:c>
      <x:c r="O819" s="7" t="n">
        <x:v>0</x:v>
      </x:c>
      <x:c r="P819" s="9" t="n">
        <x:v>4.36</x:v>
      </x:c>
      <x:c r="Q819" s="7" t="n">
        <x:f>'Guide'!$B$5-L819</x:f>
        <x:v>3</x:v>
      </x:c>
      <x:c r="R819" s="9" t="n">
        <x:f>K819-P819</x:f>
        <x:v>2.04</x:v>
      </x:c>
      <x:c r="S819" s="10" t="n">
        <x:f>IF(K819&gt;0,R819/K819,"")</x:f>
        <x:v>0.31875</x:v>
      </x:c>
    </x:row>
    <x:row r="820">
      <x:c r="A820" s="7" t="n">
        <x:v>816</x:v>
      </x:c>
      <x:c r="B820" s="7" t="str">
        <x:v>Tata</x:v>
      </x:c>
      <x:c r="C820" s="7" t="str">
        <x:v>Tigor</x:v>
      </x:c>
      <x:c r="D820" s="7" t="str">
        <x:v>XE</x:v>
      </x:c>
      <x:c r="E820" s="7" t="str">
        <x:v>Petrol</x:v>
      </x:c>
      <x:c r="F820" s="7" t="str">
        <x:v>Manual</x:v>
      </x:c>
      <x:c r="G820" s="7" t="str">
        <x:v>Sedan</x:v>
      </x:c>
      <x:c r="H820" s="7" t="n">
        <x:v>1199</x:v>
      </x:c>
      <x:c r="I820" s="7" t="n">
        <x:v>85</x:v>
      </x:c>
      <x:c r="J820" s="9" t="n">
        <x:v>20.3</x:v>
      </x:c>
      <x:c r="K820" s="9" t="n">
        <x:v>6.4</x:v>
      </x:c>
      <x:c r="L820" s="7" t="n">
        <x:v>2022</x:v>
      </x:c>
      <x:c r="M820" s="11" t="n">
        <x:v>41821</x:v>
      </x:c>
      <x:c r="N820" s="7" t="n">
        <x:v>1</x:v>
      </x:c>
      <x:c r="O820" s="7" t="n">
        <x:v>0</x:v>
      </x:c>
      <x:c r="P820" s="9" t="n">
        <x:v>3.9</x:v>
      </x:c>
      <x:c r="Q820" s="7" t="n">
        <x:f>'Guide'!$B$5-L820</x:f>
        <x:v>4</x:v>
      </x:c>
      <x:c r="R820" s="9" t="n">
        <x:f>K820-P820</x:f>
        <x:v>2.5000000000000004</x:v>
      </x:c>
      <x:c r="S820" s="10" t="n">
        <x:f>IF(K820&gt;0,R820/K820,"")</x:f>
        <x:v>0.39062500000000006</x:v>
      </x:c>
    </x:row>
    <x:row r="821">
      <x:c r="A821" s="7" t="n">
        <x:v>817</x:v>
      </x:c>
      <x:c r="B821" s="7" t="str">
        <x:v>Tata</x:v>
      </x:c>
      <x:c r="C821" s="7" t="str">
        <x:v>Tigor</x:v>
      </x:c>
      <x:c r="D821" s="7" t="str">
        <x:v>XE</x:v>
      </x:c>
      <x:c r="E821" s="7" t="str">
        <x:v>Petrol</x:v>
      </x:c>
      <x:c r="F821" s="7" t="str">
        <x:v>Manual</x:v>
      </x:c>
      <x:c r="G821" s="7" t="str">
        <x:v>Sedan</x:v>
      </x:c>
      <x:c r="H821" s="7" t="n">
        <x:v>1199</x:v>
      </x:c>
      <x:c r="I821" s="7" t="n">
        <x:v>85</x:v>
      </x:c>
      <x:c r="J821" s="9" t="n">
        <x:v>20.3</x:v>
      </x:c>
      <x:c r="K821" s="9" t="n">
        <x:v>6.4</x:v>
      </x:c>
      <x:c r="L821" s="7" t="n">
        <x:v>2025</x:v>
      </x:c>
      <x:c r="M821" s="11" t="n">
        <x:v>27660</x:v>
      </x:c>
      <x:c r="N821" s="7" t="n">
        <x:v>1</x:v>
      </x:c>
      <x:c r="O821" s="7" t="n">
        <x:v>0</x:v>
      </x:c>
      <x:c r="P821" s="9" t="n">
        <x:v>5.87</x:v>
      </x:c>
      <x:c r="Q821" s="7" t="n">
        <x:f>'Guide'!$B$5-L821</x:f>
        <x:v>1</x:v>
      </x:c>
      <x:c r="R821" s="9" t="n">
        <x:f>K821-P821</x:f>
        <x:v>0.5300000000000002</x:v>
      </x:c>
      <x:c r="S821" s="10" t="n">
        <x:f>IF(K821&gt;0,R821/K821,"")</x:f>
        <x:v>0.08281250000000004</x:v>
      </x:c>
    </x:row>
    <x:row r="822">
      <x:c r="A822" s="7" t="n">
        <x:v>818</x:v>
      </x:c>
      <x:c r="B822" s="7" t="str">
        <x:v>Tata</x:v>
      </x:c>
      <x:c r="C822" s="7" t="str">
        <x:v>Tigor</x:v>
      </x:c>
      <x:c r="D822" s="7" t="str">
        <x:v>XE</x:v>
      </x:c>
      <x:c r="E822" s="7" t="str">
        <x:v>Petrol</x:v>
      </x:c>
      <x:c r="F822" s="7" t="str">
        <x:v>Manual</x:v>
      </x:c>
      <x:c r="G822" s="7" t="str">
        <x:v>Sedan</x:v>
      </x:c>
      <x:c r="H822" s="7" t="n">
        <x:v>1199</x:v>
      </x:c>
      <x:c r="I822" s="7" t="n">
        <x:v>85</x:v>
      </x:c>
      <x:c r="J822" s="9" t="n">
        <x:v>20.3</x:v>
      </x:c>
      <x:c r="K822" s="9" t="n">
        <x:v>6.4</x:v>
      </x:c>
      <x:c r="L822" s="7" t="n">
        <x:v>2026</x:v>
      </x:c>
      <x:c r="M822" s="11" t="n">
        <x:v>8824</x:v>
      </x:c>
      <x:c r="N822" s="7" t="n">
        <x:v>1</x:v>
      </x:c>
      <x:c r="O822" s="7" t="n">
        <x:v>0</x:v>
      </x:c>
      <x:c r="P822" s="9" t="n">
        <x:v>5.96</x:v>
      </x:c>
      <x:c r="Q822" s="7" t="n">
        <x:f>'Guide'!$B$5-L822</x:f>
        <x:v>0</x:v>
      </x:c>
      <x:c r="R822" s="9" t="n">
        <x:f>K822-P822</x:f>
        <x:v>0.4400000000000004</x:v>
      </x:c>
      <x:c r="S822" s="10" t="n">
        <x:f>IF(K822&gt;0,R822/K822,"")</x:f>
        <x:v>0.06875000000000006</x:v>
      </x:c>
    </x:row>
    <x:row r="823">
      <x:c r="A823" s="7" t="n">
        <x:v>819</x:v>
      </x:c>
      <x:c r="B823" s="7" t="str">
        <x:v>Tata</x:v>
      </x:c>
      <x:c r="C823" s="7" t="str">
        <x:v>Tigor</x:v>
      </x:c>
      <x:c r="D823" s="7" t="str">
        <x:v>XE</x:v>
      </x:c>
      <x:c r="E823" s="7" t="str">
        <x:v>Petrol</x:v>
      </x:c>
      <x:c r="F823" s="7" t="str">
        <x:v>Manual</x:v>
      </x:c>
      <x:c r="G823" s="7" t="str">
        <x:v>Sedan</x:v>
      </x:c>
      <x:c r="H823" s="7" t="n">
        <x:v>1199</x:v>
      </x:c>
      <x:c r="I823" s="7" t="n">
        <x:v>85</x:v>
      </x:c>
      <x:c r="J823" s="9" t="n">
        <x:v>20.3</x:v>
      </x:c>
      <x:c r="K823" s="9" t="n">
        <x:v>6.4</x:v>
      </x:c>
      <x:c r="L823" s="7" t="n">
        <x:v>2026</x:v>
      </x:c>
      <x:c r="M823" s="11" t="n">
        <x:v>4570</x:v>
      </x:c>
      <x:c r="N823" s="7" t="n">
        <x:v>2</x:v>
      </x:c>
      <x:c r="O823" s="7" t="n">
        <x:v>1</x:v>
      </x:c>
      <x:c r="P823" s="9" t="n">
        <x:v>5.29</x:v>
      </x:c>
      <x:c r="Q823" s="7" t="n">
        <x:f>'Guide'!$B$5-L823</x:f>
        <x:v>0</x:v>
      </x:c>
      <x:c r="R823" s="9" t="n">
        <x:f>K823-P823</x:f>
        <x:v>1.1100000000000003</x:v>
      </x:c>
      <x:c r="S823" s="10" t="n">
        <x:f>IF(K823&gt;0,R823/K823,"")</x:f>
        <x:v>0.17343750000000005</x:v>
      </x:c>
    </x:row>
    <x:row r="824">
      <x:c r="A824" s="7" t="n">
        <x:v>820</x:v>
      </x:c>
      <x:c r="B824" s="7" t="str">
        <x:v>Tata</x:v>
      </x:c>
      <x:c r="C824" s="7" t="str">
        <x:v>Tigor</x:v>
      </x:c>
      <x:c r="D824" s="7" t="str">
        <x:v>XE</x:v>
      </x:c>
      <x:c r="E824" s="7" t="str">
        <x:v>Petrol</x:v>
      </x:c>
      <x:c r="F824" s="7" t="str">
        <x:v>Manual</x:v>
      </x:c>
      <x:c r="G824" s="7" t="str">
        <x:v>Sedan</x:v>
      </x:c>
      <x:c r="H824" s="7" t="n">
        <x:v>1199</x:v>
      </x:c>
      <x:c r="I824" s="7" t="n">
        <x:v>85</x:v>
      </x:c>
      <x:c r="J824" s="9" t="n">
        <x:v>20.3</x:v>
      </x:c>
      <x:c r="K824" s="9" t="n">
        <x:v>6.4</x:v>
      </x:c>
      <x:c r="L824" s="7" t="n">
        <x:v>2022</x:v>
      </x:c>
      <x:c r="M824" s="11" t="n">
        <x:v>69173</x:v>
      </x:c>
      <x:c r="N824" s="7" t="n">
        <x:v>1</x:v>
      </x:c>
      <x:c r="O824" s="7" t="n">
        <x:v>0</x:v>
      </x:c>
      <x:c r="P824" s="9" t="n">
        <x:v>3.77</x:v>
      </x:c>
      <x:c r="Q824" s="7" t="n">
        <x:f>'Guide'!$B$5-L824</x:f>
        <x:v>4</x:v>
      </x:c>
      <x:c r="R824" s="9" t="n">
        <x:f>K824-P824</x:f>
        <x:v>2.6300000000000003</x:v>
      </x:c>
      <x:c r="S824" s="10" t="n">
        <x:f>IF(K824&gt;0,R824/K824,"")</x:f>
        <x:v>0.4109375</x:v>
      </x:c>
    </x:row>
    <x:row r="825">
      <x:c r="A825" s="7" t="n">
        <x:v>821</x:v>
      </x:c>
      <x:c r="B825" s="7" t="str">
        <x:v>Tata</x:v>
      </x:c>
      <x:c r="C825" s="7" t="str">
        <x:v>Tigor</x:v>
      </x:c>
      <x:c r="D825" s="7" t="str">
        <x:v>XE</x:v>
      </x:c>
      <x:c r="E825" s="7" t="str">
        <x:v>Petrol</x:v>
      </x:c>
      <x:c r="F825" s="7" t="str">
        <x:v>Manual</x:v>
      </x:c>
      <x:c r="G825" s="7" t="str">
        <x:v>Sedan</x:v>
      </x:c>
      <x:c r="H825" s="7" t="n">
        <x:v>1199</x:v>
      </x:c>
      <x:c r="I825" s="7" t="n">
        <x:v>85</x:v>
      </x:c>
      <x:c r="J825" s="9" t="n">
        <x:v>20.3</x:v>
      </x:c>
      <x:c r="K825" s="9" t="n">
        <x:v>6.4</x:v>
      </x:c>
      <x:c r="L825" s="7" t="n">
        <x:v>2021</x:v>
      </x:c>
      <x:c r="M825" s="11" t="n">
        <x:v>44210</x:v>
      </x:c>
      <x:c r="N825" s="7" t="n">
        <x:v>1</x:v>
      </x:c>
      <x:c r="O825" s="7" t="n">
        <x:v>0</x:v>
      </x:c>
      <x:c r="P825" s="9" t="n">
        <x:v>3.18</x:v>
      </x:c>
      <x:c r="Q825" s="7" t="n">
        <x:f>'Guide'!$B$5-L825</x:f>
        <x:v>5</x:v>
      </x:c>
      <x:c r="R825" s="9" t="n">
        <x:f>K825-P825</x:f>
        <x:v>3.22</x:v>
      </x:c>
      <x:c r="S825" s="10" t="n">
        <x:f>IF(K825&gt;0,R825/K825,"")</x:f>
        <x:v>0.503125</x:v>
      </x:c>
    </x:row>
    <x:row r="826">
      <x:c r="A826" s="7" t="n">
        <x:v>822</x:v>
      </x:c>
      <x:c r="B826" s="7" t="str">
        <x:v>Tata</x:v>
      </x:c>
      <x:c r="C826" s="7" t="str">
        <x:v>Tigor</x:v>
      </x:c>
      <x:c r="D826" s="7" t="str">
        <x:v>XE</x:v>
      </x:c>
      <x:c r="E826" s="7" t="str">
        <x:v>Petrol</x:v>
      </x:c>
      <x:c r="F826" s="7" t="str">
        <x:v>Manual</x:v>
      </x:c>
      <x:c r="G826" s="7" t="str">
        <x:v>Sedan</x:v>
      </x:c>
      <x:c r="H826" s="7" t="n">
        <x:v>1199</x:v>
      </x:c>
      <x:c r="I826" s="7" t="n">
        <x:v>85</x:v>
      </x:c>
      <x:c r="J826" s="9" t="n">
        <x:v>20.3</x:v>
      </x:c>
      <x:c r="K826" s="9" t="n">
        <x:v>6.4</x:v>
      </x:c>
      <x:c r="L826" s="7" t="n">
        <x:v>2022</x:v>
      </x:c>
      <x:c r="M826" s="11" t="n">
        <x:v>83265</x:v>
      </x:c>
      <x:c r="N826" s="7" t="n">
        <x:v>2</x:v>
      </x:c>
      <x:c r="O826" s="7" t="n">
        <x:v>1</x:v>
      </x:c>
      <x:c r="P826" s="9" t="n">
        <x:v>2.34</x:v>
      </x:c>
      <x:c r="Q826" s="7" t="n">
        <x:f>'Guide'!$B$5-L826</x:f>
        <x:v>4</x:v>
      </x:c>
      <x:c r="R826" s="9" t="n">
        <x:f>K826-P826</x:f>
        <x:v>4.0600000000000005</x:v>
      </x:c>
      <x:c r="S826" s="10" t="n">
        <x:f>IF(K826&gt;0,R826/K826,"")</x:f>
        <x:v>0.634375</x:v>
      </x:c>
    </x:row>
    <x:row r="827">
      <x:c r="A827" s="7" t="n">
        <x:v>823</x:v>
      </x:c>
      <x:c r="B827" s="7" t="str">
        <x:v>Tata</x:v>
      </x:c>
      <x:c r="C827" s="7" t="str">
        <x:v>Tigor</x:v>
      </x:c>
      <x:c r="D827" s="7" t="str">
        <x:v>XE</x:v>
      </x:c>
      <x:c r="E827" s="7" t="str">
        <x:v>Petrol</x:v>
      </x:c>
      <x:c r="F827" s="7" t="str">
        <x:v>Manual</x:v>
      </x:c>
      <x:c r="G827" s="7" t="str">
        <x:v>Sedan</x:v>
      </x:c>
      <x:c r="H827" s="7" t="n">
        <x:v>1199</x:v>
      </x:c>
      <x:c r="I827" s="7" t="n">
        <x:v>85</x:v>
      </x:c>
      <x:c r="J827" s="9" t="n">
        <x:v>20.3</x:v>
      </x:c>
      <x:c r="K827" s="9" t="n">
        <x:v>6.4</x:v>
      </x:c>
      <x:c r="L827" s="7" t="n">
        <x:v>2020</x:v>
      </x:c>
      <x:c r="M827" s="11" t="n">
        <x:v>64161</x:v>
      </x:c>
      <x:c r="N827" s="7" t="n">
        <x:v>2</x:v>
      </x:c>
      <x:c r="O827" s="7" t="n">
        <x:v>0</x:v>
      </x:c>
      <x:c r="P827" s="9" t="n">
        <x:v>2.5</x:v>
      </x:c>
      <x:c r="Q827" s="7" t="n">
        <x:f>'Guide'!$B$5-L827</x:f>
        <x:v>6</x:v>
      </x:c>
      <x:c r="R827" s="9" t="n">
        <x:f>K827-P827</x:f>
        <x:v>3.9000000000000004</x:v>
      </x:c>
      <x:c r="S827" s="10" t="n">
        <x:f>IF(K827&gt;0,R827/K827,"")</x:f>
        <x:v>0.609375</x:v>
      </x:c>
    </x:row>
    <x:row r="828">
      <x:c r="A828" s="7" t="n">
        <x:v>824</x:v>
      </x:c>
      <x:c r="B828" s="7" t="str">
        <x:v>Tata</x:v>
      </x:c>
      <x:c r="C828" s="7" t="str">
        <x:v>Tigor</x:v>
      </x:c>
      <x:c r="D828" s="7" t="str">
        <x:v>XE</x:v>
      </x:c>
      <x:c r="E828" s="7" t="str">
        <x:v>Petrol</x:v>
      </x:c>
      <x:c r="F828" s="7" t="str">
        <x:v>Manual</x:v>
      </x:c>
      <x:c r="G828" s="7" t="str">
        <x:v>Sedan</x:v>
      </x:c>
      <x:c r="H828" s="7" t="n">
        <x:v>1199</x:v>
      </x:c>
      <x:c r="I828" s="7" t="n">
        <x:v>85</x:v>
      </x:c>
      <x:c r="J828" s="9" t="n">
        <x:v>20.3</x:v>
      </x:c>
      <x:c r="K828" s="9" t="n">
        <x:v>6.4</x:v>
      </x:c>
      <x:c r="L828" s="7" t="n">
        <x:v>2022</x:v>
      </x:c>
      <x:c r="M828" s="11" t="n">
        <x:v>60235</x:v>
      </x:c>
      <x:c r="N828" s="7" t="n">
        <x:v>1</x:v>
      </x:c>
      <x:c r="O828" s="7" t="n">
        <x:v>0</x:v>
      </x:c>
      <x:c r="P828" s="9" t="n">
        <x:v>3.75</x:v>
      </x:c>
      <x:c r="Q828" s="7" t="n">
        <x:f>'Guide'!$B$5-L828</x:f>
        <x:v>4</x:v>
      </x:c>
      <x:c r="R828" s="9" t="n">
        <x:f>K828-P828</x:f>
        <x:v>2.6500000000000004</x:v>
      </x:c>
      <x:c r="S828" s="10" t="n">
        <x:f>IF(K828&gt;0,R828/K828,"")</x:f>
        <x:v>0.41406250000000006</x:v>
      </x:c>
    </x:row>
    <x:row r="829">
      <x:c r="A829" s="7" t="n">
        <x:v>825</x:v>
      </x:c>
      <x:c r="B829" s="7" t="str">
        <x:v>Tata</x:v>
      </x:c>
      <x:c r="C829" s="7" t="str">
        <x:v>Tigor</x:v>
      </x:c>
      <x:c r="D829" s="7" t="str">
        <x:v>XE</x:v>
      </x:c>
      <x:c r="E829" s="7" t="str">
        <x:v>Petrol</x:v>
      </x:c>
      <x:c r="F829" s="7" t="str">
        <x:v>Manual</x:v>
      </x:c>
      <x:c r="G829" s="7" t="str">
        <x:v>Sedan</x:v>
      </x:c>
      <x:c r="H829" s="7" t="n">
        <x:v>1199</x:v>
      </x:c>
      <x:c r="I829" s="7" t="n">
        <x:v>85</x:v>
      </x:c>
      <x:c r="J829" s="9" t="n">
        <x:v>20.3</x:v>
      </x:c>
      <x:c r="K829" s="9" t="n">
        <x:v>6.4</x:v>
      </x:c>
      <x:c r="L829" s="7" t="n">
        <x:v>2024</x:v>
      </x:c>
      <x:c r="M829" s="11" t="n">
        <x:v>33937</x:v>
      </x:c>
      <x:c r="N829" s="7" t="n">
        <x:v>1</x:v>
      </x:c>
      <x:c r="O829" s="7" t="n">
        <x:v>0</x:v>
      </x:c>
      <x:c r="P829" s="9" t="n">
        <x:v>5.33</x:v>
      </x:c>
      <x:c r="Q829" s="7" t="n">
        <x:f>'Guide'!$B$5-L829</x:f>
        <x:v>2</x:v>
      </x:c>
      <x:c r="R829" s="9" t="n">
        <x:f>K829-P829</x:f>
        <x:v>1.0700000000000003</x:v>
      </x:c>
      <x:c r="S829" s="10" t="n">
        <x:f>IF(K829&gt;0,R829/K829,"")</x:f>
        <x:v>0.16718750000000004</x:v>
      </x:c>
    </x:row>
    <x:row r="830">
      <x:c r="A830" s="7" t="n">
        <x:v>826</x:v>
      </x:c>
      <x:c r="B830" s="7" t="str">
        <x:v>Tata</x:v>
      </x:c>
      <x:c r="C830" s="7" t="str">
        <x:v>Tigor</x:v>
      </x:c>
      <x:c r="D830" s="7" t="str">
        <x:v>XE</x:v>
      </x:c>
      <x:c r="E830" s="7" t="str">
        <x:v>Petrol</x:v>
      </x:c>
      <x:c r="F830" s="7" t="str">
        <x:v>Manual</x:v>
      </x:c>
      <x:c r="G830" s="7" t="str">
        <x:v>Sedan</x:v>
      </x:c>
      <x:c r="H830" s="7" t="n">
        <x:v>1199</x:v>
      </x:c>
      <x:c r="I830" s="7" t="n">
        <x:v>85</x:v>
      </x:c>
      <x:c r="J830" s="9" t="n">
        <x:v>20.3</x:v>
      </x:c>
      <x:c r="K830" s="9" t="n">
        <x:v>6.4</x:v>
      </x:c>
      <x:c r="L830" s="7" t="n">
        <x:v>2020</x:v>
      </x:c>
      <x:c r="M830" s="11" t="n">
        <x:v>80076</x:v>
      </x:c>
      <x:c r="N830" s="7" t="n">
        <x:v>1</x:v>
      </x:c>
      <x:c r="O830" s="7" t="n">
        <x:v>0</x:v>
      </x:c>
      <x:c r="P830" s="9" t="n">
        <x:v>2.46</x:v>
      </x:c>
      <x:c r="Q830" s="7" t="n">
        <x:f>'Guide'!$B$5-L830</x:f>
        <x:v>6</x:v>
      </x:c>
      <x:c r="R830" s="9" t="n">
        <x:f>K830-P830</x:f>
        <x:v>3.9400000000000004</x:v>
      </x:c>
      <x:c r="S830" s="10" t="n">
        <x:f>IF(K830&gt;0,R830/K830,"")</x:f>
        <x:v>0.615625</x:v>
      </x:c>
    </x:row>
    <x:row r="831">
      <x:c r="A831" s="7" t="n">
        <x:v>827</x:v>
      </x:c>
      <x:c r="B831" s="7" t="str">
        <x:v>Tata</x:v>
      </x:c>
      <x:c r="C831" s="7" t="str">
        <x:v>Tigor</x:v>
      </x:c>
      <x:c r="D831" s="7" t="str">
        <x:v>XE</x:v>
      </x:c>
      <x:c r="E831" s="7" t="str">
        <x:v>Petrol</x:v>
      </x:c>
      <x:c r="F831" s="7" t="str">
        <x:v>Manual</x:v>
      </x:c>
      <x:c r="G831" s="7" t="str">
        <x:v>Sedan</x:v>
      </x:c>
      <x:c r="H831" s="7" t="n">
        <x:v>1199</x:v>
      </x:c>
      <x:c r="I831" s="7" t="n">
        <x:v>85</x:v>
      </x:c>
      <x:c r="J831" s="9" t="n">
        <x:v>20.3</x:v>
      </x:c>
      <x:c r="K831" s="9" t="n">
        <x:v>6.4</x:v>
      </x:c>
      <x:c r="L831" s="7" t="n">
        <x:v>2020</x:v>
      </x:c>
      <x:c r="M831" s="11" t="n">
        <x:v>100339</x:v>
      </x:c>
      <x:c r="N831" s="7" t="n">
        <x:v>1</x:v>
      </x:c>
      <x:c r="O831" s="7" t="n">
        <x:v>0</x:v>
      </x:c>
      <x:c r="P831" s="9" t="n">
        <x:v>2.33</x:v>
      </x:c>
      <x:c r="Q831" s="7" t="n">
        <x:f>'Guide'!$B$5-L831</x:f>
        <x:v>6</x:v>
      </x:c>
      <x:c r="R831" s="9" t="n">
        <x:f>K831-P831</x:f>
        <x:v>4.07</x:v>
      </x:c>
      <x:c r="S831" s="10" t="n">
        <x:f>IF(K831&gt;0,R831/K831,"")</x:f>
        <x:v>0.6359375</x:v>
      </x:c>
    </x:row>
    <x:row r="832">
      <x:c r="A832" s="7" t="n">
        <x:v>828</x:v>
      </x:c>
      <x:c r="B832" s="7" t="str">
        <x:v>Tata</x:v>
      </x:c>
      <x:c r="C832" s="7" t="str">
        <x:v>Tigor</x:v>
      </x:c>
      <x:c r="D832" s="7" t="str">
        <x:v>XE</x:v>
      </x:c>
      <x:c r="E832" s="7" t="str">
        <x:v>Petrol</x:v>
      </x:c>
      <x:c r="F832" s="7" t="str">
        <x:v>Manual</x:v>
      </x:c>
      <x:c r="G832" s="7" t="str">
        <x:v>Sedan</x:v>
      </x:c>
      <x:c r="H832" s="7" t="n">
        <x:v>1199</x:v>
      </x:c>
      <x:c r="I832" s="7" t="n">
        <x:v>85</x:v>
      </x:c>
      <x:c r="J832" s="9" t="n">
        <x:v>20.3</x:v>
      </x:c>
      <x:c r="K832" s="9" t="n">
        <x:v>6.4</x:v>
      </x:c>
      <x:c r="L832" s="7" t="n">
        <x:v>2021</x:v>
      </x:c>
      <x:c r="M832" s="11" t="n">
        <x:v>45834</x:v>
      </x:c>
      <x:c r="N832" s="7" t="n">
        <x:v>1</x:v>
      </x:c>
      <x:c r="O832" s="7" t="n">
        <x:v>0</x:v>
      </x:c>
      <x:c r="P832" s="9" t="n">
        <x:v>3.54</x:v>
      </x:c>
      <x:c r="Q832" s="7" t="n">
        <x:f>'Guide'!$B$5-L832</x:f>
        <x:v>5</x:v>
      </x:c>
      <x:c r="R832" s="9" t="n">
        <x:f>K832-P832</x:f>
        <x:v>2.8600000000000003</x:v>
      </x:c>
      <x:c r="S832" s="10" t="n">
        <x:f>IF(K832&gt;0,R832/K832,"")</x:f>
        <x:v>0.446875</x:v>
      </x:c>
    </x:row>
    <x:row r="833">
      <x:c r="A833" s="7" t="n">
        <x:v>829</x:v>
      </x:c>
      <x:c r="B833" s="7" t="str">
        <x:v>Tata</x:v>
      </x:c>
      <x:c r="C833" s="7" t="str">
        <x:v>Tigor</x:v>
      </x:c>
      <x:c r="D833" s="7" t="str">
        <x:v>XE</x:v>
      </x:c>
      <x:c r="E833" s="7" t="str">
        <x:v>Petrol</x:v>
      </x:c>
      <x:c r="F833" s="7" t="str">
        <x:v>Manual</x:v>
      </x:c>
      <x:c r="G833" s="7" t="str">
        <x:v>Sedan</x:v>
      </x:c>
      <x:c r="H833" s="7" t="n">
        <x:v>1199</x:v>
      </x:c>
      <x:c r="I833" s="7" t="n">
        <x:v>85</x:v>
      </x:c>
      <x:c r="J833" s="9" t="n">
        <x:v>20.3</x:v>
      </x:c>
      <x:c r="K833" s="9" t="n">
        <x:v>6.4</x:v>
      </x:c>
      <x:c r="L833" s="7" t="n">
        <x:v>2025</x:v>
      </x:c>
      <x:c r="M833" s="11" t="n">
        <x:v>20640</x:v>
      </x:c>
      <x:c r="N833" s="7" t="n">
        <x:v>1</x:v>
      </x:c>
      <x:c r="O833" s="7" t="n">
        <x:v>0</x:v>
      </x:c>
      <x:c r="P833" s="9" t="n">
        <x:v>5.87</x:v>
      </x:c>
      <x:c r="Q833" s="7" t="n">
        <x:f>'Guide'!$B$5-L833</x:f>
        <x:v>1</x:v>
      </x:c>
      <x:c r="R833" s="9" t="n">
        <x:f>K833-P833</x:f>
        <x:v>0.5300000000000002</x:v>
      </x:c>
      <x:c r="S833" s="10" t="n">
        <x:f>IF(K833&gt;0,R833/K833,"")</x:f>
        <x:v>0.08281250000000004</x:v>
      </x:c>
    </x:row>
    <x:row r="834">
      <x:c r="A834" s="7" t="n">
        <x:v>830</x:v>
      </x:c>
      <x:c r="B834" s="7" t="str">
        <x:v>Tata</x:v>
      </x:c>
      <x:c r="C834" s="7" t="str">
        <x:v>Tigor</x:v>
      </x:c>
      <x:c r="D834" s="7" t="str">
        <x:v>XE</x:v>
      </x:c>
      <x:c r="E834" s="7" t="str">
        <x:v>Petrol</x:v>
      </x:c>
      <x:c r="F834" s="7" t="str">
        <x:v>Manual</x:v>
      </x:c>
      <x:c r="G834" s="7" t="str">
        <x:v>Sedan</x:v>
      </x:c>
      <x:c r="H834" s="7" t="n">
        <x:v>1199</x:v>
      </x:c>
      <x:c r="I834" s="7" t="n">
        <x:v>85</x:v>
      </x:c>
      <x:c r="J834" s="9" t="n">
        <x:v>20.3</x:v>
      </x:c>
      <x:c r="K834" s="9" t="n">
        <x:v>6.4</x:v>
      </x:c>
      <x:c r="L834" s="7" t="n">
        <x:v>2026</x:v>
      </x:c>
      <x:c r="M834" s="11" t="n">
        <x:v>9677</x:v>
      </x:c>
      <x:c r="N834" s="7" t="n">
        <x:v>1</x:v>
      </x:c>
      <x:c r="O834" s="7" t="n">
        <x:v>0</x:v>
      </x:c>
      <x:c r="P834" s="9" t="n">
        <x:v>6.06</x:v>
      </x:c>
      <x:c r="Q834" s="7" t="n">
        <x:f>'Guide'!$B$5-L834</x:f>
        <x:v>0</x:v>
      </x:c>
      <x:c r="R834" s="9" t="n">
        <x:f>K834-P834</x:f>
        <x:v>0.34000000000000075</x:v>
      </x:c>
      <x:c r="S834" s="10" t="n">
        <x:f>IF(K834&gt;0,R834/K834,"")</x:f>
        <x:v>0.05312500000000012</x:v>
      </x:c>
    </x:row>
    <x:row r="835">
      <x:c r="A835" s="7" t="n">
        <x:v>831</x:v>
      </x:c>
      <x:c r="B835" s="7" t="str">
        <x:v>Tata</x:v>
      </x:c>
      <x:c r="C835" s="7" t="str">
        <x:v>Tigor</x:v>
      </x:c>
      <x:c r="D835" s="7" t="str">
        <x:v>XE</x:v>
      </x:c>
      <x:c r="E835" s="7" t="str">
        <x:v>Petrol</x:v>
      </x:c>
      <x:c r="F835" s="7" t="str">
        <x:v>Manual</x:v>
      </x:c>
      <x:c r="G835" s="7" t="str">
        <x:v>Sedan</x:v>
      </x:c>
      <x:c r="H835" s="7" t="n">
        <x:v>1199</x:v>
      </x:c>
      <x:c r="I835" s="7" t="n">
        <x:v>85</x:v>
      </x:c>
      <x:c r="J835" s="9" t="n">
        <x:v>20.3</x:v>
      </x:c>
      <x:c r="K835" s="9" t="n">
        <x:v>6.4</x:v>
      </x:c>
      <x:c r="L835" s="7" t="n">
        <x:v>2024</x:v>
      </x:c>
      <x:c r="M835" s="11" t="n">
        <x:v>34591</x:v>
      </x:c>
      <x:c r="N835" s="7" t="n">
        <x:v>2</x:v>
      </x:c>
      <x:c r="O835" s="7" t="n">
        <x:v>0</x:v>
      </x:c>
      <x:c r="P835" s="9" t="n">
        <x:v>4.42</x:v>
      </x:c>
      <x:c r="Q835" s="7" t="n">
        <x:f>'Guide'!$B$5-L835</x:f>
        <x:v>2</x:v>
      </x:c>
      <x:c r="R835" s="9" t="n">
        <x:f>K835-P835</x:f>
        <x:v>1.9800000000000004</x:v>
      </x:c>
      <x:c r="S835" s="10" t="n">
        <x:f>IF(K835&gt;0,R835/K835,"")</x:f>
        <x:v>0.30937500000000007</x:v>
      </x:c>
    </x:row>
    <x:row r="836">
      <x:c r="A836" s="7" t="n">
        <x:v>832</x:v>
      </x:c>
      <x:c r="B836" s="7" t="str">
        <x:v>Tata</x:v>
      </x:c>
      <x:c r="C836" s="7" t="str">
        <x:v>Tigor</x:v>
      </x:c>
      <x:c r="D836" s="7" t="str">
        <x:v>XE</x:v>
      </x:c>
      <x:c r="E836" s="7" t="str">
        <x:v>Petrol</x:v>
      </x:c>
      <x:c r="F836" s="7" t="str">
        <x:v>Manual</x:v>
      </x:c>
      <x:c r="G836" s="7" t="str">
        <x:v>Sedan</x:v>
      </x:c>
      <x:c r="H836" s="7" t="n">
        <x:v>1199</x:v>
      </x:c>
      <x:c r="I836" s="7" t="n">
        <x:v>85</x:v>
      </x:c>
      <x:c r="J836" s="9" t="n">
        <x:v>20.3</x:v>
      </x:c>
      <x:c r="K836" s="9" t="n">
        <x:v>6.4</x:v>
      </x:c>
      <x:c r="L836" s="7" t="n">
        <x:v>2022</x:v>
      </x:c>
      <x:c r="M836" s="11" t="n">
        <x:v>65471</x:v>
      </x:c>
      <x:c r="N836" s="7" t="n">
        <x:v>1</x:v>
      </x:c>
      <x:c r="O836" s="7" t="n">
        <x:v>0</x:v>
      </x:c>
      <x:c r="P836" s="9" t="n">
        <x:v>4.06</x:v>
      </x:c>
      <x:c r="Q836" s="7" t="n">
        <x:f>'Guide'!$B$5-L836</x:f>
        <x:v>4</x:v>
      </x:c>
      <x:c r="R836" s="9" t="n">
        <x:f>K836-P836</x:f>
        <x:v>2.3400000000000007</x:v>
      </x:c>
      <x:c r="S836" s="10" t="n">
        <x:f>IF(K836&gt;0,R836/K836,"")</x:f>
        <x:v>0.3656250000000001</x:v>
      </x:c>
    </x:row>
    <x:row r="837">
      <x:c r="A837" s="7" t="n">
        <x:v>833</x:v>
      </x:c>
      <x:c r="B837" s="7" t="str">
        <x:v>Tata</x:v>
      </x:c>
      <x:c r="C837" s="7" t="str">
        <x:v>Tigor</x:v>
      </x:c>
      <x:c r="D837" s="7" t="str">
        <x:v>XE</x:v>
      </x:c>
      <x:c r="E837" s="7" t="str">
        <x:v>Petrol</x:v>
      </x:c>
      <x:c r="F837" s="7" t="str">
        <x:v>Manual</x:v>
      </x:c>
      <x:c r="G837" s="7" t="str">
        <x:v>Sedan</x:v>
      </x:c>
      <x:c r="H837" s="7" t="n">
        <x:v>1199</x:v>
      </x:c>
      <x:c r="I837" s="7" t="n">
        <x:v>85</x:v>
      </x:c>
      <x:c r="J837" s="9" t="n">
        <x:v>20.3</x:v>
      </x:c>
      <x:c r="K837" s="9" t="n">
        <x:v>6.4</x:v>
      </x:c>
      <x:c r="L837" s="7" t="n">
        <x:v>2022</x:v>
      </x:c>
      <x:c r="M837" s="11" t="n">
        <x:v>65421</x:v>
      </x:c>
      <x:c r="N837" s="7" t="n">
        <x:v>2</x:v>
      </x:c>
      <x:c r="O837" s="7" t="n">
        <x:v>0</x:v>
      </x:c>
      <x:c r="P837" s="9" t="n">
        <x:v>3.38</x:v>
      </x:c>
      <x:c r="Q837" s="7" t="n">
        <x:f>'Guide'!$B$5-L837</x:f>
        <x:v>4</x:v>
      </x:c>
      <x:c r="R837" s="9" t="n">
        <x:f>K837-P837</x:f>
        <x:v>3.0200000000000005</x:v>
      </x:c>
      <x:c r="S837" s="10" t="n">
        <x:f>IF(K837&gt;0,R837/K837,"")</x:f>
        <x:v>0.47187500000000004</x:v>
      </x:c>
    </x:row>
    <x:row r="838">
      <x:c r="A838" s="7" t="n">
        <x:v>834</x:v>
      </x:c>
      <x:c r="B838" s="7" t="str">
        <x:v>Tata</x:v>
      </x:c>
      <x:c r="C838" s="7" t="str">
        <x:v>Tigor</x:v>
      </x:c>
      <x:c r="D838" s="7" t="str">
        <x:v>XE</x:v>
      </x:c>
      <x:c r="E838" s="7" t="str">
        <x:v>Petrol</x:v>
      </x:c>
      <x:c r="F838" s="7" t="str">
        <x:v>Manual</x:v>
      </x:c>
      <x:c r="G838" s="7" t="str">
        <x:v>Sedan</x:v>
      </x:c>
      <x:c r="H838" s="7" t="n">
        <x:v>1199</x:v>
      </x:c>
      <x:c r="I838" s="7" t="n">
        <x:v>85</x:v>
      </x:c>
      <x:c r="J838" s="9" t="n">
        <x:v>20.3</x:v>
      </x:c>
      <x:c r="K838" s="9" t="n">
        <x:v>6.4</x:v>
      </x:c>
      <x:c r="L838" s="7" t="n">
        <x:v>2022</x:v>
      </x:c>
      <x:c r="M838" s="11" t="n">
        <x:v>49852</x:v>
      </x:c>
      <x:c r="N838" s="7" t="n">
        <x:v>1</x:v>
      </x:c>
      <x:c r="O838" s="7" t="n">
        <x:v>1</x:v>
      </x:c>
      <x:c r="P838" s="9" t="n">
        <x:v>3.3</x:v>
      </x:c>
      <x:c r="Q838" s="7" t="n">
        <x:f>'Guide'!$B$5-L838</x:f>
        <x:v>4</x:v>
      </x:c>
      <x:c r="R838" s="9" t="n">
        <x:f>K838-P838</x:f>
        <x:v>3.1000000000000005</x:v>
      </x:c>
      <x:c r="S838" s="10" t="n">
        <x:f>IF(K838&gt;0,R838/K838,"")</x:f>
        <x:v>0.48437500000000006</x:v>
      </x:c>
    </x:row>
    <x:row r="839">
      <x:c r="A839" s="7" t="n">
        <x:v>835</x:v>
      </x:c>
      <x:c r="B839" s="7" t="str">
        <x:v>Tata</x:v>
      </x:c>
      <x:c r="C839" s="7" t="str">
        <x:v>Tigor</x:v>
      </x:c>
      <x:c r="D839" s="7" t="str">
        <x:v>XE</x:v>
      </x:c>
      <x:c r="E839" s="7" t="str">
        <x:v>Petrol</x:v>
      </x:c>
      <x:c r="F839" s="7" t="str">
        <x:v>Manual</x:v>
      </x:c>
      <x:c r="G839" s="7" t="str">
        <x:v>Sedan</x:v>
      </x:c>
      <x:c r="H839" s="7" t="n">
        <x:v>1199</x:v>
      </x:c>
      <x:c r="I839" s="7" t="n">
        <x:v>85</x:v>
      </x:c>
      <x:c r="J839" s="9" t="n">
        <x:v>20.3</x:v>
      </x:c>
      <x:c r="K839" s="9" t="n">
        <x:v>6.4</x:v>
      </x:c>
      <x:c r="L839" s="7" t="n">
        <x:v>2026</x:v>
      </x:c>
      <x:c r="M839" s="11" t="n">
        <x:v>8135</x:v>
      </x:c>
      <x:c r="N839" s="7" t="n">
        <x:v>1</x:v>
      </x:c>
      <x:c r="O839" s="7" t="n">
        <x:v>0</x:v>
      </x:c>
      <x:c r="P839" s="9" t="n">
        <x:v>6.52</x:v>
      </x:c>
      <x:c r="Q839" s="7" t="n">
        <x:f>'Guide'!$B$5-L839</x:f>
        <x:v>0</x:v>
      </x:c>
      <x:c r="R839" s="9" t="n">
        <x:f>K839-P839</x:f>
        <x:v>-0.11999999999999922</x:v>
      </x:c>
      <x:c r="S839" s="10" t="n">
        <x:f>IF(K839&gt;0,R839/K839,"")</x:f>
        <x:v>-0.018749999999999878</x:v>
      </x:c>
    </x:row>
    <x:row r="840">
      <x:c r="A840" s="7" t="n">
        <x:v>836</x:v>
      </x:c>
      <x:c r="B840" s="7" t="str">
        <x:v>Tata</x:v>
      </x:c>
      <x:c r="C840" s="7" t="str">
        <x:v>Tigor</x:v>
      </x:c>
      <x:c r="D840" s="7" t="str">
        <x:v>XE</x:v>
      </x:c>
      <x:c r="E840" s="7" t="str">
        <x:v>Petrol</x:v>
      </x:c>
      <x:c r="F840" s="7" t="str">
        <x:v>Manual</x:v>
      </x:c>
      <x:c r="G840" s="7" t="str">
        <x:v>Sedan</x:v>
      </x:c>
      <x:c r="H840" s="7" t="n">
        <x:v>1199</x:v>
      </x:c>
      <x:c r="I840" s="7" t="n">
        <x:v>85</x:v>
      </x:c>
      <x:c r="J840" s="9" t="n">
        <x:v>20.3</x:v>
      </x:c>
      <x:c r="K840" s="9" t="n">
        <x:v>6.4</x:v>
      </x:c>
      <x:c r="L840" s="7" t="n">
        <x:v>2022</x:v>
      </x:c>
      <x:c r="M840" s="11" t="n">
        <x:v>41986</x:v>
      </x:c>
      <x:c r="N840" s="7" t="n">
        <x:v>1</x:v>
      </x:c>
      <x:c r="O840" s="7" t="n">
        <x:v>0</x:v>
      </x:c>
      <x:c r="P840" s="9" t="n">
        <x:v>3.85</x:v>
      </x:c>
      <x:c r="Q840" s="7" t="n">
        <x:f>'Guide'!$B$5-L840</x:f>
        <x:v>4</x:v>
      </x:c>
      <x:c r="R840" s="9" t="n">
        <x:f>K840-P840</x:f>
        <x:v>2.5500000000000003</x:v>
      </x:c>
      <x:c r="S840" s="10" t="n">
        <x:f>IF(K840&gt;0,R840/K840,"")</x:f>
        <x:v>0.3984375</x:v>
      </x:c>
    </x:row>
    <x:row r="841">
      <x:c r="A841" s="7" t="n">
        <x:v>837</x:v>
      </x:c>
      <x:c r="B841" s="7" t="str">
        <x:v>Tata</x:v>
      </x:c>
      <x:c r="C841" s="7" t="str">
        <x:v>Tigor</x:v>
      </x:c>
      <x:c r="D841" s="7" t="str">
        <x:v>XE</x:v>
      </x:c>
      <x:c r="E841" s="7" t="str">
        <x:v>Petrol</x:v>
      </x:c>
      <x:c r="F841" s="7" t="str">
        <x:v>Manual</x:v>
      </x:c>
      <x:c r="G841" s="7" t="str">
        <x:v>Sedan</x:v>
      </x:c>
      <x:c r="H841" s="7" t="n">
        <x:v>1199</x:v>
      </x:c>
      <x:c r="I841" s="7" t="n">
        <x:v>85</x:v>
      </x:c>
      <x:c r="J841" s="9" t="n">
        <x:v>20.3</x:v>
      </x:c>
      <x:c r="K841" s="9" t="n">
        <x:v>6.4</x:v>
      </x:c>
      <x:c r="L841" s="7" t="n">
        <x:v>2026</x:v>
      </x:c>
      <x:c r="M841" s="11" t="n">
        <x:v>4839</x:v>
      </x:c>
      <x:c r="N841" s="7" t="n">
        <x:v>1</x:v>
      </x:c>
      <x:c r="O841" s="7" t="n">
        <x:v>0</x:v>
      </x:c>
      <x:c r="P841" s="9" t="n">
        <x:v>6.62</x:v>
      </x:c>
      <x:c r="Q841" s="7" t="n">
        <x:f>'Guide'!$B$5-L841</x:f>
        <x:v>0</x:v>
      </x:c>
      <x:c r="R841" s="9" t="n">
        <x:f>K841-P841</x:f>
        <x:v>-0.21999999999999975</x:v>
      </x:c>
      <x:c r="S841" s="10" t="n">
        <x:f>IF(K841&gt;0,R841/K841,"")</x:f>
        <x:v>-0.03437499999999996</x:v>
      </x:c>
    </x:row>
    <x:row r="842">
      <x:c r="A842" s="7" t="n">
        <x:v>838</x:v>
      </x:c>
      <x:c r="B842" s="7" t="str">
        <x:v>Tata</x:v>
      </x:c>
      <x:c r="C842" s="7" t="str">
        <x:v>Tigor</x:v>
      </x:c>
      <x:c r="D842" s="7" t="str">
        <x:v>XE</x:v>
      </x:c>
      <x:c r="E842" s="7" t="str">
        <x:v>Petrol</x:v>
      </x:c>
      <x:c r="F842" s="7" t="str">
        <x:v>Manual</x:v>
      </x:c>
      <x:c r="G842" s="7" t="str">
        <x:v>Sedan</x:v>
      </x:c>
      <x:c r="H842" s="7" t="n">
        <x:v>1199</x:v>
      </x:c>
      <x:c r="I842" s="7" t="n">
        <x:v>85</x:v>
      </x:c>
      <x:c r="J842" s="9" t="n">
        <x:v>20.3</x:v>
      </x:c>
      <x:c r="K842" s="9" t="n">
        <x:v>6.4</x:v>
      </x:c>
      <x:c r="L842" s="7" t="n">
        <x:v>2022</x:v>
      </x:c>
      <x:c r="M842" s="11" t="n">
        <x:v>80882</x:v>
      </x:c>
      <x:c r="N842" s="7" t="n">
        <x:v>1</x:v>
      </x:c>
      <x:c r="O842" s="7" t="n">
        <x:v>0</x:v>
      </x:c>
      <x:c r="P842" s="9" t="n">
        <x:v>4.12</x:v>
      </x:c>
      <x:c r="Q842" s="7" t="n">
        <x:f>'Guide'!$B$5-L842</x:f>
        <x:v>4</x:v>
      </x:c>
      <x:c r="R842" s="9" t="n">
        <x:f>K842-P842</x:f>
        <x:v>2.2800000000000002</x:v>
      </x:c>
      <x:c r="S842" s="10" t="n">
        <x:f>IF(K842&gt;0,R842/K842,"")</x:f>
        <x:v>0.35625</x:v>
      </x:c>
    </x:row>
    <x:row r="843">
      <x:c r="A843" s="7" t="n">
        <x:v>839</x:v>
      </x:c>
      <x:c r="B843" s="7" t="str">
        <x:v>Tata</x:v>
      </x:c>
      <x:c r="C843" s="7" t="str">
        <x:v>Tigor</x:v>
      </x:c>
      <x:c r="D843" s="7" t="str">
        <x:v>XE</x:v>
      </x:c>
      <x:c r="E843" s="7" t="str">
        <x:v>Petrol</x:v>
      </x:c>
      <x:c r="F843" s="7" t="str">
        <x:v>Manual</x:v>
      </x:c>
      <x:c r="G843" s="7" t="str">
        <x:v>Sedan</x:v>
      </x:c>
      <x:c r="H843" s="7" t="n">
        <x:v>1199</x:v>
      </x:c>
      <x:c r="I843" s="7" t="n">
        <x:v>85</x:v>
      </x:c>
      <x:c r="J843" s="9" t="n">
        <x:v>20.3</x:v>
      </x:c>
      <x:c r="K843" s="9" t="n">
        <x:v>6.4</x:v>
      </x:c>
      <x:c r="L843" s="7" t="n">
        <x:v>2025</x:v>
      </x:c>
      <x:c r="M843" s="11" t="n">
        <x:v>21917</x:v>
      </x:c>
      <x:c r="N843" s="7" t="n">
        <x:v>2</x:v>
      </x:c>
      <x:c r="O843" s="7" t="n">
        <x:v>0</x:v>
      </x:c>
      <x:c r="P843" s="9" t="n">
        <x:v>4.96</x:v>
      </x:c>
      <x:c r="Q843" s="7" t="n">
        <x:f>'Guide'!$B$5-L843</x:f>
        <x:v>1</x:v>
      </x:c>
      <x:c r="R843" s="9" t="n">
        <x:f>K843-P843</x:f>
        <x:v>1.4400000000000004</x:v>
      </x:c>
      <x:c r="S843" s="10" t="n">
        <x:f>IF(K843&gt;0,R843/K843,"")</x:f>
        <x:v>0.22500000000000006</x:v>
      </x:c>
    </x:row>
    <x:row r="844">
      <x:c r="A844" s="7" t="n">
        <x:v>840</x:v>
      </x:c>
      <x:c r="B844" s="7" t="str">
        <x:v>Tata</x:v>
      </x:c>
      <x:c r="C844" s="7" t="str">
        <x:v>Tigor</x:v>
      </x:c>
      <x:c r="D844" s="7" t="str">
        <x:v>XE</x:v>
      </x:c>
      <x:c r="E844" s="7" t="str">
        <x:v>Petrol</x:v>
      </x:c>
      <x:c r="F844" s="7" t="str">
        <x:v>Manual</x:v>
      </x:c>
      <x:c r="G844" s="7" t="str">
        <x:v>Sedan</x:v>
      </x:c>
      <x:c r="H844" s="7" t="n">
        <x:v>1199</x:v>
      </x:c>
      <x:c r="I844" s="7" t="n">
        <x:v>85</x:v>
      </x:c>
      <x:c r="J844" s="9" t="n">
        <x:v>20.3</x:v>
      </x:c>
      <x:c r="K844" s="9" t="n">
        <x:v>6.4</x:v>
      </x:c>
      <x:c r="L844" s="7" t="n">
        <x:v>2023</x:v>
      </x:c>
      <x:c r="M844" s="11" t="n">
        <x:v>57579</x:v>
      </x:c>
      <x:c r="N844" s="7" t="n">
        <x:v>1</x:v>
      </x:c>
      <x:c r="O844" s="7" t="n">
        <x:v>0</x:v>
      </x:c>
      <x:c r="P844" s="9" t="n">
        <x:v>4.34</x:v>
      </x:c>
      <x:c r="Q844" s="7" t="n">
        <x:f>'Guide'!$B$5-L844</x:f>
        <x:v>3</x:v>
      </x:c>
      <x:c r="R844" s="9" t="n">
        <x:f>K844-P844</x:f>
        <x:v>2.0600000000000005</x:v>
      </x:c>
      <x:c r="S844" s="10" t="n">
        <x:f>IF(K844&gt;0,R844/K844,"")</x:f>
        <x:v>0.3218750000000001</x:v>
      </x:c>
    </x:row>
    <x:row r="845">
      <x:c r="A845" s="7" t="n">
        <x:v>841</x:v>
      </x:c>
      <x:c r="B845" s="7" t="str">
        <x:v>Tata</x:v>
      </x:c>
      <x:c r="C845" s="7" t="str">
        <x:v>Tigor</x:v>
      </x:c>
      <x:c r="D845" s="7" t="str">
        <x:v>XE</x:v>
      </x:c>
      <x:c r="E845" s="7" t="str">
        <x:v>Petrol</x:v>
      </x:c>
      <x:c r="F845" s="7" t="str">
        <x:v>Manual</x:v>
      </x:c>
      <x:c r="G845" s="7" t="str">
        <x:v>Sedan</x:v>
      </x:c>
      <x:c r="H845" s="7" t="n">
        <x:v>1199</x:v>
      </x:c>
      <x:c r="I845" s="7" t="n">
        <x:v>85</x:v>
      </x:c>
      <x:c r="J845" s="9" t="n">
        <x:v>20.3</x:v>
      </x:c>
      <x:c r="K845" s="9" t="n">
        <x:v>6.4</x:v>
      </x:c>
      <x:c r="L845" s="7" t="n">
        <x:v>2020</x:v>
      </x:c>
      <x:c r="M845" s="11" t="n">
        <x:v>77434</x:v>
      </x:c>
      <x:c r="N845" s="7" t="n">
        <x:v>1</x:v>
      </x:c>
      <x:c r="O845" s="7" t="n">
        <x:v>0</x:v>
      </x:c>
      <x:c r="P845" s="9" t="n">
        <x:v>2.34</x:v>
      </x:c>
      <x:c r="Q845" s="7" t="n">
        <x:f>'Guide'!$B$5-L845</x:f>
        <x:v>6</x:v>
      </x:c>
      <x:c r="R845" s="9" t="n">
        <x:f>K845-P845</x:f>
        <x:v>4.0600000000000005</x:v>
      </x:c>
      <x:c r="S845" s="10" t="n">
        <x:f>IF(K845&gt;0,R845/K845,"")</x:f>
        <x:v>0.634375</x:v>
      </x:c>
    </x:row>
    <x:row r="846">
      <x:c r="A846" s="7" t="n">
        <x:v>842</x:v>
      </x:c>
      <x:c r="B846" s="7" t="str">
        <x:v>Tata</x:v>
      </x:c>
      <x:c r="C846" s="7" t="str">
        <x:v>Tigor</x:v>
      </x:c>
      <x:c r="D846" s="7" t="str">
        <x:v>XE</x:v>
      </x:c>
      <x:c r="E846" s="7" t="str">
        <x:v>Petrol</x:v>
      </x:c>
      <x:c r="F846" s="7" t="str">
        <x:v>Manual</x:v>
      </x:c>
      <x:c r="G846" s="7" t="str">
        <x:v>Sedan</x:v>
      </x:c>
      <x:c r="H846" s="7" t="n">
        <x:v>1199</x:v>
      </x:c>
      <x:c r="I846" s="7" t="n">
        <x:v>85</x:v>
      </x:c>
      <x:c r="J846" s="9" t="n">
        <x:v>20.3</x:v>
      </x:c>
      <x:c r="K846" s="9" t="n">
        <x:v>6.4</x:v>
      </x:c>
      <x:c r="L846" s="7" t="n">
        <x:v>2022</x:v>
      </x:c>
      <x:c r="M846" s="11" t="n">
        <x:v>41715</x:v>
      </x:c>
      <x:c r="N846" s="7" t="n">
        <x:v>1</x:v>
      </x:c>
      <x:c r="O846" s="7" t="n">
        <x:v>0</x:v>
      </x:c>
      <x:c r="P846" s="9" t="n">
        <x:v>4.25</x:v>
      </x:c>
      <x:c r="Q846" s="7" t="n">
        <x:f>'Guide'!$B$5-L846</x:f>
        <x:v>4</x:v>
      </x:c>
      <x:c r="R846" s="9" t="n">
        <x:f>K846-P846</x:f>
        <x:v>2.1500000000000004</x:v>
      </x:c>
      <x:c r="S846" s="10" t="n">
        <x:f>IF(K846&gt;0,R846/K846,"")</x:f>
        <x:v>0.33593750000000006</x:v>
      </x:c>
    </x:row>
    <x:row r="847">
      <x:c r="A847" s="7" t="n">
        <x:v>843</x:v>
      </x:c>
      <x:c r="B847" s="7" t="str">
        <x:v>Tata</x:v>
      </x:c>
      <x:c r="C847" s="7" t="str">
        <x:v>Tigor</x:v>
      </x:c>
      <x:c r="D847" s="7" t="str">
        <x:v>XE</x:v>
      </x:c>
      <x:c r="E847" s="7" t="str">
        <x:v>Petrol</x:v>
      </x:c>
      <x:c r="F847" s="7" t="str">
        <x:v>Manual</x:v>
      </x:c>
      <x:c r="G847" s="7" t="str">
        <x:v>Sedan</x:v>
      </x:c>
      <x:c r="H847" s="7" t="n">
        <x:v>1199</x:v>
      </x:c>
      <x:c r="I847" s="7" t="n">
        <x:v>85</x:v>
      </x:c>
      <x:c r="J847" s="9" t="n">
        <x:v>20.3</x:v>
      </x:c>
      <x:c r="K847" s="9" t="n">
        <x:v>6.4</x:v>
      </x:c>
      <x:c r="L847" s="7" t="n">
        <x:v>2021</x:v>
      </x:c>
      <x:c r="M847" s="11" t="n">
        <x:v>90885</x:v>
      </x:c>
      <x:c r="N847" s="7" t="n">
        <x:v>2</x:v>
      </x:c>
      <x:c r="O847" s="7" t="n">
        <x:v>0</x:v>
      </x:c>
      <x:c r="P847" s="9" t="n">
        <x:v>2.37</x:v>
      </x:c>
      <x:c r="Q847" s="7" t="n">
        <x:f>'Guide'!$B$5-L847</x:f>
        <x:v>5</x:v>
      </x:c>
      <x:c r="R847" s="9" t="n">
        <x:f>K847-P847</x:f>
        <x:v>4.03</x:v>
      </x:c>
      <x:c r="S847" s="10" t="n">
        <x:f>IF(K847&gt;0,R847/K847,"")</x:f>
        <x:v>0.6296875</x:v>
      </x:c>
    </x:row>
    <x:row r="848">
      <x:c r="A848" s="7" t="n">
        <x:v>844</x:v>
      </x:c>
      <x:c r="B848" s="7" t="str">
        <x:v>Tata</x:v>
      </x:c>
      <x:c r="C848" s="7" t="str">
        <x:v>Tigor</x:v>
      </x:c>
      <x:c r="D848" s="7" t="str">
        <x:v>XE</x:v>
      </x:c>
      <x:c r="E848" s="7" t="str">
        <x:v>Petrol</x:v>
      </x:c>
      <x:c r="F848" s="7" t="str">
        <x:v>Manual</x:v>
      </x:c>
      <x:c r="G848" s="7" t="str">
        <x:v>Sedan</x:v>
      </x:c>
      <x:c r="H848" s="7" t="n">
        <x:v>1199</x:v>
      </x:c>
      <x:c r="I848" s="7" t="n">
        <x:v>85</x:v>
      </x:c>
      <x:c r="J848" s="9" t="n">
        <x:v>20.3</x:v>
      </x:c>
      <x:c r="K848" s="9" t="n">
        <x:v>6.4</x:v>
      </x:c>
      <x:c r="L848" s="7" t="n">
        <x:v>2021</x:v>
      </x:c>
      <x:c r="M848" s="11" t="n">
        <x:v>71209</x:v>
      </x:c>
      <x:c r="N848" s="7" t="n">
        <x:v>2</x:v>
      </x:c>
      <x:c r="O848" s="7" t="n">
        <x:v>0</x:v>
      </x:c>
      <x:c r="P848" s="9" t="n">
        <x:v>2.97</x:v>
      </x:c>
      <x:c r="Q848" s="7" t="n">
        <x:f>'Guide'!$B$5-L848</x:f>
        <x:v>5</x:v>
      </x:c>
      <x:c r="R848" s="9" t="n">
        <x:f>K848-P848</x:f>
        <x:v>3.43</x:v>
      </x:c>
      <x:c r="S848" s="10" t="n">
        <x:f>IF(K848&gt;0,R848/K848,"")</x:f>
        <x:v>0.5359375</x:v>
      </x:c>
    </x:row>
    <x:row r="849">
      <x:c r="A849" s="7" t="n">
        <x:v>845</x:v>
      </x:c>
      <x:c r="B849" s="7" t="str">
        <x:v>Tata</x:v>
      </x:c>
      <x:c r="C849" s="7" t="str">
        <x:v>Tigor</x:v>
      </x:c>
      <x:c r="D849" s="7" t="str">
        <x:v>XE</x:v>
      </x:c>
      <x:c r="E849" s="7" t="str">
        <x:v>Petrol</x:v>
      </x:c>
      <x:c r="F849" s="7" t="str">
        <x:v>Manual</x:v>
      </x:c>
      <x:c r="G849" s="7" t="str">
        <x:v>Sedan</x:v>
      </x:c>
      <x:c r="H849" s="7" t="n">
        <x:v>1199</x:v>
      </x:c>
      <x:c r="I849" s="7" t="n">
        <x:v>85</x:v>
      </x:c>
      <x:c r="J849" s="9" t="n">
        <x:v>20.3</x:v>
      </x:c>
      <x:c r="K849" s="9" t="n">
        <x:v>6.4</x:v>
      </x:c>
      <x:c r="L849" s="7" t="n">
        <x:v>2023</x:v>
      </x:c>
      <x:c r="M849" s="11" t="n">
        <x:v>34967</x:v>
      </x:c>
      <x:c r="N849" s="7" t="n">
        <x:v>1</x:v>
      </x:c>
      <x:c r="O849" s="7" t="n">
        <x:v>0</x:v>
      </x:c>
      <x:c r="P849" s="9" t="n">
        <x:v>4.25</x:v>
      </x:c>
      <x:c r="Q849" s="7" t="n">
        <x:f>'Guide'!$B$5-L849</x:f>
        <x:v>3</x:v>
      </x:c>
      <x:c r="R849" s="9" t="n">
        <x:f>K849-P849</x:f>
        <x:v>2.1500000000000004</x:v>
      </x:c>
      <x:c r="S849" s="10" t="n">
        <x:f>IF(K849&gt;0,R849/K849,"")</x:f>
        <x:v>0.33593750000000006</x:v>
      </x:c>
    </x:row>
    <x:row r="850">
      <x:c r="A850" s="7" t="n">
        <x:v>846</x:v>
      </x:c>
      <x:c r="B850" s="7" t="str">
        <x:v>Tata</x:v>
      </x:c>
      <x:c r="C850" s="7" t="str">
        <x:v>Tigor</x:v>
      </x:c>
      <x:c r="D850" s="7" t="str">
        <x:v>XE</x:v>
      </x:c>
      <x:c r="E850" s="7" t="str">
        <x:v>Petrol</x:v>
      </x:c>
      <x:c r="F850" s="7" t="str">
        <x:v>Manual</x:v>
      </x:c>
      <x:c r="G850" s="7" t="str">
        <x:v>Sedan</x:v>
      </x:c>
      <x:c r="H850" s="7" t="n">
        <x:v>1199</x:v>
      </x:c>
      <x:c r="I850" s="7" t="n">
        <x:v>85</x:v>
      </x:c>
      <x:c r="J850" s="9" t="n">
        <x:v>20.3</x:v>
      </x:c>
      <x:c r="K850" s="9" t="n">
        <x:v>6.4</x:v>
      </x:c>
      <x:c r="L850" s="7" t="n">
        <x:v>2026</x:v>
      </x:c>
      <x:c r="M850" s="11" t="n">
        <x:v>4029</x:v>
      </x:c>
      <x:c r="N850" s="7" t="n">
        <x:v>1</x:v>
      </x:c>
      <x:c r="O850" s="7" t="n">
        <x:v>0</x:v>
      </x:c>
      <x:c r="P850" s="9" t="n">
        <x:v>6.57</x:v>
      </x:c>
      <x:c r="Q850" s="7" t="n">
        <x:f>'Guide'!$B$5-L850</x:f>
        <x:v>0</x:v>
      </x:c>
      <x:c r="R850" s="9" t="n">
        <x:f>K850-P850</x:f>
        <x:v>-0.16999999999999993</x:v>
      </x:c>
      <x:c r="S850" s="10" t="n">
        <x:f>IF(K850&gt;0,R850/K850,"")</x:f>
        <x:v>-0.02656249999999999</x:v>
      </x:c>
    </x:row>
    <x:row r="851">
      <x:c r="A851" s="7" t="n">
        <x:v>847</x:v>
      </x:c>
      <x:c r="B851" s="7" t="str">
        <x:v>Tata</x:v>
      </x:c>
      <x:c r="C851" s="7" t="str">
        <x:v>Tigor</x:v>
      </x:c>
      <x:c r="D851" s="7" t="str">
        <x:v>XE</x:v>
      </x:c>
      <x:c r="E851" s="7" t="str">
        <x:v>Petrol</x:v>
      </x:c>
      <x:c r="F851" s="7" t="str">
        <x:v>Manual</x:v>
      </x:c>
      <x:c r="G851" s="7" t="str">
        <x:v>Sedan</x:v>
      </x:c>
      <x:c r="H851" s="7" t="n">
        <x:v>1199</x:v>
      </x:c>
      <x:c r="I851" s="7" t="n">
        <x:v>85</x:v>
      </x:c>
      <x:c r="J851" s="9" t="n">
        <x:v>20.3</x:v>
      </x:c>
      <x:c r="K851" s="9" t="n">
        <x:v>6.4</x:v>
      </x:c>
      <x:c r="L851" s="7" t="n">
        <x:v>2025</x:v>
      </x:c>
      <x:c r="M851" s="11" t="n">
        <x:v>20809</x:v>
      </x:c>
      <x:c r="N851" s="7" t="n">
        <x:v>2</x:v>
      </x:c>
      <x:c r="O851" s="7" t="n">
        <x:v>0</x:v>
      </x:c>
      <x:c r="P851" s="9" t="n">
        <x:v>5.29</x:v>
      </x:c>
      <x:c r="Q851" s="7" t="n">
        <x:f>'Guide'!$B$5-L851</x:f>
        <x:v>1</x:v>
      </x:c>
      <x:c r="R851" s="9" t="n">
        <x:f>K851-P851</x:f>
        <x:v>1.1100000000000003</x:v>
      </x:c>
      <x:c r="S851" s="10" t="n">
        <x:f>IF(K851&gt;0,R851/K851,"")</x:f>
        <x:v>0.17343750000000005</x:v>
      </x:c>
    </x:row>
    <x:row r="852">
      <x:c r="A852" s="7" t="n">
        <x:v>848</x:v>
      </x:c>
      <x:c r="B852" s="7" t="str">
        <x:v>Tata</x:v>
      </x:c>
      <x:c r="C852" s="7" t="str">
        <x:v>Tigor</x:v>
      </x:c>
      <x:c r="D852" s="7" t="str">
        <x:v>XE</x:v>
      </x:c>
      <x:c r="E852" s="7" t="str">
        <x:v>Petrol</x:v>
      </x:c>
      <x:c r="F852" s="7" t="str">
        <x:v>Manual</x:v>
      </x:c>
      <x:c r="G852" s="7" t="str">
        <x:v>Sedan</x:v>
      </x:c>
      <x:c r="H852" s="7" t="n">
        <x:v>1199</x:v>
      </x:c>
      <x:c r="I852" s="7" t="n">
        <x:v>85</x:v>
      </x:c>
      <x:c r="J852" s="9" t="n">
        <x:v>20.3</x:v>
      </x:c>
      <x:c r="K852" s="9" t="n">
        <x:v>6.4</x:v>
      </x:c>
      <x:c r="L852" s="7" t="n">
        <x:v>2021</x:v>
      </x:c>
      <x:c r="M852" s="11" t="n">
        <x:v>71645</x:v>
      </x:c>
      <x:c r="N852" s="7" t="n">
        <x:v>1</x:v>
      </x:c>
      <x:c r="O852" s="7" t="n">
        <x:v>0</x:v>
      </x:c>
      <x:c r="P852" s="9" t="n">
        <x:v>2.93</x:v>
      </x:c>
      <x:c r="Q852" s="7" t="n">
        <x:f>'Guide'!$B$5-L852</x:f>
        <x:v>5</x:v>
      </x:c>
      <x:c r="R852" s="9" t="n">
        <x:f>K852-P852</x:f>
        <x:v>3.47</x:v>
      </x:c>
      <x:c r="S852" s="10" t="n">
        <x:f>IF(K852&gt;0,R852/K852,"")</x:f>
        <x:v>0.5421875</x:v>
      </x:c>
    </x:row>
    <x:row r="853">
      <x:c r="A853" s="7" t="n">
        <x:v>849</x:v>
      </x:c>
      <x:c r="B853" s="7" t="str">
        <x:v>Tata</x:v>
      </x:c>
      <x:c r="C853" s="7" t="str">
        <x:v>Tigor</x:v>
      </x:c>
      <x:c r="D853" s="7" t="str">
        <x:v>XE</x:v>
      </x:c>
      <x:c r="E853" s="7" t="str">
        <x:v>Petrol</x:v>
      </x:c>
      <x:c r="F853" s="7" t="str">
        <x:v>Manual</x:v>
      </x:c>
      <x:c r="G853" s="7" t="str">
        <x:v>Sedan</x:v>
      </x:c>
      <x:c r="H853" s="7" t="n">
        <x:v>1199</x:v>
      </x:c>
      <x:c r="I853" s="7" t="n">
        <x:v>85</x:v>
      </x:c>
      <x:c r="J853" s="9" t="n">
        <x:v>20.3</x:v>
      </x:c>
      <x:c r="K853" s="9" t="n">
        <x:v>6.4</x:v>
      </x:c>
      <x:c r="L853" s="7" t="n">
        <x:v>2025</x:v>
      </x:c>
      <x:c r="M853" s="11" t="n">
        <x:v>21715</x:v>
      </x:c>
      <x:c r="N853" s="7" t="n">
        <x:v>2</x:v>
      </x:c>
      <x:c r="O853" s="7" t="n">
        <x:v>0</x:v>
      </x:c>
      <x:c r="P853" s="9" t="n">
        <x:v>5.09</x:v>
      </x:c>
      <x:c r="Q853" s="7" t="n">
        <x:f>'Guide'!$B$5-L853</x:f>
        <x:v>1</x:v>
      </x:c>
      <x:c r="R853" s="9" t="n">
        <x:f>K853-P853</x:f>
        <x:v>1.3100000000000005</x:v>
      </x:c>
      <x:c r="S853" s="10" t="n">
        <x:f>IF(K853&gt;0,R853/K853,"")</x:f>
        <x:v>0.20468750000000008</x:v>
      </x:c>
    </x:row>
    <x:row r="854">
      <x:c r="A854" s="7" t="n">
        <x:v>850</x:v>
      </x:c>
      <x:c r="B854" s="7" t="str">
        <x:v>Tata</x:v>
      </x:c>
      <x:c r="C854" s="7" t="str">
        <x:v>Tigor</x:v>
      </x:c>
      <x:c r="D854" s="7" t="str">
        <x:v>XE</x:v>
      </x:c>
      <x:c r="E854" s="7" t="str">
        <x:v>Petrol</x:v>
      </x:c>
      <x:c r="F854" s="7" t="str">
        <x:v>Manual</x:v>
      </x:c>
      <x:c r="G854" s="7" t="str">
        <x:v>Sedan</x:v>
      </x:c>
      <x:c r="H854" s="7" t="n">
        <x:v>1199</x:v>
      </x:c>
      <x:c r="I854" s="7" t="n">
        <x:v>85</x:v>
      </x:c>
      <x:c r="J854" s="9" t="n">
        <x:v>20.3</x:v>
      </x:c>
      <x:c r="K854" s="9" t="n">
        <x:v>6.4</x:v>
      </x:c>
      <x:c r="L854" s="7" t="n">
        <x:v>2026</x:v>
      </x:c>
      <x:c r="M854" s="11" t="n">
        <x:v>8605</x:v>
      </x:c>
      <x:c r="N854" s="7" t="n">
        <x:v>1</x:v>
      </x:c>
      <x:c r="O854" s="7" t="n">
        <x:v>1</x:v>
      </x:c>
      <x:c r="P854" s="9" t="n">
        <x:v>5.27</x:v>
      </x:c>
      <x:c r="Q854" s="7" t="n">
        <x:f>'Guide'!$B$5-L854</x:f>
        <x:v>0</x:v>
      </x:c>
      <x:c r="R854" s="9" t="n">
        <x:f>K854-P854</x:f>
        <x:v>1.1300000000000008</x:v>
      </x:c>
      <x:c r="S854" s="10" t="n">
        <x:f>IF(K854&gt;0,R854/K854,"")</x:f>
        <x:v>0.17656250000000012</x:v>
      </x:c>
    </x:row>
    <x:row r="855">
      <x:c r="A855" s="7" t="n">
        <x:v>851</x:v>
      </x:c>
      <x:c r="B855" s="7" t="str">
        <x:v>Tata</x:v>
      </x:c>
      <x:c r="C855" s="7" t="str">
        <x:v>Tigor</x:v>
      </x:c>
      <x:c r="D855" s="7" t="str">
        <x:v>XE</x:v>
      </x:c>
      <x:c r="E855" s="7" t="str">
        <x:v>Petrol</x:v>
      </x:c>
      <x:c r="F855" s="7" t="str">
        <x:v>Manual</x:v>
      </x:c>
      <x:c r="G855" s="7" t="str">
        <x:v>Sedan</x:v>
      </x:c>
      <x:c r="H855" s="7" t="n">
        <x:v>1199</x:v>
      </x:c>
      <x:c r="I855" s="7" t="n">
        <x:v>85</x:v>
      </x:c>
      <x:c r="J855" s="9" t="n">
        <x:v>20.3</x:v>
      </x:c>
      <x:c r="K855" s="9" t="n">
        <x:v>6.4</x:v>
      </x:c>
      <x:c r="L855" s="7" t="n">
        <x:v>2025</x:v>
      </x:c>
      <x:c r="M855" s="11" t="n">
        <x:v>26988</x:v>
      </x:c>
      <x:c r="N855" s="7" t="n">
        <x:v>1</x:v>
      </x:c>
      <x:c r="O855" s="7" t="n">
        <x:v>0</x:v>
      </x:c>
      <x:c r="P855" s="9" t="n">
        <x:v>5.52</x:v>
      </x:c>
      <x:c r="Q855" s="7" t="n">
        <x:f>'Guide'!$B$5-L855</x:f>
        <x:v>1</x:v>
      </x:c>
      <x:c r="R855" s="9" t="n">
        <x:f>K855-P855</x:f>
        <x:v>0.8800000000000008</x:v>
      </x:c>
      <x:c r="S855" s="10" t="n">
        <x:f>IF(K855&gt;0,R855/K855,"")</x:f>
        <x:v>0.13750000000000012</x:v>
      </x:c>
    </x:row>
    <x:row r="856">
      <x:c r="A856" s="7" t="n">
        <x:v>852</x:v>
      </x:c>
      <x:c r="B856" s="7" t="str">
        <x:v>Tata</x:v>
      </x:c>
      <x:c r="C856" s="7" t="str">
        <x:v>Tigor</x:v>
      </x:c>
      <x:c r="D856" s="7" t="str">
        <x:v>XE</x:v>
      </x:c>
      <x:c r="E856" s="7" t="str">
        <x:v>Petrol</x:v>
      </x:c>
      <x:c r="F856" s="7" t="str">
        <x:v>Manual</x:v>
      </x:c>
      <x:c r="G856" s="7" t="str">
        <x:v>Sedan</x:v>
      </x:c>
      <x:c r="H856" s="7" t="n">
        <x:v>1199</x:v>
      </x:c>
      <x:c r="I856" s="7" t="n">
        <x:v>85</x:v>
      </x:c>
      <x:c r="J856" s="9" t="n">
        <x:v>20.3</x:v>
      </x:c>
      <x:c r="K856" s="9" t="n">
        <x:v>6.4</x:v>
      </x:c>
      <x:c r="L856" s="7" t="n">
        <x:v>2021</x:v>
      </x:c>
      <x:c r="M856" s="11" t="n">
        <x:v>102774</x:v>
      </x:c>
      <x:c r="N856" s="7" t="n">
        <x:v>2</x:v>
      </x:c>
      <x:c r="O856" s="7" t="n">
        <x:v>0</x:v>
      </x:c>
      <x:c r="P856" s="9" t="n">
        <x:v>3.05</x:v>
      </x:c>
      <x:c r="Q856" s="7" t="n">
        <x:f>'Guide'!$B$5-L856</x:f>
        <x:v>5</x:v>
      </x:c>
      <x:c r="R856" s="9" t="n">
        <x:f>K856-P856</x:f>
        <x:v>3.3500000000000005</x:v>
      </x:c>
      <x:c r="S856" s="10" t="n">
        <x:f>IF(K856&gt;0,R856/K856,"")</x:f>
        <x:v>0.5234375</x:v>
      </x:c>
    </x:row>
    <x:row r="857">
      <x:c r="A857" s="7" t="n">
        <x:v>853</x:v>
      </x:c>
      <x:c r="B857" s="7" t="str">
        <x:v>Tata</x:v>
      </x:c>
      <x:c r="C857" s="7" t="str">
        <x:v>Tigor</x:v>
      </x:c>
      <x:c r="D857" s="7" t="str">
        <x:v>XE</x:v>
      </x:c>
      <x:c r="E857" s="7" t="str">
        <x:v>Petrol</x:v>
      </x:c>
      <x:c r="F857" s="7" t="str">
        <x:v>Manual</x:v>
      </x:c>
      <x:c r="G857" s="7" t="str">
        <x:v>Sedan</x:v>
      </x:c>
      <x:c r="H857" s="7" t="n">
        <x:v>1199</x:v>
      </x:c>
      <x:c r="I857" s="7" t="n">
        <x:v>85</x:v>
      </x:c>
      <x:c r="J857" s="9" t="n">
        <x:v>20.3</x:v>
      </x:c>
      <x:c r="K857" s="9" t="n">
        <x:v>6.4</x:v>
      </x:c>
      <x:c r="L857" s="7" t="n">
        <x:v>2021</x:v>
      </x:c>
      <x:c r="M857" s="11" t="n">
        <x:v>88611</x:v>
      </x:c>
      <x:c r="N857" s="7" t="n">
        <x:v>2</x:v>
      </x:c>
      <x:c r="O857" s="7" t="n">
        <x:v>0</x:v>
      </x:c>
      <x:c r="P857" s="9" t="n">
        <x:v>2.7</x:v>
      </x:c>
      <x:c r="Q857" s="7" t="n">
        <x:f>'Guide'!$B$5-L857</x:f>
        <x:v>5</x:v>
      </x:c>
      <x:c r="R857" s="9" t="n">
        <x:f>K857-P857</x:f>
        <x:v>3.7</x:v>
      </x:c>
      <x:c r="S857" s="10" t="n">
        <x:f>IF(K857&gt;0,R857/K857,"")</x:f>
        <x:v>0.578125</x:v>
      </x:c>
    </x:row>
    <x:row r="858">
      <x:c r="A858" s="7" t="n">
        <x:v>854</x:v>
      </x:c>
      <x:c r="B858" s="7" t="str">
        <x:v>Tata</x:v>
      </x:c>
      <x:c r="C858" s="7" t="str">
        <x:v>Tigor</x:v>
      </x:c>
      <x:c r="D858" s="7" t="str">
        <x:v>XE</x:v>
      </x:c>
      <x:c r="E858" s="7" t="str">
        <x:v>Petrol</x:v>
      </x:c>
      <x:c r="F858" s="7" t="str">
        <x:v>Manual</x:v>
      </x:c>
      <x:c r="G858" s="7" t="str">
        <x:v>Sedan</x:v>
      </x:c>
      <x:c r="H858" s="7" t="n">
        <x:v>1199</x:v>
      </x:c>
      <x:c r="I858" s="7" t="n">
        <x:v>85</x:v>
      </x:c>
      <x:c r="J858" s="9" t="n">
        <x:v>20.3</x:v>
      </x:c>
      <x:c r="K858" s="9" t="n">
        <x:v>6.4</x:v>
      </x:c>
      <x:c r="L858" s="7" t="n">
        <x:v>2024</x:v>
      </x:c>
      <x:c r="M858" s="11" t="n">
        <x:v>23480</x:v>
      </x:c>
      <x:c r="N858" s="7" t="n">
        <x:v>1</x:v>
      </x:c>
      <x:c r="O858" s="7" t="n">
        <x:v>0</x:v>
      </x:c>
      <x:c r="P858" s="9" t="n">
        <x:v>4.91</x:v>
      </x:c>
      <x:c r="Q858" s="7" t="n">
        <x:f>'Guide'!$B$5-L858</x:f>
        <x:v>2</x:v>
      </x:c>
      <x:c r="R858" s="9" t="n">
        <x:f>K858-P858</x:f>
        <x:v>1.4900000000000002</x:v>
      </x:c>
      <x:c r="S858" s="10" t="n">
        <x:f>IF(K858&gt;0,R858/K858,"")</x:f>
        <x:v>0.23281250000000003</x:v>
      </x:c>
    </x:row>
    <x:row r="859">
      <x:c r="A859" s="7" t="n">
        <x:v>855</x:v>
      </x:c>
      <x:c r="B859" s="7" t="str">
        <x:v>Tata</x:v>
      </x:c>
      <x:c r="C859" s="7" t="str">
        <x:v>Tigor</x:v>
      </x:c>
      <x:c r="D859" s="7" t="str">
        <x:v>XE</x:v>
      </x:c>
      <x:c r="E859" s="7" t="str">
        <x:v>Petrol</x:v>
      </x:c>
      <x:c r="F859" s="7" t="str">
        <x:v>Manual</x:v>
      </x:c>
      <x:c r="G859" s="7" t="str">
        <x:v>Sedan</x:v>
      </x:c>
      <x:c r="H859" s="7" t="n">
        <x:v>1199</x:v>
      </x:c>
      <x:c r="I859" s="7" t="n">
        <x:v>85</x:v>
      </x:c>
      <x:c r="J859" s="9" t="n">
        <x:v>20.3</x:v>
      </x:c>
      <x:c r="K859" s="9" t="n">
        <x:v>6.4</x:v>
      </x:c>
      <x:c r="L859" s="7" t="n">
        <x:v>2023</x:v>
      </x:c>
      <x:c r="M859" s="11" t="n">
        <x:v>33815</x:v>
      </x:c>
      <x:c r="N859" s="7" t="n">
        <x:v>2</x:v>
      </x:c>
      <x:c r="O859" s="7" t="n">
        <x:v>0</x:v>
      </x:c>
      <x:c r="P859" s="9" t="n">
        <x:v>4.28</x:v>
      </x:c>
      <x:c r="Q859" s="7" t="n">
        <x:f>'Guide'!$B$5-L859</x:f>
        <x:v>3</x:v>
      </x:c>
      <x:c r="R859" s="9" t="n">
        <x:f>K859-P859</x:f>
        <x:v>2.12</x:v>
      </x:c>
      <x:c r="S859" s="10" t="n">
        <x:f>IF(K859&gt;0,R859/K859,"")</x:f>
        <x:v>0.33125</x:v>
      </x:c>
    </x:row>
    <x:row r="860">
      <x:c r="A860" s="7" t="n">
        <x:v>856</x:v>
      </x:c>
      <x:c r="B860" s="7" t="str">
        <x:v>Tata</x:v>
      </x:c>
      <x:c r="C860" s="7" t="str">
        <x:v>Tigor</x:v>
      </x:c>
      <x:c r="D860" s="7" t="str">
        <x:v>XE</x:v>
      </x:c>
      <x:c r="E860" s="7" t="str">
        <x:v>Petrol</x:v>
      </x:c>
      <x:c r="F860" s="7" t="str">
        <x:v>Manual</x:v>
      </x:c>
      <x:c r="G860" s="7" t="str">
        <x:v>Sedan</x:v>
      </x:c>
      <x:c r="H860" s="7" t="n">
        <x:v>1199</x:v>
      </x:c>
      <x:c r="I860" s="7" t="n">
        <x:v>85</x:v>
      </x:c>
      <x:c r="J860" s="9" t="n">
        <x:v>20.3</x:v>
      </x:c>
      <x:c r="K860" s="9" t="n">
        <x:v>6.4</x:v>
      </x:c>
      <x:c r="L860" s="7" t="n">
        <x:v>2023</x:v>
      </x:c>
      <x:c r="M860" s="11" t="n">
        <x:v>51711</x:v>
      </x:c>
      <x:c r="N860" s="7" t="n">
        <x:v>3</x:v>
      </x:c>
      <x:c r="O860" s="7" t="n">
        <x:v>1</x:v>
      </x:c>
      <x:c r="P860" s="9" t="n">
        <x:v>3.11</x:v>
      </x:c>
      <x:c r="Q860" s="7" t="n">
        <x:f>'Guide'!$B$5-L860</x:f>
        <x:v>3</x:v>
      </x:c>
      <x:c r="R860" s="9" t="n">
        <x:f>K860-P860</x:f>
        <x:v>3.2900000000000005</x:v>
      </x:c>
      <x:c r="S860" s="10" t="n">
        <x:f>IF(K860&gt;0,R860/K860,"")</x:f>
        <x:v>0.5140625000000001</x:v>
      </x:c>
    </x:row>
    <x:row r="861">
      <x:c r="A861" s="7" t="n">
        <x:v>857</x:v>
      </x:c>
      <x:c r="B861" s="7" t="str">
        <x:v>Tata</x:v>
      </x:c>
      <x:c r="C861" s="7" t="str">
        <x:v>Tigor</x:v>
      </x:c>
      <x:c r="D861" s="7" t="str">
        <x:v>XE</x:v>
      </x:c>
      <x:c r="E861" s="7" t="str">
        <x:v>Petrol</x:v>
      </x:c>
      <x:c r="F861" s="7" t="str">
        <x:v>Manual</x:v>
      </x:c>
      <x:c r="G861" s="7" t="str">
        <x:v>Sedan</x:v>
      </x:c>
      <x:c r="H861" s="7" t="n">
        <x:v>1199</x:v>
      </x:c>
      <x:c r="I861" s="7" t="n">
        <x:v>85</x:v>
      </x:c>
      <x:c r="J861" s="9" t="n">
        <x:v>20.3</x:v>
      </x:c>
      <x:c r="K861" s="9" t="n">
        <x:v>6.4</x:v>
      </x:c>
      <x:c r="L861" s="7" t="n">
        <x:v>2025</x:v>
      </x:c>
      <x:c r="M861" s="11" t="n">
        <x:v>20309</x:v>
      </x:c>
      <x:c r="N861" s="7" t="n">
        <x:v>1</x:v>
      </x:c>
      <x:c r="O861" s="7" t="n">
        <x:v>0</x:v>
      </x:c>
      <x:c r="P861" s="9" t="n">
        <x:v>5.71</x:v>
      </x:c>
      <x:c r="Q861" s="7" t="n">
        <x:f>'Guide'!$B$5-L861</x:f>
        <x:v>1</x:v>
      </x:c>
      <x:c r="R861" s="9" t="n">
        <x:f>K861-P861</x:f>
        <x:v>0.6900000000000004</x:v>
      </x:c>
      <x:c r="S861" s="10" t="n">
        <x:f>IF(K861&gt;0,R861/K861,"")</x:f>
        <x:v>0.10781250000000006</x:v>
      </x:c>
    </x:row>
    <x:row r="862">
      <x:c r="A862" s="7" t="n">
        <x:v>858</x:v>
      </x:c>
      <x:c r="B862" s="7" t="str">
        <x:v>Tata</x:v>
      </x:c>
      <x:c r="C862" s="7" t="str">
        <x:v>Tigor</x:v>
      </x:c>
      <x:c r="D862" s="7" t="str">
        <x:v>XE</x:v>
      </x:c>
      <x:c r="E862" s="7" t="str">
        <x:v>Petrol</x:v>
      </x:c>
      <x:c r="F862" s="7" t="str">
        <x:v>Manual</x:v>
      </x:c>
      <x:c r="G862" s="7" t="str">
        <x:v>Sedan</x:v>
      </x:c>
      <x:c r="H862" s="7" t="n">
        <x:v>1199</x:v>
      </x:c>
      <x:c r="I862" s="7" t="n">
        <x:v>85</x:v>
      </x:c>
      <x:c r="J862" s="9" t="n">
        <x:v>20.3</x:v>
      </x:c>
      <x:c r="K862" s="9" t="n">
        <x:v>6.4</x:v>
      </x:c>
      <x:c r="L862" s="7" t="n">
        <x:v>2025</x:v>
      </x:c>
      <x:c r="M862" s="11" t="n">
        <x:v>19184</x:v>
      </x:c>
      <x:c r="N862" s="7" t="n">
        <x:v>1</x:v>
      </x:c>
      <x:c r="O862" s="7" t="n">
        <x:v>0</x:v>
      </x:c>
      <x:c r="P862" s="9" t="n">
        <x:v>5.58</x:v>
      </x:c>
      <x:c r="Q862" s="7" t="n">
        <x:f>'Guide'!$B$5-L862</x:f>
        <x:v>1</x:v>
      </x:c>
      <x:c r="R862" s="9" t="n">
        <x:f>K862-P862</x:f>
        <x:v>0.8200000000000003</x:v>
      </x:c>
      <x:c r="S862" s="10" t="n">
        <x:f>IF(K862&gt;0,R862/K862,"")</x:f>
        <x:v>0.12812500000000004</x:v>
      </x:c>
    </x:row>
    <x:row r="863">
      <x:c r="A863" s="7" t="n">
        <x:v>859</x:v>
      </x:c>
      <x:c r="B863" s="7" t="str">
        <x:v>Tata</x:v>
      </x:c>
      <x:c r="C863" s="7" t="str">
        <x:v>Tigor</x:v>
      </x:c>
      <x:c r="D863" s="7" t="str">
        <x:v>XE</x:v>
      </x:c>
      <x:c r="E863" s="7" t="str">
        <x:v>Petrol</x:v>
      </x:c>
      <x:c r="F863" s="7" t="str">
        <x:v>Manual</x:v>
      </x:c>
      <x:c r="G863" s="7" t="str">
        <x:v>Sedan</x:v>
      </x:c>
      <x:c r="H863" s="7" t="n">
        <x:v>1199</x:v>
      </x:c>
      <x:c r="I863" s="7" t="n">
        <x:v>85</x:v>
      </x:c>
      <x:c r="J863" s="9" t="n">
        <x:v>20.3</x:v>
      </x:c>
      <x:c r="K863" s="9" t="n">
        <x:v>6.4</x:v>
      </x:c>
      <x:c r="L863" s="7" t="n">
        <x:v>2022</x:v>
      </x:c>
      <x:c r="M863" s="11" t="n">
        <x:v>38561</x:v>
      </x:c>
      <x:c r="N863" s="7" t="n">
        <x:v>1</x:v>
      </x:c>
      <x:c r="O863" s="7" t="n">
        <x:v>0</x:v>
      </x:c>
      <x:c r="P863" s="9" t="n">
        <x:v>4.2</x:v>
      </x:c>
      <x:c r="Q863" s="7" t="n">
        <x:f>'Guide'!$B$5-L863</x:f>
        <x:v>4</x:v>
      </x:c>
      <x:c r="R863" s="9" t="n">
        <x:f>K863-P863</x:f>
        <x:v>2.2</x:v>
      </x:c>
      <x:c r="S863" s="10" t="n">
        <x:f>IF(K863&gt;0,R863/K863,"")</x:f>
        <x:v>0.34375</x:v>
      </x:c>
    </x:row>
    <x:row r="864">
      <x:c r="A864" s="7" t="n">
        <x:v>860</x:v>
      </x:c>
      <x:c r="B864" s="7" t="str">
        <x:v>Tata</x:v>
      </x:c>
      <x:c r="C864" s="7" t="str">
        <x:v>Tigor</x:v>
      </x:c>
      <x:c r="D864" s="7" t="str">
        <x:v>XE</x:v>
      </x:c>
      <x:c r="E864" s="7" t="str">
        <x:v>Petrol</x:v>
      </x:c>
      <x:c r="F864" s="7" t="str">
        <x:v>Manual</x:v>
      </x:c>
      <x:c r="G864" s="7" t="str">
        <x:v>Sedan</x:v>
      </x:c>
      <x:c r="H864" s="7" t="n">
        <x:v>1199</x:v>
      </x:c>
      <x:c r="I864" s="7" t="n">
        <x:v>85</x:v>
      </x:c>
      <x:c r="J864" s="9" t="n">
        <x:v>20.3</x:v>
      </x:c>
      <x:c r="K864" s="9" t="n">
        <x:v>6.4</x:v>
      </x:c>
      <x:c r="L864" s="7" t="n">
        <x:v>2021</x:v>
      </x:c>
      <x:c r="M864" s="11" t="n">
        <x:v>73387</x:v>
      </x:c>
      <x:c r="N864" s="7" t="n">
        <x:v>1</x:v>
      </x:c>
      <x:c r="O864" s="7" t="n">
        <x:v>0</x:v>
      </x:c>
      <x:c r="P864" s="9" t="n">
        <x:v>3.31</x:v>
      </x:c>
      <x:c r="Q864" s="7" t="n">
        <x:f>'Guide'!$B$5-L864</x:f>
        <x:v>5</x:v>
      </x:c>
      <x:c r="R864" s="9" t="n">
        <x:f>K864-P864</x:f>
        <x:v>3.0900000000000003</x:v>
      </x:c>
      <x:c r="S864" s="10" t="n">
        <x:f>IF(K864&gt;0,R864/K864,"")</x:f>
        <x:v>0.48281250000000003</x:v>
      </x:c>
    </x:row>
    <x:row r="865">
      <x:c r="A865" s="7" t="n">
        <x:v>861</x:v>
      </x:c>
      <x:c r="B865" s="7" t="str">
        <x:v>Tata</x:v>
      </x:c>
      <x:c r="C865" s="7" t="str">
        <x:v>Tigor</x:v>
      </x:c>
      <x:c r="D865" s="7" t="str">
        <x:v>XE</x:v>
      </x:c>
      <x:c r="E865" s="7" t="str">
        <x:v>Petrol</x:v>
      </x:c>
      <x:c r="F865" s="7" t="str">
        <x:v>Manual</x:v>
      </x:c>
      <x:c r="G865" s="7" t="str">
        <x:v>Sedan</x:v>
      </x:c>
      <x:c r="H865" s="7" t="n">
        <x:v>1199</x:v>
      </x:c>
      <x:c r="I865" s="7" t="n">
        <x:v>85</x:v>
      </x:c>
      <x:c r="J865" s="9" t="n">
        <x:v>20.3</x:v>
      </x:c>
      <x:c r="K865" s="9" t="n">
        <x:v>6.4</x:v>
      </x:c>
      <x:c r="L865" s="7" t="n">
        <x:v>2026</x:v>
      </x:c>
      <x:c r="M865" s="11" t="n">
        <x:v>9595</x:v>
      </x:c>
      <x:c r="N865" s="7" t="n">
        <x:v>2</x:v>
      </x:c>
      <x:c r="O865" s="7" t="n">
        <x:v>0</x:v>
      </x:c>
      <x:c r="P865" s="9" t="n">
        <x:v>5.82</x:v>
      </x:c>
      <x:c r="Q865" s="7" t="n">
        <x:f>'Guide'!$B$5-L865</x:f>
        <x:v>0</x:v>
      </x:c>
      <x:c r="R865" s="9" t="n">
        <x:f>K865-P865</x:f>
        <x:v>0.5800000000000001</x:v>
      </x:c>
      <x:c r="S865" s="10" t="n">
        <x:f>IF(K865&gt;0,R865/K865,"")</x:f>
        <x:v>0.09062500000000001</x:v>
      </x:c>
    </x:row>
    <x:row r="866">
      <x:c r="A866" s="7" t="n">
        <x:v>862</x:v>
      </x:c>
      <x:c r="B866" s="7" t="str">
        <x:v>Tata</x:v>
      </x:c>
      <x:c r="C866" s="7" t="str">
        <x:v>Tigor</x:v>
      </x:c>
      <x:c r="D866" s="7" t="str">
        <x:v>XE</x:v>
      </x:c>
      <x:c r="E866" s="7" t="str">
        <x:v>Petrol</x:v>
      </x:c>
      <x:c r="F866" s="7" t="str">
        <x:v>Manual</x:v>
      </x:c>
      <x:c r="G866" s="7" t="str">
        <x:v>Sedan</x:v>
      </x:c>
      <x:c r="H866" s="7" t="n">
        <x:v>1199</x:v>
      </x:c>
      <x:c r="I866" s="7" t="n">
        <x:v>85</x:v>
      </x:c>
      <x:c r="J866" s="9" t="n">
        <x:v>20.3</x:v>
      </x:c>
      <x:c r="K866" s="9" t="n">
        <x:v>6.4</x:v>
      </x:c>
      <x:c r="L866" s="7" t="n">
        <x:v>2022</x:v>
      </x:c>
      <x:c r="M866" s="11" t="n">
        <x:v>83370</x:v>
      </x:c>
      <x:c r="N866" s="7" t="n">
        <x:v>2</x:v>
      </x:c>
      <x:c r="O866" s="7" t="n">
        <x:v>0</x:v>
      </x:c>
      <x:c r="P866" s="9" t="n">
        <x:v>3.54</x:v>
      </x:c>
      <x:c r="Q866" s="7" t="n">
        <x:f>'Guide'!$B$5-L866</x:f>
        <x:v>4</x:v>
      </x:c>
      <x:c r="R866" s="9" t="n">
        <x:f>K866-P866</x:f>
        <x:v>2.8600000000000003</x:v>
      </x:c>
      <x:c r="S866" s="10" t="n">
        <x:f>IF(K866&gt;0,R866/K866,"")</x:f>
        <x:v>0.446875</x:v>
      </x:c>
    </x:row>
    <x:row r="867">
      <x:c r="A867" s="7" t="n">
        <x:v>863</x:v>
      </x:c>
      <x:c r="B867" s="7" t="str">
        <x:v>Tata</x:v>
      </x:c>
      <x:c r="C867" s="7" t="str">
        <x:v>Tigor</x:v>
      </x:c>
      <x:c r="D867" s="7" t="str">
        <x:v>XE</x:v>
      </x:c>
      <x:c r="E867" s="7" t="str">
        <x:v>Petrol</x:v>
      </x:c>
      <x:c r="F867" s="7" t="str">
        <x:v>Manual</x:v>
      </x:c>
      <x:c r="G867" s="7" t="str">
        <x:v>Sedan</x:v>
      </x:c>
      <x:c r="H867" s="7" t="n">
        <x:v>1199</x:v>
      </x:c>
      <x:c r="I867" s="7" t="n">
        <x:v>85</x:v>
      </x:c>
      <x:c r="J867" s="9" t="n">
        <x:v>20.3</x:v>
      </x:c>
      <x:c r="K867" s="9" t="n">
        <x:v>6.4</x:v>
      </x:c>
      <x:c r="L867" s="7" t="n">
        <x:v>2022</x:v>
      </x:c>
      <x:c r="M867" s="11" t="n">
        <x:v>59378</x:v>
      </x:c>
      <x:c r="N867" s="7" t="n">
        <x:v>1</x:v>
      </x:c>
      <x:c r="O867" s="7" t="n">
        <x:v>0</x:v>
      </x:c>
      <x:c r="P867" s="9" t="n">
        <x:v>4.28</x:v>
      </x:c>
      <x:c r="Q867" s="7" t="n">
        <x:f>'Guide'!$B$5-L867</x:f>
        <x:v>4</x:v>
      </x:c>
      <x:c r="R867" s="9" t="n">
        <x:f>K867-P867</x:f>
        <x:v>2.12</x:v>
      </x:c>
      <x:c r="S867" s="10" t="n">
        <x:f>IF(K867&gt;0,R867/K867,"")</x:f>
        <x:v>0.33125</x:v>
      </x:c>
    </x:row>
    <x:row r="868">
      <x:c r="A868" s="7" t="n">
        <x:v>864</x:v>
      </x:c>
      <x:c r="B868" s="7" t="str">
        <x:v>Tata</x:v>
      </x:c>
      <x:c r="C868" s="7" t="str">
        <x:v>Tigor</x:v>
      </x:c>
      <x:c r="D868" s="7" t="str">
        <x:v>XE</x:v>
      </x:c>
      <x:c r="E868" s="7" t="str">
        <x:v>Petrol</x:v>
      </x:c>
      <x:c r="F868" s="7" t="str">
        <x:v>Manual</x:v>
      </x:c>
      <x:c r="G868" s="7" t="str">
        <x:v>Sedan</x:v>
      </x:c>
      <x:c r="H868" s="7" t="n">
        <x:v>1199</x:v>
      </x:c>
      <x:c r="I868" s="7" t="n">
        <x:v>85</x:v>
      </x:c>
      <x:c r="J868" s="9" t="n">
        <x:v>20.3</x:v>
      </x:c>
      <x:c r="K868" s="9" t="n">
        <x:v>6.4</x:v>
      </x:c>
      <x:c r="L868" s="7" t="n">
        <x:v>2024</x:v>
      </x:c>
      <x:c r="M868" s="11" t="n">
        <x:v>24819</x:v>
      </x:c>
      <x:c r="N868" s="7" t="n">
        <x:v>1</x:v>
      </x:c>
      <x:c r="O868" s="7" t="n">
        <x:v>0</x:v>
      </x:c>
      <x:c r="P868" s="9" t="n">
        <x:v>4.99</x:v>
      </x:c>
      <x:c r="Q868" s="7" t="n">
        <x:f>'Guide'!$B$5-L868</x:f>
        <x:v>2</x:v>
      </x:c>
      <x:c r="R868" s="9" t="n">
        <x:f>K868-P868</x:f>
        <x:v>1.4100000000000001</x:v>
      </x:c>
      <x:c r="S868" s="10" t="n">
        <x:f>IF(K868&gt;0,R868/K868,"")</x:f>
        <x:v>0.22031250000000002</x:v>
      </x:c>
    </x:row>
    <x:row r="869">
      <x:c r="A869" s="7" t="n">
        <x:v>865</x:v>
      </x:c>
      <x:c r="B869" s="7" t="str">
        <x:v>Tata</x:v>
      </x:c>
      <x:c r="C869" s="7" t="str">
        <x:v>Tigor</x:v>
      </x:c>
      <x:c r="D869" s="7" t="str">
        <x:v>XE</x:v>
      </x:c>
      <x:c r="E869" s="7" t="str">
        <x:v>Petrol</x:v>
      </x:c>
      <x:c r="F869" s="7" t="str">
        <x:v>Manual</x:v>
      </x:c>
      <x:c r="G869" s="7" t="str">
        <x:v>Sedan</x:v>
      </x:c>
      <x:c r="H869" s="7" t="n">
        <x:v>1199</x:v>
      </x:c>
      <x:c r="I869" s="7" t="n">
        <x:v>85</x:v>
      </x:c>
      <x:c r="J869" s="9" t="n">
        <x:v>20.3</x:v>
      </x:c>
      <x:c r="K869" s="9" t="n">
        <x:v>6.4</x:v>
      </x:c>
      <x:c r="L869" s="7" t="n">
        <x:v>2020</x:v>
      </x:c>
      <x:c r="M869" s="11" t="n">
        <x:v>116970</x:v>
      </x:c>
      <x:c r="N869" s="7" t="n">
        <x:v>1</x:v>
      </x:c>
      <x:c r="O869" s="7" t="n">
        <x:v>0</x:v>
      </x:c>
      <x:c r="P869" s="9" t="n">
        <x:v>2.06</x:v>
      </x:c>
      <x:c r="Q869" s="7" t="n">
        <x:f>'Guide'!$B$5-L869</x:f>
        <x:v>6</x:v>
      </x:c>
      <x:c r="R869" s="9" t="n">
        <x:f>K869-P869</x:f>
        <x:v>4.34</x:v>
      </x:c>
      <x:c r="S869" s="10" t="n">
        <x:f>IF(K869&gt;0,R869/K869,"")</x:f>
        <x:v>0.678125</x:v>
      </x:c>
    </x:row>
    <x:row r="870">
      <x:c r="A870" s="7" t="n">
        <x:v>866</x:v>
      </x:c>
      <x:c r="B870" s="7" t="str">
        <x:v>Tata</x:v>
      </x:c>
      <x:c r="C870" s="7" t="str">
        <x:v>Tigor</x:v>
      </x:c>
      <x:c r="D870" s="7" t="str">
        <x:v>XE</x:v>
      </x:c>
      <x:c r="E870" s="7" t="str">
        <x:v>Petrol</x:v>
      </x:c>
      <x:c r="F870" s="7" t="str">
        <x:v>Manual</x:v>
      </x:c>
      <x:c r="G870" s="7" t="str">
        <x:v>Sedan</x:v>
      </x:c>
      <x:c r="H870" s="7" t="n">
        <x:v>1199</x:v>
      </x:c>
      <x:c r="I870" s="7" t="n">
        <x:v>85</x:v>
      </x:c>
      <x:c r="J870" s="9" t="n">
        <x:v>20.3</x:v>
      </x:c>
      <x:c r="K870" s="9" t="n">
        <x:v>6.4</x:v>
      </x:c>
      <x:c r="L870" s="7" t="n">
        <x:v>2026</x:v>
      </x:c>
      <x:c r="M870" s="11" t="n">
        <x:v>7920</x:v>
      </x:c>
      <x:c r="N870" s="7" t="n">
        <x:v>1</x:v>
      </x:c>
      <x:c r="O870" s="7" t="n">
        <x:v>0</x:v>
      </x:c>
      <x:c r="P870" s="9" t="n">
        <x:v>6.38</x:v>
      </x:c>
      <x:c r="Q870" s="7" t="n">
        <x:f>'Guide'!$B$5-L870</x:f>
        <x:v>0</x:v>
      </x:c>
      <x:c r="R870" s="9" t="n">
        <x:f>K870-P870</x:f>
        <x:v>0.020000000000000462</x:v>
      </x:c>
      <x:c r="S870" s="10" t="n">
        <x:f>IF(K870&gt;0,R870/K870,"")</x:f>
        <x:v>0.003125000000000072</x:v>
      </x:c>
    </x:row>
    <x:row r="871">
      <x:c r="A871" s="7" t="n">
        <x:v>867</x:v>
      </x:c>
      <x:c r="B871" s="7" t="str">
        <x:v>Tata</x:v>
      </x:c>
      <x:c r="C871" s="7" t="str">
        <x:v>Tigor</x:v>
      </x:c>
      <x:c r="D871" s="7" t="str">
        <x:v>XE</x:v>
      </x:c>
      <x:c r="E871" s="7" t="str">
        <x:v>Petrol</x:v>
      </x:c>
      <x:c r="F871" s="7" t="str">
        <x:v>Manual</x:v>
      </x:c>
      <x:c r="G871" s="7" t="str">
        <x:v>Sedan</x:v>
      </x:c>
      <x:c r="H871" s="7" t="n">
        <x:v>1199</x:v>
      </x:c>
      <x:c r="I871" s="7" t="n">
        <x:v>85</x:v>
      </x:c>
      <x:c r="J871" s="9" t="n">
        <x:v>20.3</x:v>
      </x:c>
      <x:c r="K871" s="9" t="n">
        <x:v>6.4</x:v>
      </x:c>
      <x:c r="L871" s="7" t="n">
        <x:v>2020</x:v>
      </x:c>
      <x:c r="M871" s="11" t="n">
        <x:v>102300</x:v>
      </x:c>
      <x:c r="N871" s="7" t="n">
        <x:v>1</x:v>
      </x:c>
      <x:c r="O871" s="7" t="n">
        <x:v>0</x:v>
      </x:c>
      <x:c r="P871" s="9" t="n">
        <x:v>2.6</x:v>
      </x:c>
      <x:c r="Q871" s="7" t="n">
        <x:f>'Guide'!$B$5-L871</x:f>
        <x:v>6</x:v>
      </x:c>
      <x:c r="R871" s="9" t="n">
        <x:f>K871-P871</x:f>
        <x:v>3.8000000000000003</x:v>
      </x:c>
      <x:c r="S871" s="10" t="n">
        <x:f>IF(K871&gt;0,R871/K871,"")</x:f>
        <x:v>0.59375</x:v>
      </x:c>
    </x:row>
    <x:row r="872">
      <x:c r="A872" s="7" t="n">
        <x:v>868</x:v>
      </x:c>
      <x:c r="B872" s="7" t="str">
        <x:v>Tata</x:v>
      </x:c>
      <x:c r="C872" s="7" t="str">
        <x:v>Tigor</x:v>
      </x:c>
      <x:c r="D872" s="7" t="str">
        <x:v>XE</x:v>
      </x:c>
      <x:c r="E872" s="7" t="str">
        <x:v>Petrol</x:v>
      </x:c>
      <x:c r="F872" s="7" t="str">
        <x:v>Manual</x:v>
      </x:c>
      <x:c r="G872" s="7" t="str">
        <x:v>Sedan</x:v>
      </x:c>
      <x:c r="H872" s="7" t="n">
        <x:v>1199</x:v>
      </x:c>
      <x:c r="I872" s="7" t="n">
        <x:v>85</x:v>
      </x:c>
      <x:c r="J872" s="9" t="n">
        <x:v>20.3</x:v>
      </x:c>
      <x:c r="K872" s="9" t="n">
        <x:v>6.4</x:v>
      </x:c>
      <x:c r="L872" s="7" t="n">
        <x:v>2020</x:v>
      </x:c>
      <x:c r="M872" s="11" t="n">
        <x:v>112826</x:v>
      </x:c>
      <x:c r="N872" s="7" t="n">
        <x:v>1</x:v>
      </x:c>
      <x:c r="O872" s="7" t="n">
        <x:v>1</x:v>
      </x:c>
      <x:c r="P872" s="9" t="n">
        <x:v>1.6</x:v>
      </x:c>
      <x:c r="Q872" s="7" t="n">
        <x:f>'Guide'!$B$5-L872</x:f>
        <x:v>6</x:v>
      </x:c>
      <x:c r="R872" s="9" t="n">
        <x:f>K872-P872</x:f>
        <x:v>4.800000000000001</x:v>
      </x:c>
      <x:c r="S872" s="10" t="n">
        <x:f>IF(K872&gt;0,R872/K872,"")</x:f>
        <x:v>0.7500000000000001</x:v>
      </x:c>
    </x:row>
    <x:row r="873">
      <x:c r="A873" s="7" t="n">
        <x:v>869</x:v>
      </x:c>
      <x:c r="B873" s="7" t="str">
        <x:v>Tata</x:v>
      </x:c>
      <x:c r="C873" s="7" t="str">
        <x:v>Tigor</x:v>
      </x:c>
      <x:c r="D873" s="7" t="str">
        <x:v>XE</x:v>
      </x:c>
      <x:c r="E873" s="7" t="str">
        <x:v>Petrol</x:v>
      </x:c>
      <x:c r="F873" s="7" t="str">
        <x:v>Manual</x:v>
      </x:c>
      <x:c r="G873" s="7" t="str">
        <x:v>Sedan</x:v>
      </x:c>
      <x:c r="H873" s="7" t="n">
        <x:v>1199</x:v>
      </x:c>
      <x:c r="I873" s="7" t="n">
        <x:v>85</x:v>
      </x:c>
      <x:c r="J873" s="9" t="n">
        <x:v>20.3</x:v>
      </x:c>
      <x:c r="K873" s="9" t="n">
        <x:v>6.4</x:v>
      </x:c>
      <x:c r="L873" s="7" t="n">
        <x:v>2025</x:v>
      </x:c>
      <x:c r="M873" s="11" t="n">
        <x:v>29324</x:v>
      </x:c>
      <x:c r="N873" s="7" t="n">
        <x:v>2</x:v>
      </x:c>
      <x:c r="O873" s="7" t="n">
        <x:v>0</x:v>
      </x:c>
      <x:c r="P873" s="9" t="n">
        <x:v>4.87</x:v>
      </x:c>
      <x:c r="Q873" s="7" t="n">
        <x:f>'Guide'!$B$5-L873</x:f>
        <x:v>1</x:v>
      </x:c>
      <x:c r="R873" s="9" t="n">
        <x:f>K873-P873</x:f>
        <x:v>1.5300000000000002</x:v>
      </x:c>
      <x:c r="S873" s="10" t="n">
        <x:f>IF(K873&gt;0,R873/K873,"")</x:f>
        <x:v>0.23906250000000004</x:v>
      </x:c>
    </x:row>
    <x:row r="874">
      <x:c r="A874" s="7" t="n">
        <x:v>870</x:v>
      </x:c>
      <x:c r="B874" s="7" t="str">
        <x:v>Tata</x:v>
      </x:c>
      <x:c r="C874" s="7" t="str">
        <x:v>Tigor</x:v>
      </x:c>
      <x:c r="D874" s="7" t="str">
        <x:v>XE</x:v>
      </x:c>
      <x:c r="E874" s="7" t="str">
        <x:v>Petrol</x:v>
      </x:c>
      <x:c r="F874" s="7" t="str">
        <x:v>Manual</x:v>
      </x:c>
      <x:c r="G874" s="7" t="str">
        <x:v>Sedan</x:v>
      </x:c>
      <x:c r="H874" s="7" t="n">
        <x:v>1199</x:v>
      </x:c>
      <x:c r="I874" s="7" t="n">
        <x:v>85</x:v>
      </x:c>
      <x:c r="J874" s="9" t="n">
        <x:v>20.3</x:v>
      </x:c>
      <x:c r="K874" s="9" t="n">
        <x:v>6.4</x:v>
      </x:c>
      <x:c r="L874" s="7" t="n">
        <x:v>2021</x:v>
      </x:c>
      <x:c r="M874" s="11" t="n">
        <x:v>106996</x:v>
      </x:c>
      <x:c r="N874" s="7" t="n">
        <x:v>1</x:v>
      </x:c>
      <x:c r="O874" s="7" t="n">
        <x:v>0</x:v>
      </x:c>
      <x:c r="P874" s="9" t="n">
        <x:v>3.06</x:v>
      </x:c>
      <x:c r="Q874" s="7" t="n">
        <x:f>'Guide'!$B$5-L874</x:f>
        <x:v>5</x:v>
      </x:c>
      <x:c r="R874" s="9" t="n">
        <x:f>K874-P874</x:f>
        <x:v>3.3400000000000003</x:v>
      </x:c>
      <x:c r="S874" s="10" t="n">
        <x:f>IF(K874&gt;0,R874/K874,"")</x:f>
        <x:v>0.521875</x:v>
      </x:c>
    </x:row>
    <x:row r="875">
      <x:c r="A875" s="7" t="n">
        <x:v>871</x:v>
      </x:c>
      <x:c r="B875" s="7" t="str">
        <x:v>Tata</x:v>
      </x:c>
      <x:c r="C875" s="7" t="str">
        <x:v>Tigor</x:v>
      </x:c>
      <x:c r="D875" s="7" t="str">
        <x:v>XE</x:v>
      </x:c>
      <x:c r="E875" s="7" t="str">
        <x:v>Petrol</x:v>
      </x:c>
      <x:c r="F875" s="7" t="str">
        <x:v>Manual</x:v>
      </x:c>
      <x:c r="G875" s="7" t="str">
        <x:v>Sedan</x:v>
      </x:c>
      <x:c r="H875" s="7" t="n">
        <x:v>1199</x:v>
      </x:c>
      <x:c r="I875" s="7" t="n">
        <x:v>85</x:v>
      </x:c>
      <x:c r="J875" s="9" t="n">
        <x:v>20.3</x:v>
      </x:c>
      <x:c r="K875" s="9" t="n">
        <x:v>6.4</x:v>
      </x:c>
      <x:c r="L875" s="7" t="n">
        <x:v>2025</x:v>
      </x:c>
      <x:c r="M875" s="11" t="n">
        <x:v>12680</x:v>
      </x:c>
      <x:c r="N875" s="7" t="n">
        <x:v>3</x:v>
      </x:c>
      <x:c r="O875" s="7" t="n">
        <x:v>1</x:v>
      </x:c>
      <x:c r="P875" s="9" t="n">
        <x:v>4.15</x:v>
      </x:c>
      <x:c r="Q875" s="7" t="n">
        <x:f>'Guide'!$B$5-L875</x:f>
        <x:v>1</x:v>
      </x:c>
      <x:c r="R875" s="9" t="n">
        <x:f>K875-P875</x:f>
        <x:v>2.25</x:v>
      </x:c>
      <x:c r="S875" s="10" t="n">
        <x:f>IF(K875&gt;0,R875/K875,"")</x:f>
        <x:v>0.3515625</x:v>
      </x:c>
    </x:row>
    <x:row r="876">
      <x:c r="A876" s="7" t="n">
        <x:v>872</x:v>
      </x:c>
      <x:c r="B876" s="7" t="str">
        <x:v>Tata</x:v>
      </x:c>
      <x:c r="C876" s="7" t="str">
        <x:v>Tigor</x:v>
      </x:c>
      <x:c r="D876" s="7" t="str">
        <x:v>XE</x:v>
      </x:c>
      <x:c r="E876" s="7" t="str">
        <x:v>Petrol</x:v>
      </x:c>
      <x:c r="F876" s="7" t="str">
        <x:v>Manual</x:v>
      </x:c>
      <x:c r="G876" s="7" t="str">
        <x:v>Sedan</x:v>
      </x:c>
      <x:c r="H876" s="7" t="n">
        <x:v>1199</x:v>
      </x:c>
      <x:c r="I876" s="7" t="n">
        <x:v>85</x:v>
      </x:c>
      <x:c r="J876" s="9" t="n">
        <x:v>20.3</x:v>
      </x:c>
      <x:c r="K876" s="9" t="n">
        <x:v>6.4</x:v>
      </x:c>
      <x:c r="L876" s="7" t="n">
        <x:v>2023</x:v>
      </x:c>
      <x:c r="M876" s="11" t="n">
        <x:v>31307</x:v>
      </x:c>
      <x:c r="N876" s="7" t="n">
        <x:v>2</x:v>
      </x:c>
      <x:c r="O876" s="7" t="n">
        <x:v>0</x:v>
      </x:c>
      <x:c r="P876" s="9" t="n">
        <x:v>4.31</x:v>
      </x:c>
      <x:c r="Q876" s="7" t="n">
        <x:f>'Guide'!$B$5-L876</x:f>
        <x:v>3</x:v>
      </x:c>
      <x:c r="R876" s="9" t="n">
        <x:f>K876-P876</x:f>
        <x:v>2.0900000000000007</x:v>
      </x:c>
      <x:c r="S876" s="10" t="n">
        <x:f>IF(K876&gt;0,R876/K876,"")</x:f>
        <x:v>0.3265625000000001</x:v>
      </x:c>
    </x:row>
    <x:row r="877">
      <x:c r="A877" s="7" t="n">
        <x:v>873</x:v>
      </x:c>
      <x:c r="B877" s="7" t="str">
        <x:v>Tata</x:v>
      </x:c>
      <x:c r="C877" s="7" t="str">
        <x:v>Tigor</x:v>
      </x:c>
      <x:c r="D877" s="7" t="str">
        <x:v>XE</x:v>
      </x:c>
      <x:c r="E877" s="7" t="str">
        <x:v>Petrol</x:v>
      </x:c>
      <x:c r="F877" s="7" t="str">
        <x:v>Manual</x:v>
      </x:c>
      <x:c r="G877" s="7" t="str">
        <x:v>Sedan</x:v>
      </x:c>
      <x:c r="H877" s="7" t="n">
        <x:v>1199</x:v>
      </x:c>
      <x:c r="I877" s="7" t="n">
        <x:v>85</x:v>
      </x:c>
      <x:c r="J877" s="9" t="n">
        <x:v>20.3</x:v>
      </x:c>
      <x:c r="K877" s="9" t="n">
        <x:v>6.4</x:v>
      </x:c>
      <x:c r="L877" s="7" t="n">
        <x:v>2026</x:v>
      </x:c>
      <x:c r="M877" s="11" t="n">
        <x:v>8718</x:v>
      </x:c>
      <x:c r="N877" s="7" t="n">
        <x:v>1</x:v>
      </x:c>
      <x:c r="O877" s="7" t="n">
        <x:v>0</x:v>
      </x:c>
      <x:c r="P877" s="9" t="n">
        <x:v>6.59</x:v>
      </x:c>
      <x:c r="Q877" s="7" t="n">
        <x:f>'Guide'!$B$5-L877</x:f>
        <x:v>0</x:v>
      </x:c>
      <x:c r="R877" s="9" t="n">
        <x:f>K877-P877</x:f>
        <x:v>-0.1899999999999995</x:v>
      </x:c>
      <x:c r="S877" s="10" t="n">
        <x:f>IF(K877&gt;0,R877/K877,"")</x:f>
        <x:v>-0.029687499999999922</x:v>
      </x:c>
    </x:row>
    <x:row r="878">
      <x:c r="A878" s="7" t="n">
        <x:v>874</x:v>
      </x:c>
      <x:c r="B878" s="7" t="str">
        <x:v>Tata</x:v>
      </x:c>
      <x:c r="C878" s="7" t="str">
        <x:v>Tigor</x:v>
      </x:c>
      <x:c r="D878" s="7" t="str">
        <x:v>XE</x:v>
      </x:c>
      <x:c r="E878" s="7" t="str">
        <x:v>Petrol</x:v>
      </x:c>
      <x:c r="F878" s="7" t="str">
        <x:v>Manual</x:v>
      </x:c>
      <x:c r="G878" s="7" t="str">
        <x:v>Sedan</x:v>
      </x:c>
      <x:c r="H878" s="7" t="n">
        <x:v>1199</x:v>
      </x:c>
      <x:c r="I878" s="7" t="n">
        <x:v>85</x:v>
      </x:c>
      <x:c r="J878" s="9" t="n">
        <x:v>20.3</x:v>
      </x:c>
      <x:c r="K878" s="9" t="n">
        <x:v>6.4</x:v>
      </x:c>
      <x:c r="L878" s="7" t="n">
        <x:v>2026</x:v>
      </x:c>
      <x:c r="M878" s="11" t="n">
        <x:v>9286</x:v>
      </x:c>
      <x:c r="N878" s="7" t="n">
        <x:v>1</x:v>
      </x:c>
      <x:c r="O878" s="7" t="n">
        <x:v>0</x:v>
      </x:c>
      <x:c r="P878" s="9" t="n">
        <x:v>6.7</x:v>
      </x:c>
      <x:c r="Q878" s="7" t="n">
        <x:f>'Guide'!$B$5-L878</x:f>
        <x:v>0</x:v>
      </x:c>
      <x:c r="R878" s="9" t="n">
        <x:f>K878-P878</x:f>
        <x:v>-0.2999999999999998</x:v>
      </x:c>
      <x:c r="S878" s="10" t="n">
        <x:f>IF(K878&gt;0,R878/K878,"")</x:f>
        <x:v>-0.04687499999999997</x:v>
      </x:c>
    </x:row>
    <x:row r="879">
      <x:c r="A879" s="7" t="n">
        <x:v>875</x:v>
      </x:c>
      <x:c r="B879" s="7" t="str">
        <x:v>Tata</x:v>
      </x:c>
      <x:c r="C879" s="7" t="str">
        <x:v>Tigor</x:v>
      </x:c>
      <x:c r="D879" s="7" t="str">
        <x:v>XE</x:v>
      </x:c>
      <x:c r="E879" s="7" t="str">
        <x:v>Petrol</x:v>
      </x:c>
      <x:c r="F879" s="7" t="str">
        <x:v>Manual</x:v>
      </x:c>
      <x:c r="G879" s="7" t="str">
        <x:v>Sedan</x:v>
      </x:c>
      <x:c r="H879" s="7" t="n">
        <x:v>1199</x:v>
      </x:c>
      <x:c r="I879" s="7" t="n">
        <x:v>85</x:v>
      </x:c>
      <x:c r="J879" s="9" t="n">
        <x:v>20.3</x:v>
      </x:c>
      <x:c r="K879" s="9" t="n">
        <x:v>6.4</x:v>
      </x:c>
      <x:c r="L879" s="7" t="n">
        <x:v>2025</x:v>
      </x:c>
      <x:c r="M879" s="11" t="n">
        <x:v>24101</x:v>
      </x:c>
      <x:c r="N879" s="7" t="n">
        <x:v>1</x:v>
      </x:c>
      <x:c r="O879" s="7" t="n">
        <x:v>0</x:v>
      </x:c>
      <x:c r="P879" s="9" t="n">
        <x:v>5.39</x:v>
      </x:c>
      <x:c r="Q879" s="7" t="n">
        <x:f>'Guide'!$B$5-L879</x:f>
        <x:v>1</x:v>
      </x:c>
      <x:c r="R879" s="9" t="n">
        <x:f>K879-P879</x:f>
        <x:v>1.0100000000000007</x:v>
      </x:c>
      <x:c r="S879" s="10" t="n">
        <x:f>IF(K879&gt;0,R879/K879,"")</x:f>
        <x:v>0.1578125000000001</x:v>
      </x:c>
    </x:row>
    <x:row r="880">
      <x:c r="A880" s="7" t="n">
        <x:v>876</x:v>
      </x:c>
      <x:c r="B880" s="7" t="str">
        <x:v>Tata</x:v>
      </x:c>
      <x:c r="C880" s="7" t="str">
        <x:v>Tigor</x:v>
      </x:c>
      <x:c r="D880" s="7" t="str">
        <x:v>XE</x:v>
      </x:c>
      <x:c r="E880" s="7" t="str">
        <x:v>Petrol</x:v>
      </x:c>
      <x:c r="F880" s="7" t="str">
        <x:v>Manual</x:v>
      </x:c>
      <x:c r="G880" s="7" t="str">
        <x:v>Sedan</x:v>
      </x:c>
      <x:c r="H880" s="7" t="n">
        <x:v>1199</x:v>
      </x:c>
      <x:c r="I880" s="7" t="n">
        <x:v>85</x:v>
      </x:c>
      <x:c r="J880" s="9" t="n">
        <x:v>20.3</x:v>
      </x:c>
      <x:c r="K880" s="9" t="n">
        <x:v>6.4</x:v>
      </x:c>
      <x:c r="L880" s="7" t="n">
        <x:v>2022</x:v>
      </x:c>
      <x:c r="M880" s="11" t="n">
        <x:v>85670</x:v>
      </x:c>
      <x:c r="N880" s="7" t="n">
        <x:v>2</x:v>
      </x:c>
      <x:c r="O880" s="7" t="n">
        <x:v>0</x:v>
      </x:c>
      <x:c r="P880" s="9" t="n">
        <x:v>3.38</x:v>
      </x:c>
      <x:c r="Q880" s="7" t="n">
        <x:f>'Guide'!$B$5-L880</x:f>
        <x:v>4</x:v>
      </x:c>
      <x:c r="R880" s="9" t="n">
        <x:f>K880-P880</x:f>
        <x:v>3.0200000000000005</x:v>
      </x:c>
      <x:c r="S880" s="10" t="n">
        <x:f>IF(K880&gt;0,R880/K880,"")</x:f>
        <x:v>0.47187500000000004</x:v>
      </x:c>
    </x:row>
    <x:row r="881">
      <x:c r="A881" s="7" t="n">
        <x:v>877</x:v>
      </x:c>
      <x:c r="B881" s="7" t="str">
        <x:v>Tata</x:v>
      </x:c>
      <x:c r="C881" s="7" t="str">
        <x:v>Tigor</x:v>
      </x:c>
      <x:c r="D881" s="7" t="str">
        <x:v>XE</x:v>
      </x:c>
      <x:c r="E881" s="7" t="str">
        <x:v>Petrol</x:v>
      </x:c>
      <x:c r="F881" s="7" t="str">
        <x:v>Manual</x:v>
      </x:c>
      <x:c r="G881" s="7" t="str">
        <x:v>Sedan</x:v>
      </x:c>
      <x:c r="H881" s="7" t="n">
        <x:v>1199</x:v>
      </x:c>
      <x:c r="I881" s="7" t="n">
        <x:v>85</x:v>
      </x:c>
      <x:c r="J881" s="9" t="n">
        <x:v>20.3</x:v>
      </x:c>
      <x:c r="K881" s="9" t="n">
        <x:v>6.4</x:v>
      </x:c>
      <x:c r="L881" s="7" t="n">
        <x:v>2023</x:v>
      </x:c>
      <x:c r="M881" s="11" t="n">
        <x:v>51558</x:v>
      </x:c>
      <x:c r="N881" s="7" t="n">
        <x:v>1</x:v>
      </x:c>
      <x:c r="O881" s="7" t="n">
        <x:v>0</x:v>
      </x:c>
      <x:c r="P881" s="9" t="n">
        <x:v>4.52</x:v>
      </x:c>
      <x:c r="Q881" s="7" t="n">
        <x:f>'Guide'!$B$5-L881</x:f>
        <x:v>3</x:v>
      </x:c>
      <x:c r="R881" s="9" t="n">
        <x:f>K881-P881</x:f>
        <x:v>1.8800000000000008</x:v>
      </x:c>
      <x:c r="S881" s="10" t="n">
        <x:f>IF(K881&gt;0,R881/K881,"")</x:f>
        <x:v>0.2937500000000001</x:v>
      </x:c>
    </x:row>
    <x:row r="882">
      <x:c r="A882" s="7" t="n">
        <x:v>878</x:v>
      </x:c>
      <x:c r="B882" s="7" t="str">
        <x:v>Tata</x:v>
      </x:c>
      <x:c r="C882" s="7" t="str">
        <x:v>Tigor</x:v>
      </x:c>
      <x:c r="D882" s="7" t="str">
        <x:v>XE</x:v>
      </x:c>
      <x:c r="E882" s="7" t="str">
        <x:v>Petrol</x:v>
      </x:c>
      <x:c r="F882" s="7" t="str">
        <x:v>Manual</x:v>
      </x:c>
      <x:c r="G882" s="7" t="str">
        <x:v>Sedan</x:v>
      </x:c>
      <x:c r="H882" s="7" t="n">
        <x:v>1199</x:v>
      </x:c>
      <x:c r="I882" s="7" t="n">
        <x:v>85</x:v>
      </x:c>
      <x:c r="J882" s="9" t="n">
        <x:v>20.3</x:v>
      </x:c>
      <x:c r="K882" s="9" t="n">
        <x:v>6.4</x:v>
      </x:c>
      <x:c r="L882" s="7" t="n">
        <x:v>2025</x:v>
      </x:c>
      <x:c r="M882" s="11" t="n">
        <x:v>13419</x:v>
      </x:c>
      <x:c r="N882" s="7" t="n">
        <x:v>2</x:v>
      </x:c>
      <x:c r="O882" s="7" t="n">
        <x:v>1</x:v>
      </x:c>
      <x:c r="P882" s="9" t="n">
        <x:v>4.5</x:v>
      </x:c>
      <x:c r="Q882" s="7" t="n">
        <x:f>'Guide'!$B$5-L882</x:f>
        <x:v>1</x:v>
      </x:c>
      <x:c r="R882" s="9" t="n">
        <x:f>K882-P882</x:f>
        <x:v>1.9000000000000004</x:v>
      </x:c>
      <x:c r="S882" s="10" t="n">
        <x:f>IF(K882&gt;0,R882/K882,"")</x:f>
        <x:v>0.29687500000000006</x:v>
      </x:c>
    </x:row>
    <x:row r="883">
      <x:c r="A883" s="7" t="n">
        <x:v>879</x:v>
      </x:c>
      <x:c r="B883" s="7" t="str">
        <x:v>Tata</x:v>
      </x:c>
      <x:c r="C883" s="7" t="str">
        <x:v>Tigor</x:v>
      </x:c>
      <x:c r="D883" s="7" t="str">
        <x:v>XE</x:v>
      </x:c>
      <x:c r="E883" s="7" t="str">
        <x:v>Petrol</x:v>
      </x:c>
      <x:c r="F883" s="7" t="str">
        <x:v>Manual</x:v>
      </x:c>
      <x:c r="G883" s="7" t="str">
        <x:v>Sedan</x:v>
      </x:c>
      <x:c r="H883" s="7" t="n">
        <x:v>1199</x:v>
      </x:c>
      <x:c r="I883" s="7" t="n">
        <x:v>85</x:v>
      </x:c>
      <x:c r="J883" s="9" t="n">
        <x:v>20.3</x:v>
      </x:c>
      <x:c r="K883" s="9" t="n">
        <x:v>6.4</x:v>
      </x:c>
      <x:c r="L883" s="7" t="n">
        <x:v>2022</x:v>
      </x:c>
      <x:c r="M883" s="11" t="n">
        <x:v>70211</x:v>
      </x:c>
      <x:c r="N883" s="7" t="n">
        <x:v>1</x:v>
      </x:c>
      <x:c r="O883" s="7" t="n">
        <x:v>0</x:v>
      </x:c>
      <x:c r="P883" s="9" t="n">
        <x:v>3.42</x:v>
      </x:c>
      <x:c r="Q883" s="7" t="n">
        <x:f>'Guide'!$B$5-L883</x:f>
        <x:v>4</x:v>
      </x:c>
      <x:c r="R883" s="9" t="n">
        <x:f>K883-P883</x:f>
        <x:v>2.9800000000000004</x:v>
      </x:c>
      <x:c r="S883" s="10" t="n">
        <x:f>IF(K883&gt;0,R883/K883,"")</x:f>
        <x:v>0.46562500000000007</x:v>
      </x:c>
    </x:row>
    <x:row r="884">
      <x:c r="A884" s="7" t="n">
        <x:v>880</x:v>
      </x:c>
      <x:c r="B884" s="7" t="str">
        <x:v>Tata</x:v>
      </x:c>
      <x:c r="C884" s="7" t="str">
        <x:v>Tigor</x:v>
      </x:c>
      <x:c r="D884" s="7" t="str">
        <x:v>XE</x:v>
      </x:c>
      <x:c r="E884" s="7" t="str">
        <x:v>Petrol</x:v>
      </x:c>
      <x:c r="F884" s="7" t="str">
        <x:v>Manual</x:v>
      </x:c>
      <x:c r="G884" s="7" t="str">
        <x:v>Sedan</x:v>
      </x:c>
      <x:c r="H884" s="7" t="n">
        <x:v>1199</x:v>
      </x:c>
      <x:c r="I884" s="7" t="n">
        <x:v>85</x:v>
      </x:c>
      <x:c r="J884" s="9" t="n">
        <x:v>20.3</x:v>
      </x:c>
      <x:c r="K884" s="9" t="n">
        <x:v>6.4</x:v>
      </x:c>
      <x:c r="L884" s="7" t="n">
        <x:v>2024</x:v>
      </x:c>
      <x:c r="M884" s="11" t="n">
        <x:v>38020</x:v>
      </x:c>
      <x:c r="N884" s="7" t="n">
        <x:v>1</x:v>
      </x:c>
      <x:c r="O884" s="7" t="n">
        <x:v>0</x:v>
      </x:c>
      <x:c r="P884" s="9" t="n">
        <x:v>4.78</x:v>
      </x:c>
      <x:c r="Q884" s="7" t="n">
        <x:f>'Guide'!$B$5-L884</x:f>
        <x:v>2</x:v>
      </x:c>
      <x:c r="R884" s="9" t="n">
        <x:f>K884-P884</x:f>
        <x:v>1.62</x:v>
      </x:c>
      <x:c r="S884" s="10" t="n">
        <x:f>IF(K884&gt;0,R884/K884,"")</x:f>
        <x:v>0.253125</x:v>
      </x:c>
    </x:row>
    <x:row r="885">
      <x:c r="A885" s="7" t="n">
        <x:v>881</x:v>
      </x:c>
      <x:c r="B885" s="7" t="str">
        <x:v>Tata</x:v>
      </x:c>
      <x:c r="C885" s="7" t="str">
        <x:v>Tigor</x:v>
      </x:c>
      <x:c r="D885" s="7" t="str">
        <x:v>XE</x:v>
      </x:c>
      <x:c r="E885" s="7" t="str">
        <x:v>Petrol</x:v>
      </x:c>
      <x:c r="F885" s="7" t="str">
        <x:v>Manual</x:v>
      </x:c>
      <x:c r="G885" s="7" t="str">
        <x:v>Sedan</x:v>
      </x:c>
      <x:c r="H885" s="7" t="n">
        <x:v>1199</x:v>
      </x:c>
      <x:c r="I885" s="7" t="n">
        <x:v>85</x:v>
      </x:c>
      <x:c r="J885" s="9" t="n">
        <x:v>20.3</x:v>
      </x:c>
      <x:c r="K885" s="9" t="n">
        <x:v>6.4</x:v>
      </x:c>
      <x:c r="L885" s="7" t="n">
        <x:v>2020</x:v>
      </x:c>
      <x:c r="M885" s="11" t="n">
        <x:v>73767</x:v>
      </x:c>
      <x:c r="N885" s="7" t="n">
        <x:v>1</x:v>
      </x:c>
      <x:c r="O885" s="7" t="n">
        <x:v>0</x:v>
      </x:c>
      <x:c r="P885" s="9" t="n">
        <x:v>2.85</x:v>
      </x:c>
      <x:c r="Q885" s="7" t="n">
        <x:f>'Guide'!$B$5-L885</x:f>
        <x:v>6</x:v>
      </x:c>
      <x:c r="R885" s="9" t="n">
        <x:f>K885-P885</x:f>
        <x:v>3.5500000000000003</x:v>
      </x:c>
      <x:c r="S885" s="10" t="n">
        <x:f>IF(K885&gt;0,R885/K885,"")</x:f>
        <x:v>0.5546875</x:v>
      </x:c>
    </x:row>
    <x:row r="886">
      <x:c r="A886" s="7" t="n">
        <x:v>882</x:v>
      </x:c>
      <x:c r="B886" s="7" t="str">
        <x:v>Tata</x:v>
      </x:c>
      <x:c r="C886" s="7" t="str">
        <x:v>Tigor</x:v>
      </x:c>
      <x:c r="D886" s="7" t="str">
        <x:v>XE</x:v>
      </x:c>
      <x:c r="E886" s="7" t="str">
        <x:v>Petrol</x:v>
      </x:c>
      <x:c r="F886" s="7" t="str">
        <x:v>Manual</x:v>
      </x:c>
      <x:c r="G886" s="7" t="str">
        <x:v>Sedan</x:v>
      </x:c>
      <x:c r="H886" s="7" t="n">
        <x:v>1199</x:v>
      </x:c>
      <x:c r="I886" s="7" t="n">
        <x:v>85</x:v>
      </x:c>
      <x:c r="J886" s="9" t="n">
        <x:v>20.3</x:v>
      </x:c>
      <x:c r="K886" s="9" t="n">
        <x:v>6.4</x:v>
      </x:c>
      <x:c r="L886" s="7" t="n">
        <x:v>2025</x:v>
      </x:c>
      <x:c r="M886" s="11" t="n">
        <x:v>16575</x:v>
      </x:c>
      <x:c r="N886" s="7" t="n">
        <x:v>2</x:v>
      </x:c>
      <x:c r="O886" s="7" t="n">
        <x:v>0</x:v>
      </x:c>
      <x:c r="P886" s="9" t="n">
        <x:v>5.64</x:v>
      </x:c>
      <x:c r="Q886" s="7" t="n">
        <x:f>'Guide'!$B$5-L886</x:f>
        <x:v>1</x:v>
      </x:c>
      <x:c r="R886" s="9" t="n">
        <x:f>K886-P886</x:f>
        <x:v>0.7600000000000007</x:v>
      </x:c>
      <x:c r="S886" s="10" t="n">
        <x:f>IF(K886&gt;0,R886/K886,"")</x:f>
        <x:v>0.1187500000000001</x:v>
      </x:c>
    </x:row>
    <x:row r="887">
      <x:c r="A887" s="7" t="n">
        <x:v>883</x:v>
      </x:c>
      <x:c r="B887" s="7" t="str">
        <x:v>Tata</x:v>
      </x:c>
      <x:c r="C887" s="7" t="str">
        <x:v>Tigor</x:v>
      </x:c>
      <x:c r="D887" s="7" t="str">
        <x:v>XE</x:v>
      </x:c>
      <x:c r="E887" s="7" t="str">
        <x:v>Petrol</x:v>
      </x:c>
      <x:c r="F887" s="7" t="str">
        <x:v>Manual</x:v>
      </x:c>
      <x:c r="G887" s="7" t="str">
        <x:v>Sedan</x:v>
      </x:c>
      <x:c r="H887" s="7" t="n">
        <x:v>1199</x:v>
      </x:c>
      <x:c r="I887" s="7" t="n">
        <x:v>85</x:v>
      </x:c>
      <x:c r="J887" s="9" t="n">
        <x:v>20.3</x:v>
      </x:c>
      <x:c r="K887" s="9" t="n">
        <x:v>6.4</x:v>
      </x:c>
      <x:c r="L887" s="7" t="n">
        <x:v>2025</x:v>
      </x:c>
      <x:c r="M887" s="11" t="n">
        <x:v>15735</x:v>
      </x:c>
      <x:c r="N887" s="7" t="n">
        <x:v>3</x:v>
      </x:c>
      <x:c r="O887" s="7" t="n">
        <x:v>0</x:v>
      </x:c>
      <x:c r="P887" s="9" t="n">
        <x:v>4.81</x:v>
      </x:c>
      <x:c r="Q887" s="7" t="n">
        <x:f>'Guide'!$B$5-L887</x:f>
        <x:v>1</x:v>
      </x:c>
      <x:c r="R887" s="9" t="n">
        <x:f>K887-P887</x:f>
        <x:v>1.5900000000000007</x:v>
      </x:c>
      <x:c r="S887" s="10" t="n">
        <x:f>IF(K887&gt;0,R887/K887,"")</x:f>
        <x:v>0.24843750000000012</x:v>
      </x:c>
    </x:row>
    <x:row r="888">
      <x:c r="A888" s="7" t="n">
        <x:v>884</x:v>
      </x:c>
      <x:c r="B888" s="7" t="str">
        <x:v>Tata</x:v>
      </x:c>
      <x:c r="C888" s="7" t="str">
        <x:v>Tigor</x:v>
      </x:c>
      <x:c r="D888" s="7" t="str">
        <x:v>XE</x:v>
      </x:c>
      <x:c r="E888" s="7" t="str">
        <x:v>Petrol</x:v>
      </x:c>
      <x:c r="F888" s="7" t="str">
        <x:v>Manual</x:v>
      </x:c>
      <x:c r="G888" s="7" t="str">
        <x:v>Sedan</x:v>
      </x:c>
      <x:c r="H888" s="7" t="n">
        <x:v>1199</x:v>
      </x:c>
      <x:c r="I888" s="7" t="n">
        <x:v>85</x:v>
      </x:c>
      <x:c r="J888" s="9" t="n">
        <x:v>20.3</x:v>
      </x:c>
      <x:c r="K888" s="9" t="n">
        <x:v>6.4</x:v>
      </x:c>
      <x:c r="L888" s="7" t="n">
        <x:v>2022</x:v>
      </x:c>
      <x:c r="M888" s="11" t="n">
        <x:v>79315</x:v>
      </x:c>
      <x:c r="N888" s="7" t="n">
        <x:v>1</x:v>
      </x:c>
      <x:c r="O888" s="7" t="n">
        <x:v>0</x:v>
      </x:c>
      <x:c r="P888" s="9" t="n">
        <x:v>3.64</x:v>
      </x:c>
      <x:c r="Q888" s="7" t="n">
        <x:f>'Guide'!$B$5-L888</x:f>
        <x:v>4</x:v>
      </x:c>
      <x:c r="R888" s="9" t="n">
        <x:f>K888-P888</x:f>
        <x:v>2.7600000000000002</x:v>
      </x:c>
      <x:c r="S888" s="10" t="n">
        <x:f>IF(K888&gt;0,R888/K888,"")</x:f>
        <x:v>0.43125</x:v>
      </x:c>
    </x:row>
    <x:row r="889">
      <x:c r="A889" s="7" t="n">
        <x:v>885</x:v>
      </x:c>
      <x:c r="B889" s="7" t="str">
        <x:v>Tata</x:v>
      </x:c>
      <x:c r="C889" s="7" t="str">
        <x:v>Tigor</x:v>
      </x:c>
      <x:c r="D889" s="7" t="str">
        <x:v>XE</x:v>
      </x:c>
      <x:c r="E889" s="7" t="str">
        <x:v>Petrol</x:v>
      </x:c>
      <x:c r="F889" s="7" t="str">
        <x:v>Manual</x:v>
      </x:c>
      <x:c r="G889" s="7" t="str">
        <x:v>Sedan</x:v>
      </x:c>
      <x:c r="H889" s="7" t="n">
        <x:v>1199</x:v>
      </x:c>
      <x:c r="I889" s="7" t="n">
        <x:v>85</x:v>
      </x:c>
      <x:c r="J889" s="9" t="n">
        <x:v>20.3</x:v>
      </x:c>
      <x:c r="K889" s="9" t="n">
        <x:v>6.4</x:v>
      </x:c>
      <x:c r="L889" s="7" t="n">
        <x:v>2024</x:v>
      </x:c>
      <x:c r="M889" s="11" t="n">
        <x:v>28998</x:v>
      </x:c>
      <x:c r="N889" s="7" t="n">
        <x:v>2</x:v>
      </x:c>
      <x:c r="O889" s="7" t="n">
        <x:v>0</x:v>
      </x:c>
      <x:c r="P889" s="9" t="n">
        <x:v>5.14</x:v>
      </x:c>
      <x:c r="Q889" s="7" t="n">
        <x:f>'Guide'!$B$5-L889</x:f>
        <x:v>2</x:v>
      </x:c>
      <x:c r="R889" s="9" t="n">
        <x:f>K889-P889</x:f>
        <x:v>1.2600000000000007</x:v>
      </x:c>
      <x:c r="S889" s="10" t="n">
        <x:f>IF(K889&gt;0,R889/K889,"")</x:f>
        <x:v>0.1968750000000001</x:v>
      </x:c>
    </x:row>
    <x:row r="890">
      <x:c r="A890" s="7" t="n">
        <x:v>886</x:v>
      </x:c>
      <x:c r="B890" s="7" t="str">
        <x:v>Tata</x:v>
      </x:c>
      <x:c r="C890" s="7" t="str">
        <x:v>Tigor</x:v>
      </x:c>
      <x:c r="D890" s="7" t="str">
        <x:v>XE</x:v>
      </x:c>
      <x:c r="E890" s="7" t="str">
        <x:v>Petrol</x:v>
      </x:c>
      <x:c r="F890" s="7" t="str">
        <x:v>Manual</x:v>
      </x:c>
      <x:c r="G890" s="7" t="str">
        <x:v>Sedan</x:v>
      </x:c>
      <x:c r="H890" s="7" t="n">
        <x:v>1199</x:v>
      </x:c>
      <x:c r="I890" s="7" t="n">
        <x:v>85</x:v>
      </x:c>
      <x:c r="J890" s="9" t="n">
        <x:v>20.3</x:v>
      </x:c>
      <x:c r="K890" s="9" t="n">
        <x:v>6.4</x:v>
      </x:c>
      <x:c r="L890" s="7" t="n">
        <x:v>2023</x:v>
      </x:c>
      <x:c r="M890" s="11" t="n">
        <x:v>55443</x:v>
      </x:c>
      <x:c r="N890" s="7" t="n">
        <x:v>1</x:v>
      </x:c>
      <x:c r="O890" s="7" t="n">
        <x:v>0</x:v>
      </x:c>
      <x:c r="P890" s="9" t="n">
        <x:v>4.74</x:v>
      </x:c>
      <x:c r="Q890" s="7" t="n">
        <x:f>'Guide'!$B$5-L890</x:f>
        <x:v>3</x:v>
      </x:c>
      <x:c r="R890" s="9" t="n">
        <x:f>K890-P890</x:f>
        <x:v>1.6600000000000001</x:v>
      </x:c>
      <x:c r="S890" s="10" t="n">
        <x:f>IF(K890&gt;0,R890/K890,"")</x:f>
        <x:v>0.259375</x:v>
      </x:c>
    </x:row>
    <x:row r="891">
      <x:c r="A891" s="7" t="n">
        <x:v>887</x:v>
      </x:c>
      <x:c r="B891" s="7" t="str">
        <x:v>Tata</x:v>
      </x:c>
      <x:c r="C891" s="7" t="str">
        <x:v>Tigor</x:v>
      </x:c>
      <x:c r="D891" s="7" t="str">
        <x:v>XE</x:v>
      </x:c>
      <x:c r="E891" s="7" t="str">
        <x:v>Petrol</x:v>
      </x:c>
      <x:c r="F891" s="7" t="str">
        <x:v>Manual</x:v>
      </x:c>
      <x:c r="G891" s="7" t="str">
        <x:v>Sedan</x:v>
      </x:c>
      <x:c r="H891" s="7" t="n">
        <x:v>1199</x:v>
      </x:c>
      <x:c r="I891" s="7" t="n">
        <x:v>85</x:v>
      </x:c>
      <x:c r="J891" s="9" t="n">
        <x:v>20.3</x:v>
      </x:c>
      <x:c r="K891" s="9" t="n">
        <x:v>6.4</x:v>
      </x:c>
      <x:c r="L891" s="7" t="n">
        <x:v>2020</x:v>
      </x:c>
      <x:c r="M891" s="11" t="n">
        <x:v>86820</x:v>
      </x:c>
      <x:c r="N891" s="7" t="n">
        <x:v>1</x:v>
      </x:c>
      <x:c r="O891" s="7" t="n">
        <x:v>0</x:v>
      </x:c>
      <x:c r="P891" s="9" t="n">
        <x:v>2.86</x:v>
      </x:c>
      <x:c r="Q891" s="7" t="n">
        <x:f>'Guide'!$B$5-L891</x:f>
        <x:v>6</x:v>
      </x:c>
      <x:c r="R891" s="9" t="n">
        <x:f>K891-P891</x:f>
        <x:v>3.5400000000000005</x:v>
      </x:c>
      <x:c r="S891" s="10" t="n">
        <x:f>IF(K891&gt;0,R891/K891,"")</x:f>
        <x:v>0.5531250000000001</x:v>
      </x:c>
    </x:row>
    <x:row r="892">
      <x:c r="A892" s="7" t="n">
        <x:v>888</x:v>
      </x:c>
      <x:c r="B892" s="7" t="str">
        <x:v>Tata</x:v>
      </x:c>
      <x:c r="C892" s="7" t="str">
        <x:v>Tigor</x:v>
      </x:c>
      <x:c r="D892" s="7" t="str">
        <x:v>XE</x:v>
      </x:c>
      <x:c r="E892" s="7" t="str">
        <x:v>Petrol</x:v>
      </x:c>
      <x:c r="F892" s="7" t="str">
        <x:v>Manual</x:v>
      </x:c>
      <x:c r="G892" s="7" t="str">
        <x:v>Sedan</x:v>
      </x:c>
      <x:c r="H892" s="7" t="n">
        <x:v>1199</x:v>
      </x:c>
      <x:c r="I892" s="7" t="n">
        <x:v>85</x:v>
      </x:c>
      <x:c r="J892" s="9" t="n">
        <x:v>20.3</x:v>
      </x:c>
      <x:c r="K892" s="9" t="n">
        <x:v>6.4</x:v>
      </x:c>
      <x:c r="L892" s="7" t="n">
        <x:v>2022</x:v>
      </x:c>
      <x:c r="M892" s="11" t="n">
        <x:v>80212</x:v>
      </x:c>
      <x:c r="N892" s="7" t="n">
        <x:v>1</x:v>
      </x:c>
      <x:c r="O892" s="7" t="n">
        <x:v>1</x:v>
      </x:c>
      <x:c r="P892" s="9" t="n">
        <x:v>2.91</x:v>
      </x:c>
      <x:c r="Q892" s="7" t="n">
        <x:f>'Guide'!$B$5-L892</x:f>
        <x:v>4</x:v>
      </x:c>
      <x:c r="R892" s="9" t="n">
        <x:f>K892-P892</x:f>
        <x:v>3.49</x:v>
      </x:c>
      <x:c r="S892" s="10" t="n">
        <x:f>IF(K892&gt;0,R892/K892,"")</x:f>
        <x:v>0.5453125</x:v>
      </x:c>
    </x:row>
    <x:row r="893">
      <x:c r="A893" s="7" t="n">
        <x:v>889</x:v>
      </x:c>
      <x:c r="B893" s="7" t="str">
        <x:v>Tata</x:v>
      </x:c>
      <x:c r="C893" s="7" t="str">
        <x:v>Tigor</x:v>
      </x:c>
      <x:c r="D893" s="7" t="str">
        <x:v>XE</x:v>
      </x:c>
      <x:c r="E893" s="7" t="str">
        <x:v>Petrol</x:v>
      </x:c>
      <x:c r="F893" s="7" t="str">
        <x:v>Manual</x:v>
      </x:c>
      <x:c r="G893" s="7" t="str">
        <x:v>Sedan</x:v>
      </x:c>
      <x:c r="H893" s="7" t="n">
        <x:v>1199</x:v>
      </x:c>
      <x:c r="I893" s="7" t="n">
        <x:v>85</x:v>
      </x:c>
      <x:c r="J893" s="9" t="n">
        <x:v>20.3</x:v>
      </x:c>
      <x:c r="K893" s="9" t="n">
        <x:v>6.4</x:v>
      </x:c>
      <x:c r="L893" s="7" t="n">
        <x:v>2022</x:v>
      </x:c>
      <x:c r="M893" s="11" t="n">
        <x:v>65642</x:v>
      </x:c>
      <x:c r="N893" s="7" t="n">
        <x:v>1</x:v>
      </x:c>
      <x:c r="O893" s="7" t="n">
        <x:v>0</x:v>
      </x:c>
      <x:c r="P893" s="9" t="n">
        <x:v>4.09</x:v>
      </x:c>
      <x:c r="Q893" s="7" t="n">
        <x:f>'Guide'!$B$5-L893</x:f>
        <x:v>4</x:v>
      </x:c>
      <x:c r="R893" s="9" t="n">
        <x:f>K893-P893</x:f>
        <x:v>2.3100000000000005</x:v>
      </x:c>
      <x:c r="S893" s="10" t="n">
        <x:f>IF(K893&gt;0,R893/K893,"")</x:f>
        <x:v>0.3609375000000001</x:v>
      </x:c>
    </x:row>
    <x:row r="894">
      <x:c r="A894" s="7" t="n">
        <x:v>890</x:v>
      </x:c>
      <x:c r="B894" s="7" t="str">
        <x:v>Tata</x:v>
      </x:c>
      <x:c r="C894" s="7" t="str">
        <x:v>Tigor</x:v>
      </x:c>
      <x:c r="D894" s="7" t="str">
        <x:v>XE</x:v>
      </x:c>
      <x:c r="E894" s="7" t="str">
        <x:v>Petrol</x:v>
      </x:c>
      <x:c r="F894" s="7" t="str">
        <x:v>Manual</x:v>
      </x:c>
      <x:c r="G894" s="7" t="str">
        <x:v>Sedan</x:v>
      </x:c>
      <x:c r="H894" s="7" t="n">
        <x:v>1199</x:v>
      </x:c>
      <x:c r="I894" s="7" t="n">
        <x:v>85</x:v>
      </x:c>
      <x:c r="J894" s="9" t="n">
        <x:v>20.3</x:v>
      </x:c>
      <x:c r="K894" s="9" t="n">
        <x:v>6.4</x:v>
      </x:c>
      <x:c r="L894" s="7" t="n">
        <x:v>2023</x:v>
      </x:c>
      <x:c r="M894" s="11" t="n">
        <x:v>39142</x:v>
      </x:c>
      <x:c r="N894" s="7" t="n">
        <x:v>2</x:v>
      </x:c>
      <x:c r="O894" s="7" t="n">
        <x:v>0</x:v>
      </x:c>
      <x:c r="P894" s="9" t="n">
        <x:v>3.87</x:v>
      </x:c>
      <x:c r="Q894" s="7" t="n">
        <x:f>'Guide'!$B$5-L894</x:f>
        <x:v>3</x:v>
      </x:c>
      <x:c r="R894" s="9" t="n">
        <x:f>K894-P894</x:f>
        <x:v>2.5300000000000002</x:v>
      </x:c>
      <x:c r="S894" s="10" t="n">
        <x:f>IF(K894&gt;0,R894/K894,"")</x:f>
        <x:v>0.3953125</x:v>
      </x:c>
    </x:row>
    <x:row r="895">
      <x:c r="A895" s="7" t="n">
        <x:v>891</x:v>
      </x:c>
      <x:c r="B895" s="7" t="str">
        <x:v>Tata</x:v>
      </x:c>
      <x:c r="C895" s="7" t="str">
        <x:v>Tigor</x:v>
      </x:c>
      <x:c r="D895" s="7" t="str">
        <x:v>XE</x:v>
      </x:c>
      <x:c r="E895" s="7" t="str">
        <x:v>Petrol</x:v>
      </x:c>
      <x:c r="F895" s="7" t="str">
        <x:v>Manual</x:v>
      </x:c>
      <x:c r="G895" s="7" t="str">
        <x:v>Sedan</x:v>
      </x:c>
      <x:c r="H895" s="7" t="n">
        <x:v>1199</x:v>
      </x:c>
      <x:c r="I895" s="7" t="n">
        <x:v>85</x:v>
      </x:c>
      <x:c r="J895" s="9" t="n">
        <x:v>20.3</x:v>
      </x:c>
      <x:c r="K895" s="9" t="n">
        <x:v>6.4</x:v>
      </x:c>
      <x:c r="L895" s="7" t="n">
        <x:v>2025</x:v>
      </x:c>
      <x:c r="M895" s="11" t="n">
        <x:v>19409</x:v>
      </x:c>
      <x:c r="N895" s="7" t="n">
        <x:v>1</x:v>
      </x:c>
      <x:c r="O895" s="7" t="n">
        <x:v>0</x:v>
      </x:c>
      <x:c r="P895" s="9" t="n">
        <x:v>5.76</x:v>
      </x:c>
      <x:c r="Q895" s="7" t="n">
        <x:f>'Guide'!$B$5-L895</x:f>
        <x:v>1</x:v>
      </x:c>
      <x:c r="R895" s="9" t="n">
        <x:f>K895-P895</x:f>
        <x:v>0.6400000000000006</x:v>
      </x:c>
      <x:c r="S895" s="10" t="n">
        <x:f>IF(K895&gt;0,R895/K895,"")</x:f>
        <x:v>0.10000000000000009</x:v>
      </x:c>
    </x:row>
    <x:row r="896">
      <x:c r="A896" s="7" t="n">
        <x:v>892</x:v>
      </x:c>
      <x:c r="B896" s="7" t="str">
        <x:v>Tata</x:v>
      </x:c>
      <x:c r="C896" s="7" t="str">
        <x:v>Tigor</x:v>
      </x:c>
      <x:c r="D896" s="7" t="str">
        <x:v>XE</x:v>
      </x:c>
      <x:c r="E896" s="7" t="str">
        <x:v>Petrol</x:v>
      </x:c>
      <x:c r="F896" s="7" t="str">
        <x:v>Manual</x:v>
      </x:c>
      <x:c r="G896" s="7" t="str">
        <x:v>Sedan</x:v>
      </x:c>
      <x:c r="H896" s="7" t="n">
        <x:v>1199</x:v>
      </x:c>
      <x:c r="I896" s="7" t="n">
        <x:v>85</x:v>
      </x:c>
      <x:c r="J896" s="9" t="n">
        <x:v>20.3</x:v>
      </x:c>
      <x:c r="K896" s="9" t="n">
        <x:v>6.4</x:v>
      </x:c>
      <x:c r="L896" s="7" t="n">
        <x:v>2024</x:v>
      </x:c>
      <x:c r="M896" s="11" t="n">
        <x:v>30478</x:v>
      </x:c>
      <x:c r="N896" s="7" t="n">
        <x:v>2</x:v>
      </x:c>
      <x:c r="O896" s="7" t="n">
        <x:v>0</x:v>
      </x:c>
      <x:c r="P896" s="9" t="n">
        <x:v>4.77</x:v>
      </x:c>
      <x:c r="Q896" s="7" t="n">
        <x:f>'Guide'!$B$5-L896</x:f>
        <x:v>2</x:v>
      </x:c>
      <x:c r="R896" s="9" t="n">
        <x:f>K896-P896</x:f>
        <x:v>1.6300000000000008</x:v>
      </x:c>
      <x:c r="S896" s="10" t="n">
        <x:f>IF(K896&gt;0,R896/K896,"")</x:f>
        <x:v>0.2546875000000001</x:v>
      </x:c>
    </x:row>
    <x:row r="897">
      <x:c r="A897" s="7" t="n">
        <x:v>893</x:v>
      </x:c>
      <x:c r="B897" s="7" t="str">
        <x:v>Tata</x:v>
      </x:c>
      <x:c r="C897" s="7" t="str">
        <x:v>Tigor</x:v>
      </x:c>
      <x:c r="D897" s="7" t="str">
        <x:v>XE</x:v>
      </x:c>
      <x:c r="E897" s="7" t="str">
        <x:v>Petrol</x:v>
      </x:c>
      <x:c r="F897" s="7" t="str">
        <x:v>Manual</x:v>
      </x:c>
      <x:c r="G897" s="7" t="str">
        <x:v>Sedan</x:v>
      </x:c>
      <x:c r="H897" s="7" t="n">
        <x:v>1199</x:v>
      </x:c>
      <x:c r="I897" s="7" t="n">
        <x:v>85</x:v>
      </x:c>
      <x:c r="J897" s="9" t="n">
        <x:v>20.3</x:v>
      </x:c>
      <x:c r="K897" s="9" t="n">
        <x:v>6.4</x:v>
      </x:c>
      <x:c r="L897" s="7" t="n">
        <x:v>2020</x:v>
      </x:c>
      <x:c r="M897" s="11" t="n">
        <x:v>83525</x:v>
      </x:c>
      <x:c r="N897" s="7" t="n">
        <x:v>2</x:v>
      </x:c>
      <x:c r="O897" s="7" t="n">
        <x:v>0</x:v>
      </x:c>
      <x:c r="P897" s="9" t="n">
        <x:v>2.38</x:v>
      </x:c>
      <x:c r="Q897" s="7" t="n">
        <x:f>'Guide'!$B$5-L897</x:f>
        <x:v>6</x:v>
      </x:c>
      <x:c r="R897" s="9" t="n">
        <x:f>K897-P897</x:f>
        <x:v>4.0200000000000005</x:v>
      </x:c>
      <x:c r="S897" s="10" t="n">
        <x:f>IF(K897&gt;0,R897/K897,"")</x:f>
        <x:v>0.628125</x:v>
      </x:c>
    </x:row>
    <x:row r="898">
      <x:c r="A898" s="7" t="n">
        <x:v>894</x:v>
      </x:c>
      <x:c r="B898" s="7" t="str">
        <x:v>Tata</x:v>
      </x:c>
      <x:c r="C898" s="7" t="str">
        <x:v>Tigor</x:v>
      </x:c>
      <x:c r="D898" s="7" t="str">
        <x:v>XE</x:v>
      </x:c>
      <x:c r="E898" s="7" t="str">
        <x:v>Petrol</x:v>
      </x:c>
      <x:c r="F898" s="7" t="str">
        <x:v>Manual</x:v>
      </x:c>
      <x:c r="G898" s="7" t="str">
        <x:v>Sedan</x:v>
      </x:c>
      <x:c r="H898" s="7" t="n">
        <x:v>1199</x:v>
      </x:c>
      <x:c r="I898" s="7" t="n">
        <x:v>85</x:v>
      </x:c>
      <x:c r="J898" s="9" t="n">
        <x:v>20.3</x:v>
      </x:c>
      <x:c r="K898" s="9" t="n">
        <x:v>6.4</x:v>
      </x:c>
      <x:c r="L898" s="7" t="n">
        <x:v>2024</x:v>
      </x:c>
      <x:c r="M898" s="11" t="n">
        <x:v>21109</x:v>
      </x:c>
      <x:c r="N898" s="7" t="n">
        <x:v>1</x:v>
      </x:c>
      <x:c r="O898" s="7" t="n">
        <x:v>0</x:v>
      </x:c>
      <x:c r="P898" s="9" t="n">
        <x:v>5.34</x:v>
      </x:c>
      <x:c r="Q898" s="7" t="n">
        <x:f>'Guide'!$B$5-L898</x:f>
        <x:v>2</x:v>
      </x:c>
      <x:c r="R898" s="9" t="n">
        <x:f>K898-P898</x:f>
        <x:v>1.0600000000000005</x:v>
      </x:c>
      <x:c r="S898" s="10" t="n">
        <x:f>IF(K898&gt;0,R898/K898,"")</x:f>
        <x:v>0.16562500000000008</x:v>
      </x:c>
    </x:row>
    <x:row r="899">
      <x:c r="A899" s="7" t="n">
        <x:v>895</x:v>
      </x:c>
      <x:c r="B899" s="7" t="str">
        <x:v>Tata</x:v>
      </x:c>
      <x:c r="C899" s="7" t="str">
        <x:v>Tigor</x:v>
      </x:c>
      <x:c r="D899" s="7" t="str">
        <x:v>XE</x:v>
      </x:c>
      <x:c r="E899" s="7" t="str">
        <x:v>Petrol</x:v>
      </x:c>
      <x:c r="F899" s="7" t="str">
        <x:v>Manual</x:v>
      </x:c>
      <x:c r="G899" s="7" t="str">
        <x:v>Sedan</x:v>
      </x:c>
      <x:c r="H899" s="7" t="n">
        <x:v>1199</x:v>
      </x:c>
      <x:c r="I899" s="7" t="n">
        <x:v>85</x:v>
      </x:c>
      <x:c r="J899" s="9" t="n">
        <x:v>20.3</x:v>
      </x:c>
      <x:c r="K899" s="9" t="n">
        <x:v>6.4</x:v>
      </x:c>
      <x:c r="L899" s="7" t="n">
        <x:v>2025</x:v>
      </x:c>
      <x:c r="M899" s="11" t="n">
        <x:v>12242</x:v>
      </x:c>
      <x:c r="N899" s="7" t="n">
        <x:v>2</x:v>
      </x:c>
      <x:c r="O899" s="7" t="n">
        <x:v>0</x:v>
      </x:c>
      <x:c r="P899" s="9" t="n">
        <x:v>5.73</x:v>
      </x:c>
      <x:c r="Q899" s="7" t="n">
        <x:f>'Guide'!$B$5-L899</x:f>
        <x:v>1</x:v>
      </x:c>
      <x:c r="R899" s="9" t="n">
        <x:f>K899-P899</x:f>
        <x:v>0.6699999999999999</x:v>
      </x:c>
      <x:c r="S899" s="10" t="n">
        <x:f>IF(K899&gt;0,R899/K899,"")</x:f>
        <x:v>0.10468749999999999</x:v>
      </x:c>
    </x:row>
    <x:row r="900">
      <x:c r="A900" s="7" t="n">
        <x:v>896</x:v>
      </x:c>
      <x:c r="B900" s="7" t="str">
        <x:v>Tata</x:v>
      </x:c>
      <x:c r="C900" s="7" t="str">
        <x:v>Tigor</x:v>
      </x:c>
      <x:c r="D900" s="7" t="str">
        <x:v>XE</x:v>
      </x:c>
      <x:c r="E900" s="7" t="str">
        <x:v>Petrol</x:v>
      </x:c>
      <x:c r="F900" s="7" t="str">
        <x:v>Manual</x:v>
      </x:c>
      <x:c r="G900" s="7" t="str">
        <x:v>Sedan</x:v>
      </x:c>
      <x:c r="H900" s="7" t="n">
        <x:v>1199</x:v>
      </x:c>
      <x:c r="I900" s="7" t="n">
        <x:v>85</x:v>
      </x:c>
      <x:c r="J900" s="9" t="n">
        <x:v>20.3</x:v>
      </x:c>
      <x:c r="K900" s="9" t="n">
        <x:v>6.4</x:v>
      </x:c>
      <x:c r="L900" s="7" t="n">
        <x:v>2024</x:v>
      </x:c>
      <x:c r="M900" s="11" t="n">
        <x:v>46446</x:v>
      </x:c>
      <x:c r="N900" s="7" t="n">
        <x:v>2</x:v>
      </x:c>
      <x:c r="O900" s="7" t="n">
        <x:v>0</x:v>
      </x:c>
      <x:c r="P900" s="9" t="n">
        <x:v>4.46</x:v>
      </x:c>
      <x:c r="Q900" s="7" t="n">
        <x:f>'Guide'!$B$5-L900</x:f>
        <x:v>2</x:v>
      </x:c>
      <x:c r="R900" s="9" t="n">
        <x:f>K900-P900</x:f>
        <x:v>1.9400000000000004</x:v>
      </x:c>
      <x:c r="S900" s="10" t="n">
        <x:f>IF(K900&gt;0,R900/K900,"")</x:f>
        <x:v>0.30312500000000003</x:v>
      </x:c>
    </x:row>
    <x:row r="901">
      <x:c r="A901" s="7" t="n">
        <x:v>897</x:v>
      </x:c>
      <x:c r="B901" s="7" t="str">
        <x:v>Tata</x:v>
      </x:c>
      <x:c r="C901" s="7" t="str">
        <x:v>Tigor</x:v>
      </x:c>
      <x:c r="D901" s="7" t="str">
        <x:v>XE</x:v>
      </x:c>
      <x:c r="E901" s="7" t="str">
        <x:v>Petrol</x:v>
      </x:c>
      <x:c r="F901" s="7" t="str">
        <x:v>Manual</x:v>
      </x:c>
      <x:c r="G901" s="7" t="str">
        <x:v>Sedan</x:v>
      </x:c>
      <x:c r="H901" s="7" t="n">
        <x:v>1199</x:v>
      </x:c>
      <x:c r="I901" s="7" t="n">
        <x:v>85</x:v>
      </x:c>
      <x:c r="J901" s="9" t="n">
        <x:v>20.3</x:v>
      </x:c>
      <x:c r="K901" s="9" t="n">
        <x:v>6.4</x:v>
      </x:c>
      <x:c r="L901" s="7" t="n">
        <x:v>2023</x:v>
      </x:c>
      <x:c r="M901" s="11" t="n">
        <x:v>33150</x:v>
      </x:c>
      <x:c r="N901" s="7" t="n">
        <x:v>1</x:v>
      </x:c>
      <x:c r="O901" s="7" t="n">
        <x:v>0</x:v>
      </x:c>
      <x:c r="P901" s="9" t="n">
        <x:v>4.49</x:v>
      </x:c>
      <x:c r="Q901" s="7" t="n">
        <x:f>'Guide'!$B$5-L901</x:f>
        <x:v>3</x:v>
      </x:c>
      <x:c r="R901" s="9" t="n">
        <x:f>K901-P901</x:f>
        <x:v>1.9100000000000001</x:v>
      </x:c>
      <x:c r="S901" s="10" t="n">
        <x:f>IF(K901&gt;0,R901/K901,"")</x:f>
        <x:v>0.2984375</x:v>
      </x:c>
    </x:row>
    <x:row r="902">
      <x:c r="A902" s="7" t="n">
        <x:v>898</x:v>
      </x:c>
      <x:c r="B902" s="7" t="str">
        <x:v>Tata</x:v>
      </x:c>
      <x:c r="C902" s="7" t="str">
        <x:v>Tigor</x:v>
      </x:c>
      <x:c r="D902" s="7" t="str">
        <x:v>XE</x:v>
      </x:c>
      <x:c r="E902" s="7" t="str">
        <x:v>Petrol</x:v>
      </x:c>
      <x:c r="F902" s="7" t="str">
        <x:v>Manual</x:v>
      </x:c>
      <x:c r="G902" s="7" t="str">
        <x:v>Sedan</x:v>
      </x:c>
      <x:c r="H902" s="7" t="n">
        <x:v>1199</x:v>
      </x:c>
      <x:c r="I902" s="7" t="n">
        <x:v>85</x:v>
      </x:c>
      <x:c r="J902" s="9" t="n">
        <x:v>20.3</x:v>
      </x:c>
      <x:c r="K902" s="9" t="n">
        <x:v>6.4</x:v>
      </x:c>
      <x:c r="L902" s="7" t="n">
        <x:v>2024</x:v>
      </x:c>
      <x:c r="M902" s="11" t="n">
        <x:v>41330</x:v>
      </x:c>
      <x:c r="N902" s="7" t="n">
        <x:v>2</x:v>
      </x:c>
      <x:c r="O902" s="7" t="n">
        <x:v>0</x:v>
      </x:c>
      <x:c r="P902" s="9" t="n">
        <x:v>4.37</x:v>
      </x:c>
      <x:c r="Q902" s="7" t="n">
        <x:f>'Guide'!$B$5-L902</x:f>
        <x:v>2</x:v>
      </x:c>
      <x:c r="R902" s="9" t="n">
        <x:f>K902-P902</x:f>
        <x:v>2.0300000000000002</x:v>
      </x:c>
      <x:c r="S902" s="10" t="n">
        <x:f>IF(K902&gt;0,R902/K902,"")</x:f>
        <x:v>0.3171875</x:v>
      </x:c>
    </x:row>
    <x:row r="903">
      <x:c r="A903" s="7" t="n">
        <x:v>899</x:v>
      </x:c>
      <x:c r="B903" s="7" t="str">
        <x:v>Tata</x:v>
      </x:c>
      <x:c r="C903" s="7" t="str">
        <x:v>Tigor</x:v>
      </x:c>
      <x:c r="D903" s="7" t="str">
        <x:v>XE</x:v>
      </x:c>
      <x:c r="E903" s="7" t="str">
        <x:v>Petrol</x:v>
      </x:c>
      <x:c r="F903" s="7" t="str">
        <x:v>Manual</x:v>
      </x:c>
      <x:c r="G903" s="7" t="str">
        <x:v>Sedan</x:v>
      </x:c>
      <x:c r="H903" s="7" t="n">
        <x:v>1199</x:v>
      </x:c>
      <x:c r="I903" s="7" t="n">
        <x:v>85</x:v>
      </x:c>
      <x:c r="J903" s="9" t="n">
        <x:v>20.3</x:v>
      </x:c>
      <x:c r="K903" s="9" t="n">
        <x:v>6.4</x:v>
      </x:c>
      <x:c r="L903" s="7" t="n">
        <x:v>2024</x:v>
      </x:c>
      <x:c r="M903" s="11" t="n">
        <x:v>49006</x:v>
      </x:c>
      <x:c r="N903" s="7" t="n">
        <x:v>1</x:v>
      </x:c>
      <x:c r="O903" s="7" t="n">
        <x:v>0</x:v>
      </x:c>
      <x:c r="P903" s="9" t="n">
        <x:v>4.88</x:v>
      </x:c>
      <x:c r="Q903" s="7" t="n">
        <x:f>'Guide'!$B$5-L903</x:f>
        <x:v>2</x:v>
      </x:c>
      <x:c r="R903" s="9" t="n">
        <x:f>K903-P903</x:f>
        <x:v>1.5200000000000005</x:v>
      </x:c>
      <x:c r="S903" s="10" t="n">
        <x:f>IF(K903&gt;0,R903/K903,"")</x:f>
        <x:v>0.23750000000000007</x:v>
      </x:c>
    </x:row>
    <x:row r="904">
      <x:c r="A904" s="7" t="n">
        <x:v>900</x:v>
      </x:c>
      <x:c r="B904" s="7" t="str">
        <x:v>Tata</x:v>
      </x:c>
      <x:c r="C904" s="7" t="str">
        <x:v>Tigor</x:v>
      </x:c>
      <x:c r="D904" s="7" t="str">
        <x:v>XE</x:v>
      </x:c>
      <x:c r="E904" s="7" t="str">
        <x:v>Petrol</x:v>
      </x:c>
      <x:c r="F904" s="7" t="str">
        <x:v>Manual</x:v>
      </x:c>
      <x:c r="G904" s="7" t="str">
        <x:v>Sedan</x:v>
      </x:c>
      <x:c r="H904" s="7" t="n">
        <x:v>1199</x:v>
      </x:c>
      <x:c r="I904" s="7" t="n">
        <x:v>85</x:v>
      </x:c>
      <x:c r="J904" s="9" t="n">
        <x:v>20.3</x:v>
      </x:c>
      <x:c r="K904" s="9" t="n">
        <x:v>6.4</x:v>
      </x:c>
      <x:c r="L904" s="7" t="n">
        <x:v>2020</x:v>
      </x:c>
      <x:c r="M904" s="11" t="n">
        <x:v>73356</x:v>
      </x:c>
      <x:c r="N904" s="7" t="n">
        <x:v>2</x:v>
      </x:c>
      <x:c r="O904" s="7" t="n">
        <x:v>0</x:v>
      </x:c>
      <x:c r="P904" s="9" t="n">
        <x:v>2.73</x:v>
      </x:c>
      <x:c r="Q904" s="7" t="n">
        <x:f>'Guide'!$B$5-L904</x:f>
        <x:v>6</x:v>
      </x:c>
      <x:c r="R904" s="9" t="n">
        <x:f>K904-P904</x:f>
        <x:v>3.6700000000000004</x:v>
      </x:c>
      <x:c r="S904" s="10" t="n">
        <x:f>IF(K904&gt;0,R904/K904,"")</x:f>
        <x:v>0.5734375</x:v>
      </x:c>
    </x:row>
    <x:row r="905">
      <x:c r="A905" s="7" t="n">
        <x:v>901</x:v>
      </x:c>
      <x:c r="B905" s="7" t="str">
        <x:v>Tata</x:v>
      </x:c>
      <x:c r="C905" s="7" t="str">
        <x:v>Tigor</x:v>
      </x:c>
      <x:c r="D905" s="7" t="str">
        <x:v>XE</x:v>
      </x:c>
      <x:c r="E905" s="7" t="str">
        <x:v>Petrol</x:v>
      </x:c>
      <x:c r="F905" s="7" t="str">
        <x:v>Manual</x:v>
      </x:c>
      <x:c r="G905" s="7" t="str">
        <x:v>Sedan</x:v>
      </x:c>
      <x:c r="H905" s="7" t="n">
        <x:v>1199</x:v>
      </x:c>
      <x:c r="I905" s="7" t="n">
        <x:v>85</x:v>
      </x:c>
      <x:c r="J905" s="9" t="n">
        <x:v>20.3</x:v>
      </x:c>
      <x:c r="K905" s="9" t="n">
        <x:v>6.4</x:v>
      </x:c>
      <x:c r="L905" s="7" t="n">
        <x:v>2023</x:v>
      </x:c>
      <x:c r="M905" s="11" t="n">
        <x:v>58857</x:v>
      </x:c>
      <x:c r="N905" s="7" t="n">
        <x:v>1</x:v>
      </x:c>
      <x:c r="O905" s="7" t="n">
        <x:v>0</x:v>
      </x:c>
      <x:c r="P905" s="9" t="n">
        <x:v>4.35</x:v>
      </x:c>
      <x:c r="Q905" s="7" t="n">
        <x:f>'Guide'!$B$5-L905</x:f>
        <x:v>3</x:v>
      </x:c>
      <x:c r="R905" s="9" t="n">
        <x:f>K905-P905</x:f>
        <x:v>2.0500000000000007</x:v>
      </x:c>
      <x:c r="S905" s="10" t="n">
        <x:f>IF(K905&gt;0,R905/K905,"")</x:f>
        <x:v>0.3203125000000001</x:v>
      </x:c>
    </x:row>
    <x:row r="906">
      <x:c r="A906" s="7" t="n">
        <x:v>902</x:v>
      </x:c>
      <x:c r="B906" s="7" t="str">
        <x:v>Tata</x:v>
      </x:c>
      <x:c r="C906" s="7" t="str">
        <x:v>Tigor</x:v>
      </x:c>
      <x:c r="D906" s="7" t="str">
        <x:v>XE</x:v>
      </x:c>
      <x:c r="E906" s="7" t="str">
        <x:v>Petrol</x:v>
      </x:c>
      <x:c r="F906" s="7" t="str">
        <x:v>Manual</x:v>
      </x:c>
      <x:c r="G906" s="7" t="str">
        <x:v>Sedan</x:v>
      </x:c>
      <x:c r="H906" s="7" t="n">
        <x:v>1199</x:v>
      </x:c>
      <x:c r="I906" s="7" t="n">
        <x:v>85</x:v>
      </x:c>
      <x:c r="J906" s="9" t="n">
        <x:v>20.3</x:v>
      </x:c>
      <x:c r="K906" s="9" t="n">
        <x:v>6.4</x:v>
      </x:c>
      <x:c r="L906" s="7" t="n">
        <x:v>2024</x:v>
      </x:c>
      <x:c r="M906" s="11" t="n">
        <x:v>35868</x:v>
      </x:c>
      <x:c r="N906" s="7" t="n">
        <x:v>1</x:v>
      </x:c>
      <x:c r="O906" s="7" t="n">
        <x:v>0</x:v>
      </x:c>
      <x:c r="P906" s="9" t="n">
        <x:v>5.01</x:v>
      </x:c>
      <x:c r="Q906" s="7" t="n">
        <x:f>'Guide'!$B$5-L906</x:f>
        <x:v>2</x:v>
      </x:c>
      <x:c r="R906" s="9" t="n">
        <x:f>K906-P906</x:f>
        <x:v>1.3900000000000006</x:v>
      </x:c>
      <x:c r="S906" s="10" t="n">
        <x:f>IF(K906&gt;0,R906/K906,"")</x:f>
        <x:v>0.2171875000000001</x:v>
      </x:c>
    </x:row>
    <x:row r="907">
      <x:c r="A907" s="7" t="n">
        <x:v>903</x:v>
      </x:c>
      <x:c r="B907" s="7" t="str">
        <x:v>Tata</x:v>
      </x:c>
      <x:c r="C907" s="7" t="str">
        <x:v>Tigor</x:v>
      </x:c>
      <x:c r="D907" s="7" t="str">
        <x:v>XE</x:v>
      </x:c>
      <x:c r="E907" s="7" t="str">
        <x:v>Petrol</x:v>
      </x:c>
      <x:c r="F907" s="7" t="str">
        <x:v>Manual</x:v>
      </x:c>
      <x:c r="G907" s="7" t="str">
        <x:v>Sedan</x:v>
      </x:c>
      <x:c r="H907" s="7" t="n">
        <x:v>1199</x:v>
      </x:c>
      <x:c r="I907" s="7" t="n">
        <x:v>85</x:v>
      </x:c>
      <x:c r="J907" s="9" t="n">
        <x:v>20.3</x:v>
      </x:c>
      <x:c r="K907" s="9" t="n">
        <x:v>6.4</x:v>
      </x:c>
      <x:c r="L907" s="7" t="n">
        <x:v>2023</x:v>
      </x:c>
      <x:c r="M907" s="11" t="n">
        <x:v>36449</x:v>
      </x:c>
      <x:c r="N907" s="7" t="n">
        <x:v>1</x:v>
      </x:c>
      <x:c r="O907" s="7" t="n">
        <x:v>0</x:v>
      </x:c>
      <x:c r="P907" s="9" t="n">
        <x:v>4.84</x:v>
      </x:c>
      <x:c r="Q907" s="7" t="n">
        <x:f>'Guide'!$B$5-L907</x:f>
        <x:v>3</x:v>
      </x:c>
      <x:c r="R907" s="9" t="n">
        <x:f>K907-P907</x:f>
        <x:v>1.5600000000000005</x:v>
      </x:c>
      <x:c r="S907" s="10" t="n">
        <x:f>IF(K907&gt;0,R907/K907,"")</x:f>
        <x:v>0.24375000000000008</x:v>
      </x:c>
    </x:row>
    <x:row r="908">
      <x:c r="A908" s="7" t="n">
        <x:v>904</x:v>
      </x:c>
      <x:c r="B908" s="7" t="str">
        <x:v>Tata</x:v>
      </x:c>
      <x:c r="C908" s="7" t="str">
        <x:v>Tigor</x:v>
      </x:c>
      <x:c r="D908" s="7" t="str">
        <x:v>XE</x:v>
      </x:c>
      <x:c r="E908" s="7" t="str">
        <x:v>Petrol</x:v>
      </x:c>
      <x:c r="F908" s="7" t="str">
        <x:v>Manual</x:v>
      </x:c>
      <x:c r="G908" s="7" t="str">
        <x:v>Sedan</x:v>
      </x:c>
      <x:c r="H908" s="7" t="n">
        <x:v>1199</x:v>
      </x:c>
      <x:c r="I908" s="7" t="n">
        <x:v>85</x:v>
      </x:c>
      <x:c r="J908" s="9" t="n">
        <x:v>20.3</x:v>
      </x:c>
      <x:c r="K908" s="9" t="n">
        <x:v>6.4</x:v>
      </x:c>
      <x:c r="L908" s="7" t="n">
        <x:v>2026</x:v>
      </x:c>
      <x:c r="M908" s="11" t="n">
        <x:v>6987</x:v>
      </x:c>
      <x:c r="N908" s="7" t="n">
        <x:v>3</x:v>
      </x:c>
      <x:c r="O908" s="7" t="n">
        <x:v>0</x:v>
      </x:c>
      <x:c r="P908" s="9" t="n">
        <x:v>5.67</x:v>
      </x:c>
      <x:c r="Q908" s="7" t="n">
        <x:f>'Guide'!$B$5-L908</x:f>
        <x:v>0</x:v>
      </x:c>
      <x:c r="R908" s="9" t="n">
        <x:f>K908-P908</x:f>
        <x:v>0.7300000000000004</x:v>
      </x:c>
      <x:c r="S908" s="10" t="n">
        <x:f>IF(K908&gt;0,R908/K908,"")</x:f>
        <x:v>0.11406250000000007</x:v>
      </x:c>
    </x:row>
    <x:row r="909">
      <x:c r="A909" s="7" t="n">
        <x:v>905</x:v>
      </x:c>
      <x:c r="B909" s="7" t="str">
        <x:v>Tata</x:v>
      </x:c>
      <x:c r="C909" s="7" t="str">
        <x:v>Tigor</x:v>
      </x:c>
      <x:c r="D909" s="7" t="str">
        <x:v>XE</x:v>
      </x:c>
      <x:c r="E909" s="7" t="str">
        <x:v>Petrol</x:v>
      </x:c>
      <x:c r="F909" s="7" t="str">
        <x:v>Manual</x:v>
      </x:c>
      <x:c r="G909" s="7" t="str">
        <x:v>Sedan</x:v>
      </x:c>
      <x:c r="H909" s="7" t="n">
        <x:v>1199</x:v>
      </x:c>
      <x:c r="I909" s="7" t="n">
        <x:v>85</x:v>
      </x:c>
      <x:c r="J909" s="9" t="n">
        <x:v>20.3</x:v>
      </x:c>
      <x:c r="K909" s="9" t="n">
        <x:v>6.4</x:v>
      </x:c>
      <x:c r="L909" s="7" t="n">
        <x:v>2021</x:v>
      </x:c>
      <x:c r="M909" s="11" t="n">
        <x:v>81989</x:v>
      </x:c>
      <x:c r="N909" s="7" t="n">
        <x:v>1</x:v>
      </x:c>
      <x:c r="O909" s="7" t="n">
        <x:v>0</x:v>
      </x:c>
      <x:c r="P909" s="9" t="n">
        <x:v>2.9</x:v>
      </x:c>
      <x:c r="Q909" s="7" t="n">
        <x:f>'Guide'!$B$5-L909</x:f>
        <x:v>5</x:v>
      </x:c>
      <x:c r="R909" s="9" t="n">
        <x:f>K909-P909</x:f>
        <x:v>3.5000000000000004</x:v>
      </x:c>
      <x:c r="S909" s="10" t="n">
        <x:f>IF(K909&gt;0,R909/K909,"")</x:f>
        <x:v>0.546875</x:v>
      </x:c>
    </x:row>
    <x:row r="910">
      <x:c r="A910" s="7" t="n">
        <x:v>906</x:v>
      </x:c>
      <x:c r="B910" s="7" t="str">
        <x:v>Tata</x:v>
      </x:c>
      <x:c r="C910" s="7" t="str">
        <x:v>Tigor</x:v>
      </x:c>
      <x:c r="D910" s="7" t="str">
        <x:v>XE</x:v>
      </x:c>
      <x:c r="E910" s="7" t="str">
        <x:v>Petrol</x:v>
      </x:c>
      <x:c r="F910" s="7" t="str">
        <x:v>Manual</x:v>
      </x:c>
      <x:c r="G910" s="7" t="str">
        <x:v>Sedan</x:v>
      </x:c>
      <x:c r="H910" s="7" t="n">
        <x:v>1199</x:v>
      </x:c>
      <x:c r="I910" s="7" t="n">
        <x:v>85</x:v>
      </x:c>
      <x:c r="J910" s="9" t="n">
        <x:v>20.3</x:v>
      </x:c>
      <x:c r="K910" s="9" t="n">
        <x:v>6.4</x:v>
      </x:c>
      <x:c r="L910" s="7" t="n">
        <x:v>2024</x:v>
      </x:c>
      <x:c r="M910" s="11" t="n">
        <x:v>27192</x:v>
      </x:c>
      <x:c r="N910" s="7" t="n">
        <x:v>1</x:v>
      </x:c>
      <x:c r="O910" s="7" t="n">
        <x:v>0</x:v>
      </x:c>
      <x:c r="P910" s="9" t="n">
        <x:v>5.49</x:v>
      </x:c>
      <x:c r="Q910" s="7" t="n">
        <x:f>'Guide'!$B$5-L910</x:f>
        <x:v>2</x:v>
      </x:c>
      <x:c r="R910" s="9" t="n">
        <x:f>K910-P910</x:f>
        <x:v>0.9100000000000001</x:v>
      </x:c>
      <x:c r="S910" s="10" t="n">
        <x:f>IF(K910&gt;0,R910/K910,"")</x:f>
        <x:v>0.14218750000000002</x:v>
      </x:c>
    </x:row>
    <x:row r="911">
      <x:c r="A911" s="7" t="n">
        <x:v>907</x:v>
      </x:c>
      <x:c r="B911" s="7" t="str">
        <x:v>Tata</x:v>
      </x:c>
      <x:c r="C911" s="7" t="str">
        <x:v>Tigor</x:v>
      </x:c>
      <x:c r="D911" s="7" t="str">
        <x:v>XE</x:v>
      </x:c>
      <x:c r="E911" s="7" t="str">
        <x:v>Petrol</x:v>
      </x:c>
      <x:c r="F911" s="7" t="str">
        <x:v>Manual</x:v>
      </x:c>
      <x:c r="G911" s="7" t="str">
        <x:v>Sedan</x:v>
      </x:c>
      <x:c r="H911" s="7" t="n">
        <x:v>1199</x:v>
      </x:c>
      <x:c r="I911" s="7" t="n">
        <x:v>85</x:v>
      </x:c>
      <x:c r="J911" s="9" t="n">
        <x:v>20.3</x:v>
      </x:c>
      <x:c r="K911" s="9" t="n">
        <x:v>6.4</x:v>
      </x:c>
      <x:c r="L911" s="7" t="n">
        <x:v>2021</x:v>
      </x:c>
      <x:c r="M911" s="11" t="n">
        <x:v>59831</x:v>
      </x:c>
      <x:c r="N911" s="7" t="n">
        <x:v>2</x:v>
      </x:c>
      <x:c r="O911" s="7" t="n">
        <x:v>0</x:v>
      </x:c>
      <x:c r="P911" s="9" t="n">
        <x:v>3.16</x:v>
      </x:c>
      <x:c r="Q911" s="7" t="n">
        <x:f>'Guide'!$B$5-L911</x:f>
        <x:v>5</x:v>
      </x:c>
      <x:c r="R911" s="9" t="n">
        <x:f>K911-P911</x:f>
        <x:v>3.24</x:v>
      </x:c>
      <x:c r="S911" s="10" t="n">
        <x:f>IF(K911&gt;0,R911/K911,"")</x:f>
        <x:v>0.50625</x:v>
      </x:c>
    </x:row>
    <x:row r="912">
      <x:c r="A912" s="7" t="n">
        <x:v>908</x:v>
      </x:c>
      <x:c r="B912" s="7" t="str">
        <x:v>Tata</x:v>
      </x:c>
      <x:c r="C912" s="7" t="str">
        <x:v>Tigor</x:v>
      </x:c>
      <x:c r="D912" s="7" t="str">
        <x:v>XE</x:v>
      </x:c>
      <x:c r="E912" s="7" t="str">
        <x:v>Petrol</x:v>
      </x:c>
      <x:c r="F912" s="7" t="str">
        <x:v>Manual</x:v>
      </x:c>
      <x:c r="G912" s="7" t="str">
        <x:v>Sedan</x:v>
      </x:c>
      <x:c r="H912" s="7" t="n">
        <x:v>1199</x:v>
      </x:c>
      <x:c r="I912" s="7" t="n">
        <x:v>85</x:v>
      </x:c>
      <x:c r="J912" s="9" t="n">
        <x:v>20.3</x:v>
      </x:c>
      <x:c r="K912" s="9" t="n">
        <x:v>6.4</x:v>
      </x:c>
      <x:c r="L912" s="7" t="n">
        <x:v>2023</x:v>
      </x:c>
      <x:c r="M912" s="11" t="n">
        <x:v>56094</x:v>
      </x:c>
      <x:c r="N912" s="7" t="n">
        <x:v>3</x:v>
      </x:c>
      <x:c r="O912" s="7" t="n">
        <x:v>0</x:v>
      </x:c>
      <x:c r="P912" s="9" t="n">
        <x:v>3.37</x:v>
      </x:c>
      <x:c r="Q912" s="7" t="n">
        <x:f>'Guide'!$B$5-L912</x:f>
        <x:v>3</x:v>
      </x:c>
      <x:c r="R912" s="9" t="n">
        <x:f>K912-P912</x:f>
        <x:v>3.0300000000000002</x:v>
      </x:c>
      <x:c r="S912" s="10" t="n">
        <x:f>IF(K912&gt;0,R912/K912,"")</x:f>
        <x:v>0.4734375</x:v>
      </x:c>
    </x:row>
    <x:row r="913">
      <x:c r="A913" s="7" t="n">
        <x:v>909</x:v>
      </x:c>
      <x:c r="B913" s="7" t="str">
        <x:v>Tata</x:v>
      </x:c>
      <x:c r="C913" s="7" t="str">
        <x:v>Tigor</x:v>
      </x:c>
      <x:c r="D913" s="7" t="str">
        <x:v>XE</x:v>
      </x:c>
      <x:c r="E913" s="7" t="str">
        <x:v>Petrol</x:v>
      </x:c>
      <x:c r="F913" s="7" t="str">
        <x:v>Manual</x:v>
      </x:c>
      <x:c r="G913" s="7" t="str">
        <x:v>Sedan</x:v>
      </x:c>
      <x:c r="H913" s="7" t="n">
        <x:v>1199</x:v>
      </x:c>
      <x:c r="I913" s="7" t="n">
        <x:v>85</x:v>
      </x:c>
      <x:c r="J913" s="9" t="n">
        <x:v>20.3</x:v>
      </x:c>
      <x:c r="K913" s="9" t="n">
        <x:v>6.4</x:v>
      </x:c>
      <x:c r="L913" s="7" t="n">
        <x:v>2020</x:v>
      </x:c>
      <x:c r="M913" s="11" t="n">
        <x:v>109539</x:v>
      </x:c>
      <x:c r="N913" s="7" t="n">
        <x:v>1</x:v>
      </x:c>
      <x:c r="O913" s="7" t="n">
        <x:v>0</x:v>
      </x:c>
      <x:c r="P913" s="9" t="n">
        <x:v>2.15</x:v>
      </x:c>
      <x:c r="Q913" s="7" t="n">
        <x:f>'Guide'!$B$5-L913</x:f>
        <x:v>6</x:v>
      </x:c>
      <x:c r="R913" s="9" t="n">
        <x:f>K913-P913</x:f>
        <x:v>4.25</x:v>
      </x:c>
      <x:c r="S913" s="10" t="n">
        <x:f>IF(K913&gt;0,R913/K913,"")</x:f>
        <x:v>0.6640625</x:v>
      </x:c>
    </x:row>
    <x:row r="914">
      <x:c r="A914" s="7" t="n">
        <x:v>910</x:v>
      </x:c>
      <x:c r="B914" s="7" t="str">
        <x:v>Tata</x:v>
      </x:c>
      <x:c r="C914" s="7" t="str">
        <x:v>Tigor</x:v>
      </x:c>
      <x:c r="D914" s="7" t="str">
        <x:v>XE</x:v>
      </x:c>
      <x:c r="E914" s="7" t="str">
        <x:v>Petrol</x:v>
      </x:c>
      <x:c r="F914" s="7" t="str">
        <x:v>Manual</x:v>
      </x:c>
      <x:c r="G914" s="7" t="str">
        <x:v>Sedan</x:v>
      </x:c>
      <x:c r="H914" s="7" t="n">
        <x:v>1199</x:v>
      </x:c>
      <x:c r="I914" s="7" t="n">
        <x:v>85</x:v>
      </x:c>
      <x:c r="J914" s="9" t="n">
        <x:v>20.3</x:v>
      </x:c>
      <x:c r="K914" s="9" t="n">
        <x:v>6.4</x:v>
      </x:c>
      <x:c r="L914" s="7" t="n">
        <x:v>2020</x:v>
      </x:c>
      <x:c r="M914" s="11" t="n">
        <x:v>116221</x:v>
      </x:c>
      <x:c r="N914" s="7" t="n">
        <x:v>3</x:v>
      </x:c>
      <x:c r="O914" s="7" t="n">
        <x:v>0</x:v>
      </x:c>
      <x:c r="P914" s="9" t="n">
        <x:v>1.78</x:v>
      </x:c>
      <x:c r="Q914" s="7" t="n">
        <x:f>'Guide'!$B$5-L914</x:f>
        <x:v>6</x:v>
      </x:c>
      <x:c r="R914" s="9" t="n">
        <x:f>K914-P914</x:f>
        <x:v>4.62</x:v>
      </x:c>
      <x:c r="S914" s="10" t="n">
        <x:f>IF(K914&gt;0,R914/K914,"")</x:f>
        <x:v>0.7218749999999999</x:v>
      </x:c>
    </x:row>
    <x:row r="915">
      <x:c r="A915" s="7" t="n">
        <x:v>911</x:v>
      </x:c>
      <x:c r="B915" s="7" t="str">
        <x:v>Tata</x:v>
      </x:c>
      <x:c r="C915" s="7" t="str">
        <x:v>Tigor</x:v>
      </x:c>
      <x:c r="D915" s="7" t="str">
        <x:v>XE</x:v>
      </x:c>
      <x:c r="E915" s="7" t="str">
        <x:v>Petrol</x:v>
      </x:c>
      <x:c r="F915" s="7" t="str">
        <x:v>Manual</x:v>
      </x:c>
      <x:c r="G915" s="7" t="str">
        <x:v>Sedan</x:v>
      </x:c>
      <x:c r="H915" s="7" t="n">
        <x:v>1199</x:v>
      </x:c>
      <x:c r="I915" s="7" t="n">
        <x:v>85</x:v>
      </x:c>
      <x:c r="J915" s="9" t="n">
        <x:v>20.3</x:v>
      </x:c>
      <x:c r="K915" s="9" t="n">
        <x:v>6.4</x:v>
      </x:c>
      <x:c r="L915" s="7" t="n">
        <x:v>2020</x:v>
      </x:c>
      <x:c r="M915" s="11" t="n">
        <x:v>65411</x:v>
      </x:c>
      <x:c r="N915" s="7" t="n">
        <x:v>1</x:v>
      </x:c>
      <x:c r="O915" s="7" t="n">
        <x:v>0</x:v>
      </x:c>
      <x:c r="P915" s="9" t="n">
        <x:v>2.91</x:v>
      </x:c>
      <x:c r="Q915" s="7" t="n">
        <x:f>'Guide'!$B$5-L915</x:f>
        <x:v>6</x:v>
      </x:c>
      <x:c r="R915" s="9" t="n">
        <x:f>K915-P915</x:f>
        <x:v>3.49</x:v>
      </x:c>
      <x:c r="S915" s="10" t="n">
        <x:f>IF(K915&gt;0,R915/K915,"")</x:f>
        <x:v>0.5453125</x:v>
      </x:c>
    </x:row>
    <x:row r="916">
      <x:c r="A916" s="7" t="n">
        <x:v>912</x:v>
      </x:c>
      <x:c r="B916" s="7" t="str">
        <x:v>Tata</x:v>
      </x:c>
      <x:c r="C916" s="7" t="str">
        <x:v>Tigor</x:v>
      </x:c>
      <x:c r="D916" s="7" t="str">
        <x:v>XE</x:v>
      </x:c>
      <x:c r="E916" s="7" t="str">
        <x:v>Petrol</x:v>
      </x:c>
      <x:c r="F916" s="7" t="str">
        <x:v>Manual</x:v>
      </x:c>
      <x:c r="G916" s="7" t="str">
        <x:v>Sedan</x:v>
      </x:c>
      <x:c r="H916" s="7" t="n">
        <x:v>1199</x:v>
      </x:c>
      <x:c r="I916" s="7" t="n">
        <x:v>85</x:v>
      </x:c>
      <x:c r="J916" s="9" t="n">
        <x:v>20.3</x:v>
      </x:c>
      <x:c r="K916" s="9" t="n">
        <x:v>6.4</x:v>
      </x:c>
      <x:c r="L916" s="7" t="n">
        <x:v>2023</x:v>
      </x:c>
      <x:c r="M916" s="11" t="n">
        <x:v>68573</x:v>
      </x:c>
      <x:c r="N916" s="7" t="n">
        <x:v>2</x:v>
      </x:c>
      <x:c r="O916" s="7" t="n">
        <x:v>0</x:v>
      </x:c>
      <x:c r="P916" s="9" t="n">
        <x:v>3.83</x:v>
      </x:c>
      <x:c r="Q916" s="7" t="n">
        <x:f>'Guide'!$B$5-L916</x:f>
        <x:v>3</x:v>
      </x:c>
      <x:c r="R916" s="9" t="n">
        <x:f>K916-P916</x:f>
        <x:v>2.5700000000000003</x:v>
      </x:c>
      <x:c r="S916" s="10" t="n">
        <x:f>IF(K916&gt;0,R916/K916,"")</x:f>
        <x:v>0.40156250000000004</x:v>
      </x:c>
    </x:row>
    <x:row r="917">
      <x:c r="A917" s="7" t="n">
        <x:v>913</x:v>
      </x:c>
      <x:c r="B917" s="7" t="str">
        <x:v>Tata</x:v>
      </x:c>
      <x:c r="C917" s="7" t="str">
        <x:v>Tigor</x:v>
      </x:c>
      <x:c r="D917" s="7" t="str">
        <x:v>XE</x:v>
      </x:c>
      <x:c r="E917" s="7" t="str">
        <x:v>Petrol</x:v>
      </x:c>
      <x:c r="F917" s="7" t="str">
        <x:v>Manual</x:v>
      </x:c>
      <x:c r="G917" s="7" t="str">
        <x:v>Sedan</x:v>
      </x:c>
      <x:c r="H917" s="7" t="n">
        <x:v>1199</x:v>
      </x:c>
      <x:c r="I917" s="7" t="n">
        <x:v>85</x:v>
      </x:c>
      <x:c r="J917" s="9" t="n">
        <x:v>20.3</x:v>
      </x:c>
      <x:c r="K917" s="9" t="n">
        <x:v>6.4</x:v>
      </x:c>
      <x:c r="L917" s="7" t="n">
        <x:v>2024</x:v>
      </x:c>
      <x:c r="M917" s="11" t="n">
        <x:v>49955</x:v>
      </x:c>
      <x:c r="N917" s="7" t="n">
        <x:v>1</x:v>
      </x:c>
      <x:c r="O917" s="7" t="n">
        <x:v>0</x:v>
      </x:c>
      <x:c r="P917" s="9" t="n">
        <x:v>5.24</x:v>
      </x:c>
      <x:c r="Q917" s="7" t="n">
        <x:f>'Guide'!$B$5-L917</x:f>
        <x:v>2</x:v>
      </x:c>
      <x:c r="R917" s="9" t="n">
        <x:f>K917-P917</x:f>
        <x:v>1.1600000000000001</x:v>
      </x:c>
      <x:c r="S917" s="10" t="n">
        <x:f>IF(K917&gt;0,R917/K917,"")</x:f>
        <x:v>0.18125000000000002</x:v>
      </x:c>
    </x:row>
    <x:row r="918">
      <x:c r="A918" s="7" t="n">
        <x:v>914</x:v>
      </x:c>
      <x:c r="B918" s="7" t="str">
        <x:v>Tata</x:v>
      </x:c>
      <x:c r="C918" s="7" t="str">
        <x:v>Tigor</x:v>
      </x:c>
      <x:c r="D918" s="7" t="str">
        <x:v>XE</x:v>
      </x:c>
      <x:c r="E918" s="7" t="str">
        <x:v>Petrol</x:v>
      </x:c>
      <x:c r="F918" s="7" t="str">
        <x:v>Manual</x:v>
      </x:c>
      <x:c r="G918" s="7" t="str">
        <x:v>Sedan</x:v>
      </x:c>
      <x:c r="H918" s="7" t="n">
        <x:v>1199</x:v>
      </x:c>
      <x:c r="I918" s="7" t="n">
        <x:v>85</x:v>
      </x:c>
      <x:c r="J918" s="9" t="n">
        <x:v>20.3</x:v>
      </x:c>
      <x:c r="K918" s="9" t="n">
        <x:v>6.4</x:v>
      </x:c>
      <x:c r="L918" s="7" t="n">
        <x:v>2024</x:v>
      </x:c>
      <x:c r="M918" s="11" t="n">
        <x:v>24009</x:v>
      </x:c>
      <x:c r="N918" s="7" t="n">
        <x:v>2</x:v>
      </x:c>
      <x:c r="O918" s="7" t="n">
        <x:v>0</x:v>
      </x:c>
      <x:c r="P918" s="9" t="n">
        <x:v>5.09</x:v>
      </x:c>
      <x:c r="Q918" s="7" t="n">
        <x:f>'Guide'!$B$5-L918</x:f>
        <x:v>2</x:v>
      </x:c>
      <x:c r="R918" s="9" t="n">
        <x:f>K918-P918</x:f>
        <x:v>1.3100000000000005</x:v>
      </x:c>
      <x:c r="S918" s="10" t="n">
        <x:f>IF(K918&gt;0,R918/K918,"")</x:f>
        <x:v>0.20468750000000008</x:v>
      </x:c>
    </x:row>
    <x:row r="919">
      <x:c r="A919" s="7" t="n">
        <x:v>915</x:v>
      </x:c>
      <x:c r="B919" s="7" t="str">
        <x:v>Tata</x:v>
      </x:c>
      <x:c r="C919" s="7" t="str">
        <x:v>Tigor</x:v>
      </x:c>
      <x:c r="D919" s="7" t="str">
        <x:v>XE</x:v>
      </x:c>
      <x:c r="E919" s="7" t="str">
        <x:v>Petrol</x:v>
      </x:c>
      <x:c r="F919" s="7" t="str">
        <x:v>Manual</x:v>
      </x:c>
      <x:c r="G919" s="7" t="str">
        <x:v>Sedan</x:v>
      </x:c>
      <x:c r="H919" s="7" t="n">
        <x:v>1199</x:v>
      </x:c>
      <x:c r="I919" s="7" t="n">
        <x:v>85</x:v>
      </x:c>
      <x:c r="J919" s="9" t="n">
        <x:v>20.3</x:v>
      </x:c>
      <x:c r="K919" s="9" t="n">
        <x:v>6.4</x:v>
      </x:c>
      <x:c r="L919" s="7" t="n">
        <x:v>2024</x:v>
      </x:c>
      <x:c r="M919" s="11" t="n">
        <x:v>34814</x:v>
      </x:c>
      <x:c r="N919" s="7" t="n">
        <x:v>2</x:v>
      </x:c>
      <x:c r="O919" s="7" t="n">
        <x:v>0</x:v>
      </x:c>
      <x:c r="P919" s="9" t="n">
        <x:v>4.73</x:v>
      </x:c>
      <x:c r="Q919" s="7" t="n">
        <x:f>'Guide'!$B$5-L919</x:f>
        <x:v>2</x:v>
      </x:c>
      <x:c r="R919" s="9" t="n">
        <x:f>K919-P919</x:f>
        <x:v>1.67</x:v>
      </x:c>
      <x:c r="S919" s="10" t="n">
        <x:f>IF(K919&gt;0,R919/K919,"")</x:f>
        <x:v>0.2609375</x:v>
      </x:c>
    </x:row>
    <x:row r="920">
      <x:c r="A920" s="7" t="n">
        <x:v>916</x:v>
      </x:c>
      <x:c r="B920" s="7" t="str">
        <x:v>Tata</x:v>
      </x:c>
      <x:c r="C920" s="7" t="str">
        <x:v>Tigor</x:v>
      </x:c>
      <x:c r="D920" s="7" t="str">
        <x:v>XE</x:v>
      </x:c>
      <x:c r="E920" s="7" t="str">
        <x:v>Petrol</x:v>
      </x:c>
      <x:c r="F920" s="7" t="str">
        <x:v>Manual</x:v>
      </x:c>
      <x:c r="G920" s="7" t="str">
        <x:v>Sedan</x:v>
      </x:c>
      <x:c r="H920" s="7" t="n">
        <x:v>1199</x:v>
      </x:c>
      <x:c r="I920" s="7" t="n">
        <x:v>85</x:v>
      </x:c>
      <x:c r="J920" s="9" t="n">
        <x:v>20.3</x:v>
      </x:c>
      <x:c r="K920" s="9" t="n">
        <x:v>6.4</x:v>
      </x:c>
      <x:c r="L920" s="7" t="n">
        <x:v>2021</x:v>
      </x:c>
      <x:c r="M920" s="11" t="n">
        <x:v>108000</x:v>
      </x:c>
      <x:c r="N920" s="7" t="n">
        <x:v>1</x:v>
      </x:c>
      <x:c r="O920" s="7" t="n">
        <x:v>0</x:v>
      </x:c>
      <x:c r="P920" s="9" t="n">
        <x:v>3.07</x:v>
      </x:c>
      <x:c r="Q920" s="7" t="n">
        <x:f>'Guide'!$B$5-L920</x:f>
        <x:v>5</x:v>
      </x:c>
      <x:c r="R920" s="9" t="n">
        <x:f>K920-P920</x:f>
        <x:v>3.3300000000000005</x:v>
      </x:c>
      <x:c r="S920" s="10" t="n">
        <x:f>IF(K920&gt;0,R920/K920,"")</x:f>
        <x:v>0.5203125000000001</x:v>
      </x:c>
    </x:row>
    <x:row r="921">
      <x:c r="A921" s="7" t="n">
        <x:v>917</x:v>
      </x:c>
      <x:c r="B921" s="7" t="str">
        <x:v>Tata</x:v>
      </x:c>
      <x:c r="C921" s="7" t="str">
        <x:v>Tigor</x:v>
      </x:c>
      <x:c r="D921" s="7" t="str">
        <x:v>XE</x:v>
      </x:c>
      <x:c r="E921" s="7" t="str">
        <x:v>Petrol</x:v>
      </x:c>
      <x:c r="F921" s="7" t="str">
        <x:v>Manual</x:v>
      </x:c>
      <x:c r="G921" s="7" t="str">
        <x:v>Sedan</x:v>
      </x:c>
      <x:c r="H921" s="7" t="n">
        <x:v>1199</x:v>
      </x:c>
      <x:c r="I921" s="7" t="n">
        <x:v>85</x:v>
      </x:c>
      <x:c r="J921" s="9" t="n">
        <x:v>20.3</x:v>
      </x:c>
      <x:c r="K921" s="9" t="n">
        <x:v>6.4</x:v>
      </x:c>
      <x:c r="L921" s="7" t="n">
        <x:v>2020</x:v>
      </x:c>
      <x:c r="M921" s="11" t="n">
        <x:v>54899</x:v>
      </x:c>
      <x:c r="N921" s="7" t="n">
        <x:v>3</x:v>
      </x:c>
      <x:c r="O921" s="7" t="n">
        <x:v>1</x:v>
      </x:c>
      <x:c r="P921" s="9" t="n">
        <x:v>1.5</x:v>
      </x:c>
      <x:c r="Q921" s="7" t="n">
        <x:f>'Guide'!$B$5-L921</x:f>
        <x:v>6</x:v>
      </x:c>
      <x:c r="R921" s="9" t="n">
        <x:f>K921-P921</x:f>
        <x:v>4.9</x:v>
      </x:c>
      <x:c r="S921" s="10" t="n">
        <x:f>IF(K921&gt;0,R921/K921,"")</x:f>
        <x:v>0.765625</x:v>
      </x:c>
    </x:row>
    <x:row r="922">
      <x:c r="A922" s="7" t="n">
        <x:v>918</x:v>
      </x:c>
      <x:c r="B922" s="7" t="str">
        <x:v>Tata</x:v>
      </x:c>
      <x:c r="C922" s="7" t="str">
        <x:v>Tigor</x:v>
      </x:c>
      <x:c r="D922" s="7" t="str">
        <x:v>XE</x:v>
      </x:c>
      <x:c r="E922" s="7" t="str">
        <x:v>Petrol</x:v>
      </x:c>
      <x:c r="F922" s="7" t="str">
        <x:v>Manual</x:v>
      </x:c>
      <x:c r="G922" s="7" t="str">
        <x:v>Sedan</x:v>
      </x:c>
      <x:c r="H922" s="7" t="n">
        <x:v>1199</x:v>
      </x:c>
      <x:c r="I922" s="7" t="n">
        <x:v>85</x:v>
      </x:c>
      <x:c r="J922" s="9" t="n">
        <x:v>20.3</x:v>
      </x:c>
      <x:c r="K922" s="9" t="n">
        <x:v>6.4</x:v>
      </x:c>
      <x:c r="L922" s="7" t="n">
        <x:v>2025</x:v>
      </x:c>
      <x:c r="M922" s="11" t="n">
        <x:v>22656</x:v>
      </x:c>
      <x:c r="N922" s="7" t="n">
        <x:v>1</x:v>
      </x:c>
      <x:c r="O922" s="7" t="n">
        <x:v>0</x:v>
      </x:c>
      <x:c r="P922" s="9" t="n">
        <x:v>5.79</x:v>
      </x:c>
      <x:c r="Q922" s="7" t="n">
        <x:f>'Guide'!$B$5-L922</x:f>
        <x:v>1</x:v>
      </x:c>
      <x:c r="R922" s="9" t="n">
        <x:f>K922-P922</x:f>
        <x:v>0.6100000000000003</x:v>
      </x:c>
      <x:c r="S922" s="10" t="n">
        <x:f>IF(K922&gt;0,R922/K922,"")</x:f>
        <x:v>0.09531250000000005</x:v>
      </x:c>
    </x:row>
    <x:row r="923">
      <x:c r="A923" s="7" t="n">
        <x:v>919</x:v>
      </x:c>
      <x:c r="B923" s="7" t="str">
        <x:v>Tata</x:v>
      </x:c>
      <x:c r="C923" s="7" t="str">
        <x:v>Tigor</x:v>
      </x:c>
      <x:c r="D923" s="7" t="str">
        <x:v>XE</x:v>
      </x:c>
      <x:c r="E923" s="7" t="str">
        <x:v>Petrol</x:v>
      </x:c>
      <x:c r="F923" s="7" t="str">
        <x:v>Manual</x:v>
      </x:c>
      <x:c r="G923" s="7" t="str">
        <x:v>Sedan</x:v>
      </x:c>
      <x:c r="H923" s="7" t="n">
        <x:v>1199</x:v>
      </x:c>
      <x:c r="I923" s="7" t="n">
        <x:v>85</x:v>
      </x:c>
      <x:c r="J923" s="9" t="n">
        <x:v>20.3</x:v>
      </x:c>
      <x:c r="K923" s="9" t="n">
        <x:v>6.4</x:v>
      </x:c>
      <x:c r="L923" s="7" t="n">
        <x:v>2021</x:v>
      </x:c>
      <x:c r="M923" s="11" t="n">
        <x:v>105949</x:v>
      </x:c>
      <x:c r="N923" s="7" t="n">
        <x:v>1</x:v>
      </x:c>
      <x:c r="O923" s="7" t="n">
        <x:v>0</x:v>
      </x:c>
      <x:c r="P923" s="9" t="n">
        <x:v>3.28</x:v>
      </x:c>
      <x:c r="Q923" s="7" t="n">
        <x:f>'Guide'!$B$5-L923</x:f>
        <x:v>5</x:v>
      </x:c>
      <x:c r="R923" s="9" t="n">
        <x:f>K923-P923</x:f>
        <x:v>3.1200000000000006</x:v>
      </x:c>
      <x:c r="S923" s="10" t="n">
        <x:f>IF(K923&gt;0,R923/K923,"")</x:f>
        <x:v>0.48750000000000004</x:v>
      </x:c>
    </x:row>
    <x:row r="924">
      <x:c r="A924" s="7" t="n">
        <x:v>920</x:v>
      </x:c>
      <x:c r="B924" s="7" t="str">
        <x:v>Tata</x:v>
      </x:c>
      <x:c r="C924" s="7" t="str">
        <x:v>Tigor</x:v>
      </x:c>
      <x:c r="D924" s="7" t="str">
        <x:v>XE</x:v>
      </x:c>
      <x:c r="E924" s="7" t="str">
        <x:v>Petrol</x:v>
      </x:c>
      <x:c r="F924" s="7" t="str">
        <x:v>Manual</x:v>
      </x:c>
      <x:c r="G924" s="7" t="str">
        <x:v>Sedan</x:v>
      </x:c>
      <x:c r="H924" s="7" t="n">
        <x:v>1199</x:v>
      </x:c>
      <x:c r="I924" s="7" t="n">
        <x:v>85</x:v>
      </x:c>
      <x:c r="J924" s="9" t="n">
        <x:v>20.3</x:v>
      </x:c>
      <x:c r="K924" s="9" t="n">
        <x:v>6.4</x:v>
      </x:c>
      <x:c r="L924" s="7" t="n">
        <x:v>2024</x:v>
      </x:c>
      <x:c r="M924" s="11" t="n">
        <x:v>25457</x:v>
      </x:c>
      <x:c r="N924" s="7" t="n">
        <x:v>1</x:v>
      </x:c>
      <x:c r="O924" s="7" t="n">
        <x:v>0</x:v>
      </x:c>
      <x:c r="P924" s="9" t="n">
        <x:v>4.89</x:v>
      </x:c>
      <x:c r="Q924" s="7" t="n">
        <x:f>'Guide'!$B$5-L924</x:f>
        <x:v>2</x:v>
      </x:c>
      <x:c r="R924" s="9" t="n">
        <x:f>K924-P924</x:f>
        <x:v>1.5100000000000007</x:v>
      </x:c>
      <x:c r="S924" s="10" t="n">
        <x:f>IF(K924&gt;0,R924/K924,"")</x:f>
        <x:v>0.2359375000000001</x:v>
      </x:c>
    </x:row>
    <x:row r="925">
      <x:c r="A925" s="7" t="n">
        <x:v>921</x:v>
      </x:c>
      <x:c r="B925" s="7" t="str">
        <x:v>Tata</x:v>
      </x:c>
      <x:c r="C925" s="7" t="str">
        <x:v>Tigor</x:v>
      </x:c>
      <x:c r="D925" s="7" t="str">
        <x:v>XE</x:v>
      </x:c>
      <x:c r="E925" s="7" t="str">
        <x:v>Petrol</x:v>
      </x:c>
      <x:c r="F925" s="7" t="str">
        <x:v>Manual</x:v>
      </x:c>
      <x:c r="G925" s="7" t="str">
        <x:v>Sedan</x:v>
      </x:c>
      <x:c r="H925" s="7" t="n">
        <x:v>1199</x:v>
      </x:c>
      <x:c r="I925" s="7" t="n">
        <x:v>85</x:v>
      </x:c>
      <x:c r="J925" s="9" t="n">
        <x:v>20.3</x:v>
      </x:c>
      <x:c r="K925" s="9" t="n">
        <x:v>6.4</x:v>
      </x:c>
      <x:c r="L925" s="7" t="n">
        <x:v>2021</x:v>
      </x:c>
      <x:c r="M925" s="11" t="n">
        <x:v>98724</x:v>
      </x:c>
      <x:c r="N925" s="7" t="n">
        <x:v>1</x:v>
      </x:c>
      <x:c r="O925" s="7" t="n">
        <x:v>0</x:v>
      </x:c>
      <x:c r="P925" s="9" t="n">
        <x:v>2.96</x:v>
      </x:c>
      <x:c r="Q925" s="7" t="n">
        <x:f>'Guide'!$B$5-L925</x:f>
        <x:v>5</x:v>
      </x:c>
      <x:c r="R925" s="9" t="n">
        <x:f>K925-P925</x:f>
        <x:v>3.4400000000000004</x:v>
      </x:c>
      <x:c r="S925" s="10" t="n">
        <x:f>IF(K925&gt;0,R925/K925,"")</x:f>
        <x:v>0.5375</x:v>
      </x:c>
    </x:row>
    <x:row r="926">
      <x:c r="A926" s="7" t="n">
        <x:v>922</x:v>
      </x:c>
      <x:c r="B926" s="7" t="str">
        <x:v>Tata</x:v>
      </x:c>
      <x:c r="C926" s="7" t="str">
        <x:v>Tigor</x:v>
      </x:c>
      <x:c r="D926" s="7" t="str">
        <x:v>XE</x:v>
      </x:c>
      <x:c r="E926" s="7" t="str">
        <x:v>Petrol</x:v>
      </x:c>
      <x:c r="F926" s="7" t="str">
        <x:v>Manual</x:v>
      </x:c>
      <x:c r="G926" s="7" t="str">
        <x:v>Sedan</x:v>
      </x:c>
      <x:c r="H926" s="7" t="n">
        <x:v>1199</x:v>
      </x:c>
      <x:c r="I926" s="7" t="n">
        <x:v>85</x:v>
      </x:c>
      <x:c r="J926" s="9" t="n">
        <x:v>20.3</x:v>
      </x:c>
      <x:c r="K926" s="9" t="n">
        <x:v>6.4</x:v>
      </x:c>
      <x:c r="L926" s="7" t="n">
        <x:v>2022</x:v>
      </x:c>
      <x:c r="M926" s="11" t="n">
        <x:v>54771</x:v>
      </x:c>
      <x:c r="N926" s="7" t="n">
        <x:v>1</x:v>
      </x:c>
      <x:c r="O926" s="7" t="n">
        <x:v>0</x:v>
      </x:c>
      <x:c r="P926" s="9" t="n">
        <x:v>4.21</x:v>
      </x:c>
      <x:c r="Q926" s="7" t="n">
        <x:f>'Guide'!$B$5-L926</x:f>
        <x:v>4</x:v>
      </x:c>
      <x:c r="R926" s="9" t="n">
        <x:f>K926-P926</x:f>
        <x:v>2.1900000000000004</x:v>
      </x:c>
      <x:c r="S926" s="10" t="n">
        <x:f>IF(K926&gt;0,R926/K926,"")</x:f>
        <x:v>0.34218750000000003</x:v>
      </x:c>
    </x:row>
    <x:row r="927">
      <x:c r="A927" s="7" t="n">
        <x:v>923</x:v>
      </x:c>
      <x:c r="B927" s="7" t="str">
        <x:v>Tata</x:v>
      </x:c>
      <x:c r="C927" s="7" t="str">
        <x:v>Tigor</x:v>
      </x:c>
      <x:c r="D927" s="7" t="str">
        <x:v>XE</x:v>
      </x:c>
      <x:c r="E927" s="7" t="str">
        <x:v>Petrol</x:v>
      </x:c>
      <x:c r="F927" s="7" t="str">
        <x:v>Manual</x:v>
      </x:c>
      <x:c r="G927" s="7" t="str">
        <x:v>Sedan</x:v>
      </x:c>
      <x:c r="H927" s="7" t="n">
        <x:v>1199</x:v>
      </x:c>
      <x:c r="I927" s="7" t="n">
        <x:v>85</x:v>
      </x:c>
      <x:c r="J927" s="9" t="n">
        <x:v>20.3</x:v>
      </x:c>
      <x:c r="K927" s="9" t="n">
        <x:v>6.4</x:v>
      </x:c>
      <x:c r="L927" s="7" t="n">
        <x:v>2023</x:v>
      </x:c>
      <x:c r="M927" s="11" t="n">
        <x:v>34634</x:v>
      </x:c>
      <x:c r="N927" s="7" t="n">
        <x:v>1</x:v>
      </x:c>
      <x:c r="O927" s="7" t="n">
        <x:v>0</x:v>
      </x:c>
      <x:c r="P927" s="9" t="n">
        <x:v>4.85</x:v>
      </x:c>
      <x:c r="Q927" s="7" t="n">
        <x:f>'Guide'!$B$5-L927</x:f>
        <x:v>3</x:v>
      </x:c>
      <x:c r="R927" s="9" t="n">
        <x:f>K927-P927</x:f>
        <x:v>1.5500000000000007</x:v>
      </x:c>
      <x:c r="S927" s="10" t="n">
        <x:f>IF(K927&gt;0,R927/K927,"")</x:f>
        <x:v>0.2421875000000001</x:v>
      </x:c>
    </x:row>
    <x:row r="928">
      <x:c r="A928" s="7" t="n">
        <x:v>924</x:v>
      </x:c>
      <x:c r="B928" s="7" t="str">
        <x:v>Tata</x:v>
      </x:c>
      <x:c r="C928" s="7" t="str">
        <x:v>Tigor</x:v>
      </x:c>
      <x:c r="D928" s="7" t="str">
        <x:v>XE</x:v>
      </x:c>
      <x:c r="E928" s="7" t="str">
        <x:v>Petrol</x:v>
      </x:c>
      <x:c r="F928" s="7" t="str">
        <x:v>Manual</x:v>
      </x:c>
      <x:c r="G928" s="7" t="str">
        <x:v>Sedan</x:v>
      </x:c>
      <x:c r="H928" s="7" t="n">
        <x:v>1199</x:v>
      </x:c>
      <x:c r="I928" s="7" t="n">
        <x:v>85</x:v>
      </x:c>
      <x:c r="J928" s="9" t="n">
        <x:v>20.3</x:v>
      </x:c>
      <x:c r="K928" s="9" t="n">
        <x:v>6.4</x:v>
      </x:c>
      <x:c r="L928" s="7" t="n">
        <x:v>2023</x:v>
      </x:c>
      <x:c r="M928" s="11" t="n">
        <x:v>48605</x:v>
      </x:c>
      <x:c r="N928" s="7" t="n">
        <x:v>1</x:v>
      </x:c>
      <x:c r="O928" s="7" t="n">
        <x:v>0</x:v>
      </x:c>
      <x:c r="P928" s="9" t="n">
        <x:v>4.64</x:v>
      </x:c>
      <x:c r="Q928" s="7" t="n">
        <x:f>'Guide'!$B$5-L928</x:f>
        <x:v>3</x:v>
      </x:c>
      <x:c r="R928" s="9" t="n">
        <x:f>K928-P928</x:f>
        <x:v>1.7600000000000007</x:v>
      </x:c>
      <x:c r="S928" s="10" t="n">
        <x:f>IF(K928&gt;0,R928/K928,"")</x:f>
        <x:v>0.2750000000000001</x:v>
      </x:c>
    </x:row>
    <x:row r="929">
      <x:c r="A929" s="7" t="n">
        <x:v>925</x:v>
      </x:c>
      <x:c r="B929" s="7" t="str">
        <x:v>Tata</x:v>
      </x:c>
      <x:c r="C929" s="7" t="str">
        <x:v>Tigor</x:v>
      </x:c>
      <x:c r="D929" s="7" t="str">
        <x:v>XE</x:v>
      </x:c>
      <x:c r="E929" s="7" t="str">
        <x:v>Petrol</x:v>
      </x:c>
      <x:c r="F929" s="7" t="str">
        <x:v>Manual</x:v>
      </x:c>
      <x:c r="G929" s="7" t="str">
        <x:v>Sedan</x:v>
      </x:c>
      <x:c r="H929" s="7" t="n">
        <x:v>1199</x:v>
      </x:c>
      <x:c r="I929" s="7" t="n">
        <x:v>85</x:v>
      </x:c>
      <x:c r="J929" s="9" t="n">
        <x:v>20.3</x:v>
      </x:c>
      <x:c r="K929" s="9" t="n">
        <x:v>6.4</x:v>
      </x:c>
      <x:c r="L929" s="7" t="n">
        <x:v>2025</x:v>
      </x:c>
      <x:c r="M929" s="11" t="n">
        <x:v>16807</x:v>
      </x:c>
      <x:c r="N929" s="7" t="n">
        <x:v>1</x:v>
      </x:c>
      <x:c r="O929" s="7" t="n">
        <x:v>1</x:v>
      </x:c>
      <x:c r="P929" s="9" t="n">
        <x:v>4.91</x:v>
      </x:c>
      <x:c r="Q929" s="7" t="n">
        <x:f>'Guide'!$B$5-L929</x:f>
        <x:v>1</x:v>
      </x:c>
      <x:c r="R929" s="9" t="n">
        <x:f>K929-P929</x:f>
        <x:v>1.4900000000000002</x:v>
      </x:c>
      <x:c r="S929" s="10" t="n">
        <x:f>IF(K929&gt;0,R929/K929,"")</x:f>
        <x:v>0.23281250000000003</x:v>
      </x:c>
    </x:row>
    <x:row r="930">
      <x:c r="A930" s="7" t="n">
        <x:v>926</x:v>
      </x:c>
      <x:c r="B930" s="7" t="str">
        <x:v>Tata</x:v>
      </x:c>
      <x:c r="C930" s="7" t="str">
        <x:v>Tigor</x:v>
      </x:c>
      <x:c r="D930" s="7" t="str">
        <x:v>XE</x:v>
      </x:c>
      <x:c r="E930" s="7" t="str">
        <x:v>Petrol</x:v>
      </x:c>
      <x:c r="F930" s="7" t="str">
        <x:v>Manual</x:v>
      </x:c>
      <x:c r="G930" s="7" t="str">
        <x:v>Sedan</x:v>
      </x:c>
      <x:c r="H930" s="7" t="n">
        <x:v>1199</x:v>
      </x:c>
      <x:c r="I930" s="7" t="n">
        <x:v>85</x:v>
      </x:c>
      <x:c r="J930" s="9" t="n">
        <x:v>20.3</x:v>
      </x:c>
      <x:c r="K930" s="9" t="n">
        <x:v>6.4</x:v>
      </x:c>
      <x:c r="L930" s="7" t="n">
        <x:v>2026</x:v>
      </x:c>
      <x:c r="M930" s="11" t="n">
        <x:v>8571</x:v>
      </x:c>
      <x:c r="N930" s="7" t="n">
        <x:v>1</x:v>
      </x:c>
      <x:c r="O930" s="7" t="n">
        <x:v>0</x:v>
      </x:c>
      <x:c r="P930" s="9" t="n">
        <x:v>6.14</x:v>
      </x:c>
      <x:c r="Q930" s="7" t="n">
        <x:f>'Guide'!$B$5-L930</x:f>
        <x:v>0</x:v>
      </x:c>
      <x:c r="R930" s="9" t="n">
        <x:f>K930-P930</x:f>
        <x:v>0.2600000000000007</x:v>
      </x:c>
      <x:c r="S930" s="10" t="n">
        <x:f>IF(K930&gt;0,R930/K930,"")</x:f>
        <x:v>0.040625000000000105</x:v>
      </x:c>
    </x:row>
    <x:row r="931">
      <x:c r="A931" s="7" t="n">
        <x:v>927</x:v>
      </x:c>
      <x:c r="B931" s="7" t="str">
        <x:v>Tata</x:v>
      </x:c>
      <x:c r="C931" s="7" t="str">
        <x:v>Tigor</x:v>
      </x:c>
      <x:c r="D931" s="7" t="str">
        <x:v>XE</x:v>
      </x:c>
      <x:c r="E931" s="7" t="str">
        <x:v>Petrol</x:v>
      </x:c>
      <x:c r="F931" s="7" t="str">
        <x:v>Manual</x:v>
      </x:c>
      <x:c r="G931" s="7" t="str">
        <x:v>Sedan</x:v>
      </x:c>
      <x:c r="H931" s="7" t="n">
        <x:v>1199</x:v>
      </x:c>
      <x:c r="I931" s="7" t="n">
        <x:v>85</x:v>
      </x:c>
      <x:c r="J931" s="9" t="n">
        <x:v>20.3</x:v>
      </x:c>
      <x:c r="K931" s="9" t="n">
        <x:v>6.4</x:v>
      </x:c>
      <x:c r="L931" s="7" t="n">
        <x:v>2020</x:v>
      </x:c>
      <x:c r="M931" s="11" t="n">
        <x:v>70459</x:v>
      </x:c>
      <x:c r="N931" s="7" t="n">
        <x:v>1</x:v>
      </x:c>
      <x:c r="O931" s="7" t="n">
        <x:v>0</x:v>
      </x:c>
      <x:c r="P931" s="9" t="n">
        <x:v>3.11</x:v>
      </x:c>
      <x:c r="Q931" s="7" t="n">
        <x:f>'Guide'!$B$5-L931</x:f>
        <x:v>6</x:v>
      </x:c>
      <x:c r="R931" s="9" t="n">
        <x:f>K931-P931</x:f>
        <x:v>3.2900000000000005</x:v>
      </x:c>
      <x:c r="S931" s="10" t="n">
        <x:f>IF(K931&gt;0,R931/K931,"")</x:f>
        <x:v>0.5140625000000001</x:v>
      </x:c>
    </x:row>
    <x:row r="932">
      <x:c r="A932" s="7" t="n">
        <x:v>928</x:v>
      </x:c>
      <x:c r="B932" s="7" t="str">
        <x:v>Tata</x:v>
      </x:c>
      <x:c r="C932" s="7" t="str">
        <x:v>Tigor</x:v>
      </x:c>
      <x:c r="D932" s="7" t="str">
        <x:v>XE</x:v>
      </x:c>
      <x:c r="E932" s="7" t="str">
        <x:v>Petrol</x:v>
      </x:c>
      <x:c r="F932" s="7" t="str">
        <x:v>Manual</x:v>
      </x:c>
      <x:c r="G932" s="7" t="str">
        <x:v>Sedan</x:v>
      </x:c>
      <x:c r="H932" s="7" t="n">
        <x:v>1199</x:v>
      </x:c>
      <x:c r="I932" s="7" t="n">
        <x:v>85</x:v>
      </x:c>
      <x:c r="J932" s="9" t="n">
        <x:v>20.3</x:v>
      </x:c>
      <x:c r="K932" s="9" t="n">
        <x:v>6.4</x:v>
      </x:c>
      <x:c r="L932" s="7" t="n">
        <x:v>2021</x:v>
      </x:c>
      <x:c r="M932" s="11" t="n">
        <x:v>100363</x:v>
      </x:c>
      <x:c r="N932" s="7" t="n">
        <x:v>1</x:v>
      </x:c>
      <x:c r="O932" s="7" t="n">
        <x:v>0</x:v>
      </x:c>
      <x:c r="P932" s="9" t="n">
        <x:v>3.12</x:v>
      </x:c>
      <x:c r="Q932" s="7" t="n">
        <x:f>'Guide'!$B$5-L932</x:f>
        <x:v>5</x:v>
      </x:c>
      <x:c r="R932" s="9" t="n">
        <x:f>K932-P932</x:f>
        <x:v>3.2800000000000002</x:v>
      </x:c>
      <x:c r="S932" s="10" t="n">
        <x:f>IF(K932&gt;0,R932/K932,"")</x:f>
        <x:v>0.5125</x:v>
      </x:c>
    </x:row>
    <x:row r="933">
      <x:c r="A933" s="7" t="n">
        <x:v>929</x:v>
      </x:c>
      <x:c r="B933" s="7" t="str">
        <x:v>Tata</x:v>
      </x:c>
      <x:c r="C933" s="7" t="str">
        <x:v>Tigor</x:v>
      </x:c>
      <x:c r="D933" s="7" t="str">
        <x:v>XE</x:v>
      </x:c>
      <x:c r="E933" s="7" t="str">
        <x:v>Petrol</x:v>
      </x:c>
      <x:c r="F933" s="7" t="str">
        <x:v>Manual</x:v>
      </x:c>
      <x:c r="G933" s="7" t="str">
        <x:v>Sedan</x:v>
      </x:c>
      <x:c r="H933" s="7" t="n">
        <x:v>1199</x:v>
      </x:c>
      <x:c r="I933" s="7" t="n">
        <x:v>85</x:v>
      </x:c>
      <x:c r="J933" s="9" t="n">
        <x:v>20.3</x:v>
      </x:c>
      <x:c r="K933" s="9" t="n">
        <x:v>6.4</x:v>
      </x:c>
      <x:c r="L933" s="7" t="n">
        <x:v>2023</x:v>
      </x:c>
      <x:c r="M933" s="11" t="n">
        <x:v>28591</x:v>
      </x:c>
      <x:c r="N933" s="7" t="n">
        <x:v>1</x:v>
      </x:c>
      <x:c r="O933" s="7" t="n">
        <x:v>0</x:v>
      </x:c>
      <x:c r="P933" s="9" t="n">
        <x:v>4.99</x:v>
      </x:c>
      <x:c r="Q933" s="7" t="n">
        <x:f>'Guide'!$B$5-L933</x:f>
        <x:v>3</x:v>
      </x:c>
      <x:c r="R933" s="9" t="n">
        <x:f>K933-P933</x:f>
        <x:v>1.4100000000000001</x:v>
      </x:c>
      <x:c r="S933" s="10" t="n">
        <x:f>IF(K933&gt;0,R933/K933,"")</x:f>
        <x:v>0.22031250000000002</x:v>
      </x:c>
    </x:row>
    <x:row r="934">
      <x:c r="A934" s="7" t="n">
        <x:v>930</x:v>
      </x:c>
      <x:c r="B934" s="7" t="str">
        <x:v>Tata</x:v>
      </x:c>
      <x:c r="C934" s="7" t="str">
        <x:v>Tigor</x:v>
      </x:c>
      <x:c r="D934" s="7" t="str">
        <x:v>XE</x:v>
      </x:c>
      <x:c r="E934" s="7" t="str">
        <x:v>Petrol</x:v>
      </x:c>
      <x:c r="F934" s="7" t="str">
        <x:v>Manual</x:v>
      </x:c>
      <x:c r="G934" s="7" t="str">
        <x:v>Sedan</x:v>
      </x:c>
      <x:c r="H934" s="7" t="n">
        <x:v>1199</x:v>
      </x:c>
      <x:c r="I934" s="7" t="n">
        <x:v>85</x:v>
      </x:c>
      <x:c r="J934" s="9" t="n">
        <x:v>20.3</x:v>
      </x:c>
      <x:c r="K934" s="9" t="n">
        <x:v>6.4</x:v>
      </x:c>
      <x:c r="L934" s="7" t="n">
        <x:v>2024</x:v>
      </x:c>
      <x:c r="M934" s="11" t="n">
        <x:v>38180</x:v>
      </x:c>
      <x:c r="N934" s="7" t="n">
        <x:v>2</x:v>
      </x:c>
      <x:c r="O934" s="7" t="n">
        <x:v>0</x:v>
      </x:c>
      <x:c r="P934" s="9" t="n">
        <x:v>4.35</x:v>
      </x:c>
      <x:c r="Q934" s="7" t="n">
        <x:f>'Guide'!$B$5-L934</x:f>
        <x:v>2</x:v>
      </x:c>
      <x:c r="R934" s="9" t="n">
        <x:f>K934-P934</x:f>
        <x:v>2.0500000000000007</x:v>
      </x:c>
      <x:c r="S934" s="10" t="n">
        <x:f>IF(K934&gt;0,R934/K934,"")</x:f>
        <x:v>0.3203125000000001</x:v>
      </x:c>
    </x:row>
    <x:row r="935">
      <x:c r="A935" s="7" t="n">
        <x:v>931</x:v>
      </x:c>
      <x:c r="B935" s="7" t="str">
        <x:v>Tata</x:v>
      </x:c>
      <x:c r="C935" s="7" t="str">
        <x:v>Tigor</x:v>
      </x:c>
      <x:c r="D935" s="7" t="str">
        <x:v>XE</x:v>
      </x:c>
      <x:c r="E935" s="7" t="str">
        <x:v>Petrol</x:v>
      </x:c>
      <x:c r="F935" s="7" t="str">
        <x:v>Manual</x:v>
      </x:c>
      <x:c r="G935" s="7" t="str">
        <x:v>Sedan</x:v>
      </x:c>
      <x:c r="H935" s="7" t="n">
        <x:v>1199</x:v>
      </x:c>
      <x:c r="I935" s="7" t="n">
        <x:v>85</x:v>
      </x:c>
      <x:c r="J935" s="9" t="n">
        <x:v>20.3</x:v>
      </x:c>
      <x:c r="K935" s="9" t="n">
        <x:v>6.4</x:v>
      </x:c>
      <x:c r="L935" s="7" t="n">
        <x:v>2021</x:v>
      </x:c>
      <x:c r="M935" s="11" t="n">
        <x:v>89168</x:v>
      </x:c>
      <x:c r="N935" s="7" t="n">
        <x:v>2</x:v>
      </x:c>
      <x:c r="O935" s="7" t="n">
        <x:v>0</x:v>
      </x:c>
      <x:c r="P935" s="9" t="n">
        <x:v>2.84</x:v>
      </x:c>
      <x:c r="Q935" s="7" t="n">
        <x:f>'Guide'!$B$5-L935</x:f>
        <x:v>5</x:v>
      </x:c>
      <x:c r="R935" s="9" t="n">
        <x:f>K935-P935</x:f>
        <x:v>3.5600000000000005</x:v>
      </x:c>
      <x:c r="S935" s="10" t="n">
        <x:f>IF(K935&gt;0,R935/K935,"")</x:f>
        <x:v>0.55625</x:v>
      </x:c>
    </x:row>
    <x:row r="936">
      <x:c r="A936" s="7" t="n">
        <x:v>932</x:v>
      </x:c>
      <x:c r="B936" s="7" t="str">
        <x:v>Tata</x:v>
      </x:c>
      <x:c r="C936" s="7" t="str">
        <x:v>Tigor</x:v>
      </x:c>
      <x:c r="D936" s="7" t="str">
        <x:v>XE</x:v>
      </x:c>
      <x:c r="E936" s="7" t="str">
        <x:v>Petrol</x:v>
      </x:c>
      <x:c r="F936" s="7" t="str">
        <x:v>Manual</x:v>
      </x:c>
      <x:c r="G936" s="7" t="str">
        <x:v>Sedan</x:v>
      </x:c>
      <x:c r="H936" s="7" t="n">
        <x:v>1199</x:v>
      </x:c>
      <x:c r="I936" s="7" t="n">
        <x:v>85</x:v>
      </x:c>
      <x:c r="J936" s="9" t="n">
        <x:v>20.3</x:v>
      </x:c>
      <x:c r="K936" s="9" t="n">
        <x:v>6.4</x:v>
      </x:c>
      <x:c r="L936" s="7" t="n">
        <x:v>2021</x:v>
      </x:c>
      <x:c r="M936" s="11" t="n">
        <x:v>100807</x:v>
      </x:c>
      <x:c r="N936" s="7" t="n">
        <x:v>1</x:v>
      </x:c>
      <x:c r="O936" s="7" t="n">
        <x:v>0</x:v>
      </x:c>
      <x:c r="P936" s="9" t="n">
        <x:v>3.37</x:v>
      </x:c>
      <x:c r="Q936" s="7" t="n">
        <x:f>'Guide'!$B$5-L936</x:f>
        <x:v>5</x:v>
      </x:c>
      <x:c r="R936" s="9" t="n">
        <x:f>K936-P936</x:f>
        <x:v>3.0300000000000002</x:v>
      </x:c>
      <x:c r="S936" s="10" t="n">
        <x:f>IF(K936&gt;0,R936/K936,"")</x:f>
        <x:v>0.4734375</x:v>
      </x:c>
    </x:row>
    <x:row r="937">
      <x:c r="A937" s="7" t="n">
        <x:v>933</x:v>
      </x:c>
      <x:c r="B937" s="7" t="str">
        <x:v>Tata</x:v>
      </x:c>
      <x:c r="C937" s="7" t="str">
        <x:v>Tigor</x:v>
      </x:c>
      <x:c r="D937" s="7" t="str">
        <x:v>XE</x:v>
      </x:c>
      <x:c r="E937" s="7" t="str">
        <x:v>Petrol</x:v>
      </x:c>
      <x:c r="F937" s="7" t="str">
        <x:v>Manual</x:v>
      </x:c>
      <x:c r="G937" s="7" t="str">
        <x:v>Sedan</x:v>
      </x:c>
      <x:c r="H937" s="7" t="n">
        <x:v>1199</x:v>
      </x:c>
      <x:c r="I937" s="7" t="n">
        <x:v>85</x:v>
      </x:c>
      <x:c r="J937" s="9" t="n">
        <x:v>20.3</x:v>
      </x:c>
      <x:c r="K937" s="9" t="n">
        <x:v>6.4</x:v>
      </x:c>
      <x:c r="L937" s="7" t="n">
        <x:v>2020</x:v>
      </x:c>
      <x:c r="M937" s="11" t="n">
        <x:v>94416</x:v>
      </x:c>
      <x:c r="N937" s="7" t="n">
        <x:v>1</x:v>
      </x:c>
      <x:c r="O937" s="7" t="n">
        <x:v>1</x:v>
      </x:c>
      <x:c r="P937" s="9" t="n">
        <x:v>2.1</x:v>
      </x:c>
      <x:c r="Q937" s="7" t="n">
        <x:f>'Guide'!$B$5-L937</x:f>
        <x:v>6</x:v>
      </x:c>
      <x:c r="R937" s="9" t="n">
        <x:f>K937-P937</x:f>
        <x:v>4.300000000000001</x:v>
      </x:c>
      <x:c r="S937" s="10" t="n">
        <x:f>IF(K937&gt;0,R937/K937,"")</x:f>
        <x:v>0.6718750000000001</x:v>
      </x:c>
    </x:row>
    <x:row r="938">
      <x:c r="A938" s="7" t="n">
        <x:v>934</x:v>
      </x:c>
      <x:c r="B938" s="7" t="str">
        <x:v>Tata</x:v>
      </x:c>
      <x:c r="C938" s="7" t="str">
        <x:v>Tigor</x:v>
      </x:c>
      <x:c r="D938" s="7" t="str">
        <x:v>XE</x:v>
      </x:c>
      <x:c r="E938" s="7" t="str">
        <x:v>Petrol</x:v>
      </x:c>
      <x:c r="F938" s="7" t="str">
        <x:v>Manual</x:v>
      </x:c>
      <x:c r="G938" s="7" t="str">
        <x:v>Sedan</x:v>
      </x:c>
      <x:c r="H938" s="7" t="n">
        <x:v>1199</x:v>
      </x:c>
      <x:c r="I938" s="7" t="n">
        <x:v>85</x:v>
      </x:c>
      <x:c r="J938" s="9" t="n">
        <x:v>20.3</x:v>
      </x:c>
      <x:c r="K938" s="9" t="n">
        <x:v>6.4</x:v>
      </x:c>
      <x:c r="L938" s="7" t="n">
        <x:v>2022</x:v>
      </x:c>
      <x:c r="M938" s="11" t="n">
        <x:v>70440</x:v>
      </x:c>
      <x:c r="N938" s="7" t="n">
        <x:v>3</x:v>
      </x:c>
      <x:c r="O938" s="7" t="n">
        <x:v>0</x:v>
      </x:c>
      <x:c r="P938" s="9" t="n">
        <x:v>3.22</x:v>
      </x:c>
      <x:c r="Q938" s="7" t="n">
        <x:f>'Guide'!$B$5-L938</x:f>
        <x:v>4</x:v>
      </x:c>
      <x:c r="R938" s="9" t="n">
        <x:f>K938-P938</x:f>
        <x:v>3.18</x:v>
      </x:c>
      <x:c r="S938" s="10" t="n">
        <x:f>IF(K938&gt;0,R938/K938,"")</x:f>
        <x:v>0.496875</x:v>
      </x:c>
    </x:row>
    <x:row r="939">
      <x:c r="A939" s="7" t="n">
        <x:v>935</x:v>
      </x:c>
      <x:c r="B939" s="7" t="str">
        <x:v>Tata</x:v>
      </x:c>
      <x:c r="C939" s="7" t="str">
        <x:v>Tigor</x:v>
      </x:c>
      <x:c r="D939" s="7" t="str">
        <x:v>XE</x:v>
      </x:c>
      <x:c r="E939" s="7" t="str">
        <x:v>Petrol</x:v>
      </x:c>
      <x:c r="F939" s="7" t="str">
        <x:v>Manual</x:v>
      </x:c>
      <x:c r="G939" s="7" t="str">
        <x:v>Sedan</x:v>
      </x:c>
      <x:c r="H939" s="7" t="n">
        <x:v>1199</x:v>
      </x:c>
      <x:c r="I939" s="7" t="n">
        <x:v>85</x:v>
      </x:c>
      <x:c r="J939" s="9" t="n">
        <x:v>20.3</x:v>
      </x:c>
      <x:c r="K939" s="9" t="n">
        <x:v>6.4</x:v>
      </x:c>
      <x:c r="L939" s="7" t="n">
        <x:v>2024</x:v>
      </x:c>
      <x:c r="M939" s="11" t="n">
        <x:v>47401</x:v>
      </x:c>
      <x:c r="N939" s="7" t="n">
        <x:v>2</x:v>
      </x:c>
      <x:c r="O939" s="7" t="n">
        <x:v>0</x:v>
      </x:c>
      <x:c r="P939" s="9" t="n">
        <x:v>4.7</x:v>
      </x:c>
      <x:c r="Q939" s="7" t="n">
        <x:f>'Guide'!$B$5-L939</x:f>
        <x:v>2</x:v>
      </x:c>
      <x:c r="R939" s="9" t="n">
        <x:f>K939-P939</x:f>
        <x:v>1.7000000000000002</x:v>
      </x:c>
      <x:c r="S939" s="10" t="n">
        <x:f>IF(K939&gt;0,R939/K939,"")</x:f>
        <x:v>0.265625</x:v>
      </x:c>
    </x:row>
    <x:row r="940">
      <x:c r="A940" s="7" t="n">
        <x:v>936</x:v>
      </x:c>
      <x:c r="B940" s="7" t="str">
        <x:v>Tata</x:v>
      </x:c>
      <x:c r="C940" s="7" t="str">
        <x:v>Tigor</x:v>
      </x:c>
      <x:c r="D940" s="7" t="str">
        <x:v>XE</x:v>
      </x:c>
      <x:c r="E940" s="7" t="str">
        <x:v>Petrol</x:v>
      </x:c>
      <x:c r="F940" s="7" t="str">
        <x:v>Manual</x:v>
      </x:c>
      <x:c r="G940" s="7" t="str">
        <x:v>Sedan</x:v>
      </x:c>
      <x:c r="H940" s="7" t="n">
        <x:v>1199</x:v>
      </x:c>
      <x:c r="I940" s="7" t="n">
        <x:v>85</x:v>
      </x:c>
      <x:c r="J940" s="9" t="n">
        <x:v>20.3</x:v>
      </x:c>
      <x:c r="K940" s="9" t="n">
        <x:v>6.4</x:v>
      </x:c>
      <x:c r="L940" s="7" t="n">
        <x:v>2024</x:v>
      </x:c>
      <x:c r="M940" s="11" t="n">
        <x:v>37050</x:v>
      </x:c>
      <x:c r="N940" s="7" t="n">
        <x:v>1</x:v>
      </x:c>
      <x:c r="O940" s="7" t="n">
        <x:v>0</x:v>
      </x:c>
      <x:c r="P940" s="9" t="n">
        <x:v>5.35</x:v>
      </x:c>
      <x:c r="Q940" s="7" t="n">
        <x:f>'Guide'!$B$5-L940</x:f>
        <x:v>2</x:v>
      </x:c>
      <x:c r="R940" s="9" t="n">
        <x:f>K940-P940</x:f>
        <x:v>1.0500000000000007</x:v>
      </x:c>
      <x:c r="S940" s="10" t="n">
        <x:f>IF(K940&gt;0,R940/K940,"")</x:f>
        <x:v>0.1640625000000001</x:v>
      </x:c>
    </x:row>
    <x:row r="941">
      <x:c r="A941" s="7" t="n">
        <x:v>937</x:v>
      </x:c>
      <x:c r="B941" s="7" t="str">
        <x:v>Tata</x:v>
      </x:c>
      <x:c r="C941" s="7" t="str">
        <x:v>Tigor</x:v>
      </x:c>
      <x:c r="D941" s="7" t="str">
        <x:v>XE</x:v>
      </x:c>
      <x:c r="E941" s="7" t="str">
        <x:v>Petrol</x:v>
      </x:c>
      <x:c r="F941" s="7" t="str">
        <x:v>Manual</x:v>
      </x:c>
      <x:c r="G941" s="7" t="str">
        <x:v>Sedan</x:v>
      </x:c>
      <x:c r="H941" s="7" t="n">
        <x:v>1199</x:v>
      </x:c>
      <x:c r="I941" s="7" t="n">
        <x:v>85</x:v>
      </x:c>
      <x:c r="J941" s="9" t="n">
        <x:v>20.3</x:v>
      </x:c>
      <x:c r="K941" s="9" t="n">
        <x:v>6.4</x:v>
      </x:c>
      <x:c r="L941" s="7" t="n">
        <x:v>2021</x:v>
      </x:c>
      <x:c r="M941" s="11" t="n">
        <x:v>62401</x:v>
      </x:c>
      <x:c r="N941" s="7" t="n">
        <x:v>1</x:v>
      </x:c>
      <x:c r="O941" s="7" t="n">
        <x:v>1</x:v>
      </x:c>
      <x:c r="P941" s="9" t="n">
        <x:v>2.54</x:v>
      </x:c>
      <x:c r="Q941" s="7" t="n">
        <x:f>'Guide'!$B$5-L941</x:f>
        <x:v>5</x:v>
      </x:c>
      <x:c r="R941" s="9" t="n">
        <x:f>K941-P941</x:f>
        <x:v>3.8600000000000003</x:v>
      </x:c>
      <x:c r="S941" s="10" t="n">
        <x:f>IF(K941&gt;0,R941/K941,"")</x:f>
        <x:v>0.603125</x:v>
      </x:c>
    </x:row>
    <x:row r="942">
      <x:c r="A942" s="7" t="n">
        <x:v>938</x:v>
      </x:c>
      <x:c r="B942" s="7" t="str">
        <x:v>Tata</x:v>
      </x:c>
      <x:c r="C942" s="7" t="str">
        <x:v>Tigor</x:v>
      </x:c>
      <x:c r="D942" s="7" t="str">
        <x:v>XE</x:v>
      </x:c>
      <x:c r="E942" s="7" t="str">
        <x:v>Petrol</x:v>
      </x:c>
      <x:c r="F942" s="7" t="str">
        <x:v>Manual</x:v>
      </x:c>
      <x:c r="G942" s="7" t="str">
        <x:v>Sedan</x:v>
      </x:c>
      <x:c r="H942" s="7" t="n">
        <x:v>1199</x:v>
      </x:c>
      <x:c r="I942" s="7" t="n">
        <x:v>85</x:v>
      </x:c>
      <x:c r="J942" s="9" t="n">
        <x:v>20.3</x:v>
      </x:c>
      <x:c r="K942" s="9" t="n">
        <x:v>6.4</x:v>
      </x:c>
      <x:c r="L942" s="7" t="n">
        <x:v>2023</x:v>
      </x:c>
      <x:c r="M942" s="11" t="n">
        <x:v>29596</x:v>
      </x:c>
      <x:c r="N942" s="7" t="n">
        <x:v>2</x:v>
      </x:c>
      <x:c r="O942" s="7" t="n">
        <x:v>0</x:v>
      </x:c>
      <x:c r="P942" s="9" t="n">
        <x:v>4.4</x:v>
      </x:c>
      <x:c r="Q942" s="7" t="n">
        <x:f>'Guide'!$B$5-L942</x:f>
        <x:v>3</x:v>
      </x:c>
      <x:c r="R942" s="9" t="n">
        <x:f>K942-P942</x:f>
        <x:v>2</x:v>
      </x:c>
      <x:c r="S942" s="10" t="n">
        <x:f>IF(K942&gt;0,R942/K942,"")</x:f>
        <x:v>0.3125</x:v>
      </x:c>
    </x:row>
    <x:row r="943">
      <x:c r="A943" s="7" t="n">
        <x:v>939</x:v>
      </x:c>
      <x:c r="B943" s="7" t="str">
        <x:v>Tata</x:v>
      </x:c>
      <x:c r="C943" s="7" t="str">
        <x:v>Tigor</x:v>
      </x:c>
      <x:c r="D943" s="7" t="str">
        <x:v>XE</x:v>
      </x:c>
      <x:c r="E943" s="7" t="str">
        <x:v>Petrol</x:v>
      </x:c>
      <x:c r="F943" s="7" t="str">
        <x:v>Manual</x:v>
      </x:c>
      <x:c r="G943" s="7" t="str">
        <x:v>Sedan</x:v>
      </x:c>
      <x:c r="H943" s="7" t="n">
        <x:v>1199</x:v>
      </x:c>
      <x:c r="I943" s="7" t="n">
        <x:v>85</x:v>
      </x:c>
      <x:c r="J943" s="9" t="n">
        <x:v>20.3</x:v>
      </x:c>
      <x:c r="K943" s="9" t="n">
        <x:v>6.4</x:v>
      </x:c>
      <x:c r="L943" s="7" t="n">
        <x:v>2021</x:v>
      </x:c>
      <x:c r="M943" s="11" t="n">
        <x:v>68618</x:v>
      </x:c>
      <x:c r="N943" s="7" t="n">
        <x:v>1</x:v>
      </x:c>
      <x:c r="O943" s="7" t="n">
        <x:v>1</x:v>
      </x:c>
      <x:c r="P943" s="9" t="n">
        <x:v>2.54</x:v>
      </x:c>
      <x:c r="Q943" s="7" t="n">
        <x:f>'Guide'!$B$5-L943</x:f>
        <x:v>5</x:v>
      </x:c>
      <x:c r="R943" s="9" t="n">
        <x:f>K943-P943</x:f>
        <x:v>3.8600000000000003</x:v>
      </x:c>
      <x:c r="S943" s="10" t="n">
        <x:f>IF(K943&gt;0,R943/K943,"")</x:f>
        <x:v>0.603125</x:v>
      </x:c>
    </x:row>
    <x:row r="944">
      <x:c r="A944" s="7" t="n">
        <x:v>940</x:v>
      </x:c>
      <x:c r="B944" s="7" t="str">
        <x:v>Tata</x:v>
      </x:c>
      <x:c r="C944" s="7" t="str">
        <x:v>Tigor</x:v>
      </x:c>
      <x:c r="D944" s="7" t="str">
        <x:v>XE</x:v>
      </x:c>
      <x:c r="E944" s="7" t="str">
        <x:v>Petrol</x:v>
      </x:c>
      <x:c r="F944" s="7" t="str">
        <x:v>Manual</x:v>
      </x:c>
      <x:c r="G944" s="7" t="str">
        <x:v>Sedan</x:v>
      </x:c>
      <x:c r="H944" s="7" t="n">
        <x:v>1199</x:v>
      </x:c>
      <x:c r="I944" s="7" t="n">
        <x:v>85</x:v>
      </x:c>
      <x:c r="J944" s="9" t="n">
        <x:v>20.3</x:v>
      </x:c>
      <x:c r="K944" s="9" t="n">
        <x:v>6.4</x:v>
      </x:c>
      <x:c r="L944" s="7" t="n">
        <x:v>2023</x:v>
      </x:c>
      <x:c r="M944" s="11" t="n">
        <x:v>56224</x:v>
      </x:c>
      <x:c r="N944" s="7" t="n">
        <x:v>2</x:v>
      </x:c>
      <x:c r="O944" s="7" t="n">
        <x:v>0</x:v>
      </x:c>
      <x:c r="P944" s="9" t="n">
        <x:v>3.66</x:v>
      </x:c>
      <x:c r="Q944" s="7" t="n">
        <x:f>'Guide'!$B$5-L944</x:f>
        <x:v>3</x:v>
      </x:c>
      <x:c r="R944" s="9" t="n">
        <x:f>K944-P944</x:f>
        <x:v>2.74</x:v>
      </x:c>
      <x:c r="S944" s="10" t="n">
        <x:f>IF(K944&gt;0,R944/K944,"")</x:f>
        <x:v>0.42812500000000003</x:v>
      </x:c>
    </x:row>
    <x:row r="945">
      <x:c r="A945" s="7" t="n">
        <x:v>941</x:v>
      </x:c>
      <x:c r="B945" s="7" t="str">
        <x:v>Tata</x:v>
      </x:c>
      <x:c r="C945" s="7" t="str">
        <x:v>Tigor</x:v>
      </x:c>
      <x:c r="D945" s="7" t="str">
        <x:v>XE</x:v>
      </x:c>
      <x:c r="E945" s="7" t="str">
        <x:v>Petrol</x:v>
      </x:c>
      <x:c r="F945" s="7" t="str">
        <x:v>Manual</x:v>
      </x:c>
      <x:c r="G945" s="7" t="str">
        <x:v>Sedan</x:v>
      </x:c>
      <x:c r="H945" s="7" t="n">
        <x:v>1199</x:v>
      </x:c>
      <x:c r="I945" s="7" t="n">
        <x:v>85</x:v>
      </x:c>
      <x:c r="J945" s="9" t="n">
        <x:v>20.3</x:v>
      </x:c>
      <x:c r="K945" s="9" t="n">
        <x:v>6.4</x:v>
      </x:c>
      <x:c r="L945" s="7" t="n">
        <x:v>2024</x:v>
      </x:c>
      <x:c r="M945" s="11" t="n">
        <x:v>30456</x:v>
      </x:c>
      <x:c r="N945" s="7" t="n">
        <x:v>2</x:v>
      </x:c>
      <x:c r="O945" s="7" t="n">
        <x:v>1</x:v>
      </x:c>
      <x:c r="P945" s="9" t="n">
        <x:v>3.78</x:v>
      </x:c>
      <x:c r="Q945" s="7" t="n">
        <x:f>'Guide'!$B$5-L945</x:f>
        <x:v>2</x:v>
      </x:c>
      <x:c r="R945" s="9" t="n">
        <x:f>K945-P945</x:f>
        <x:v>2.6200000000000006</x:v>
      </x:c>
      <x:c r="S945" s="10" t="n">
        <x:f>IF(K945&gt;0,R945/K945,"")</x:f>
        <x:v>0.40937500000000004</x:v>
      </x:c>
    </x:row>
    <x:row r="946">
      <x:c r="A946" s="7" t="n">
        <x:v>942</x:v>
      </x:c>
      <x:c r="B946" s="7" t="str">
        <x:v>Tata</x:v>
      </x:c>
      <x:c r="C946" s="7" t="str">
        <x:v>Tigor</x:v>
      </x:c>
      <x:c r="D946" s="7" t="str">
        <x:v>XE</x:v>
      </x:c>
      <x:c r="E946" s="7" t="str">
        <x:v>Petrol</x:v>
      </x:c>
      <x:c r="F946" s="7" t="str">
        <x:v>Manual</x:v>
      </x:c>
      <x:c r="G946" s="7" t="str">
        <x:v>Sedan</x:v>
      </x:c>
      <x:c r="H946" s="7" t="n">
        <x:v>1199</x:v>
      </x:c>
      <x:c r="I946" s="7" t="n">
        <x:v>85</x:v>
      </x:c>
      <x:c r="J946" s="9" t="n">
        <x:v>20.3</x:v>
      </x:c>
      <x:c r="K946" s="9" t="n">
        <x:v>6.4</x:v>
      </x:c>
      <x:c r="L946" s="7" t="n">
        <x:v>2025</x:v>
      </x:c>
      <x:c r="M946" s="11" t="n">
        <x:v>23703</x:v>
      </x:c>
      <x:c r="N946" s="7" t="n">
        <x:v>2</x:v>
      </x:c>
      <x:c r="O946" s="7" t="n">
        <x:v>0</x:v>
      </x:c>
      <x:c r="P946" s="9" t="n">
        <x:v>5.42</x:v>
      </x:c>
      <x:c r="Q946" s="7" t="n">
        <x:f>'Guide'!$B$5-L946</x:f>
        <x:v>1</x:v>
      </x:c>
      <x:c r="R946" s="9" t="n">
        <x:f>K946-P946</x:f>
        <x:v>0.9800000000000004</x:v>
      </x:c>
      <x:c r="S946" s="10" t="n">
        <x:f>IF(K946&gt;0,R946/K946,"")</x:f>
        <x:v>0.15312500000000007</x:v>
      </x:c>
    </x:row>
    <x:row r="947">
      <x:c r="A947" s="7" t="n">
        <x:v>943</x:v>
      </x:c>
      <x:c r="B947" s="7" t="str">
        <x:v>Tata</x:v>
      </x:c>
      <x:c r="C947" s="7" t="str">
        <x:v>Tigor</x:v>
      </x:c>
      <x:c r="D947" s="7" t="str">
        <x:v>XE</x:v>
      </x:c>
      <x:c r="E947" s="7" t="str">
        <x:v>Petrol</x:v>
      </x:c>
      <x:c r="F947" s="7" t="str">
        <x:v>Manual</x:v>
      </x:c>
      <x:c r="G947" s="7" t="str">
        <x:v>Sedan</x:v>
      </x:c>
      <x:c r="H947" s="7" t="n">
        <x:v>1199</x:v>
      </x:c>
      <x:c r="I947" s="7" t="n">
        <x:v>85</x:v>
      </x:c>
      <x:c r="J947" s="9" t="n">
        <x:v>20.3</x:v>
      </x:c>
      <x:c r="K947" s="9" t="n">
        <x:v>6.4</x:v>
      </x:c>
      <x:c r="L947" s="7" t="n">
        <x:v>2026</x:v>
      </x:c>
      <x:c r="M947" s="11" t="n">
        <x:v>5883</x:v>
      </x:c>
      <x:c r="N947" s="7" t="n">
        <x:v>3</x:v>
      </x:c>
      <x:c r="O947" s="7" t="n">
        <x:v>0</x:v>
      </x:c>
      <x:c r="P947" s="9" t="n">
        <x:v>5.88</x:v>
      </x:c>
      <x:c r="Q947" s="7" t="n">
        <x:f>'Guide'!$B$5-L947</x:f>
        <x:v>0</x:v>
      </x:c>
      <x:c r="R947" s="9" t="n">
        <x:f>K947-P947</x:f>
        <x:v>0.5200000000000005</x:v>
      </x:c>
      <x:c r="S947" s="10" t="n">
        <x:f>IF(K947&gt;0,R947/K947,"")</x:f>
        <x:v>0.08125000000000007</x:v>
      </x:c>
    </x:row>
    <x:row r="948">
      <x:c r="A948" s="7" t="n">
        <x:v>944</x:v>
      </x:c>
      <x:c r="B948" s="7" t="str">
        <x:v>Tata</x:v>
      </x:c>
      <x:c r="C948" s="7" t="str">
        <x:v>Tigor</x:v>
      </x:c>
      <x:c r="D948" s="7" t="str">
        <x:v>XE</x:v>
      </x:c>
      <x:c r="E948" s="7" t="str">
        <x:v>Petrol</x:v>
      </x:c>
      <x:c r="F948" s="7" t="str">
        <x:v>Manual</x:v>
      </x:c>
      <x:c r="G948" s="7" t="str">
        <x:v>Sedan</x:v>
      </x:c>
      <x:c r="H948" s="7" t="n">
        <x:v>1199</x:v>
      </x:c>
      <x:c r="I948" s="7" t="n">
        <x:v>85</x:v>
      </x:c>
      <x:c r="J948" s="9" t="n">
        <x:v>20.3</x:v>
      </x:c>
      <x:c r="K948" s="9" t="n">
        <x:v>6.4</x:v>
      </x:c>
      <x:c r="L948" s="7" t="n">
        <x:v>2025</x:v>
      </x:c>
      <x:c r="M948" s="11" t="n">
        <x:v>13063</x:v>
      </x:c>
      <x:c r="N948" s="7" t="n">
        <x:v>2</x:v>
      </x:c>
      <x:c r="O948" s="7" t="n">
        <x:v>0</x:v>
      </x:c>
      <x:c r="P948" s="9" t="n">
        <x:v>5.53</x:v>
      </x:c>
      <x:c r="Q948" s="7" t="n">
        <x:f>'Guide'!$B$5-L948</x:f>
        <x:v>1</x:v>
      </x:c>
      <x:c r="R948" s="9" t="n">
        <x:f>K948-P948</x:f>
        <x:v>0.8700000000000001</x:v>
      </x:c>
      <x:c r="S948" s="10" t="n">
        <x:f>IF(K948&gt;0,R948/K948,"")</x:f>
        <x:v>0.13593750000000002</x:v>
      </x:c>
    </x:row>
    <x:row r="949">
      <x:c r="A949" s="7" t="n">
        <x:v>945</x:v>
      </x:c>
      <x:c r="B949" s="7" t="str">
        <x:v>Tata</x:v>
      </x:c>
      <x:c r="C949" s="7" t="str">
        <x:v>Tigor</x:v>
      </x:c>
      <x:c r="D949" s="7" t="str">
        <x:v>XE</x:v>
      </x:c>
      <x:c r="E949" s="7" t="str">
        <x:v>Petrol</x:v>
      </x:c>
      <x:c r="F949" s="7" t="str">
        <x:v>Manual</x:v>
      </x:c>
      <x:c r="G949" s="7" t="str">
        <x:v>Sedan</x:v>
      </x:c>
      <x:c r="H949" s="7" t="n">
        <x:v>1199</x:v>
      </x:c>
      <x:c r="I949" s="7" t="n">
        <x:v>85</x:v>
      </x:c>
      <x:c r="J949" s="9" t="n">
        <x:v>20.3</x:v>
      </x:c>
      <x:c r="K949" s="9" t="n">
        <x:v>6.4</x:v>
      </x:c>
      <x:c r="L949" s="7" t="n">
        <x:v>2023</x:v>
      </x:c>
      <x:c r="M949" s="11" t="n">
        <x:v>48278</x:v>
      </x:c>
      <x:c r="N949" s="7" t="n">
        <x:v>2</x:v>
      </x:c>
      <x:c r="O949" s="7" t="n">
        <x:v>0</x:v>
      </x:c>
      <x:c r="P949" s="9" t="n">
        <x:v>4.15</x:v>
      </x:c>
      <x:c r="Q949" s="7" t="n">
        <x:f>'Guide'!$B$5-L949</x:f>
        <x:v>3</x:v>
      </x:c>
      <x:c r="R949" s="9" t="n">
        <x:f>K949-P949</x:f>
        <x:v>2.25</x:v>
      </x:c>
      <x:c r="S949" s="10" t="n">
        <x:f>IF(K949&gt;0,R949/K949,"")</x:f>
        <x:v>0.3515625</x:v>
      </x:c>
    </x:row>
    <x:row r="950">
      <x:c r="A950" s="7" t="n">
        <x:v>946</x:v>
      </x:c>
      <x:c r="B950" s="7" t="str">
        <x:v>Tata</x:v>
      </x:c>
      <x:c r="C950" s="7" t="str">
        <x:v>Tigor</x:v>
      </x:c>
      <x:c r="D950" s="7" t="str">
        <x:v>XE</x:v>
      </x:c>
      <x:c r="E950" s="7" t="str">
        <x:v>Petrol</x:v>
      </x:c>
      <x:c r="F950" s="7" t="str">
        <x:v>Manual</x:v>
      </x:c>
      <x:c r="G950" s="7" t="str">
        <x:v>Sedan</x:v>
      </x:c>
      <x:c r="H950" s="7" t="n">
        <x:v>1199</x:v>
      </x:c>
      <x:c r="I950" s="7" t="n">
        <x:v>85</x:v>
      </x:c>
      <x:c r="J950" s="9" t="n">
        <x:v>20.3</x:v>
      </x:c>
      <x:c r="K950" s="9" t="n">
        <x:v>6.4</x:v>
      </x:c>
      <x:c r="L950" s="7" t="n">
        <x:v>2023</x:v>
      </x:c>
      <x:c r="M950" s="11" t="n">
        <x:v>58833</x:v>
      </x:c>
      <x:c r="N950" s="7" t="n">
        <x:v>1</x:v>
      </x:c>
      <x:c r="O950" s="7" t="n">
        <x:v>0</x:v>
      </x:c>
      <x:c r="P950" s="9" t="n">
        <x:v>4.12</x:v>
      </x:c>
      <x:c r="Q950" s="7" t="n">
        <x:f>'Guide'!$B$5-L950</x:f>
        <x:v>3</x:v>
      </x:c>
      <x:c r="R950" s="9" t="n">
        <x:f>K950-P950</x:f>
        <x:v>2.2800000000000002</x:v>
      </x:c>
      <x:c r="S950" s="10" t="n">
        <x:f>IF(K950&gt;0,R950/K950,"")</x:f>
        <x:v>0.35625</x:v>
      </x:c>
    </x:row>
    <x:row r="951">
      <x:c r="A951" s="7" t="n">
        <x:v>947</x:v>
      </x:c>
      <x:c r="B951" s="7" t="str">
        <x:v>Tata</x:v>
      </x:c>
      <x:c r="C951" s="7" t="str">
        <x:v>Tigor</x:v>
      </x:c>
      <x:c r="D951" s="7" t="str">
        <x:v>XE</x:v>
      </x:c>
      <x:c r="E951" s="7" t="str">
        <x:v>Petrol</x:v>
      </x:c>
      <x:c r="F951" s="7" t="str">
        <x:v>Manual</x:v>
      </x:c>
      <x:c r="G951" s="7" t="str">
        <x:v>Sedan</x:v>
      </x:c>
      <x:c r="H951" s="7" t="n">
        <x:v>1199</x:v>
      </x:c>
      <x:c r="I951" s="7" t="n">
        <x:v>85</x:v>
      </x:c>
      <x:c r="J951" s="9" t="n">
        <x:v>20.3</x:v>
      </x:c>
      <x:c r="K951" s="9" t="n">
        <x:v>6.4</x:v>
      </x:c>
      <x:c r="L951" s="7" t="n">
        <x:v>2021</x:v>
      </x:c>
      <x:c r="M951" s="11" t="n">
        <x:v>60878</x:v>
      </x:c>
      <x:c r="N951" s="7" t="n">
        <x:v>1</x:v>
      </x:c>
      <x:c r="O951" s="7" t="n">
        <x:v>0</x:v>
      </x:c>
      <x:c r="P951" s="9" t="n">
        <x:v>3.18</x:v>
      </x:c>
      <x:c r="Q951" s="7" t="n">
        <x:f>'Guide'!$B$5-L951</x:f>
        <x:v>5</x:v>
      </x:c>
      <x:c r="R951" s="9" t="n">
        <x:f>K951-P951</x:f>
        <x:v>3.22</x:v>
      </x:c>
      <x:c r="S951" s="10" t="n">
        <x:f>IF(K951&gt;0,R951/K951,"")</x:f>
        <x:v>0.503125</x:v>
      </x:c>
    </x:row>
    <x:row r="952">
      <x:c r="A952" s="7" t="n">
        <x:v>948</x:v>
      </x:c>
      <x:c r="B952" s="7" t="str">
        <x:v>Tata</x:v>
      </x:c>
      <x:c r="C952" s="7" t="str">
        <x:v>Tigor</x:v>
      </x:c>
      <x:c r="D952" s="7" t="str">
        <x:v>XE</x:v>
      </x:c>
      <x:c r="E952" s="7" t="str">
        <x:v>Petrol</x:v>
      </x:c>
      <x:c r="F952" s="7" t="str">
        <x:v>Manual</x:v>
      </x:c>
      <x:c r="G952" s="7" t="str">
        <x:v>Sedan</x:v>
      </x:c>
      <x:c r="H952" s="7" t="n">
        <x:v>1199</x:v>
      </x:c>
      <x:c r="I952" s="7" t="n">
        <x:v>85</x:v>
      </x:c>
      <x:c r="J952" s="9" t="n">
        <x:v>20.3</x:v>
      </x:c>
      <x:c r="K952" s="9" t="n">
        <x:v>6.4</x:v>
      </x:c>
      <x:c r="L952" s="7" t="n">
        <x:v>2022</x:v>
      </x:c>
      <x:c r="M952" s="11" t="n">
        <x:v>75289</x:v>
      </x:c>
      <x:c r="N952" s="7" t="n">
        <x:v>2</x:v>
      </x:c>
      <x:c r="O952" s="7" t="n">
        <x:v>0</x:v>
      </x:c>
      <x:c r="P952" s="9" t="n">
        <x:v>3.19</x:v>
      </x:c>
      <x:c r="Q952" s="7" t="n">
        <x:f>'Guide'!$B$5-L952</x:f>
        <x:v>4</x:v>
      </x:c>
      <x:c r="R952" s="9" t="n">
        <x:f>K952-P952</x:f>
        <x:v>3.2100000000000004</x:v>
      </x:c>
      <x:c r="S952" s="10" t="n">
        <x:f>IF(K952&gt;0,R952/K952,"")</x:f>
        <x:v>0.5015625</x:v>
      </x:c>
    </x:row>
    <x:row r="953">
      <x:c r="A953" s="7" t="n">
        <x:v>949</x:v>
      </x:c>
      <x:c r="B953" s="7" t="str">
        <x:v>Tata</x:v>
      </x:c>
      <x:c r="C953" s="7" t="str">
        <x:v>Tigor</x:v>
      </x:c>
      <x:c r="D953" s="7" t="str">
        <x:v>XE</x:v>
      </x:c>
      <x:c r="E953" s="7" t="str">
        <x:v>Petrol</x:v>
      </x:c>
      <x:c r="F953" s="7" t="str">
        <x:v>Manual</x:v>
      </x:c>
      <x:c r="G953" s="7" t="str">
        <x:v>Sedan</x:v>
      </x:c>
      <x:c r="H953" s="7" t="n">
        <x:v>1199</x:v>
      </x:c>
      <x:c r="I953" s="7" t="n">
        <x:v>85</x:v>
      </x:c>
      <x:c r="J953" s="9" t="n">
        <x:v>20.3</x:v>
      </x:c>
      <x:c r="K953" s="9" t="n">
        <x:v>6.4</x:v>
      </x:c>
      <x:c r="L953" s="7" t="n">
        <x:v>2022</x:v>
      </x:c>
      <x:c r="M953" s="11" t="n">
        <x:v>75549</x:v>
      </x:c>
      <x:c r="N953" s="7" t="n">
        <x:v>1</x:v>
      </x:c>
      <x:c r="O953" s="7" t="n">
        <x:v>0</x:v>
      </x:c>
      <x:c r="P953" s="9" t="n">
        <x:v>3.54</x:v>
      </x:c>
      <x:c r="Q953" s="7" t="n">
        <x:f>'Guide'!$B$5-L953</x:f>
        <x:v>4</x:v>
      </x:c>
      <x:c r="R953" s="9" t="n">
        <x:f>K953-P953</x:f>
        <x:v>2.8600000000000003</x:v>
      </x:c>
      <x:c r="S953" s="10" t="n">
        <x:f>IF(K953&gt;0,R953/K953,"")</x:f>
        <x:v>0.446875</x:v>
      </x:c>
    </x:row>
    <x:row r="954">
      <x:c r="A954" s="7" t="n">
        <x:v>950</x:v>
      </x:c>
      <x:c r="B954" s="7" t="str">
        <x:v>Tata</x:v>
      </x:c>
      <x:c r="C954" s="7" t="str">
        <x:v>Tigor</x:v>
      </x:c>
      <x:c r="D954" s="7" t="str">
        <x:v>XE</x:v>
      </x:c>
      <x:c r="E954" s="7" t="str">
        <x:v>Petrol</x:v>
      </x:c>
      <x:c r="F954" s="7" t="str">
        <x:v>Manual</x:v>
      </x:c>
      <x:c r="G954" s="7" t="str">
        <x:v>Sedan</x:v>
      </x:c>
      <x:c r="H954" s="7" t="n">
        <x:v>1199</x:v>
      </x:c>
      <x:c r="I954" s="7" t="n">
        <x:v>85</x:v>
      </x:c>
      <x:c r="J954" s="9" t="n">
        <x:v>20.3</x:v>
      </x:c>
      <x:c r="K954" s="9" t="n">
        <x:v>6.4</x:v>
      </x:c>
      <x:c r="L954" s="7" t="n">
        <x:v>2023</x:v>
      </x:c>
      <x:c r="M954" s="11" t="n">
        <x:v>67793</x:v>
      </x:c>
      <x:c r="N954" s="7" t="n">
        <x:v>1</x:v>
      </x:c>
      <x:c r="O954" s="7" t="n">
        <x:v>0</x:v>
      </x:c>
      <x:c r="P954" s="9" t="n">
        <x:v>4.67</x:v>
      </x:c>
      <x:c r="Q954" s="7" t="n">
        <x:f>'Guide'!$B$5-L954</x:f>
        <x:v>3</x:v>
      </x:c>
      <x:c r="R954" s="9" t="n">
        <x:f>K954-P954</x:f>
        <x:v>1.7300000000000004</x:v>
      </x:c>
      <x:c r="S954" s="10" t="n">
        <x:f>IF(K954&gt;0,R954/K954,"")</x:f>
        <x:v>0.27031250000000007</x:v>
      </x:c>
    </x:row>
    <x:row r="955">
      <x:c r="A955" s="7" t="n">
        <x:v>951</x:v>
      </x:c>
      <x:c r="B955" s="7" t="str">
        <x:v>Tata</x:v>
      </x:c>
      <x:c r="C955" s="7" t="str">
        <x:v>Tigor</x:v>
      </x:c>
      <x:c r="D955" s="7" t="str">
        <x:v>XE</x:v>
      </x:c>
      <x:c r="E955" s="7" t="str">
        <x:v>Petrol</x:v>
      </x:c>
      <x:c r="F955" s="7" t="str">
        <x:v>Manual</x:v>
      </x:c>
      <x:c r="G955" s="7" t="str">
        <x:v>Sedan</x:v>
      </x:c>
      <x:c r="H955" s="7" t="n">
        <x:v>1199</x:v>
      </x:c>
      <x:c r="I955" s="7" t="n">
        <x:v>85</x:v>
      </x:c>
      <x:c r="J955" s="9" t="n">
        <x:v>20.3</x:v>
      </x:c>
      <x:c r="K955" s="9" t="n">
        <x:v>6.4</x:v>
      </x:c>
      <x:c r="L955" s="7" t="n">
        <x:v>2021</x:v>
      </x:c>
      <x:c r="M955" s="11" t="n">
        <x:v>59542</x:v>
      </x:c>
      <x:c r="N955" s="7" t="n">
        <x:v>1</x:v>
      </x:c>
      <x:c r="O955" s="7" t="n">
        <x:v>0</x:v>
      </x:c>
      <x:c r="P955" s="9" t="n">
        <x:v>3.67</x:v>
      </x:c>
      <x:c r="Q955" s="7" t="n">
        <x:f>'Guide'!$B$5-L955</x:f>
        <x:v>5</x:v>
      </x:c>
      <x:c r="R955" s="9" t="n">
        <x:f>K955-P955</x:f>
        <x:v>2.7300000000000004</x:v>
      </x:c>
      <x:c r="S955" s="10" t="n">
        <x:f>IF(K955&gt;0,R955/K955,"")</x:f>
        <x:v>0.42656250000000007</x:v>
      </x:c>
    </x:row>
    <x:row r="956">
      <x:c r="A956" s="7" t="n">
        <x:v>952</x:v>
      </x:c>
      <x:c r="B956" s="7" t="str">
        <x:v>Tata</x:v>
      </x:c>
      <x:c r="C956" s="7" t="str">
        <x:v>Tigor</x:v>
      </x:c>
      <x:c r="D956" s="7" t="str">
        <x:v>XE</x:v>
      </x:c>
      <x:c r="E956" s="7" t="str">
        <x:v>Petrol</x:v>
      </x:c>
      <x:c r="F956" s="7" t="str">
        <x:v>Manual</x:v>
      </x:c>
      <x:c r="G956" s="7" t="str">
        <x:v>Sedan</x:v>
      </x:c>
      <x:c r="H956" s="7" t="n">
        <x:v>1199</x:v>
      </x:c>
      <x:c r="I956" s="7" t="n">
        <x:v>85</x:v>
      </x:c>
      <x:c r="J956" s="9" t="n">
        <x:v>20.3</x:v>
      </x:c>
      <x:c r="K956" s="9" t="n">
        <x:v>6.4</x:v>
      </x:c>
      <x:c r="L956" s="7" t="n">
        <x:v>2023</x:v>
      </x:c>
      <x:c r="M956" s="11" t="n">
        <x:v>33712</x:v>
      </x:c>
      <x:c r="N956" s="7" t="n">
        <x:v>1</x:v>
      </x:c>
      <x:c r="O956" s="7" t="n">
        <x:v>0</x:v>
      </x:c>
      <x:c r="P956" s="9" t="n">
        <x:v>4.94</x:v>
      </x:c>
      <x:c r="Q956" s="7" t="n">
        <x:f>'Guide'!$B$5-L956</x:f>
        <x:v>3</x:v>
      </x:c>
      <x:c r="R956" s="9" t="n">
        <x:f>K956-P956</x:f>
        <x:v>1.46</x:v>
      </x:c>
      <x:c r="S956" s="10" t="n">
        <x:f>IF(K956&gt;0,R956/K956,"")</x:f>
        <x:v>0.228125</x:v>
      </x:c>
    </x:row>
    <x:row r="957">
      <x:c r="A957" s="7" t="n">
        <x:v>953</x:v>
      </x:c>
      <x:c r="B957" s="7" t="str">
        <x:v>Tata</x:v>
      </x:c>
      <x:c r="C957" s="7" t="str">
        <x:v>Tigor</x:v>
      </x:c>
      <x:c r="D957" s="7" t="str">
        <x:v>XE</x:v>
      </x:c>
      <x:c r="E957" s="7" t="str">
        <x:v>Petrol</x:v>
      </x:c>
      <x:c r="F957" s="7" t="str">
        <x:v>Manual</x:v>
      </x:c>
      <x:c r="G957" s="7" t="str">
        <x:v>Sedan</x:v>
      </x:c>
      <x:c r="H957" s="7" t="n">
        <x:v>1199</x:v>
      </x:c>
      <x:c r="I957" s="7" t="n">
        <x:v>85</x:v>
      </x:c>
      <x:c r="J957" s="9" t="n">
        <x:v>20.3</x:v>
      </x:c>
      <x:c r="K957" s="9" t="n">
        <x:v>6.4</x:v>
      </x:c>
      <x:c r="L957" s="7" t="n">
        <x:v>2020</x:v>
      </x:c>
      <x:c r="M957" s="11" t="n">
        <x:v>71613</x:v>
      </x:c>
      <x:c r="N957" s="7" t="n">
        <x:v>1</x:v>
      </x:c>
      <x:c r="O957" s="7" t="n">
        <x:v>0</x:v>
      </x:c>
      <x:c r="P957" s="9" t="n">
        <x:v>2.98</x:v>
      </x:c>
      <x:c r="Q957" s="7" t="n">
        <x:f>'Guide'!$B$5-L957</x:f>
        <x:v>6</x:v>
      </x:c>
      <x:c r="R957" s="9" t="n">
        <x:f>K957-P957</x:f>
        <x:v>3.4200000000000004</x:v>
      </x:c>
      <x:c r="S957" s="10" t="n">
        <x:f>IF(K957&gt;0,R957/K957,"")</x:f>
        <x:v>0.534375</x:v>
      </x:c>
    </x:row>
    <x:row r="958">
      <x:c r="A958" s="7" t="n">
        <x:v>954</x:v>
      </x:c>
      <x:c r="B958" s="7" t="str">
        <x:v>Tata</x:v>
      </x:c>
      <x:c r="C958" s="7" t="str">
        <x:v>Tigor</x:v>
      </x:c>
      <x:c r="D958" s="7" t="str">
        <x:v>XE</x:v>
      </x:c>
      <x:c r="E958" s="7" t="str">
        <x:v>Petrol</x:v>
      </x:c>
      <x:c r="F958" s="7" t="str">
        <x:v>Manual</x:v>
      </x:c>
      <x:c r="G958" s="7" t="str">
        <x:v>Sedan</x:v>
      </x:c>
      <x:c r="H958" s="7" t="n">
        <x:v>1199</x:v>
      </x:c>
      <x:c r="I958" s="7" t="n">
        <x:v>85</x:v>
      </x:c>
      <x:c r="J958" s="9" t="n">
        <x:v>20.3</x:v>
      </x:c>
      <x:c r="K958" s="9" t="n">
        <x:v>6.4</x:v>
      </x:c>
      <x:c r="L958" s="7" t="n">
        <x:v>2024</x:v>
      </x:c>
      <x:c r="M958" s="11" t="n">
        <x:v>20573</x:v>
      </x:c>
      <x:c r="N958" s="7" t="n">
        <x:v>3</x:v>
      </x:c>
      <x:c r="O958" s="7" t="n">
        <x:v>1</x:v>
      </x:c>
      <x:c r="P958" s="9" t="n">
        <x:v>3.23</x:v>
      </x:c>
      <x:c r="Q958" s="7" t="n">
        <x:f>'Guide'!$B$5-L958</x:f>
        <x:v>2</x:v>
      </x:c>
      <x:c r="R958" s="9" t="n">
        <x:f>K958-P958</x:f>
        <x:v>3.1700000000000004</x:v>
      </x:c>
      <x:c r="S958" s="10" t="n">
        <x:f>IF(K958&gt;0,R958/K958,"")</x:f>
        <x:v>0.49531250000000004</x:v>
      </x:c>
    </x:row>
    <x:row r="959">
      <x:c r="A959" s="7" t="n">
        <x:v>955</x:v>
      </x:c>
      <x:c r="B959" s="7" t="str">
        <x:v>Tata</x:v>
      </x:c>
      <x:c r="C959" s="7" t="str">
        <x:v>Tigor</x:v>
      </x:c>
      <x:c r="D959" s="7" t="str">
        <x:v>XE</x:v>
      </x:c>
      <x:c r="E959" s="7" t="str">
        <x:v>Petrol</x:v>
      </x:c>
      <x:c r="F959" s="7" t="str">
        <x:v>Manual</x:v>
      </x:c>
      <x:c r="G959" s="7" t="str">
        <x:v>Sedan</x:v>
      </x:c>
      <x:c r="H959" s="7" t="n">
        <x:v>1199</x:v>
      </x:c>
      <x:c r="I959" s="7" t="n">
        <x:v>85</x:v>
      </x:c>
      <x:c r="J959" s="9" t="n">
        <x:v>20.3</x:v>
      </x:c>
      <x:c r="K959" s="9" t="n">
        <x:v>6.4</x:v>
      </x:c>
      <x:c r="L959" s="7" t="n">
        <x:v>2023</x:v>
      </x:c>
      <x:c r="M959" s="11" t="n">
        <x:v>64146</x:v>
      </x:c>
      <x:c r="N959" s="7" t="n">
        <x:v>2</x:v>
      </x:c>
      <x:c r="O959" s="7" t="n">
        <x:v>0</x:v>
      </x:c>
      <x:c r="P959" s="9" t="n">
        <x:v>3.86</x:v>
      </x:c>
      <x:c r="Q959" s="7" t="n">
        <x:f>'Guide'!$B$5-L959</x:f>
        <x:v>3</x:v>
      </x:c>
      <x:c r="R959" s="9" t="n">
        <x:f>K959-P959</x:f>
        <x:v>2.5400000000000005</x:v>
      </x:c>
      <x:c r="S959" s="10" t="n">
        <x:f>IF(K959&gt;0,R959/K959,"")</x:f>
        <x:v>0.39687500000000003</x:v>
      </x:c>
    </x:row>
    <x:row r="960">
      <x:c r="A960" s="7" t="n">
        <x:v>956</x:v>
      </x:c>
      <x:c r="B960" s="7" t="str">
        <x:v>Tata</x:v>
      </x:c>
      <x:c r="C960" s="7" t="str">
        <x:v>Tigor</x:v>
      </x:c>
      <x:c r="D960" s="7" t="str">
        <x:v>XE</x:v>
      </x:c>
      <x:c r="E960" s="7" t="str">
        <x:v>Petrol</x:v>
      </x:c>
      <x:c r="F960" s="7" t="str">
        <x:v>Manual</x:v>
      </x:c>
      <x:c r="G960" s="7" t="str">
        <x:v>Sedan</x:v>
      </x:c>
      <x:c r="H960" s="7" t="n">
        <x:v>1199</x:v>
      </x:c>
      <x:c r="I960" s="7" t="n">
        <x:v>85</x:v>
      </x:c>
      <x:c r="J960" s="9" t="n">
        <x:v>20.3</x:v>
      </x:c>
      <x:c r="K960" s="9" t="n">
        <x:v>6.4</x:v>
      </x:c>
      <x:c r="L960" s="7" t="n">
        <x:v>2026</x:v>
      </x:c>
      <x:c r="M960" s="11" t="n">
        <x:v>5235</x:v>
      </x:c>
      <x:c r="N960" s="7" t="n">
        <x:v>1</x:v>
      </x:c>
      <x:c r="O960" s="7" t="n">
        <x:v>0</x:v>
      </x:c>
      <x:c r="P960" s="9" t="n">
        <x:v>6.33</x:v>
      </x:c>
      <x:c r="Q960" s="7" t="n">
        <x:f>'Guide'!$B$5-L960</x:f>
        <x:v>0</x:v>
      </x:c>
      <x:c r="R960" s="9" t="n">
        <x:f>K960-P960</x:f>
        <x:v>0.07000000000000028</x:v>
      </x:c>
      <x:c r="S960" s="10" t="n">
        <x:f>IF(K960&gt;0,R960/K960,"")</x:f>
        <x:v>0.010937500000000044</x:v>
      </x:c>
    </x:row>
    <x:row r="961">
      <x:c r="A961" s="7" t="n">
        <x:v>957</x:v>
      </x:c>
      <x:c r="B961" s="7" t="str">
        <x:v>Tata</x:v>
      </x:c>
      <x:c r="C961" s="7" t="str">
        <x:v>Tigor</x:v>
      </x:c>
      <x:c r="D961" s="7" t="str">
        <x:v>XE</x:v>
      </x:c>
      <x:c r="E961" s="7" t="str">
        <x:v>Petrol</x:v>
      </x:c>
      <x:c r="F961" s="7" t="str">
        <x:v>Manual</x:v>
      </x:c>
      <x:c r="G961" s="7" t="str">
        <x:v>Sedan</x:v>
      </x:c>
      <x:c r="H961" s="7" t="n">
        <x:v>1199</x:v>
      </x:c>
      <x:c r="I961" s="7" t="n">
        <x:v>85</x:v>
      </x:c>
      <x:c r="J961" s="9" t="n">
        <x:v>20.3</x:v>
      </x:c>
      <x:c r="K961" s="9" t="n">
        <x:v>6.4</x:v>
      </x:c>
      <x:c r="L961" s="7" t="n">
        <x:v>2024</x:v>
      </x:c>
      <x:c r="M961" s="11" t="n">
        <x:v>33565</x:v>
      </x:c>
      <x:c r="N961" s="7" t="n">
        <x:v>1</x:v>
      </x:c>
      <x:c r="O961" s="7" t="n">
        <x:v>0</x:v>
      </x:c>
      <x:c r="P961" s="9" t="n">
        <x:v>5.26</x:v>
      </x:c>
      <x:c r="Q961" s="7" t="n">
        <x:f>'Guide'!$B$5-L961</x:f>
        <x:v>2</x:v>
      </x:c>
      <x:c r="R961" s="9" t="n">
        <x:f>K961-P961</x:f>
        <x:v>1.1400000000000006</x:v>
      </x:c>
      <x:c r="S961" s="10" t="n">
        <x:f>IF(K961&gt;0,R961/K961,"")</x:f>
        <x:v>0.1781250000000001</x:v>
      </x:c>
    </x:row>
    <x:row r="962">
      <x:c r="A962" s="7" t="n">
        <x:v>958</x:v>
      </x:c>
      <x:c r="B962" s="7" t="str">
        <x:v>Tata</x:v>
      </x:c>
      <x:c r="C962" s="7" t="str">
        <x:v>Tigor</x:v>
      </x:c>
      <x:c r="D962" s="7" t="str">
        <x:v>XE</x:v>
      </x:c>
      <x:c r="E962" s="7" t="str">
        <x:v>Petrol</x:v>
      </x:c>
      <x:c r="F962" s="7" t="str">
        <x:v>Manual</x:v>
      </x:c>
      <x:c r="G962" s="7" t="str">
        <x:v>Sedan</x:v>
      </x:c>
      <x:c r="H962" s="7" t="n">
        <x:v>1199</x:v>
      </x:c>
      <x:c r="I962" s="7" t="n">
        <x:v>85</x:v>
      </x:c>
      <x:c r="J962" s="9" t="n">
        <x:v>20.3</x:v>
      </x:c>
      <x:c r="K962" s="9" t="n">
        <x:v>6.4</x:v>
      </x:c>
      <x:c r="L962" s="7" t="n">
        <x:v>2023</x:v>
      </x:c>
      <x:c r="M962" s="11" t="n">
        <x:v>62474</x:v>
      </x:c>
      <x:c r="N962" s="7" t="n">
        <x:v>1</x:v>
      </x:c>
      <x:c r="O962" s="7" t="n">
        <x:v>1</x:v>
      </x:c>
      <x:c r="P962" s="9" t="n">
        <x:v>3.69</x:v>
      </x:c>
      <x:c r="Q962" s="7" t="n">
        <x:f>'Guide'!$B$5-L962</x:f>
        <x:v>3</x:v>
      </x:c>
      <x:c r="R962" s="9" t="n">
        <x:f>K962-P962</x:f>
        <x:v>2.7100000000000004</x:v>
      </x:c>
      <x:c r="S962" s="10" t="n">
        <x:f>IF(K962&gt;0,R962/K962,"")</x:f>
        <x:v>0.4234375</x:v>
      </x:c>
    </x:row>
    <x:row r="963">
      <x:c r="A963" s="7" t="n">
        <x:v>959</x:v>
      </x:c>
      <x:c r="B963" s="7" t="str">
        <x:v>Tata</x:v>
      </x:c>
      <x:c r="C963" s="7" t="str">
        <x:v>Tigor</x:v>
      </x:c>
      <x:c r="D963" s="7" t="str">
        <x:v>XE</x:v>
      </x:c>
      <x:c r="E963" s="7" t="str">
        <x:v>Petrol</x:v>
      </x:c>
      <x:c r="F963" s="7" t="str">
        <x:v>Manual</x:v>
      </x:c>
      <x:c r="G963" s="7" t="str">
        <x:v>Sedan</x:v>
      </x:c>
      <x:c r="H963" s="7" t="n">
        <x:v>1199</x:v>
      </x:c>
      <x:c r="I963" s="7" t="n">
        <x:v>85</x:v>
      </x:c>
      <x:c r="J963" s="9" t="n">
        <x:v>20.3</x:v>
      </x:c>
      <x:c r="K963" s="9" t="n">
        <x:v>6.4</x:v>
      </x:c>
      <x:c r="L963" s="7" t="n">
        <x:v>2025</x:v>
      </x:c>
      <x:c r="M963" s="11" t="n">
        <x:v>18928</x:v>
      </x:c>
      <x:c r="N963" s="7" t="n">
        <x:v>1</x:v>
      </x:c>
      <x:c r="O963" s="7" t="n">
        <x:v>0</x:v>
      </x:c>
      <x:c r="P963" s="9" t="n">
        <x:v>5.73</x:v>
      </x:c>
      <x:c r="Q963" s="7" t="n">
        <x:f>'Guide'!$B$5-L963</x:f>
        <x:v>1</x:v>
      </x:c>
      <x:c r="R963" s="9" t="n">
        <x:f>K963-P963</x:f>
        <x:v>0.6699999999999999</x:v>
      </x:c>
      <x:c r="S963" s="10" t="n">
        <x:f>IF(K963&gt;0,R963/K963,"")</x:f>
        <x:v>0.10468749999999999</x:v>
      </x:c>
    </x:row>
    <x:row r="964">
      <x:c r="A964" s="7" t="n">
        <x:v>960</x:v>
      </x:c>
      <x:c r="B964" s="7" t="str">
        <x:v>Tata</x:v>
      </x:c>
      <x:c r="C964" s="7" t="str">
        <x:v>Tigor</x:v>
      </x:c>
      <x:c r="D964" s="7" t="str">
        <x:v>XE</x:v>
      </x:c>
      <x:c r="E964" s="7" t="str">
        <x:v>Petrol</x:v>
      </x:c>
      <x:c r="F964" s="7" t="str">
        <x:v>Manual</x:v>
      </x:c>
      <x:c r="G964" s="7" t="str">
        <x:v>Sedan</x:v>
      </x:c>
      <x:c r="H964" s="7" t="n">
        <x:v>1199</x:v>
      </x:c>
      <x:c r="I964" s="7" t="n">
        <x:v>85</x:v>
      </x:c>
      <x:c r="J964" s="9" t="n">
        <x:v>20.3</x:v>
      </x:c>
      <x:c r="K964" s="9" t="n">
        <x:v>6.4</x:v>
      </x:c>
      <x:c r="L964" s="7" t="n">
        <x:v>2022</x:v>
      </x:c>
      <x:c r="M964" s="11" t="n">
        <x:v>69085</x:v>
      </x:c>
      <x:c r="N964" s="7" t="n">
        <x:v>2</x:v>
      </x:c>
      <x:c r="O964" s="7" t="n">
        <x:v>0</x:v>
      </x:c>
      <x:c r="P964" s="9" t="n">
        <x:v>3.57</x:v>
      </x:c>
      <x:c r="Q964" s="7" t="n">
        <x:f>'Guide'!$B$5-L964</x:f>
        <x:v>4</x:v>
      </x:c>
      <x:c r="R964" s="9" t="n">
        <x:f>K964-P964</x:f>
        <x:v>2.8300000000000005</x:v>
      </x:c>
      <x:c r="S964" s="10" t="n">
        <x:f>IF(K964&gt;0,R964/K964,"")</x:f>
        <x:v>0.44218750000000007</x:v>
      </x:c>
    </x:row>
    <x:row r="965">
      <x:c r="A965" s="7" t="n">
        <x:v>961</x:v>
      </x:c>
      <x:c r="B965" s="7" t="str">
        <x:v>Tata</x:v>
      </x:c>
      <x:c r="C965" s="7" t="str">
        <x:v>Tigor</x:v>
      </x:c>
      <x:c r="D965" s="7" t="str">
        <x:v>XE</x:v>
      </x:c>
      <x:c r="E965" s="7" t="str">
        <x:v>Petrol</x:v>
      </x:c>
      <x:c r="F965" s="7" t="str">
        <x:v>Manual</x:v>
      </x:c>
      <x:c r="G965" s="7" t="str">
        <x:v>Sedan</x:v>
      </x:c>
      <x:c r="H965" s="7" t="n">
        <x:v>1199</x:v>
      </x:c>
      <x:c r="I965" s="7" t="n">
        <x:v>85</x:v>
      </x:c>
      <x:c r="J965" s="9" t="n">
        <x:v>20.3</x:v>
      </x:c>
      <x:c r="K965" s="9" t="n">
        <x:v>6.4</x:v>
      </x:c>
      <x:c r="L965" s="7" t="n">
        <x:v>2022</x:v>
      </x:c>
      <x:c r="M965" s="11" t="n">
        <x:v>56634</x:v>
      </x:c>
      <x:c r="N965" s="7" t="n">
        <x:v>1</x:v>
      </x:c>
      <x:c r="O965" s="7" t="n">
        <x:v>0</x:v>
      </x:c>
      <x:c r="P965" s="9" t="n">
        <x:v>3.77</x:v>
      </x:c>
      <x:c r="Q965" s="7" t="n">
        <x:f>'Guide'!$B$5-L965</x:f>
        <x:v>4</x:v>
      </x:c>
      <x:c r="R965" s="9" t="n">
        <x:f>K965-P965</x:f>
        <x:v>2.6300000000000003</x:v>
      </x:c>
      <x:c r="S965" s="10" t="n">
        <x:f>IF(K965&gt;0,R965/K965,"")</x:f>
        <x:v>0.4109375</x:v>
      </x:c>
    </x:row>
    <x:row r="966">
      <x:c r="A966" s="7" t="n">
        <x:v>962</x:v>
      </x:c>
      <x:c r="B966" s="7" t="str">
        <x:v>Tata</x:v>
      </x:c>
      <x:c r="C966" s="7" t="str">
        <x:v>Tigor</x:v>
      </x:c>
      <x:c r="D966" s="7" t="str">
        <x:v>XE</x:v>
      </x:c>
      <x:c r="E966" s="7" t="str">
        <x:v>Petrol</x:v>
      </x:c>
      <x:c r="F966" s="7" t="str">
        <x:v>Manual</x:v>
      </x:c>
      <x:c r="G966" s="7" t="str">
        <x:v>Sedan</x:v>
      </x:c>
      <x:c r="H966" s="7" t="n">
        <x:v>1199</x:v>
      </x:c>
      <x:c r="I966" s="7" t="n">
        <x:v>85</x:v>
      </x:c>
      <x:c r="J966" s="9" t="n">
        <x:v>20.3</x:v>
      </x:c>
      <x:c r="K966" s="9" t="n">
        <x:v>6.4</x:v>
      </x:c>
      <x:c r="L966" s="7" t="n">
        <x:v>2026</x:v>
      </x:c>
      <x:c r="M966" s="11" t="n">
        <x:v>7355</x:v>
      </x:c>
      <x:c r="N966" s="7" t="n">
        <x:v>1</x:v>
      </x:c>
      <x:c r="O966" s="7" t="n">
        <x:v>0</x:v>
      </x:c>
      <x:c r="P966" s="9" t="n">
        <x:v>6.38</x:v>
      </x:c>
      <x:c r="Q966" s="7" t="n">
        <x:f>'Guide'!$B$5-L966</x:f>
        <x:v>0</x:v>
      </x:c>
      <x:c r="R966" s="9" t="n">
        <x:f>K966-P966</x:f>
        <x:v>0.020000000000000462</x:v>
      </x:c>
      <x:c r="S966" s="10" t="n">
        <x:f>IF(K966&gt;0,R966/K966,"")</x:f>
        <x:v>0.003125000000000072</x:v>
      </x:c>
    </x:row>
    <x:row r="967">
      <x:c r="A967" s="7" t="n">
        <x:v>963</x:v>
      </x:c>
      <x:c r="B967" s="7" t="str">
        <x:v>Tata</x:v>
      </x:c>
      <x:c r="C967" s="7" t="str">
        <x:v>Tigor</x:v>
      </x:c>
      <x:c r="D967" s="7" t="str">
        <x:v>XE</x:v>
      </x:c>
      <x:c r="E967" s="7" t="str">
        <x:v>Petrol</x:v>
      </x:c>
      <x:c r="F967" s="7" t="str">
        <x:v>Manual</x:v>
      </x:c>
      <x:c r="G967" s="7" t="str">
        <x:v>Sedan</x:v>
      </x:c>
      <x:c r="H967" s="7" t="n">
        <x:v>1199</x:v>
      </x:c>
      <x:c r="I967" s="7" t="n">
        <x:v>85</x:v>
      </x:c>
      <x:c r="J967" s="9" t="n">
        <x:v>20.3</x:v>
      </x:c>
      <x:c r="K967" s="9" t="n">
        <x:v>6.4</x:v>
      </x:c>
      <x:c r="L967" s="7" t="n">
        <x:v>2026</x:v>
      </x:c>
      <x:c r="M967" s="11" t="n">
        <x:v>9705</x:v>
      </x:c>
      <x:c r="N967" s="7" t="n">
        <x:v>3</x:v>
      </x:c>
      <x:c r="O967" s="7" t="n">
        <x:v>0</x:v>
      </x:c>
      <x:c r="P967" s="9" t="n">
        <x:v>5.65</x:v>
      </x:c>
      <x:c r="Q967" s="7" t="n">
        <x:f>'Guide'!$B$5-L967</x:f>
        <x:v>0</x:v>
      </x:c>
      <x:c r="R967" s="9" t="n">
        <x:f>K967-P967</x:f>
        <x:v>0.75</x:v>
      </x:c>
      <x:c r="S967" s="10" t="n">
        <x:f>IF(K967&gt;0,R967/K967,"")</x:f>
        <x:v>0.1171875</x:v>
      </x:c>
    </x:row>
    <x:row r="968">
      <x:c r="A968" s="7" t="n">
        <x:v>964</x:v>
      </x:c>
      <x:c r="B968" s="7" t="str">
        <x:v>Tata</x:v>
      </x:c>
      <x:c r="C968" s="7" t="str">
        <x:v>Tigor</x:v>
      </x:c>
      <x:c r="D968" s="7" t="str">
        <x:v>XE</x:v>
      </x:c>
      <x:c r="E968" s="7" t="str">
        <x:v>Petrol</x:v>
      </x:c>
      <x:c r="F968" s="7" t="str">
        <x:v>Manual</x:v>
      </x:c>
      <x:c r="G968" s="7" t="str">
        <x:v>Sedan</x:v>
      </x:c>
      <x:c r="H968" s="7" t="n">
        <x:v>1199</x:v>
      </x:c>
      <x:c r="I968" s="7" t="n">
        <x:v>85</x:v>
      </x:c>
      <x:c r="J968" s="9" t="n">
        <x:v>20.3</x:v>
      </x:c>
      <x:c r="K968" s="9" t="n">
        <x:v>6.4</x:v>
      </x:c>
      <x:c r="L968" s="7" t="n">
        <x:v>2026</x:v>
      </x:c>
      <x:c r="M968" s="11" t="n">
        <x:v>7152</x:v>
      </x:c>
      <x:c r="N968" s="7" t="n">
        <x:v>1</x:v>
      </x:c>
      <x:c r="O968" s="7" t="n">
        <x:v>1</x:v>
      </x:c>
      <x:c r="P968" s="9" t="n">
        <x:v>5.69</x:v>
      </x:c>
      <x:c r="Q968" s="7" t="n">
        <x:f>'Guide'!$B$5-L968</x:f>
        <x:v>0</x:v>
      </x:c>
      <x:c r="R968" s="9" t="n">
        <x:f>K968-P968</x:f>
        <x:v>0.71</x:v>
      </x:c>
      <x:c r="S968" s="10" t="n">
        <x:f>IF(K968&gt;0,R968/K968,"")</x:f>
        <x:v>0.1109375</x:v>
      </x:c>
    </x:row>
    <x:row r="969">
      <x:c r="A969" s="7" t="n">
        <x:v>965</x:v>
      </x:c>
      <x:c r="B969" s="7" t="str">
        <x:v>Tata</x:v>
      </x:c>
      <x:c r="C969" s="7" t="str">
        <x:v>Tigor</x:v>
      </x:c>
      <x:c r="D969" s="7" t="str">
        <x:v>XE</x:v>
      </x:c>
      <x:c r="E969" s="7" t="str">
        <x:v>Petrol</x:v>
      </x:c>
      <x:c r="F969" s="7" t="str">
        <x:v>Manual</x:v>
      </x:c>
      <x:c r="G969" s="7" t="str">
        <x:v>Sedan</x:v>
      </x:c>
      <x:c r="H969" s="7" t="n">
        <x:v>1199</x:v>
      </x:c>
      <x:c r="I969" s="7" t="n">
        <x:v>85</x:v>
      </x:c>
      <x:c r="J969" s="9" t="n">
        <x:v>20.3</x:v>
      </x:c>
      <x:c r="K969" s="9" t="n">
        <x:v>6.4</x:v>
      </x:c>
      <x:c r="L969" s="7" t="n">
        <x:v>2024</x:v>
      </x:c>
      <x:c r="M969" s="11" t="n">
        <x:v>47442</x:v>
      </x:c>
      <x:c r="N969" s="7" t="n">
        <x:v>1</x:v>
      </x:c>
      <x:c r="O969" s="7" t="n">
        <x:v>0</x:v>
      </x:c>
      <x:c r="P969" s="9" t="n">
        <x:v>5.12</x:v>
      </x:c>
      <x:c r="Q969" s="7" t="n">
        <x:f>'Guide'!$B$5-L969</x:f>
        <x:v>2</x:v>
      </x:c>
      <x:c r="R969" s="9" t="n">
        <x:f>K969-P969</x:f>
        <x:v>1.2800000000000002</x:v>
      </x:c>
      <x:c r="S969" s="10" t="n">
        <x:f>IF(K969&gt;0,R969/K969,"")</x:f>
        <x:v>0.20000000000000004</x:v>
      </x:c>
    </x:row>
    <x:row r="970">
      <x:c r="A970" s="7" t="n">
        <x:v>966</x:v>
      </x:c>
      <x:c r="B970" s="7" t="str">
        <x:v>Tata</x:v>
      </x:c>
      <x:c r="C970" s="7" t="str">
        <x:v>Tigor</x:v>
      </x:c>
      <x:c r="D970" s="7" t="str">
        <x:v>XE</x:v>
      </x:c>
      <x:c r="E970" s="7" t="str">
        <x:v>Petrol</x:v>
      </x:c>
      <x:c r="F970" s="7" t="str">
        <x:v>Manual</x:v>
      </x:c>
      <x:c r="G970" s="7" t="str">
        <x:v>Sedan</x:v>
      </x:c>
      <x:c r="H970" s="7" t="n">
        <x:v>1199</x:v>
      </x:c>
      <x:c r="I970" s="7" t="n">
        <x:v>85</x:v>
      </x:c>
      <x:c r="J970" s="9" t="n">
        <x:v>20.3</x:v>
      </x:c>
      <x:c r="K970" s="9" t="n">
        <x:v>6.4</x:v>
      </x:c>
      <x:c r="L970" s="7" t="n">
        <x:v>2024</x:v>
      </x:c>
      <x:c r="M970" s="11" t="n">
        <x:v>31615</x:v>
      </x:c>
      <x:c r="N970" s="7" t="n">
        <x:v>1</x:v>
      </x:c>
      <x:c r="O970" s="7" t="n">
        <x:v>0</x:v>
      </x:c>
      <x:c r="P970" s="9" t="n">
        <x:v>5.03</x:v>
      </x:c>
      <x:c r="Q970" s="7" t="n">
        <x:f>'Guide'!$B$5-L970</x:f>
        <x:v>2</x:v>
      </x:c>
      <x:c r="R970" s="9" t="n">
        <x:f>K970-P970</x:f>
        <x:v>1.37</x:v>
      </x:c>
      <x:c r="S970" s="10" t="n">
        <x:f>IF(K970&gt;0,R970/K970,"")</x:f>
        <x:v>0.21406250000000002</x:v>
      </x:c>
    </x:row>
    <x:row r="971">
      <x:c r="A971" s="7" t="n">
        <x:v>967</x:v>
      </x:c>
      <x:c r="B971" s="7" t="str">
        <x:v>Tata</x:v>
      </x:c>
      <x:c r="C971" s="7" t="str">
        <x:v>Tigor</x:v>
      </x:c>
      <x:c r="D971" s="7" t="str">
        <x:v>XE</x:v>
      </x:c>
      <x:c r="E971" s="7" t="str">
        <x:v>Petrol</x:v>
      </x:c>
      <x:c r="F971" s="7" t="str">
        <x:v>Manual</x:v>
      </x:c>
      <x:c r="G971" s="7" t="str">
        <x:v>Sedan</x:v>
      </x:c>
      <x:c r="H971" s="7" t="n">
        <x:v>1199</x:v>
      </x:c>
      <x:c r="I971" s="7" t="n">
        <x:v>85</x:v>
      </x:c>
      <x:c r="J971" s="9" t="n">
        <x:v>20.3</x:v>
      </x:c>
      <x:c r="K971" s="9" t="n">
        <x:v>6.4</x:v>
      </x:c>
      <x:c r="L971" s="7" t="n">
        <x:v>2026</x:v>
      </x:c>
      <x:c r="M971" s="11" t="n">
        <x:v>7173</x:v>
      </x:c>
      <x:c r="N971" s="7" t="n">
        <x:v>1</x:v>
      </x:c>
      <x:c r="O971" s="7" t="n">
        <x:v>0</x:v>
      </x:c>
      <x:c r="P971" s="9" t="n">
        <x:v>6.37</x:v>
      </x:c>
      <x:c r="Q971" s="7" t="n">
        <x:f>'Guide'!$B$5-L971</x:f>
        <x:v>0</x:v>
      </x:c>
      <x:c r="R971" s="9" t="n">
        <x:f>K971-P971</x:f>
        <x:v>0.03000000000000025</x:v>
      </x:c>
      <x:c r="S971" s="10" t="n">
        <x:f>IF(K971&gt;0,R971/K971,"")</x:f>
        <x:v>0.004687500000000039</x:v>
      </x:c>
    </x:row>
    <x:row r="972">
      <x:c r="A972" s="7" t="n">
        <x:v>968</x:v>
      </x:c>
      <x:c r="B972" s="7" t="str">
        <x:v>Tata</x:v>
      </x:c>
      <x:c r="C972" s="7" t="str">
        <x:v>Tigor</x:v>
      </x:c>
      <x:c r="D972" s="7" t="str">
        <x:v>XE</x:v>
      </x:c>
      <x:c r="E972" s="7" t="str">
        <x:v>Petrol</x:v>
      </x:c>
      <x:c r="F972" s="7" t="str">
        <x:v>Manual</x:v>
      </x:c>
      <x:c r="G972" s="7" t="str">
        <x:v>Sedan</x:v>
      </x:c>
      <x:c r="H972" s="7" t="n">
        <x:v>1199</x:v>
      </x:c>
      <x:c r="I972" s="7" t="n">
        <x:v>85</x:v>
      </x:c>
      <x:c r="J972" s="9" t="n">
        <x:v>20.3</x:v>
      </x:c>
      <x:c r="K972" s="9" t="n">
        <x:v>6.4</x:v>
      </x:c>
      <x:c r="L972" s="7" t="n">
        <x:v>2025</x:v>
      </x:c>
      <x:c r="M972" s="11" t="n">
        <x:v>20449</x:v>
      </x:c>
      <x:c r="N972" s="7" t="n">
        <x:v>1</x:v>
      </x:c>
      <x:c r="O972" s="7" t="n">
        <x:v>0</x:v>
      </x:c>
      <x:c r="P972" s="9" t="n">
        <x:v>5.6</x:v>
      </x:c>
      <x:c r="Q972" s="7" t="n">
        <x:f>'Guide'!$B$5-L972</x:f>
        <x:v>1</x:v>
      </x:c>
      <x:c r="R972" s="9" t="n">
        <x:f>K972-P972</x:f>
        <x:v>0.8000000000000007</x:v>
      </x:c>
      <x:c r="S972" s="10" t="n">
        <x:f>IF(K972&gt;0,R972/K972,"")</x:f>
        <x:v>0.1250000000000001</x:v>
      </x:c>
    </x:row>
    <x:row r="973">
      <x:c r="A973" s="7" t="n">
        <x:v>969</x:v>
      </x:c>
      <x:c r="B973" s="7" t="str">
        <x:v>Tata</x:v>
      </x:c>
      <x:c r="C973" s="7" t="str">
        <x:v>Tigor</x:v>
      </x:c>
      <x:c r="D973" s="7" t="str">
        <x:v>XE</x:v>
      </x:c>
      <x:c r="E973" s="7" t="str">
        <x:v>Petrol</x:v>
      </x:c>
      <x:c r="F973" s="7" t="str">
        <x:v>Manual</x:v>
      </x:c>
      <x:c r="G973" s="7" t="str">
        <x:v>Sedan</x:v>
      </x:c>
      <x:c r="H973" s="7" t="n">
        <x:v>1199</x:v>
      </x:c>
      <x:c r="I973" s="7" t="n">
        <x:v>85</x:v>
      </x:c>
      <x:c r="J973" s="9" t="n">
        <x:v>20.3</x:v>
      </x:c>
      <x:c r="K973" s="9" t="n">
        <x:v>6.4</x:v>
      </x:c>
      <x:c r="L973" s="7" t="n">
        <x:v>2025</x:v>
      </x:c>
      <x:c r="M973" s="11" t="n">
        <x:v>27676</x:v>
      </x:c>
      <x:c r="N973" s="7" t="n">
        <x:v>1</x:v>
      </x:c>
      <x:c r="O973" s="7" t="n">
        <x:v>0</x:v>
      </x:c>
      <x:c r="P973" s="9" t="n">
        <x:v>5.97</x:v>
      </x:c>
      <x:c r="Q973" s="7" t="n">
        <x:f>'Guide'!$B$5-L973</x:f>
        <x:v>1</x:v>
      </x:c>
      <x:c r="R973" s="9" t="n">
        <x:f>K973-P973</x:f>
        <x:v>0.4300000000000006</x:v>
      </x:c>
      <x:c r="S973" s="10" t="n">
        <x:f>IF(K973&gt;0,R973/K973,"")</x:f>
        <x:v>0.0671875000000001</x:v>
      </x:c>
    </x:row>
    <x:row r="974">
      <x:c r="A974" s="7" t="n">
        <x:v>970</x:v>
      </x:c>
      <x:c r="B974" s="7" t="str">
        <x:v>Tata</x:v>
      </x:c>
      <x:c r="C974" s="7" t="str">
        <x:v>Tigor</x:v>
      </x:c>
      <x:c r="D974" s="7" t="str">
        <x:v>XE</x:v>
      </x:c>
      <x:c r="E974" s="7" t="str">
        <x:v>Petrol</x:v>
      </x:c>
      <x:c r="F974" s="7" t="str">
        <x:v>Manual</x:v>
      </x:c>
      <x:c r="G974" s="7" t="str">
        <x:v>Sedan</x:v>
      </x:c>
      <x:c r="H974" s="7" t="n">
        <x:v>1199</x:v>
      </x:c>
      <x:c r="I974" s="7" t="n">
        <x:v>85</x:v>
      </x:c>
      <x:c r="J974" s="9" t="n">
        <x:v>20.3</x:v>
      </x:c>
      <x:c r="K974" s="9" t="n">
        <x:v>6.4</x:v>
      </x:c>
      <x:c r="L974" s="7" t="n">
        <x:v>2023</x:v>
      </x:c>
      <x:c r="M974" s="11" t="n">
        <x:v>32181</x:v>
      </x:c>
      <x:c r="N974" s="7" t="n">
        <x:v>1</x:v>
      </x:c>
      <x:c r="O974" s="7" t="n">
        <x:v>0</x:v>
      </x:c>
      <x:c r="P974" s="9" t="n">
        <x:v>4.35</x:v>
      </x:c>
      <x:c r="Q974" s="7" t="n">
        <x:f>'Guide'!$B$5-L974</x:f>
        <x:v>3</x:v>
      </x:c>
      <x:c r="R974" s="9" t="n">
        <x:f>K974-P974</x:f>
        <x:v>2.0500000000000007</x:v>
      </x:c>
      <x:c r="S974" s="10" t="n">
        <x:f>IF(K974&gt;0,R974/K974,"")</x:f>
        <x:v>0.3203125000000001</x:v>
      </x:c>
    </x:row>
    <x:row r="975">
      <x:c r="A975" s="7" t="n">
        <x:v>971</x:v>
      </x:c>
      <x:c r="B975" s="7" t="str">
        <x:v>Tata</x:v>
      </x:c>
      <x:c r="C975" s="7" t="str">
        <x:v>Tigor</x:v>
      </x:c>
      <x:c r="D975" s="7" t="str">
        <x:v>XE</x:v>
      </x:c>
      <x:c r="E975" s="7" t="str">
        <x:v>Petrol</x:v>
      </x:c>
      <x:c r="F975" s="7" t="str">
        <x:v>Manual</x:v>
      </x:c>
      <x:c r="G975" s="7" t="str">
        <x:v>Sedan</x:v>
      </x:c>
      <x:c r="H975" s="7" t="n">
        <x:v>1199</x:v>
      </x:c>
      <x:c r="I975" s="7" t="n">
        <x:v>85</x:v>
      </x:c>
      <x:c r="J975" s="9" t="n">
        <x:v>20.3</x:v>
      </x:c>
      <x:c r="K975" s="9" t="n">
        <x:v>6.4</x:v>
      </x:c>
      <x:c r="L975" s="7" t="n">
        <x:v>2021</x:v>
      </x:c>
      <x:c r="M975" s="11" t="n">
        <x:v>94932</x:v>
      </x:c>
      <x:c r="N975" s="7" t="n">
        <x:v>1</x:v>
      </x:c>
      <x:c r="O975" s="7" t="n">
        <x:v>0</x:v>
      </x:c>
      <x:c r="P975" s="9" t="n">
        <x:v>3.19</x:v>
      </x:c>
      <x:c r="Q975" s="7" t="n">
        <x:f>'Guide'!$B$5-L975</x:f>
        <x:v>5</x:v>
      </x:c>
      <x:c r="R975" s="9" t="n">
        <x:f>K975-P975</x:f>
        <x:v>3.2100000000000004</x:v>
      </x:c>
      <x:c r="S975" s="10" t="n">
        <x:f>IF(K975&gt;0,R975/K975,"")</x:f>
        <x:v>0.5015625</x:v>
      </x:c>
    </x:row>
    <x:row r="976">
      <x:c r="A976" s="7" t="n">
        <x:v>972</x:v>
      </x:c>
      <x:c r="B976" s="7" t="str">
        <x:v>Tata</x:v>
      </x:c>
      <x:c r="C976" s="7" t="str">
        <x:v>Tigor</x:v>
      </x:c>
      <x:c r="D976" s="7" t="str">
        <x:v>XE</x:v>
      </x:c>
      <x:c r="E976" s="7" t="str">
        <x:v>Petrol</x:v>
      </x:c>
      <x:c r="F976" s="7" t="str">
        <x:v>Manual</x:v>
      </x:c>
      <x:c r="G976" s="7" t="str">
        <x:v>Sedan</x:v>
      </x:c>
      <x:c r="H976" s="7" t="n">
        <x:v>1199</x:v>
      </x:c>
      <x:c r="I976" s="7" t="n">
        <x:v>85</x:v>
      </x:c>
      <x:c r="J976" s="9" t="n">
        <x:v>20.3</x:v>
      </x:c>
      <x:c r="K976" s="9" t="n">
        <x:v>6.4</x:v>
      </x:c>
      <x:c r="L976" s="7" t="n">
        <x:v>2025</x:v>
      </x:c>
      <x:c r="M976" s="11" t="n">
        <x:v>26417</x:v>
      </x:c>
      <x:c r="N976" s="7" t="n">
        <x:v>1</x:v>
      </x:c>
      <x:c r="O976" s="7" t="n">
        <x:v>0</x:v>
      </x:c>
      <x:c r="P976" s="9" t="n">
        <x:v>6.05</x:v>
      </x:c>
      <x:c r="Q976" s="7" t="n">
        <x:f>'Guide'!$B$5-L976</x:f>
        <x:v>1</x:v>
      </x:c>
      <x:c r="R976" s="9" t="n">
        <x:f>K976-P976</x:f>
        <x:v>0.35000000000000053</x:v>
      </x:c>
      <x:c r="S976" s="10" t="n">
        <x:f>IF(K976&gt;0,R976/K976,"")</x:f>
        <x:v>0.05468750000000008</x:v>
      </x:c>
    </x:row>
    <x:row r="977">
      <x:c r="A977" s="7" t="n">
        <x:v>973</x:v>
      </x:c>
      <x:c r="B977" s="7" t="str">
        <x:v>Tata</x:v>
      </x:c>
      <x:c r="C977" s="7" t="str">
        <x:v>Tigor</x:v>
      </x:c>
      <x:c r="D977" s="7" t="str">
        <x:v>XE</x:v>
      </x:c>
      <x:c r="E977" s="7" t="str">
        <x:v>Petrol</x:v>
      </x:c>
      <x:c r="F977" s="7" t="str">
        <x:v>Manual</x:v>
      </x:c>
      <x:c r="G977" s="7" t="str">
        <x:v>Sedan</x:v>
      </x:c>
      <x:c r="H977" s="7" t="n">
        <x:v>1199</x:v>
      </x:c>
      <x:c r="I977" s="7" t="n">
        <x:v>85</x:v>
      </x:c>
      <x:c r="J977" s="9" t="n">
        <x:v>20.3</x:v>
      </x:c>
      <x:c r="K977" s="9" t="n">
        <x:v>6.4</x:v>
      </x:c>
      <x:c r="L977" s="7" t="n">
        <x:v>2021</x:v>
      </x:c>
      <x:c r="M977" s="11" t="n">
        <x:v>71948</x:v>
      </x:c>
      <x:c r="N977" s="7" t="n">
        <x:v>1</x:v>
      </x:c>
      <x:c r="O977" s="7" t="n">
        <x:v>0</x:v>
      </x:c>
      <x:c r="P977" s="9" t="n">
        <x:v>3.59</x:v>
      </x:c>
      <x:c r="Q977" s="7" t="n">
        <x:f>'Guide'!$B$5-L977</x:f>
        <x:v>5</x:v>
      </x:c>
      <x:c r="R977" s="9" t="n">
        <x:f>K977-P977</x:f>
        <x:v>2.8100000000000005</x:v>
      </x:c>
      <x:c r="S977" s="10" t="n">
        <x:f>IF(K977&gt;0,R977/K977,"")</x:f>
        <x:v>0.4390625000000001</x:v>
      </x:c>
    </x:row>
    <x:row r="978">
      <x:c r="A978" s="7" t="n">
        <x:v>974</x:v>
      </x:c>
      <x:c r="B978" s="7" t="str">
        <x:v>Tata</x:v>
      </x:c>
      <x:c r="C978" s="7" t="str">
        <x:v>Tigor</x:v>
      </x:c>
      <x:c r="D978" s="7" t="str">
        <x:v>XE</x:v>
      </x:c>
      <x:c r="E978" s="7" t="str">
        <x:v>Petrol</x:v>
      </x:c>
      <x:c r="F978" s="7" t="str">
        <x:v>Manual</x:v>
      </x:c>
      <x:c r="G978" s="7" t="str">
        <x:v>Sedan</x:v>
      </x:c>
      <x:c r="H978" s="7" t="n">
        <x:v>1199</x:v>
      </x:c>
      <x:c r="I978" s="7" t="n">
        <x:v>85</x:v>
      </x:c>
      <x:c r="J978" s="9" t="n">
        <x:v>20.3</x:v>
      </x:c>
      <x:c r="K978" s="9" t="n">
        <x:v>6.4</x:v>
      </x:c>
      <x:c r="L978" s="7" t="n">
        <x:v>2021</x:v>
      </x:c>
      <x:c r="M978" s="11" t="n">
        <x:v>77135</x:v>
      </x:c>
      <x:c r="N978" s="7" t="n">
        <x:v>1</x:v>
      </x:c>
      <x:c r="O978" s="7" t="n">
        <x:v>0</x:v>
      </x:c>
      <x:c r="P978" s="9" t="n">
        <x:v>3.46</x:v>
      </x:c>
      <x:c r="Q978" s="7" t="n">
        <x:f>'Guide'!$B$5-L978</x:f>
        <x:v>5</x:v>
      </x:c>
      <x:c r="R978" s="9" t="n">
        <x:f>K978-P978</x:f>
        <x:v>2.9400000000000004</x:v>
      </x:c>
      <x:c r="S978" s="10" t="n">
        <x:f>IF(K978&gt;0,R978/K978,"")</x:f>
        <x:v>0.45937500000000003</x:v>
      </x:c>
    </x:row>
    <x:row r="979">
      <x:c r="A979" s="7" t="n">
        <x:v>975</x:v>
      </x:c>
      <x:c r="B979" s="7" t="str">
        <x:v>Tata</x:v>
      </x:c>
      <x:c r="C979" s="7" t="str">
        <x:v>Tigor</x:v>
      </x:c>
      <x:c r="D979" s="7" t="str">
        <x:v>XE</x:v>
      </x:c>
      <x:c r="E979" s="7" t="str">
        <x:v>Petrol</x:v>
      </x:c>
      <x:c r="F979" s="7" t="str">
        <x:v>Manual</x:v>
      </x:c>
      <x:c r="G979" s="7" t="str">
        <x:v>Sedan</x:v>
      </x:c>
      <x:c r="H979" s="7" t="n">
        <x:v>1199</x:v>
      </x:c>
      <x:c r="I979" s="7" t="n">
        <x:v>85</x:v>
      </x:c>
      <x:c r="J979" s="9" t="n">
        <x:v>20.3</x:v>
      </x:c>
      <x:c r="K979" s="9" t="n">
        <x:v>6.4</x:v>
      </x:c>
      <x:c r="L979" s="7" t="n">
        <x:v>2024</x:v>
      </x:c>
      <x:c r="M979" s="11" t="n">
        <x:v>20131</x:v>
      </x:c>
      <x:c r="N979" s="7" t="n">
        <x:v>2</x:v>
      </x:c>
      <x:c r="O979" s="7" t="n">
        <x:v>0</x:v>
      </x:c>
      <x:c r="P979" s="9" t="n">
        <x:v>4.99</x:v>
      </x:c>
      <x:c r="Q979" s="7" t="n">
        <x:f>'Guide'!$B$5-L979</x:f>
        <x:v>2</x:v>
      </x:c>
      <x:c r="R979" s="9" t="n">
        <x:f>K979-P979</x:f>
        <x:v>1.4100000000000001</x:v>
      </x:c>
      <x:c r="S979" s="10" t="n">
        <x:f>IF(K979&gt;0,R979/K979,"")</x:f>
        <x:v>0.22031250000000002</x:v>
      </x:c>
    </x:row>
    <x:row r="980">
      <x:c r="A980" s="7" t="n">
        <x:v>976</x:v>
      </x:c>
      <x:c r="B980" s="7" t="str">
        <x:v>Tata</x:v>
      </x:c>
      <x:c r="C980" s="7" t="str">
        <x:v>Tigor</x:v>
      </x:c>
      <x:c r="D980" s="7" t="str">
        <x:v>XE</x:v>
      </x:c>
      <x:c r="E980" s="7" t="str">
        <x:v>Petrol</x:v>
      </x:c>
      <x:c r="F980" s="7" t="str">
        <x:v>Manual</x:v>
      </x:c>
      <x:c r="G980" s="7" t="str">
        <x:v>Sedan</x:v>
      </x:c>
      <x:c r="H980" s="7" t="n">
        <x:v>1199</x:v>
      </x:c>
      <x:c r="I980" s="7" t="n">
        <x:v>85</x:v>
      </x:c>
      <x:c r="J980" s="9" t="n">
        <x:v>20.3</x:v>
      </x:c>
      <x:c r="K980" s="9" t="n">
        <x:v>6.4</x:v>
      </x:c>
      <x:c r="L980" s="7" t="n">
        <x:v>2021</x:v>
      </x:c>
      <x:c r="M980" s="11" t="n">
        <x:v>57835</x:v>
      </x:c>
      <x:c r="N980" s="7" t="n">
        <x:v>1</x:v>
      </x:c>
      <x:c r="O980" s="7" t="n">
        <x:v>0</x:v>
      </x:c>
      <x:c r="P980" s="9" t="n">
        <x:v>3.26</x:v>
      </x:c>
      <x:c r="Q980" s="7" t="n">
        <x:f>'Guide'!$B$5-L980</x:f>
        <x:v>5</x:v>
      </x:c>
      <x:c r="R980" s="9" t="n">
        <x:f>K980-P980</x:f>
        <x:v>3.1400000000000006</x:v>
      </x:c>
      <x:c r="S980" s="10" t="n">
        <x:f>IF(K980&gt;0,R980/K980,"")</x:f>
        <x:v>0.4906250000000001</x:v>
      </x:c>
    </x:row>
    <x:row r="981">
      <x:c r="A981" s="7" t="n">
        <x:v>977</x:v>
      </x:c>
      <x:c r="B981" s="7" t="str">
        <x:v>Tata</x:v>
      </x:c>
      <x:c r="C981" s="7" t="str">
        <x:v>Tigor</x:v>
      </x:c>
      <x:c r="D981" s="7" t="str">
        <x:v>XE</x:v>
      </x:c>
      <x:c r="E981" s="7" t="str">
        <x:v>Petrol</x:v>
      </x:c>
      <x:c r="F981" s="7" t="str">
        <x:v>Manual</x:v>
      </x:c>
      <x:c r="G981" s="7" t="str">
        <x:v>Sedan</x:v>
      </x:c>
      <x:c r="H981" s="7" t="n">
        <x:v>1199</x:v>
      </x:c>
      <x:c r="I981" s="7" t="n">
        <x:v>85</x:v>
      </x:c>
      <x:c r="J981" s="9" t="n">
        <x:v>20.3</x:v>
      </x:c>
      <x:c r="K981" s="9" t="n">
        <x:v>6.4</x:v>
      </x:c>
      <x:c r="L981" s="7" t="n">
        <x:v>2024</x:v>
      </x:c>
      <x:c r="M981" s="11" t="n">
        <x:v>34052</x:v>
      </x:c>
      <x:c r="N981" s="7" t="n">
        <x:v>2</x:v>
      </x:c>
      <x:c r="O981" s="7" t="n">
        <x:v>0</x:v>
      </x:c>
      <x:c r="P981" s="9" t="n">
        <x:v>4.83</x:v>
      </x:c>
      <x:c r="Q981" s="7" t="n">
        <x:f>'Guide'!$B$5-L981</x:f>
        <x:v>2</x:v>
      </x:c>
      <x:c r="R981" s="9" t="n">
        <x:f>K981-P981</x:f>
        <x:v>1.5700000000000003</x:v>
      </x:c>
      <x:c r="S981" s="10" t="n">
        <x:f>IF(K981&gt;0,R981/K981,"")</x:f>
        <x:v>0.24531250000000004</x:v>
      </x:c>
    </x:row>
    <x:row r="982">
      <x:c r="A982" s="7" t="n">
        <x:v>978</x:v>
      </x:c>
      <x:c r="B982" s="7" t="str">
        <x:v>Tata</x:v>
      </x:c>
      <x:c r="C982" s="7" t="str">
        <x:v>Tigor</x:v>
      </x:c>
      <x:c r="D982" s="7" t="str">
        <x:v>XE</x:v>
      </x:c>
      <x:c r="E982" s="7" t="str">
        <x:v>Petrol</x:v>
      </x:c>
      <x:c r="F982" s="7" t="str">
        <x:v>Manual</x:v>
      </x:c>
      <x:c r="G982" s="7" t="str">
        <x:v>Sedan</x:v>
      </x:c>
      <x:c r="H982" s="7" t="n">
        <x:v>1199</x:v>
      </x:c>
      <x:c r="I982" s="7" t="n">
        <x:v>85</x:v>
      </x:c>
      <x:c r="J982" s="9" t="n">
        <x:v>20.3</x:v>
      </x:c>
      <x:c r="K982" s="9" t="n">
        <x:v>6.4</x:v>
      </x:c>
      <x:c r="L982" s="7" t="n">
        <x:v>2020</x:v>
      </x:c>
      <x:c r="M982" s="11" t="n">
        <x:v>85337</x:v>
      </x:c>
      <x:c r="N982" s="7" t="n">
        <x:v>1</x:v>
      </x:c>
      <x:c r="O982" s="7" t="n">
        <x:v>0</x:v>
      </x:c>
      <x:c r="P982" s="9" t="n">
        <x:v>3.07</x:v>
      </x:c>
      <x:c r="Q982" s="7" t="n">
        <x:f>'Guide'!$B$5-L982</x:f>
        <x:v>6</x:v>
      </x:c>
      <x:c r="R982" s="9" t="n">
        <x:f>K982-P982</x:f>
        <x:v>3.3300000000000005</x:v>
      </x:c>
      <x:c r="S982" s="10" t="n">
        <x:f>IF(K982&gt;0,R982/K982,"")</x:f>
        <x:v>0.5203125000000001</x:v>
      </x:c>
    </x:row>
    <x:row r="983">
      <x:c r="A983" s="7" t="n">
        <x:v>979</x:v>
      </x:c>
      <x:c r="B983" s="7" t="str">
        <x:v>Tata</x:v>
      </x:c>
      <x:c r="C983" s="7" t="str">
        <x:v>Tigor</x:v>
      </x:c>
      <x:c r="D983" s="7" t="str">
        <x:v>XE</x:v>
      </x:c>
      <x:c r="E983" s="7" t="str">
        <x:v>Petrol</x:v>
      </x:c>
      <x:c r="F983" s="7" t="str">
        <x:v>Manual</x:v>
      </x:c>
      <x:c r="G983" s="7" t="str">
        <x:v>Sedan</x:v>
      </x:c>
      <x:c r="H983" s="7" t="n">
        <x:v>1199</x:v>
      </x:c>
      <x:c r="I983" s="7" t="n">
        <x:v>85</x:v>
      </x:c>
      <x:c r="J983" s="9" t="n">
        <x:v>20.3</x:v>
      </x:c>
      <x:c r="K983" s="9" t="n">
        <x:v>6.4</x:v>
      </x:c>
      <x:c r="L983" s="7" t="n">
        <x:v>2023</x:v>
      </x:c>
      <x:c r="M983" s="11" t="n">
        <x:v>46699</x:v>
      </x:c>
      <x:c r="N983" s="7" t="n">
        <x:v>2</x:v>
      </x:c>
      <x:c r="O983" s="7" t="n">
        <x:v>0</x:v>
      </x:c>
      <x:c r="P983" s="9" t="n">
        <x:v>4.11</x:v>
      </x:c>
      <x:c r="Q983" s="7" t="n">
        <x:f>'Guide'!$B$5-L983</x:f>
        <x:v>3</x:v>
      </x:c>
      <x:c r="R983" s="9" t="n">
        <x:f>K983-P983</x:f>
        <x:v>2.29</x:v>
      </x:c>
      <x:c r="S983" s="10" t="n">
        <x:f>IF(K983&gt;0,R983/K983,"")</x:f>
        <x:v>0.3578125</x:v>
      </x:c>
    </x:row>
    <x:row r="984">
      <x:c r="A984" s="7" t="n">
        <x:v>980</x:v>
      </x:c>
      <x:c r="B984" s="7" t="str">
        <x:v>Tata</x:v>
      </x:c>
      <x:c r="C984" s="7" t="str">
        <x:v>Tigor</x:v>
      </x:c>
      <x:c r="D984" s="7" t="str">
        <x:v>XE</x:v>
      </x:c>
      <x:c r="E984" s="7" t="str">
        <x:v>Petrol</x:v>
      </x:c>
      <x:c r="F984" s="7" t="str">
        <x:v>Manual</x:v>
      </x:c>
      <x:c r="G984" s="7" t="str">
        <x:v>Sedan</x:v>
      </x:c>
      <x:c r="H984" s="7" t="n">
        <x:v>1199</x:v>
      </x:c>
      <x:c r="I984" s="7" t="n">
        <x:v>85</x:v>
      </x:c>
      <x:c r="J984" s="9" t="n">
        <x:v>20.3</x:v>
      </x:c>
      <x:c r="K984" s="9" t="n">
        <x:v>6.4</x:v>
      </x:c>
      <x:c r="L984" s="7" t="n">
        <x:v>2023</x:v>
      </x:c>
      <x:c r="M984" s="11" t="n">
        <x:v>33906</x:v>
      </x:c>
      <x:c r="N984" s="7" t="n">
        <x:v>2</x:v>
      </x:c>
      <x:c r="O984" s="7" t="n">
        <x:v>0</x:v>
      </x:c>
      <x:c r="P984" s="9" t="n">
        <x:v>4.14</x:v>
      </x:c>
      <x:c r="Q984" s="7" t="n">
        <x:f>'Guide'!$B$5-L984</x:f>
        <x:v>3</x:v>
      </x:c>
      <x:c r="R984" s="9" t="n">
        <x:f>K984-P984</x:f>
        <x:v>2.2600000000000007</x:v>
      </x:c>
      <x:c r="S984" s="10" t="n">
        <x:f>IF(K984&gt;0,R984/K984,"")</x:f>
        <x:v>0.3531250000000001</x:v>
      </x:c>
    </x:row>
    <x:row r="985">
      <x:c r="A985" s="7" t="n">
        <x:v>981</x:v>
      </x:c>
      <x:c r="B985" s="7" t="str">
        <x:v>Tata</x:v>
      </x:c>
      <x:c r="C985" s="7" t="str">
        <x:v>Tigor</x:v>
      </x:c>
      <x:c r="D985" s="7" t="str">
        <x:v>XE</x:v>
      </x:c>
      <x:c r="E985" s="7" t="str">
        <x:v>Petrol</x:v>
      </x:c>
      <x:c r="F985" s="7" t="str">
        <x:v>Manual</x:v>
      </x:c>
      <x:c r="G985" s="7" t="str">
        <x:v>Sedan</x:v>
      </x:c>
      <x:c r="H985" s="7" t="n">
        <x:v>1199</x:v>
      </x:c>
      <x:c r="I985" s="7" t="n">
        <x:v>85</x:v>
      </x:c>
      <x:c r="J985" s="9" t="n">
        <x:v>20.3</x:v>
      </x:c>
      <x:c r="K985" s="9" t="n">
        <x:v>6.4</x:v>
      </x:c>
      <x:c r="L985" s="7" t="n">
        <x:v>2020</x:v>
      </x:c>
      <x:c r="M985" s="11" t="n">
        <x:v>58597</x:v>
      </x:c>
      <x:c r="N985" s="7" t="n">
        <x:v>1</x:v>
      </x:c>
      <x:c r="O985" s="7" t="n">
        <x:v>0</x:v>
      </x:c>
      <x:c r="P985" s="9" t="n">
        <x:v>2.68</x:v>
      </x:c>
      <x:c r="Q985" s="7" t="n">
        <x:f>'Guide'!$B$5-L985</x:f>
        <x:v>6</x:v>
      </x:c>
      <x:c r="R985" s="9" t="n">
        <x:f>K985-P985</x:f>
        <x:v>3.72</x:v>
      </x:c>
      <x:c r="S985" s="10" t="n">
        <x:f>IF(K985&gt;0,R985/K985,"")</x:f>
        <x:v>0.58125</x:v>
      </x:c>
    </x:row>
    <x:row r="986">
      <x:c r="A986" s="7" t="n">
        <x:v>982</x:v>
      </x:c>
      <x:c r="B986" s="7" t="str">
        <x:v>Tata</x:v>
      </x:c>
      <x:c r="C986" s="7" t="str">
        <x:v>Tigor</x:v>
      </x:c>
      <x:c r="D986" s="7" t="str">
        <x:v>XE</x:v>
      </x:c>
      <x:c r="E986" s="7" t="str">
        <x:v>Petrol</x:v>
      </x:c>
      <x:c r="F986" s="7" t="str">
        <x:v>Manual</x:v>
      </x:c>
      <x:c r="G986" s="7" t="str">
        <x:v>Sedan</x:v>
      </x:c>
      <x:c r="H986" s="7" t="n">
        <x:v>1199</x:v>
      </x:c>
      <x:c r="I986" s="7" t="n">
        <x:v>85</x:v>
      </x:c>
      <x:c r="J986" s="9" t="n">
        <x:v>20.3</x:v>
      </x:c>
      <x:c r="K986" s="9" t="n">
        <x:v>6.4</x:v>
      </x:c>
      <x:c r="L986" s="7" t="n">
        <x:v>2022</x:v>
      </x:c>
      <x:c r="M986" s="11" t="n">
        <x:v>47086</x:v>
      </x:c>
      <x:c r="N986" s="7" t="n">
        <x:v>2</x:v>
      </x:c>
      <x:c r="O986" s="7" t="n">
        <x:v>0</x:v>
      </x:c>
      <x:c r="P986" s="9" t="n">
        <x:v>3.37</x:v>
      </x:c>
      <x:c r="Q986" s="7" t="n">
        <x:f>'Guide'!$B$5-L986</x:f>
        <x:v>4</x:v>
      </x:c>
      <x:c r="R986" s="9" t="n">
        <x:f>K986-P986</x:f>
        <x:v>3.0300000000000002</x:v>
      </x:c>
      <x:c r="S986" s="10" t="n">
        <x:f>IF(K986&gt;0,R986/K986,"")</x:f>
        <x:v>0.4734375</x:v>
      </x:c>
    </x:row>
    <x:row r="987">
      <x:c r="A987" s="7" t="n">
        <x:v>983</x:v>
      </x:c>
      <x:c r="B987" s="7" t="str">
        <x:v>Tata</x:v>
      </x:c>
      <x:c r="C987" s="7" t="str">
        <x:v>Tigor</x:v>
      </x:c>
      <x:c r="D987" s="7" t="str">
        <x:v>XE</x:v>
      </x:c>
      <x:c r="E987" s="7" t="str">
        <x:v>Petrol</x:v>
      </x:c>
      <x:c r="F987" s="7" t="str">
        <x:v>Manual</x:v>
      </x:c>
      <x:c r="G987" s="7" t="str">
        <x:v>Sedan</x:v>
      </x:c>
      <x:c r="H987" s="7" t="n">
        <x:v>1199</x:v>
      </x:c>
      <x:c r="I987" s="7" t="n">
        <x:v>85</x:v>
      </x:c>
      <x:c r="J987" s="9" t="n">
        <x:v>20.3</x:v>
      </x:c>
      <x:c r="K987" s="9" t="n">
        <x:v>6.4</x:v>
      </x:c>
      <x:c r="L987" s="7" t="n">
        <x:v>2023</x:v>
      </x:c>
      <x:c r="M987" s="11" t="n">
        <x:v>50999</x:v>
      </x:c>
      <x:c r="N987" s="7" t="n">
        <x:v>1</x:v>
      </x:c>
      <x:c r="O987" s="7" t="n">
        <x:v>0</x:v>
      </x:c>
      <x:c r="P987" s="9" t="n">
        <x:v>4.87</x:v>
      </x:c>
      <x:c r="Q987" s="7" t="n">
        <x:f>'Guide'!$B$5-L987</x:f>
        <x:v>3</x:v>
      </x:c>
      <x:c r="R987" s="9" t="n">
        <x:f>K987-P987</x:f>
        <x:v>1.5300000000000002</x:v>
      </x:c>
      <x:c r="S987" s="10" t="n">
        <x:f>IF(K987&gt;0,R987/K987,"")</x:f>
        <x:v>0.23906250000000004</x:v>
      </x:c>
    </x:row>
    <x:row r="988">
      <x:c r="A988" s="7" t="n">
        <x:v>984</x:v>
      </x:c>
      <x:c r="B988" s="7" t="str">
        <x:v>Tata</x:v>
      </x:c>
      <x:c r="C988" s="7" t="str">
        <x:v>Tigor</x:v>
      </x:c>
      <x:c r="D988" s="7" t="str">
        <x:v>XE</x:v>
      </x:c>
      <x:c r="E988" s="7" t="str">
        <x:v>Petrol</x:v>
      </x:c>
      <x:c r="F988" s="7" t="str">
        <x:v>Manual</x:v>
      </x:c>
      <x:c r="G988" s="7" t="str">
        <x:v>Sedan</x:v>
      </x:c>
      <x:c r="H988" s="7" t="n">
        <x:v>1199</x:v>
      </x:c>
      <x:c r="I988" s="7" t="n">
        <x:v>85</x:v>
      </x:c>
      <x:c r="J988" s="9" t="n">
        <x:v>20.3</x:v>
      </x:c>
      <x:c r="K988" s="9" t="n">
        <x:v>6.4</x:v>
      </x:c>
      <x:c r="L988" s="7" t="n">
        <x:v>2020</x:v>
      </x:c>
      <x:c r="M988" s="11" t="n">
        <x:v>110733</x:v>
      </x:c>
      <x:c r="N988" s="7" t="n">
        <x:v>1</x:v>
      </x:c>
      <x:c r="O988" s="7" t="n">
        <x:v>0</x:v>
      </x:c>
      <x:c r="P988" s="9" t="n">
        <x:v>2.32</x:v>
      </x:c>
      <x:c r="Q988" s="7" t="n">
        <x:f>'Guide'!$B$5-L988</x:f>
        <x:v>6</x:v>
      </x:c>
      <x:c r="R988" s="9" t="n">
        <x:f>K988-P988</x:f>
        <x:v>4.08</x:v>
      </x:c>
      <x:c r="S988" s="10" t="n">
        <x:f>IF(K988&gt;0,R988/K988,"")</x:f>
        <x:v>0.6375</x:v>
      </x:c>
    </x:row>
    <x:row r="989">
      <x:c r="A989" s="7" t="n">
        <x:v>985</x:v>
      </x:c>
      <x:c r="B989" s="7" t="str">
        <x:v>Tata</x:v>
      </x:c>
      <x:c r="C989" s="7" t="str">
        <x:v>Tigor</x:v>
      </x:c>
      <x:c r="D989" s="7" t="str">
        <x:v>XE</x:v>
      </x:c>
      <x:c r="E989" s="7" t="str">
        <x:v>Petrol</x:v>
      </x:c>
      <x:c r="F989" s="7" t="str">
        <x:v>Manual</x:v>
      </x:c>
      <x:c r="G989" s="7" t="str">
        <x:v>Sedan</x:v>
      </x:c>
      <x:c r="H989" s="7" t="n">
        <x:v>1199</x:v>
      </x:c>
      <x:c r="I989" s="7" t="n">
        <x:v>85</x:v>
      </x:c>
      <x:c r="J989" s="9" t="n">
        <x:v>20.3</x:v>
      </x:c>
      <x:c r="K989" s="9" t="n">
        <x:v>6.4</x:v>
      </x:c>
      <x:c r="L989" s="7" t="n">
        <x:v>2026</x:v>
      </x:c>
      <x:c r="M989" s="11" t="n">
        <x:v>4502</x:v>
      </x:c>
      <x:c r="N989" s="7" t="n">
        <x:v>3</x:v>
      </x:c>
      <x:c r="O989" s="7" t="n">
        <x:v>0</x:v>
      </x:c>
      <x:c r="P989" s="9" t="n">
        <x:v>5.83</x:v>
      </x:c>
      <x:c r="Q989" s="7" t="n">
        <x:f>'Guide'!$B$5-L989</x:f>
        <x:v>0</x:v>
      </x:c>
      <x:c r="R989" s="9" t="n">
        <x:f>K989-P989</x:f>
        <x:v>0.5700000000000003</x:v>
      </x:c>
      <x:c r="S989" s="10" t="n">
        <x:f>IF(K989&gt;0,R989/K989,"")</x:f>
        <x:v>0.08906250000000004</x:v>
      </x:c>
    </x:row>
    <x:row r="990">
      <x:c r="A990" s="7" t="n">
        <x:v>986</x:v>
      </x:c>
      <x:c r="B990" s="7" t="str">
        <x:v>Tata</x:v>
      </x:c>
      <x:c r="C990" s="7" t="str">
        <x:v>Tigor</x:v>
      </x:c>
      <x:c r="D990" s="7" t="str">
        <x:v>XE</x:v>
      </x:c>
      <x:c r="E990" s="7" t="str">
        <x:v>Petrol</x:v>
      </x:c>
      <x:c r="F990" s="7" t="str">
        <x:v>Manual</x:v>
      </x:c>
      <x:c r="G990" s="7" t="str">
        <x:v>Sedan</x:v>
      </x:c>
      <x:c r="H990" s="7" t="n">
        <x:v>1199</x:v>
      </x:c>
      <x:c r="I990" s="7" t="n">
        <x:v>85</x:v>
      </x:c>
      <x:c r="J990" s="9" t="n">
        <x:v>20.3</x:v>
      </x:c>
      <x:c r="K990" s="9" t="n">
        <x:v>6.4</x:v>
      </x:c>
      <x:c r="L990" s="7" t="n">
        <x:v>2024</x:v>
      </x:c>
      <x:c r="M990" s="11" t="n">
        <x:v>32372</x:v>
      </x:c>
      <x:c r="N990" s="7" t="n">
        <x:v>1</x:v>
      </x:c>
      <x:c r="O990" s="7" t="n">
        <x:v>0</x:v>
      </x:c>
      <x:c r="P990" s="9" t="n">
        <x:v>5.46</x:v>
      </x:c>
      <x:c r="Q990" s="7" t="n">
        <x:f>'Guide'!$B$5-L990</x:f>
        <x:v>2</x:v>
      </x:c>
      <x:c r="R990" s="9" t="n">
        <x:f>K990-P990</x:f>
        <x:v>0.9400000000000004</x:v>
      </x:c>
      <x:c r="S990" s="10" t="n">
        <x:f>IF(K990&gt;0,R990/K990,"")</x:f>
        <x:v>0.14687500000000006</x:v>
      </x:c>
    </x:row>
    <x:row r="991">
      <x:c r="A991" s="7" t="n">
        <x:v>987</x:v>
      </x:c>
      <x:c r="B991" s="7" t="str">
        <x:v>Tata</x:v>
      </x:c>
      <x:c r="C991" s="7" t="str">
        <x:v>Tigor</x:v>
      </x:c>
      <x:c r="D991" s="7" t="str">
        <x:v>XE</x:v>
      </x:c>
      <x:c r="E991" s="7" t="str">
        <x:v>Petrol</x:v>
      </x:c>
      <x:c r="F991" s="7" t="str">
        <x:v>Manual</x:v>
      </x:c>
      <x:c r="G991" s="7" t="str">
        <x:v>Sedan</x:v>
      </x:c>
      <x:c r="H991" s="7" t="n">
        <x:v>1199</x:v>
      </x:c>
      <x:c r="I991" s="7" t="n">
        <x:v>85</x:v>
      </x:c>
      <x:c r="J991" s="9" t="n">
        <x:v>20.3</x:v>
      </x:c>
      <x:c r="K991" s="9" t="n">
        <x:v>6.4</x:v>
      </x:c>
      <x:c r="L991" s="7" t="n">
        <x:v>2024</x:v>
      </x:c>
      <x:c r="M991" s="11" t="n">
        <x:v>43027</x:v>
      </x:c>
      <x:c r="N991" s="7" t="n">
        <x:v>2</x:v>
      </x:c>
      <x:c r="O991" s="7" t="n">
        <x:v>0</x:v>
      </x:c>
      <x:c r="P991" s="9" t="n">
        <x:v>4.29</x:v>
      </x:c>
      <x:c r="Q991" s="7" t="n">
        <x:f>'Guide'!$B$5-L991</x:f>
        <x:v>2</x:v>
      </x:c>
      <x:c r="R991" s="9" t="n">
        <x:f>K991-P991</x:f>
        <x:v>2.1100000000000003</x:v>
      </x:c>
      <x:c r="S991" s="10" t="n">
        <x:f>IF(K991&gt;0,R991/K991,"")</x:f>
        <x:v>0.3296875</x:v>
      </x:c>
    </x:row>
    <x:row r="992">
      <x:c r="A992" s="7" t="n">
        <x:v>988</x:v>
      </x:c>
      <x:c r="B992" s="7" t="str">
        <x:v>Tata</x:v>
      </x:c>
      <x:c r="C992" s="7" t="str">
        <x:v>Tigor</x:v>
      </x:c>
      <x:c r="D992" s="7" t="str">
        <x:v>XE</x:v>
      </x:c>
      <x:c r="E992" s="7" t="str">
        <x:v>Petrol</x:v>
      </x:c>
      <x:c r="F992" s="7" t="str">
        <x:v>Manual</x:v>
      </x:c>
      <x:c r="G992" s="7" t="str">
        <x:v>Sedan</x:v>
      </x:c>
      <x:c r="H992" s="7" t="n">
        <x:v>1199</x:v>
      </x:c>
      <x:c r="I992" s="7" t="n">
        <x:v>85</x:v>
      </x:c>
      <x:c r="J992" s="9" t="n">
        <x:v>20.3</x:v>
      </x:c>
      <x:c r="K992" s="9" t="n">
        <x:v>6.4</x:v>
      </x:c>
      <x:c r="L992" s="7" t="n">
        <x:v>2020</x:v>
      </x:c>
      <x:c r="M992" s="11" t="n">
        <x:v>111480</x:v>
      </x:c>
      <x:c r="N992" s="7" t="n">
        <x:v>1</x:v>
      </x:c>
      <x:c r="O992" s="7" t="n">
        <x:v>0</x:v>
      </x:c>
      <x:c r="P992" s="9" t="n">
        <x:v>2.38</x:v>
      </x:c>
      <x:c r="Q992" s="7" t="n">
        <x:f>'Guide'!$B$5-L992</x:f>
        <x:v>6</x:v>
      </x:c>
      <x:c r="R992" s="9" t="n">
        <x:f>K992-P992</x:f>
        <x:v>4.0200000000000005</x:v>
      </x:c>
      <x:c r="S992" s="10" t="n">
        <x:f>IF(K992&gt;0,R992/K992,"")</x:f>
        <x:v>0.628125</x:v>
      </x:c>
    </x:row>
    <x:row r="993">
      <x:c r="A993" s="7" t="n">
        <x:v>989</x:v>
      </x:c>
      <x:c r="B993" s="7" t="str">
        <x:v>Tata</x:v>
      </x:c>
      <x:c r="C993" s="7" t="str">
        <x:v>Tigor</x:v>
      </x:c>
      <x:c r="D993" s="7" t="str">
        <x:v>XE</x:v>
      </x:c>
      <x:c r="E993" s="7" t="str">
        <x:v>Petrol</x:v>
      </x:c>
      <x:c r="F993" s="7" t="str">
        <x:v>Manual</x:v>
      </x:c>
      <x:c r="G993" s="7" t="str">
        <x:v>Sedan</x:v>
      </x:c>
      <x:c r="H993" s="7" t="n">
        <x:v>1199</x:v>
      </x:c>
      <x:c r="I993" s="7" t="n">
        <x:v>85</x:v>
      </x:c>
      <x:c r="J993" s="9" t="n">
        <x:v>20.3</x:v>
      </x:c>
      <x:c r="K993" s="9" t="n">
        <x:v>6.4</x:v>
      </x:c>
      <x:c r="L993" s="7" t="n">
        <x:v>2022</x:v>
      </x:c>
      <x:c r="M993" s="11" t="n">
        <x:v>65792</x:v>
      </x:c>
      <x:c r="N993" s="7" t="n">
        <x:v>1</x:v>
      </x:c>
      <x:c r="O993" s="7" t="n">
        <x:v>1</x:v>
      </x:c>
      <x:c r="P993" s="9" t="n">
        <x:v>2.69</x:v>
      </x:c>
      <x:c r="Q993" s="7" t="n">
        <x:f>'Guide'!$B$5-L993</x:f>
        <x:v>4</x:v>
      </x:c>
      <x:c r="R993" s="9" t="n">
        <x:f>K993-P993</x:f>
        <x:v>3.7100000000000004</x:v>
      </x:c>
      <x:c r="S993" s="10" t="n">
        <x:f>IF(K993&gt;0,R993/K993,"")</x:f>
        <x:v>0.5796875</x:v>
      </x:c>
    </x:row>
    <x:row r="994">
      <x:c r="A994" s="7" t="n">
        <x:v>990</x:v>
      </x:c>
      <x:c r="B994" s="7" t="str">
        <x:v>Tata</x:v>
      </x:c>
      <x:c r="C994" s="7" t="str">
        <x:v>Tigor</x:v>
      </x:c>
      <x:c r="D994" s="7" t="str">
        <x:v>XE</x:v>
      </x:c>
      <x:c r="E994" s="7" t="str">
        <x:v>Petrol</x:v>
      </x:c>
      <x:c r="F994" s="7" t="str">
        <x:v>Manual</x:v>
      </x:c>
      <x:c r="G994" s="7" t="str">
        <x:v>Sedan</x:v>
      </x:c>
      <x:c r="H994" s="7" t="n">
        <x:v>1199</x:v>
      </x:c>
      <x:c r="I994" s="7" t="n">
        <x:v>85</x:v>
      </x:c>
      <x:c r="J994" s="9" t="n">
        <x:v>20.3</x:v>
      </x:c>
      <x:c r="K994" s="9" t="n">
        <x:v>6.4</x:v>
      </x:c>
      <x:c r="L994" s="7" t="n">
        <x:v>2022</x:v>
      </x:c>
      <x:c r="M994" s="11" t="n">
        <x:v>80807</x:v>
      </x:c>
      <x:c r="N994" s="7" t="n">
        <x:v>2</x:v>
      </x:c>
      <x:c r="O994" s="7" t="n">
        <x:v>0</x:v>
      </x:c>
      <x:c r="P994" s="9" t="n">
        <x:v>3.18</x:v>
      </x:c>
      <x:c r="Q994" s="7" t="n">
        <x:f>'Guide'!$B$5-L994</x:f>
        <x:v>4</x:v>
      </x:c>
      <x:c r="R994" s="9" t="n">
        <x:f>K994-P994</x:f>
        <x:v>3.22</x:v>
      </x:c>
      <x:c r="S994" s="10" t="n">
        <x:f>IF(K994&gt;0,R994/K994,"")</x:f>
        <x:v>0.503125</x:v>
      </x:c>
    </x:row>
    <x:row r="995">
      <x:c r="A995" s="7" t="n">
        <x:v>991</x:v>
      </x:c>
      <x:c r="B995" s="7" t="str">
        <x:v>Tata</x:v>
      </x:c>
      <x:c r="C995" s="7" t="str">
        <x:v>Tigor</x:v>
      </x:c>
      <x:c r="D995" s="7" t="str">
        <x:v>XE</x:v>
      </x:c>
      <x:c r="E995" s="7" t="str">
        <x:v>Petrol</x:v>
      </x:c>
      <x:c r="F995" s="7" t="str">
        <x:v>Manual</x:v>
      </x:c>
      <x:c r="G995" s="7" t="str">
        <x:v>Sedan</x:v>
      </x:c>
      <x:c r="H995" s="7" t="n">
        <x:v>1199</x:v>
      </x:c>
      <x:c r="I995" s="7" t="n">
        <x:v>85</x:v>
      </x:c>
      <x:c r="J995" s="9" t="n">
        <x:v>20.3</x:v>
      </x:c>
      <x:c r="K995" s="9" t="n">
        <x:v>6.4</x:v>
      </x:c>
      <x:c r="L995" s="7" t="n">
        <x:v>2020</x:v>
      </x:c>
      <x:c r="M995" s="11" t="n">
        <x:v>125756</x:v>
      </x:c>
      <x:c r="N995" s="7" t="n">
        <x:v>2</x:v>
      </x:c>
      <x:c r="O995" s="7" t="n">
        <x:v>0</x:v>
      </x:c>
      <x:c r="P995" s="9" t="n">
        <x:v>1.65</x:v>
      </x:c>
      <x:c r="Q995" s="7" t="n">
        <x:f>'Guide'!$B$5-L995</x:f>
        <x:v>6</x:v>
      </x:c>
      <x:c r="R995" s="9" t="n">
        <x:f>K995-P995</x:f>
        <x:v>4.75</x:v>
      </x:c>
      <x:c r="S995" s="10" t="n">
        <x:f>IF(K995&gt;0,R995/K995,"")</x:f>
        <x:v>0.7421875</x:v>
      </x:c>
    </x:row>
    <x:row r="996">
      <x:c r="A996" s="7" t="n">
        <x:v>992</x:v>
      </x:c>
      <x:c r="B996" s="7" t="str">
        <x:v>Tata</x:v>
      </x:c>
      <x:c r="C996" s="7" t="str">
        <x:v>Tigor</x:v>
      </x:c>
      <x:c r="D996" s="7" t="str">
        <x:v>XE</x:v>
      </x:c>
      <x:c r="E996" s="7" t="str">
        <x:v>Petrol</x:v>
      </x:c>
      <x:c r="F996" s="7" t="str">
        <x:v>Manual</x:v>
      </x:c>
      <x:c r="G996" s="7" t="str">
        <x:v>Sedan</x:v>
      </x:c>
      <x:c r="H996" s="7" t="n">
        <x:v>1199</x:v>
      </x:c>
      <x:c r="I996" s="7" t="n">
        <x:v>85</x:v>
      </x:c>
      <x:c r="J996" s="9" t="n">
        <x:v>20.3</x:v>
      </x:c>
      <x:c r="K996" s="9" t="n">
        <x:v>6.4</x:v>
      </x:c>
      <x:c r="L996" s="7" t="n">
        <x:v>2026</x:v>
      </x:c>
      <x:c r="M996" s="11" t="n">
        <x:v>4491</x:v>
      </x:c>
      <x:c r="N996" s="7" t="n">
        <x:v>1</x:v>
      </x:c>
      <x:c r="O996" s="7" t="n">
        <x:v>0</x:v>
      </x:c>
      <x:c r="P996" s="9" t="n">
        <x:v>6.23</x:v>
      </x:c>
      <x:c r="Q996" s="7" t="n">
        <x:f>'Guide'!$B$5-L996</x:f>
        <x:v>0</x:v>
      </x:c>
      <x:c r="R996" s="9" t="n">
        <x:f>K996-P996</x:f>
        <x:v>0.16999999999999993</x:v>
      </x:c>
      <x:c r="S996" s="10" t="n">
        <x:f>IF(K996&gt;0,R996/K996,"")</x:f>
        <x:v>0.02656249999999999</x:v>
      </x:c>
    </x:row>
    <x:row r="997">
      <x:c r="A997" s="7" t="n">
        <x:v>993</x:v>
      </x:c>
      <x:c r="B997" s="7" t="str">
        <x:v>Tata</x:v>
      </x:c>
      <x:c r="C997" s="7" t="str">
        <x:v>Tigor</x:v>
      </x:c>
      <x:c r="D997" s="7" t="str">
        <x:v>XE</x:v>
      </x:c>
      <x:c r="E997" s="7" t="str">
        <x:v>Petrol</x:v>
      </x:c>
      <x:c r="F997" s="7" t="str">
        <x:v>Manual</x:v>
      </x:c>
      <x:c r="G997" s="7" t="str">
        <x:v>Sedan</x:v>
      </x:c>
      <x:c r="H997" s="7" t="n">
        <x:v>1199</x:v>
      </x:c>
      <x:c r="I997" s="7" t="n">
        <x:v>85</x:v>
      </x:c>
      <x:c r="J997" s="9" t="n">
        <x:v>20.3</x:v>
      </x:c>
      <x:c r="K997" s="9" t="n">
        <x:v>6.4</x:v>
      </x:c>
      <x:c r="L997" s="7" t="n">
        <x:v>2026</x:v>
      </x:c>
      <x:c r="M997" s="11" t="n">
        <x:v>8945</x:v>
      </x:c>
      <x:c r="N997" s="7" t="n">
        <x:v>1</x:v>
      </x:c>
      <x:c r="O997" s="7" t="n">
        <x:v>0</x:v>
      </x:c>
      <x:c r="P997" s="9" t="n">
        <x:v>6.24</x:v>
      </x:c>
      <x:c r="Q997" s="7" t="n">
        <x:f>'Guide'!$B$5-L997</x:f>
        <x:v>0</x:v>
      </x:c>
      <x:c r="R997" s="9" t="n">
        <x:f>K997-P997</x:f>
        <x:v>0.16000000000000014</x:v>
      </x:c>
      <x:c r="S997" s="10" t="n">
        <x:f>IF(K997&gt;0,R997/K997,"")</x:f>
        <x:v>0.025000000000000022</x:v>
      </x:c>
    </x:row>
    <x:row r="998">
      <x:c r="A998" s="7" t="n">
        <x:v>994</x:v>
      </x:c>
      <x:c r="B998" s="7" t="str">
        <x:v>Tata</x:v>
      </x:c>
      <x:c r="C998" s="7" t="str">
        <x:v>Tigor</x:v>
      </x:c>
      <x:c r="D998" s="7" t="str">
        <x:v>XE</x:v>
      </x:c>
      <x:c r="E998" s="7" t="str">
        <x:v>Petrol</x:v>
      </x:c>
      <x:c r="F998" s="7" t="str">
        <x:v>Manual</x:v>
      </x:c>
      <x:c r="G998" s="7" t="str">
        <x:v>Sedan</x:v>
      </x:c>
      <x:c r="H998" s="7" t="n">
        <x:v>1199</x:v>
      </x:c>
      <x:c r="I998" s="7" t="n">
        <x:v>85</x:v>
      </x:c>
      <x:c r="J998" s="9" t="n">
        <x:v>20.3</x:v>
      </x:c>
      <x:c r="K998" s="9" t="n">
        <x:v>6.4</x:v>
      </x:c>
      <x:c r="L998" s="7" t="n">
        <x:v>2020</x:v>
      </x:c>
      <x:c r="M998" s="11" t="n">
        <x:v>114811</x:v>
      </x:c>
      <x:c r="N998" s="7" t="n">
        <x:v>1</x:v>
      </x:c>
      <x:c r="O998" s="7" t="n">
        <x:v>1</x:v>
      </x:c>
      <x:c r="P998" s="9" t="n">
        <x:v>1.5</x:v>
      </x:c>
      <x:c r="Q998" s="7" t="n">
        <x:f>'Guide'!$B$5-L998</x:f>
        <x:v>6</x:v>
      </x:c>
      <x:c r="R998" s="9" t="n">
        <x:f>K998-P998</x:f>
        <x:v>4.9</x:v>
      </x:c>
      <x:c r="S998" s="10" t="n">
        <x:f>IF(K998&gt;0,R998/K998,"")</x:f>
        <x:v>0.765625</x:v>
      </x:c>
    </x:row>
    <x:row r="999">
      <x:c r="A999" s="7" t="n">
        <x:v>995</x:v>
      </x:c>
      <x:c r="B999" s="7" t="str">
        <x:v>Tata</x:v>
      </x:c>
      <x:c r="C999" s="7" t="str">
        <x:v>Tigor</x:v>
      </x:c>
      <x:c r="D999" s="7" t="str">
        <x:v>XE</x:v>
      </x:c>
      <x:c r="E999" s="7" t="str">
        <x:v>Petrol</x:v>
      </x:c>
      <x:c r="F999" s="7" t="str">
        <x:v>Manual</x:v>
      </x:c>
      <x:c r="G999" s="7" t="str">
        <x:v>Sedan</x:v>
      </x:c>
      <x:c r="H999" s="7" t="n">
        <x:v>1199</x:v>
      </x:c>
      <x:c r="I999" s="7" t="n">
        <x:v>85</x:v>
      </x:c>
      <x:c r="J999" s="9" t="n">
        <x:v>20.3</x:v>
      </x:c>
      <x:c r="K999" s="9" t="n">
        <x:v>6.4</x:v>
      </x:c>
      <x:c r="L999" s="7" t="n">
        <x:v>2024</x:v>
      </x:c>
      <x:c r="M999" s="11" t="n">
        <x:v>23093</x:v>
      </x:c>
      <x:c r="N999" s="7" t="n">
        <x:v>1</x:v>
      </x:c>
      <x:c r="O999" s="7" t="n">
        <x:v>0</x:v>
      </x:c>
      <x:c r="P999" s="9" t="n">
        <x:v>4.93</x:v>
      </x:c>
      <x:c r="Q999" s="7" t="n">
        <x:f>'Guide'!$B$5-L999</x:f>
        <x:v>2</x:v>
      </x:c>
      <x:c r="R999" s="9" t="n">
        <x:f>K999-P999</x:f>
        <x:v>1.4700000000000006</x:v>
      </x:c>
      <x:c r="S999" s="10" t="n">
        <x:f>IF(K999&gt;0,R999/K999,"")</x:f>
        <x:v>0.2296875000000001</x:v>
      </x:c>
    </x:row>
    <x:row r="1000">
      <x:c r="A1000" s="7" t="n">
        <x:v>996</x:v>
      </x:c>
      <x:c r="B1000" s="7" t="str">
        <x:v>Tata</x:v>
      </x:c>
      <x:c r="C1000" s="7" t="str">
        <x:v>Tigor</x:v>
      </x:c>
      <x:c r="D1000" s="7" t="str">
        <x:v>XE</x:v>
      </x:c>
      <x:c r="E1000" s="7" t="str">
        <x:v>Petrol</x:v>
      </x:c>
      <x:c r="F1000" s="7" t="str">
        <x:v>Manual</x:v>
      </x:c>
      <x:c r="G1000" s="7" t="str">
        <x:v>Sedan</x:v>
      </x:c>
      <x:c r="H1000" s="7" t="n">
        <x:v>1199</x:v>
      </x:c>
      <x:c r="I1000" s="7" t="n">
        <x:v>85</x:v>
      </x:c>
      <x:c r="J1000" s="9" t="n">
        <x:v>20.3</x:v>
      </x:c>
      <x:c r="K1000" s="9" t="n">
        <x:v>6.4</x:v>
      </x:c>
      <x:c r="L1000" s="7" t="n">
        <x:v>2025</x:v>
      </x:c>
      <x:c r="M1000" s="11" t="n">
        <x:v>26949</x:v>
      </x:c>
      <x:c r="N1000" s="7" t="n">
        <x:v>1</x:v>
      </x:c>
      <x:c r="O1000" s="7" t="n">
        <x:v>0</x:v>
      </x:c>
      <x:c r="P1000" s="9" t="n">
        <x:v>5.48</x:v>
      </x:c>
      <x:c r="Q1000" s="7" t="n">
        <x:f>'Guide'!$B$5-L1000</x:f>
        <x:v>1</x:v>
      </x:c>
      <x:c r="R1000" s="9" t="n">
        <x:f>K1000-P1000</x:f>
        <x:v>0.9199999999999999</x:v>
      </x:c>
      <x:c r="S1000" s="10" t="n">
        <x:f>IF(K1000&gt;0,R1000/K1000,"")</x:f>
        <x:v>0.14375</x:v>
      </x:c>
    </x:row>
    <x:row r="1001">
      <x:c r="A1001" s="7" t="n">
        <x:v>997</x:v>
      </x:c>
      <x:c r="B1001" s="7" t="str">
        <x:v>Tata</x:v>
      </x:c>
      <x:c r="C1001" s="7" t="str">
        <x:v>Tigor</x:v>
      </x:c>
      <x:c r="D1001" s="7" t="str">
        <x:v>XE</x:v>
      </x:c>
      <x:c r="E1001" s="7" t="str">
        <x:v>Petrol</x:v>
      </x:c>
      <x:c r="F1001" s="7" t="str">
        <x:v>Manual</x:v>
      </x:c>
      <x:c r="G1001" s="7" t="str">
        <x:v>Sedan</x:v>
      </x:c>
      <x:c r="H1001" s="7" t="n">
        <x:v>1199</x:v>
      </x:c>
      <x:c r="I1001" s="7" t="n">
        <x:v>85</x:v>
      </x:c>
      <x:c r="J1001" s="9" t="n">
        <x:v>20.3</x:v>
      </x:c>
      <x:c r="K1001" s="9" t="n">
        <x:v>6.4</x:v>
      </x:c>
      <x:c r="L1001" s="7" t="n">
        <x:v>2025</x:v>
      </x:c>
      <x:c r="M1001" s="11" t="n">
        <x:v>26696</x:v>
      </x:c>
      <x:c r="N1001" s="7" t="n">
        <x:v>1</x:v>
      </x:c>
      <x:c r="O1001" s="7" t="n">
        <x:v>0</x:v>
      </x:c>
      <x:c r="P1001" s="9" t="n">
        <x:v>5.64</x:v>
      </x:c>
      <x:c r="Q1001" s="7" t="n">
        <x:f>'Guide'!$B$5-L1001</x:f>
        <x:v>1</x:v>
      </x:c>
      <x:c r="R1001" s="9" t="n">
        <x:f>K1001-P1001</x:f>
        <x:v>0.7600000000000007</x:v>
      </x:c>
      <x:c r="S1001" s="10" t="n">
        <x:f>IF(K1001&gt;0,R1001/K1001,"")</x:f>
        <x:v>0.1187500000000001</x:v>
      </x:c>
    </x:row>
    <x:row r="1002">
      <x:c r="A1002" s="7" t="n">
        <x:v>998</x:v>
      </x:c>
      <x:c r="B1002" s="7" t="str">
        <x:v>Tata</x:v>
      </x:c>
      <x:c r="C1002" s="7" t="str">
        <x:v>Tigor</x:v>
      </x:c>
      <x:c r="D1002" s="7" t="str">
        <x:v>XE</x:v>
      </x:c>
      <x:c r="E1002" s="7" t="str">
        <x:v>Petrol</x:v>
      </x:c>
      <x:c r="F1002" s="7" t="str">
        <x:v>Manual</x:v>
      </x:c>
      <x:c r="G1002" s="7" t="str">
        <x:v>Sedan</x:v>
      </x:c>
      <x:c r="H1002" s="7" t="n">
        <x:v>1199</x:v>
      </x:c>
      <x:c r="I1002" s="7" t="n">
        <x:v>85</x:v>
      </x:c>
      <x:c r="J1002" s="9" t="n">
        <x:v>20.3</x:v>
      </x:c>
      <x:c r="K1002" s="9" t="n">
        <x:v>6.4</x:v>
      </x:c>
      <x:c r="L1002" s="7" t="n">
        <x:v>2025</x:v>
      </x:c>
      <x:c r="M1002" s="11" t="n">
        <x:v>14922</x:v>
      </x:c>
      <x:c r="N1002" s="7" t="n">
        <x:v>1</x:v>
      </x:c>
      <x:c r="O1002" s="7" t="n">
        <x:v>0</x:v>
      </x:c>
      <x:c r="P1002" s="9" t="n">
        <x:v>6.07</x:v>
      </x:c>
      <x:c r="Q1002" s="7" t="n">
        <x:f>'Guide'!$B$5-L1002</x:f>
        <x:v>1</x:v>
      </x:c>
      <x:c r="R1002" s="9" t="n">
        <x:f>K1002-P1002</x:f>
        <x:v>0.33000000000000007</x:v>
      </x:c>
      <x:c r="S1002" s="10" t="n">
        <x:f>IF(K1002&gt;0,R1002/K1002,"")</x:f>
        <x:v>0.05156250000000001</x:v>
      </x:c>
    </x:row>
    <x:row r="1003">
      <x:c r="A1003" s="7" t="n">
        <x:v>999</x:v>
      </x:c>
      <x:c r="B1003" s="7" t="str">
        <x:v>Tata</x:v>
      </x:c>
      <x:c r="C1003" s="7" t="str">
        <x:v>Tigor</x:v>
      </x:c>
      <x:c r="D1003" s="7" t="str">
        <x:v>XE</x:v>
      </x:c>
      <x:c r="E1003" s="7" t="str">
        <x:v>Petrol</x:v>
      </x:c>
      <x:c r="F1003" s="7" t="str">
        <x:v>Manual</x:v>
      </x:c>
      <x:c r="G1003" s="7" t="str">
        <x:v>Sedan</x:v>
      </x:c>
      <x:c r="H1003" s="7" t="n">
        <x:v>1199</x:v>
      </x:c>
      <x:c r="I1003" s="7" t="n">
        <x:v>85</x:v>
      </x:c>
      <x:c r="J1003" s="9" t="n">
        <x:v>20.3</x:v>
      </x:c>
      <x:c r="K1003" s="9" t="n">
        <x:v>6.4</x:v>
      </x:c>
      <x:c r="L1003" s="7" t="n">
        <x:v>2023</x:v>
      </x:c>
      <x:c r="M1003" s="11" t="n">
        <x:v>64168</x:v>
      </x:c>
      <x:c r="N1003" s="7" t="n">
        <x:v>1</x:v>
      </x:c>
      <x:c r="O1003" s="7" t="n">
        <x:v>0</x:v>
      </x:c>
      <x:c r="P1003" s="9" t="n">
        <x:v>4.14</x:v>
      </x:c>
      <x:c r="Q1003" s="7" t="n">
        <x:f>'Guide'!$B$5-L1003</x:f>
        <x:v>3</x:v>
      </x:c>
      <x:c r="R1003" s="9" t="n">
        <x:f>K1003-P1003</x:f>
        <x:v>2.2600000000000007</x:v>
      </x:c>
      <x:c r="S1003" s="10" t="n">
        <x:f>IF(K1003&gt;0,R1003/K1003,"")</x:f>
        <x:v>0.3531250000000001</x:v>
      </x:c>
    </x:row>
    <x:row r="1004">
      <x:c r="A1004" s="7" t="n">
        <x:v>1000</x:v>
      </x:c>
      <x:c r="B1004" s="7" t="str">
        <x:v>Tata</x:v>
      </x:c>
      <x:c r="C1004" s="7" t="str">
        <x:v>Tigor</x:v>
      </x:c>
      <x:c r="D1004" s="7" t="str">
        <x:v>XE</x:v>
      </x:c>
      <x:c r="E1004" s="7" t="str">
        <x:v>Petrol</x:v>
      </x:c>
      <x:c r="F1004" s="7" t="str">
        <x:v>Manual</x:v>
      </x:c>
      <x:c r="G1004" s="7" t="str">
        <x:v>Sedan</x:v>
      </x:c>
      <x:c r="H1004" s="7" t="n">
        <x:v>1199</x:v>
      </x:c>
      <x:c r="I1004" s="7" t="n">
        <x:v>85</x:v>
      </x:c>
      <x:c r="J1004" s="9" t="n">
        <x:v>20.3</x:v>
      </x:c>
      <x:c r="K1004" s="9" t="n">
        <x:v>6.4</x:v>
      </x:c>
      <x:c r="L1004" s="7" t="n">
        <x:v>2021</x:v>
      </x:c>
      <x:c r="M1004" s="11" t="n">
        <x:v>91242</x:v>
      </x:c>
      <x:c r="N1004" s="7" t="n">
        <x:v>3</x:v>
      </x:c>
      <x:c r="O1004" s="7" t="n">
        <x:v>0</x:v>
      </x:c>
      <x:c r="P1004" s="9" t="n">
        <x:v>2.68</x:v>
      </x:c>
      <x:c r="Q1004" s="7" t="n">
        <x:f>'Guide'!$B$5-L1004</x:f>
        <x:v>5</x:v>
      </x:c>
      <x:c r="R1004" s="9" t="n">
        <x:f>K1004-P1004</x:f>
        <x:v>3.72</x:v>
      </x:c>
      <x:c r="S1004" s="10" t="n">
        <x:f>IF(K1004&gt;0,R1004/K1004,"")</x:f>
        <x:v>0.58125</x:v>
      </x:c>
    </x:row>
    <x:row r="1005">
      <x:c r="A1005" s="7" t="n">
        <x:v>1001</x:v>
      </x:c>
      <x:c r="B1005" s="7" t="str">
        <x:v>Tata</x:v>
      </x:c>
      <x:c r="C1005" s="7" t="str">
        <x:v>Tigor</x:v>
      </x:c>
      <x:c r="D1005" s="7" t="str">
        <x:v>XZA</x:v>
      </x:c>
      <x:c r="E1005" s="7" t="str">
        <x:v>Petrol</x:v>
      </x:c>
      <x:c r="F1005" s="7" t="str">
        <x:v>Automatic</x:v>
      </x:c>
      <x:c r="G1005" s="7" t="str">
        <x:v>Sedan</x:v>
      </x:c>
      <x:c r="H1005" s="7" t="n">
        <x:v>1199</x:v>
      </x:c>
      <x:c r="I1005" s="7" t="n">
        <x:v>85</x:v>
      </x:c>
      <x:c r="J1005" s="9" t="n">
        <x:v>19.6</x:v>
      </x:c>
      <x:c r="K1005" s="9" t="n">
        <x:v>8.3</x:v>
      </x:c>
      <x:c r="L1005" s="7" t="n">
        <x:v>2022</x:v>
      </x:c>
      <x:c r="M1005" s="11" t="n">
        <x:v>77570</x:v>
      </x:c>
      <x:c r="N1005" s="7" t="n">
        <x:v>3</x:v>
      </x:c>
      <x:c r="O1005" s="7" t="n">
        <x:v>0</x:v>
      </x:c>
      <x:c r="P1005" s="9" t="n">
        <x:v>4.18</x:v>
      </x:c>
      <x:c r="Q1005" s="7" t="n">
        <x:f>'Guide'!$B$5-L1005</x:f>
        <x:v>4</x:v>
      </x:c>
      <x:c r="R1005" s="9" t="n">
        <x:f>K1005-P1005</x:f>
        <x:v>4.120000000000001</x:v>
      </x:c>
      <x:c r="S1005" s="10" t="n">
        <x:f>IF(K1005&gt;0,R1005/K1005,"")</x:f>
        <x:v>0.49638554216867475</x:v>
      </x:c>
    </x:row>
    <x:row r="1006">
      <x:c r="A1006" s="7" t="n">
        <x:v>1002</x:v>
      </x:c>
      <x:c r="B1006" s="7" t="str">
        <x:v>Tata</x:v>
      </x:c>
      <x:c r="C1006" s="7" t="str">
        <x:v>Tigor</x:v>
      </x:c>
      <x:c r="D1006" s="7" t="str">
        <x:v>XZA</x:v>
      </x:c>
      <x:c r="E1006" s="7" t="str">
        <x:v>Petrol</x:v>
      </x:c>
      <x:c r="F1006" s="7" t="str">
        <x:v>Automatic</x:v>
      </x:c>
      <x:c r="G1006" s="7" t="str">
        <x:v>Sedan</x:v>
      </x:c>
      <x:c r="H1006" s="7" t="n">
        <x:v>1199</x:v>
      </x:c>
      <x:c r="I1006" s="7" t="n">
        <x:v>85</x:v>
      </x:c>
      <x:c r="J1006" s="9" t="n">
        <x:v>19.6</x:v>
      </x:c>
      <x:c r="K1006" s="9" t="n">
        <x:v>8.3</x:v>
      </x:c>
      <x:c r="L1006" s="7" t="n">
        <x:v>2020</x:v>
      </x:c>
      <x:c r="M1006" s="11" t="n">
        <x:v>59097</x:v>
      </x:c>
      <x:c r="N1006" s="7" t="n">
        <x:v>2</x:v>
      </x:c>
      <x:c r="O1006" s="7" t="n">
        <x:v>0</x:v>
      </x:c>
      <x:c r="P1006" s="9" t="n">
        <x:v>3.07</x:v>
      </x:c>
      <x:c r="Q1006" s="7" t="n">
        <x:f>'Guide'!$B$5-L1006</x:f>
        <x:v>6</x:v>
      </x:c>
      <x:c r="R1006" s="9" t="n">
        <x:f>K1006-P1006</x:f>
        <x:v>5.23</x:v>
      </x:c>
      <x:c r="S1006" s="10" t="n">
        <x:f>IF(K1006&gt;0,R1006/K1006,"")</x:f>
        <x:v>0.6301204819277109</x:v>
      </x:c>
    </x:row>
    <x:row r="1007">
      <x:c r="A1007" s="7" t="n">
        <x:v>1003</x:v>
      </x:c>
      <x:c r="B1007" s="7" t="str">
        <x:v>Tata</x:v>
      </x:c>
      <x:c r="C1007" s="7" t="str">
        <x:v>Tigor</x:v>
      </x:c>
      <x:c r="D1007" s="7" t="str">
        <x:v>XZA</x:v>
      </x:c>
      <x:c r="E1007" s="7" t="str">
        <x:v>Petrol</x:v>
      </x:c>
      <x:c r="F1007" s="7" t="str">
        <x:v>Automatic</x:v>
      </x:c>
      <x:c r="G1007" s="7" t="str">
        <x:v>Sedan</x:v>
      </x:c>
      <x:c r="H1007" s="7" t="n">
        <x:v>1199</x:v>
      </x:c>
      <x:c r="I1007" s="7" t="n">
        <x:v>85</x:v>
      </x:c>
      <x:c r="J1007" s="9" t="n">
        <x:v>19.6</x:v>
      </x:c>
      <x:c r="K1007" s="9" t="n">
        <x:v>8.3</x:v>
      </x:c>
      <x:c r="L1007" s="7" t="n">
        <x:v>2025</x:v>
      </x:c>
      <x:c r="M1007" s="11" t="n">
        <x:v>12969</x:v>
      </x:c>
      <x:c r="N1007" s="7" t="n">
        <x:v>2</x:v>
      </x:c>
      <x:c r="O1007" s="7" t="n">
        <x:v>0</x:v>
      </x:c>
      <x:c r="P1007" s="9" t="n">
        <x:v>6.94</x:v>
      </x:c>
      <x:c r="Q1007" s="7" t="n">
        <x:f>'Guide'!$B$5-L1007</x:f>
        <x:v>1</x:v>
      </x:c>
      <x:c r="R1007" s="9" t="n">
        <x:f>K1007-P1007</x:f>
        <x:v>1.3600000000000003</x:v>
      </x:c>
      <x:c r="S1007" s="10" t="n">
        <x:f>IF(K1007&gt;0,R1007/K1007,"")</x:f>
        <x:v>0.16385542168674702</x:v>
      </x:c>
    </x:row>
    <x:row r="1008">
      <x:c r="A1008" s="7" t="n">
        <x:v>1004</x:v>
      </x:c>
      <x:c r="B1008" s="7" t="str">
        <x:v>Tata</x:v>
      </x:c>
      <x:c r="C1008" s="7" t="str">
        <x:v>Tigor</x:v>
      </x:c>
      <x:c r="D1008" s="7" t="str">
        <x:v>XZA</x:v>
      </x:c>
      <x:c r="E1008" s="7" t="str">
        <x:v>Petrol</x:v>
      </x:c>
      <x:c r="F1008" s="7" t="str">
        <x:v>Automatic</x:v>
      </x:c>
      <x:c r="G1008" s="7" t="str">
        <x:v>Sedan</x:v>
      </x:c>
      <x:c r="H1008" s="7" t="n">
        <x:v>1199</x:v>
      </x:c>
      <x:c r="I1008" s="7" t="n">
        <x:v>85</x:v>
      </x:c>
      <x:c r="J1008" s="9" t="n">
        <x:v>19.6</x:v>
      </x:c>
      <x:c r="K1008" s="9" t="n">
        <x:v>8.3</x:v>
      </x:c>
      <x:c r="L1008" s="7" t="n">
        <x:v>2026</x:v>
      </x:c>
      <x:c r="M1008" s="11" t="n">
        <x:v>6855</x:v>
      </x:c>
      <x:c r="N1008" s="7" t="n">
        <x:v>1</x:v>
      </x:c>
      <x:c r="O1008" s="7" t="n">
        <x:v>0</x:v>
      </x:c>
      <x:c r="P1008" s="9" t="n">
        <x:v>7.94</x:v>
      </x:c>
      <x:c r="Q1008" s="7" t="n">
        <x:f>'Guide'!$B$5-L1008</x:f>
        <x:v>0</x:v>
      </x:c>
      <x:c r="R1008" s="9" t="n">
        <x:f>K1008-P1008</x:f>
        <x:v>0.3600000000000003</x:v>
      </x:c>
      <x:c r="S1008" s="10" t="n">
        <x:f>IF(K1008&gt;0,R1008/K1008,"")</x:f>
        <x:v>0.04337349397590365</x:v>
      </x:c>
    </x:row>
    <x:row r="1009">
      <x:c r="A1009" s="7" t="n">
        <x:v>1005</x:v>
      </x:c>
      <x:c r="B1009" s="7" t="str">
        <x:v>Tata</x:v>
      </x:c>
      <x:c r="C1009" s="7" t="str">
        <x:v>Tigor</x:v>
      </x:c>
      <x:c r="D1009" s="7" t="str">
        <x:v>XZA</x:v>
      </x:c>
      <x:c r="E1009" s="7" t="str">
        <x:v>Petrol</x:v>
      </x:c>
      <x:c r="F1009" s="7" t="str">
        <x:v>Automatic</x:v>
      </x:c>
      <x:c r="G1009" s="7" t="str">
        <x:v>Sedan</x:v>
      </x:c>
      <x:c r="H1009" s="7" t="n">
        <x:v>1199</x:v>
      </x:c>
      <x:c r="I1009" s="7" t="n">
        <x:v>85</x:v>
      </x:c>
      <x:c r="J1009" s="9" t="n">
        <x:v>19.6</x:v>
      </x:c>
      <x:c r="K1009" s="9" t="n">
        <x:v>8.3</x:v>
      </x:c>
      <x:c r="L1009" s="7" t="n">
        <x:v>2021</x:v>
      </x:c>
      <x:c r="M1009" s="11" t="n">
        <x:v>63733</x:v>
      </x:c>
      <x:c r="N1009" s="7" t="n">
        <x:v>1</x:v>
      </x:c>
      <x:c r="O1009" s="7" t="n">
        <x:v>0</x:v>
      </x:c>
      <x:c r="P1009" s="9" t="n">
        <x:v>4.47</x:v>
      </x:c>
      <x:c r="Q1009" s="7" t="n">
        <x:f>'Guide'!$B$5-L1009</x:f>
        <x:v>5</x:v>
      </x:c>
      <x:c r="R1009" s="9" t="n">
        <x:f>K1009-P1009</x:f>
        <x:v>3.830000000000001</x:v>
      </x:c>
      <x:c r="S1009" s="10" t="n">
        <x:f>IF(K1009&gt;0,R1009/K1009,"")</x:f>
        <x:v>0.4614457831325302</x:v>
      </x:c>
    </x:row>
    <x:row r="1010">
      <x:c r="A1010" s="7" t="n">
        <x:v>1006</x:v>
      </x:c>
      <x:c r="B1010" s="7" t="str">
        <x:v>Tata</x:v>
      </x:c>
      <x:c r="C1010" s="7" t="str">
        <x:v>Tigor</x:v>
      </x:c>
      <x:c r="D1010" s="7" t="str">
        <x:v>XZA</x:v>
      </x:c>
      <x:c r="E1010" s="7" t="str">
        <x:v>Petrol</x:v>
      </x:c>
      <x:c r="F1010" s="7" t="str">
        <x:v>Automatic</x:v>
      </x:c>
      <x:c r="G1010" s="7" t="str">
        <x:v>Sedan</x:v>
      </x:c>
      <x:c r="H1010" s="7" t="n">
        <x:v>1199</x:v>
      </x:c>
      <x:c r="I1010" s="7" t="n">
        <x:v>85</x:v>
      </x:c>
      <x:c r="J1010" s="9" t="n">
        <x:v>19.6</x:v>
      </x:c>
      <x:c r="K1010" s="9" t="n">
        <x:v>8.3</x:v>
      </x:c>
      <x:c r="L1010" s="7" t="n">
        <x:v>2021</x:v>
      </x:c>
      <x:c r="M1010" s="11" t="n">
        <x:v>64346</x:v>
      </x:c>
      <x:c r="N1010" s="7" t="n">
        <x:v>1</x:v>
      </x:c>
      <x:c r="O1010" s="7" t="n">
        <x:v>0</x:v>
      </x:c>
      <x:c r="P1010" s="9" t="n">
        <x:v>4.4</x:v>
      </x:c>
      <x:c r="Q1010" s="7" t="n">
        <x:f>'Guide'!$B$5-L1010</x:f>
        <x:v>5</x:v>
      </x:c>
      <x:c r="R1010" s="9" t="n">
        <x:f>K1010-P1010</x:f>
        <x:v>3.9000000000000004</x:v>
      </x:c>
      <x:c r="S1010" s="10" t="n">
        <x:f>IF(K1010&gt;0,R1010/K1010,"")</x:f>
        <x:v>0.46987951807228917</x:v>
      </x:c>
    </x:row>
    <x:row r="1011">
      <x:c r="A1011" s="7" t="n">
        <x:v>1007</x:v>
      </x:c>
      <x:c r="B1011" s="7" t="str">
        <x:v>Tata</x:v>
      </x:c>
      <x:c r="C1011" s="7" t="str">
        <x:v>Tigor</x:v>
      </x:c>
      <x:c r="D1011" s="7" t="str">
        <x:v>XZA</x:v>
      </x:c>
      <x:c r="E1011" s="7" t="str">
        <x:v>Petrol</x:v>
      </x:c>
      <x:c r="F1011" s="7" t="str">
        <x:v>Automatic</x:v>
      </x:c>
      <x:c r="G1011" s="7" t="str">
        <x:v>Sedan</x:v>
      </x:c>
      <x:c r="H1011" s="7" t="n">
        <x:v>1199</x:v>
      </x:c>
      <x:c r="I1011" s="7" t="n">
        <x:v>85</x:v>
      </x:c>
      <x:c r="J1011" s="9" t="n">
        <x:v>19.6</x:v>
      </x:c>
      <x:c r="K1011" s="9" t="n">
        <x:v>8.3</x:v>
      </x:c>
      <x:c r="L1011" s="7" t="n">
        <x:v>2021</x:v>
      </x:c>
      <x:c r="M1011" s="11" t="n">
        <x:v>73090</x:v>
      </x:c>
      <x:c r="N1011" s="7" t="n">
        <x:v>1</x:v>
      </x:c>
      <x:c r="O1011" s="7" t="n">
        <x:v>0</x:v>
      </x:c>
      <x:c r="P1011" s="9" t="n">
        <x:v>4.64</x:v>
      </x:c>
      <x:c r="Q1011" s="7" t="n">
        <x:f>'Guide'!$B$5-L1011</x:f>
        <x:v>5</x:v>
      </x:c>
      <x:c r="R1011" s="9" t="n">
        <x:f>K1011-P1011</x:f>
        <x:v>3.660000000000001</x:v>
      </x:c>
      <x:c r="S1011" s="10" t="n">
        <x:f>IF(K1011&gt;0,R1011/K1011,"")</x:f>
        <x:v>0.4409638554216868</x:v>
      </x:c>
    </x:row>
    <x:row r="1012">
      <x:c r="A1012" s="7" t="n">
        <x:v>1008</x:v>
      </x:c>
      <x:c r="B1012" s="7" t="str">
        <x:v>Tata</x:v>
      </x:c>
      <x:c r="C1012" s="7" t="str">
        <x:v>Tigor</x:v>
      </x:c>
      <x:c r="D1012" s="7" t="str">
        <x:v>XZA</x:v>
      </x:c>
      <x:c r="E1012" s="7" t="str">
        <x:v>Petrol</x:v>
      </x:c>
      <x:c r="F1012" s="7" t="str">
        <x:v>Automatic</x:v>
      </x:c>
      <x:c r="G1012" s="7" t="str">
        <x:v>Sedan</x:v>
      </x:c>
      <x:c r="H1012" s="7" t="n">
        <x:v>1199</x:v>
      </x:c>
      <x:c r="I1012" s="7" t="n">
        <x:v>85</x:v>
      </x:c>
      <x:c r="J1012" s="9" t="n">
        <x:v>19.6</x:v>
      </x:c>
      <x:c r="K1012" s="9" t="n">
        <x:v>8.3</x:v>
      </x:c>
      <x:c r="L1012" s="7" t="n">
        <x:v>2026</x:v>
      </x:c>
      <x:c r="M1012" s="11" t="n">
        <x:v>8658</x:v>
      </x:c>
      <x:c r="N1012" s="7" t="n">
        <x:v>1</x:v>
      </x:c>
      <x:c r="O1012" s="7" t="n">
        <x:v>1</x:v>
      </x:c>
      <x:c r="P1012" s="9" t="n">
        <x:v>7.56</x:v>
      </x:c>
      <x:c r="Q1012" s="7" t="n">
        <x:f>'Guide'!$B$5-L1012</x:f>
        <x:v>0</x:v>
      </x:c>
      <x:c r="R1012" s="9" t="n">
        <x:f>K1012-P1012</x:f>
        <x:v>0.7400000000000011</x:v>
      </x:c>
      <x:c r="S1012" s="10" t="n">
        <x:f>IF(K1012&gt;0,R1012/K1012,"")</x:f>
        <x:v>0.08915662650602423</x:v>
      </x:c>
    </x:row>
    <x:row r="1013">
      <x:c r="A1013" s="7" t="n">
        <x:v>1009</x:v>
      </x:c>
      <x:c r="B1013" s="7" t="str">
        <x:v>Tata</x:v>
      </x:c>
      <x:c r="C1013" s="7" t="str">
        <x:v>Tigor</x:v>
      </x:c>
      <x:c r="D1013" s="7" t="str">
        <x:v>XZA</x:v>
      </x:c>
      <x:c r="E1013" s="7" t="str">
        <x:v>Petrol</x:v>
      </x:c>
      <x:c r="F1013" s="7" t="str">
        <x:v>Automatic</x:v>
      </x:c>
      <x:c r="G1013" s="7" t="str">
        <x:v>Sedan</x:v>
      </x:c>
      <x:c r="H1013" s="7" t="n">
        <x:v>1199</x:v>
      </x:c>
      <x:c r="I1013" s="7" t="n">
        <x:v>85</x:v>
      </x:c>
      <x:c r="J1013" s="9" t="n">
        <x:v>19.6</x:v>
      </x:c>
      <x:c r="K1013" s="9" t="n">
        <x:v>8.3</x:v>
      </x:c>
      <x:c r="L1013" s="7" t="n">
        <x:v>2024</x:v>
      </x:c>
      <x:c r="M1013" s="11" t="n">
        <x:v>24892</x:v>
      </x:c>
      <x:c r="N1013" s="7" t="n">
        <x:v>1</x:v>
      </x:c>
      <x:c r="O1013" s="7" t="n">
        <x:v>0</x:v>
      </x:c>
      <x:c r="P1013" s="9" t="n">
        <x:v>6.61</x:v>
      </x:c>
      <x:c r="Q1013" s="7" t="n">
        <x:f>'Guide'!$B$5-L1013</x:f>
        <x:v>2</x:v>
      </x:c>
      <x:c r="R1013" s="9" t="n">
        <x:f>K1013-P1013</x:f>
        <x:v>1.6900000000000004</x:v>
      </x:c>
      <x:c r="S1013" s="10" t="n">
        <x:f>IF(K1013&gt;0,R1013/K1013,"")</x:f>
        <x:v>0.20361445783132534</x:v>
      </x:c>
    </x:row>
    <x:row r="1014">
      <x:c r="A1014" s="7" t="n">
        <x:v>1010</x:v>
      </x:c>
      <x:c r="B1014" s="7" t="str">
        <x:v>Tata</x:v>
      </x:c>
      <x:c r="C1014" s="7" t="str">
        <x:v>Tigor</x:v>
      </x:c>
      <x:c r="D1014" s="7" t="str">
        <x:v>XZA</x:v>
      </x:c>
      <x:c r="E1014" s="7" t="str">
        <x:v>Petrol</x:v>
      </x:c>
      <x:c r="F1014" s="7" t="str">
        <x:v>Automatic</x:v>
      </x:c>
      <x:c r="G1014" s="7" t="str">
        <x:v>Sedan</x:v>
      </x:c>
      <x:c r="H1014" s="7" t="n">
        <x:v>1199</x:v>
      </x:c>
      <x:c r="I1014" s="7" t="n">
        <x:v>85</x:v>
      </x:c>
      <x:c r="J1014" s="9" t="n">
        <x:v>19.6</x:v>
      </x:c>
      <x:c r="K1014" s="9" t="n">
        <x:v>8.3</x:v>
      </x:c>
      <x:c r="L1014" s="7" t="n">
        <x:v>2024</x:v>
      </x:c>
      <x:c r="M1014" s="11" t="n">
        <x:v>42514</x:v>
      </x:c>
      <x:c r="N1014" s="7" t="n">
        <x:v>1</x:v>
      </x:c>
      <x:c r="O1014" s="7" t="n">
        <x:v>0</x:v>
      </x:c>
      <x:c r="P1014" s="9" t="n">
        <x:v>6.9</x:v>
      </x:c>
      <x:c r="Q1014" s="7" t="n">
        <x:f>'Guide'!$B$5-L1014</x:f>
        <x:v>2</x:v>
      </x:c>
      <x:c r="R1014" s="9" t="n">
        <x:f>K1014-P1014</x:f>
        <x:v>1.4000000000000004</x:v>
      </x:c>
      <x:c r="S1014" s="10" t="n">
        <x:f>IF(K1014&gt;0,R1014/K1014,"")</x:f>
        <x:v>0.16867469879518074</x:v>
      </x:c>
    </x:row>
    <x:row r="1015">
      <x:c r="A1015" s="7" t="n">
        <x:v>1011</x:v>
      </x:c>
      <x:c r="B1015" s="7" t="str">
        <x:v>Tata</x:v>
      </x:c>
      <x:c r="C1015" s="7" t="str">
        <x:v>Tigor</x:v>
      </x:c>
      <x:c r="D1015" s="7" t="str">
        <x:v>XZA</x:v>
      </x:c>
      <x:c r="E1015" s="7" t="str">
        <x:v>Petrol</x:v>
      </x:c>
      <x:c r="F1015" s="7" t="str">
        <x:v>Automatic</x:v>
      </x:c>
      <x:c r="G1015" s="7" t="str">
        <x:v>Sedan</x:v>
      </x:c>
      <x:c r="H1015" s="7" t="n">
        <x:v>1199</x:v>
      </x:c>
      <x:c r="I1015" s="7" t="n">
        <x:v>85</x:v>
      </x:c>
      <x:c r="J1015" s="9" t="n">
        <x:v>19.6</x:v>
      </x:c>
      <x:c r="K1015" s="9" t="n">
        <x:v>8.3</x:v>
      </x:c>
      <x:c r="L1015" s="7" t="n">
        <x:v>2021</x:v>
      </x:c>
      <x:c r="M1015" s="11" t="n">
        <x:v>103671</x:v>
      </x:c>
      <x:c r="N1015" s="7" t="n">
        <x:v>1</x:v>
      </x:c>
      <x:c r="O1015" s="7" t="n">
        <x:v>0</x:v>
      </x:c>
      <x:c r="P1015" s="9" t="n">
        <x:v>3.62</x:v>
      </x:c>
      <x:c r="Q1015" s="7" t="n">
        <x:f>'Guide'!$B$5-L1015</x:f>
        <x:v>5</x:v>
      </x:c>
      <x:c r="R1015" s="9" t="n">
        <x:f>K1015-P1015</x:f>
        <x:v>4.680000000000001</x:v>
      </x:c>
      <x:c r="S1015" s="10" t="n">
        <x:f>IF(K1015&gt;0,R1015/K1015,"")</x:f>
        <x:v>0.563855421686747</x:v>
      </x:c>
    </x:row>
    <x:row r="1016">
      <x:c r="A1016" s="7" t="n">
        <x:v>1012</x:v>
      </x:c>
      <x:c r="B1016" s="7" t="str">
        <x:v>Tata</x:v>
      </x:c>
      <x:c r="C1016" s="7" t="str">
        <x:v>Tigor</x:v>
      </x:c>
      <x:c r="D1016" s="7" t="str">
        <x:v>XZA</x:v>
      </x:c>
      <x:c r="E1016" s="7" t="str">
        <x:v>Petrol</x:v>
      </x:c>
      <x:c r="F1016" s="7" t="str">
        <x:v>Automatic</x:v>
      </x:c>
      <x:c r="G1016" s="7" t="str">
        <x:v>Sedan</x:v>
      </x:c>
      <x:c r="H1016" s="7" t="n">
        <x:v>1199</x:v>
      </x:c>
      <x:c r="I1016" s="7" t="n">
        <x:v>85</x:v>
      </x:c>
      <x:c r="J1016" s="9" t="n">
        <x:v>19.6</x:v>
      </x:c>
      <x:c r="K1016" s="9" t="n">
        <x:v>8.3</x:v>
      </x:c>
      <x:c r="L1016" s="7" t="n">
        <x:v>2022</x:v>
      </x:c>
      <x:c r="M1016" s="11" t="n">
        <x:v>66273</x:v>
      </x:c>
      <x:c r="N1016" s="7" t="n">
        <x:v>1</x:v>
      </x:c>
      <x:c r="O1016" s="7" t="n">
        <x:v>0</x:v>
      </x:c>
      <x:c r="P1016" s="9" t="n">
        <x:v>5.31</x:v>
      </x:c>
      <x:c r="Q1016" s="7" t="n">
        <x:f>'Guide'!$B$5-L1016</x:f>
        <x:v>4</x:v>
      </x:c>
      <x:c r="R1016" s="9" t="n">
        <x:f>K1016-P1016</x:f>
        <x:v>2.990000000000001</x:v>
      </x:c>
      <x:c r="S1016" s="10" t="n">
        <x:f>IF(K1016&gt;0,R1016/K1016,"")</x:f>
        <x:v>0.3602409638554218</x:v>
      </x:c>
    </x:row>
    <x:row r="1017">
      <x:c r="A1017" s="7" t="n">
        <x:v>1013</x:v>
      </x:c>
      <x:c r="B1017" s="7" t="str">
        <x:v>Tata</x:v>
      </x:c>
      <x:c r="C1017" s="7" t="str">
        <x:v>Tigor</x:v>
      </x:c>
      <x:c r="D1017" s="7" t="str">
        <x:v>XZA</x:v>
      </x:c>
      <x:c r="E1017" s="7" t="str">
        <x:v>Petrol</x:v>
      </x:c>
      <x:c r="F1017" s="7" t="str">
        <x:v>Automatic</x:v>
      </x:c>
      <x:c r="G1017" s="7" t="str">
        <x:v>Sedan</x:v>
      </x:c>
      <x:c r="H1017" s="7" t="n">
        <x:v>1199</x:v>
      </x:c>
      <x:c r="I1017" s="7" t="n">
        <x:v>85</x:v>
      </x:c>
      <x:c r="J1017" s="9" t="n">
        <x:v>19.6</x:v>
      </x:c>
      <x:c r="K1017" s="9" t="n">
        <x:v>8.3</x:v>
      </x:c>
      <x:c r="L1017" s="7" t="n">
        <x:v>2024</x:v>
      </x:c>
      <x:c r="M1017" s="11" t="n">
        <x:v>23331</x:v>
      </x:c>
      <x:c r="N1017" s="7" t="n">
        <x:v>1</x:v>
      </x:c>
      <x:c r="O1017" s="7" t="n">
        <x:v>0</x:v>
      </x:c>
      <x:c r="P1017" s="9" t="n">
        <x:v>6.59</x:v>
      </x:c>
      <x:c r="Q1017" s="7" t="n">
        <x:f>'Guide'!$B$5-L1017</x:f>
        <x:v>2</x:v>
      </x:c>
      <x:c r="R1017" s="9" t="n">
        <x:f>K1017-P1017</x:f>
        <x:v>1.7100000000000009</x:v>
      </x:c>
      <x:c r="S1017" s="10" t="n">
        <x:f>IF(K1017&gt;0,R1017/K1017,"")</x:f>
        <x:v>0.20602409638554225</x:v>
      </x:c>
    </x:row>
    <x:row r="1018">
      <x:c r="A1018" s="7" t="n">
        <x:v>1014</x:v>
      </x:c>
      <x:c r="B1018" s="7" t="str">
        <x:v>Tata</x:v>
      </x:c>
      <x:c r="C1018" s="7" t="str">
        <x:v>Tigor</x:v>
      </x:c>
      <x:c r="D1018" s="7" t="str">
        <x:v>XZA</x:v>
      </x:c>
      <x:c r="E1018" s="7" t="str">
        <x:v>Petrol</x:v>
      </x:c>
      <x:c r="F1018" s="7" t="str">
        <x:v>Automatic</x:v>
      </x:c>
      <x:c r="G1018" s="7" t="str">
        <x:v>Sedan</x:v>
      </x:c>
      <x:c r="H1018" s="7" t="n">
        <x:v>1199</x:v>
      </x:c>
      <x:c r="I1018" s="7" t="n">
        <x:v>85</x:v>
      </x:c>
      <x:c r="J1018" s="9" t="n">
        <x:v>19.6</x:v>
      </x:c>
      <x:c r="K1018" s="9" t="n">
        <x:v>8.3</x:v>
      </x:c>
      <x:c r="L1018" s="7" t="n">
        <x:v>2020</x:v>
      </x:c>
      <x:c r="M1018" s="11" t="n">
        <x:v>74657</x:v>
      </x:c>
      <x:c r="N1018" s="7" t="n">
        <x:v>1</x:v>
      </x:c>
      <x:c r="O1018" s="7" t="n">
        <x:v>0</x:v>
      </x:c>
      <x:c r="P1018" s="9" t="n">
        <x:v>3.58</x:v>
      </x:c>
      <x:c r="Q1018" s="7" t="n">
        <x:f>'Guide'!$B$5-L1018</x:f>
        <x:v>6</x:v>
      </x:c>
      <x:c r="R1018" s="9" t="n">
        <x:f>K1018-P1018</x:f>
        <x:v>4.720000000000001</x:v>
      </x:c>
      <x:c r="S1018" s="10" t="n">
        <x:f>IF(K1018&gt;0,R1018/K1018,"")</x:f>
        <x:v>0.5686746987951807</x:v>
      </x:c>
    </x:row>
    <x:row r="1019">
      <x:c r="A1019" s="7" t="n">
        <x:v>1015</x:v>
      </x:c>
      <x:c r="B1019" s="7" t="str">
        <x:v>Tata</x:v>
      </x:c>
      <x:c r="C1019" s="7" t="str">
        <x:v>Tigor</x:v>
      </x:c>
      <x:c r="D1019" s="7" t="str">
        <x:v>XZA</x:v>
      </x:c>
      <x:c r="E1019" s="7" t="str">
        <x:v>Petrol</x:v>
      </x:c>
      <x:c r="F1019" s="7" t="str">
        <x:v>Automatic</x:v>
      </x:c>
      <x:c r="G1019" s="7" t="str">
        <x:v>Sedan</x:v>
      </x:c>
      <x:c r="H1019" s="7" t="n">
        <x:v>1199</x:v>
      </x:c>
      <x:c r="I1019" s="7" t="n">
        <x:v>85</x:v>
      </x:c>
      <x:c r="J1019" s="9" t="n">
        <x:v>19.6</x:v>
      </x:c>
      <x:c r="K1019" s="9" t="n">
        <x:v>8.3</x:v>
      </x:c>
      <x:c r="L1019" s="7" t="n">
        <x:v>2021</x:v>
      </x:c>
      <x:c r="M1019" s="11" t="n">
        <x:v>67642</x:v>
      </x:c>
      <x:c r="N1019" s="7" t="n">
        <x:v>1</x:v>
      </x:c>
      <x:c r="O1019" s="7" t="n">
        <x:v>1</x:v>
      </x:c>
      <x:c r="P1019" s="9" t="n">
        <x:v>3.72</x:v>
      </x:c>
      <x:c r="Q1019" s="7" t="n">
        <x:f>'Guide'!$B$5-L1019</x:f>
        <x:v>5</x:v>
      </x:c>
      <x:c r="R1019" s="9" t="n">
        <x:f>K1019-P1019</x:f>
        <x:v>4.58</x:v>
      </x:c>
      <x:c r="S1019" s="10" t="n">
        <x:f>IF(K1019&gt;0,R1019/K1019,"")</x:f>
        <x:v>0.5518072289156626</x:v>
      </x:c>
    </x:row>
    <x:row r="1020">
      <x:c r="A1020" s="7" t="n">
        <x:v>1016</x:v>
      </x:c>
      <x:c r="B1020" s="7" t="str">
        <x:v>Tata</x:v>
      </x:c>
      <x:c r="C1020" s="7" t="str">
        <x:v>Tigor</x:v>
      </x:c>
      <x:c r="D1020" s="7" t="str">
        <x:v>XZA</x:v>
      </x:c>
      <x:c r="E1020" s="7" t="str">
        <x:v>Petrol</x:v>
      </x:c>
      <x:c r="F1020" s="7" t="str">
        <x:v>Automatic</x:v>
      </x:c>
      <x:c r="G1020" s="7" t="str">
        <x:v>Sedan</x:v>
      </x:c>
      <x:c r="H1020" s="7" t="n">
        <x:v>1199</x:v>
      </x:c>
      <x:c r="I1020" s="7" t="n">
        <x:v>85</x:v>
      </x:c>
      <x:c r="J1020" s="9" t="n">
        <x:v>19.6</x:v>
      </x:c>
      <x:c r="K1020" s="9" t="n">
        <x:v>8.3</x:v>
      </x:c>
      <x:c r="L1020" s="7" t="n">
        <x:v>2021</x:v>
      </x:c>
      <x:c r="M1020" s="11" t="n">
        <x:v>66158</x:v>
      </x:c>
      <x:c r="N1020" s="7" t="n">
        <x:v>1</x:v>
      </x:c>
      <x:c r="O1020" s="7" t="n">
        <x:v>0</x:v>
      </x:c>
      <x:c r="P1020" s="9" t="n">
        <x:v>4.22</x:v>
      </x:c>
      <x:c r="Q1020" s="7" t="n">
        <x:f>'Guide'!$B$5-L1020</x:f>
        <x:v>5</x:v>
      </x:c>
      <x:c r="R1020" s="9" t="n">
        <x:f>K1020-P1020</x:f>
        <x:v>4.080000000000001</x:v>
      </x:c>
      <x:c r="S1020" s="10" t="n">
        <x:f>IF(K1020&gt;0,R1020/K1020,"")</x:f>
        <x:v>0.49156626506024104</x:v>
      </x:c>
    </x:row>
    <x:row r="1021">
      <x:c r="A1021" s="7" t="n">
        <x:v>1017</x:v>
      </x:c>
      <x:c r="B1021" s="7" t="str">
        <x:v>Tata</x:v>
      </x:c>
      <x:c r="C1021" s="7" t="str">
        <x:v>Tigor</x:v>
      </x:c>
      <x:c r="D1021" s="7" t="str">
        <x:v>XZA</x:v>
      </x:c>
      <x:c r="E1021" s="7" t="str">
        <x:v>Petrol</x:v>
      </x:c>
      <x:c r="F1021" s="7" t="str">
        <x:v>Automatic</x:v>
      </x:c>
      <x:c r="G1021" s="7" t="str">
        <x:v>Sedan</x:v>
      </x:c>
      <x:c r="H1021" s="7" t="n">
        <x:v>1199</x:v>
      </x:c>
      <x:c r="I1021" s="7" t="n">
        <x:v>85</x:v>
      </x:c>
      <x:c r="J1021" s="9" t="n">
        <x:v>19.6</x:v>
      </x:c>
      <x:c r="K1021" s="9" t="n">
        <x:v>8.3</x:v>
      </x:c>
      <x:c r="L1021" s="7" t="n">
        <x:v>2021</x:v>
      </x:c>
      <x:c r="M1021" s="11" t="n">
        <x:v>70288</x:v>
      </x:c>
      <x:c r="N1021" s="7" t="n">
        <x:v>2</x:v>
      </x:c>
      <x:c r="O1021" s="7" t="n">
        <x:v>0</x:v>
      </x:c>
      <x:c r="P1021" s="9" t="n">
        <x:v>3.7</x:v>
      </x:c>
      <x:c r="Q1021" s="7" t="n">
        <x:f>'Guide'!$B$5-L1021</x:f>
        <x:v>5</x:v>
      </x:c>
      <x:c r="R1021" s="9" t="n">
        <x:f>K1021-P1021</x:f>
        <x:v>4.6000000000000005</x:v>
      </x:c>
      <x:c r="S1021" s="10" t="n">
        <x:f>IF(K1021&gt;0,R1021/K1021,"")</x:f>
        <x:v>0.5542168674698795</x:v>
      </x:c>
    </x:row>
    <x:row r="1022">
      <x:c r="A1022" s="7" t="n">
        <x:v>1018</x:v>
      </x:c>
      <x:c r="B1022" s="7" t="str">
        <x:v>Tata</x:v>
      </x:c>
      <x:c r="C1022" s="7" t="str">
        <x:v>Tigor</x:v>
      </x:c>
      <x:c r="D1022" s="7" t="str">
        <x:v>XZA</x:v>
      </x:c>
      <x:c r="E1022" s="7" t="str">
        <x:v>Petrol</x:v>
      </x:c>
      <x:c r="F1022" s="7" t="str">
        <x:v>Automatic</x:v>
      </x:c>
      <x:c r="G1022" s="7" t="str">
        <x:v>Sedan</x:v>
      </x:c>
      <x:c r="H1022" s="7" t="n">
        <x:v>1199</x:v>
      </x:c>
      <x:c r="I1022" s="7" t="n">
        <x:v>85</x:v>
      </x:c>
      <x:c r="J1022" s="9" t="n">
        <x:v>19.6</x:v>
      </x:c>
      <x:c r="K1022" s="9" t="n">
        <x:v>8.3</x:v>
      </x:c>
      <x:c r="L1022" s="7" t="n">
        <x:v>2022</x:v>
      </x:c>
      <x:c r="M1022" s="11" t="n">
        <x:v>77232</x:v>
      </x:c>
      <x:c r="N1022" s="7" t="n">
        <x:v>1</x:v>
      </x:c>
      <x:c r="O1022" s="7" t="n">
        <x:v>0</x:v>
      </x:c>
      <x:c r="P1022" s="9" t="n">
        <x:v>4.54</x:v>
      </x:c>
      <x:c r="Q1022" s="7" t="n">
        <x:f>'Guide'!$B$5-L1022</x:f>
        <x:v>4</x:v>
      </x:c>
      <x:c r="R1022" s="9" t="n">
        <x:f>K1022-P1022</x:f>
        <x:v>3.7600000000000007</x:v>
      </x:c>
      <x:c r="S1022" s="10" t="n">
        <x:f>IF(K1022&gt;0,R1022/K1022,"")</x:f>
        <x:v>0.45301204819277113</x:v>
      </x:c>
    </x:row>
    <x:row r="1023">
      <x:c r="A1023" s="7" t="n">
        <x:v>1019</x:v>
      </x:c>
      <x:c r="B1023" s="7" t="str">
        <x:v>Tata</x:v>
      </x:c>
      <x:c r="C1023" s="7" t="str">
        <x:v>Tigor</x:v>
      </x:c>
      <x:c r="D1023" s="7" t="str">
        <x:v>XZA</x:v>
      </x:c>
      <x:c r="E1023" s="7" t="str">
        <x:v>Petrol</x:v>
      </x:c>
      <x:c r="F1023" s="7" t="str">
        <x:v>Automatic</x:v>
      </x:c>
      <x:c r="G1023" s="7" t="str">
        <x:v>Sedan</x:v>
      </x:c>
      <x:c r="H1023" s="7" t="n">
        <x:v>1199</x:v>
      </x:c>
      <x:c r="I1023" s="7" t="n">
        <x:v>85</x:v>
      </x:c>
      <x:c r="J1023" s="9" t="n">
        <x:v>19.6</x:v>
      </x:c>
      <x:c r="K1023" s="9" t="n">
        <x:v>8.3</x:v>
      </x:c>
      <x:c r="L1023" s="7" t="n">
        <x:v>2025</x:v>
      </x:c>
      <x:c r="M1023" s="11" t="n">
        <x:v>28822</x:v>
      </x:c>
      <x:c r="N1023" s="7" t="n">
        <x:v>1</x:v>
      </x:c>
      <x:c r="O1023" s="7" t="n">
        <x:v>0</x:v>
      </x:c>
      <x:c r="P1023" s="9" t="n">
        <x:v>7.57</x:v>
      </x:c>
      <x:c r="Q1023" s="7" t="n">
        <x:f>'Guide'!$B$5-L1023</x:f>
        <x:v>1</x:v>
      </x:c>
      <x:c r="R1023" s="9" t="n">
        <x:f>K1023-P1023</x:f>
        <x:v>0.7300000000000004</x:v>
      </x:c>
      <x:c r="S1023" s="10" t="n">
        <x:f>IF(K1023&gt;0,R1023/K1023,"")</x:f>
        <x:v>0.08795180722891571</x:v>
      </x:c>
    </x:row>
    <x:row r="1024">
      <x:c r="A1024" s="7" t="n">
        <x:v>1020</x:v>
      </x:c>
      <x:c r="B1024" s="7" t="str">
        <x:v>Tata</x:v>
      </x:c>
      <x:c r="C1024" s="7" t="str">
        <x:v>Tigor</x:v>
      </x:c>
      <x:c r="D1024" s="7" t="str">
        <x:v>XZA</x:v>
      </x:c>
      <x:c r="E1024" s="7" t="str">
        <x:v>Petrol</x:v>
      </x:c>
      <x:c r="F1024" s="7" t="str">
        <x:v>Automatic</x:v>
      </x:c>
      <x:c r="G1024" s="7" t="str">
        <x:v>Sedan</x:v>
      </x:c>
      <x:c r="H1024" s="7" t="n">
        <x:v>1199</x:v>
      </x:c>
      <x:c r="I1024" s="7" t="n">
        <x:v>85</x:v>
      </x:c>
      <x:c r="J1024" s="9" t="n">
        <x:v>19.6</x:v>
      </x:c>
      <x:c r="K1024" s="9" t="n">
        <x:v>8.3</x:v>
      </x:c>
      <x:c r="L1024" s="7" t="n">
        <x:v>2024</x:v>
      </x:c>
      <x:c r="M1024" s="11" t="n">
        <x:v>33786</x:v>
      </x:c>
      <x:c r="N1024" s="7" t="n">
        <x:v>1</x:v>
      </x:c>
      <x:c r="O1024" s="7" t="n">
        <x:v>0</x:v>
      </x:c>
      <x:c r="P1024" s="9" t="n">
        <x:v>6.7</x:v>
      </x:c>
      <x:c r="Q1024" s="7" t="n">
        <x:f>'Guide'!$B$5-L1024</x:f>
        <x:v>2</x:v>
      </x:c>
      <x:c r="R1024" s="9" t="n">
        <x:f>K1024-P1024</x:f>
        <x:v>1.6000000000000005</x:v>
      </x:c>
      <x:c r="S1024" s="10" t="n">
        <x:f>IF(K1024&gt;0,R1024/K1024,"")</x:f>
        <x:v>0.19277108433734944</x:v>
      </x:c>
    </x:row>
    <x:row r="1025">
      <x:c r="A1025" s="7" t="n">
        <x:v>1021</x:v>
      </x:c>
      <x:c r="B1025" s="7" t="str">
        <x:v>Tata</x:v>
      </x:c>
      <x:c r="C1025" s="7" t="str">
        <x:v>Tigor</x:v>
      </x:c>
      <x:c r="D1025" s="7" t="str">
        <x:v>XZA</x:v>
      </x:c>
      <x:c r="E1025" s="7" t="str">
        <x:v>Petrol</x:v>
      </x:c>
      <x:c r="F1025" s="7" t="str">
        <x:v>Automatic</x:v>
      </x:c>
      <x:c r="G1025" s="7" t="str">
        <x:v>Sedan</x:v>
      </x:c>
      <x:c r="H1025" s="7" t="n">
        <x:v>1199</x:v>
      </x:c>
      <x:c r="I1025" s="7" t="n">
        <x:v>85</x:v>
      </x:c>
      <x:c r="J1025" s="9" t="n">
        <x:v>19.6</x:v>
      </x:c>
      <x:c r="K1025" s="9" t="n">
        <x:v>8.3</x:v>
      </x:c>
      <x:c r="L1025" s="7" t="n">
        <x:v>2025</x:v>
      </x:c>
      <x:c r="M1025" s="11" t="n">
        <x:v>22877</x:v>
      </x:c>
      <x:c r="N1025" s="7" t="n">
        <x:v>1</x:v>
      </x:c>
      <x:c r="O1025" s="7" t="n">
        <x:v>0</x:v>
      </x:c>
      <x:c r="P1025" s="9" t="n">
        <x:v>7.1</x:v>
      </x:c>
      <x:c r="Q1025" s="7" t="n">
        <x:f>'Guide'!$B$5-L1025</x:f>
        <x:v>1</x:v>
      </x:c>
      <x:c r="R1025" s="9" t="n">
        <x:f>K1025-P1025</x:f>
        <x:v>1.200000000000001</x:v>
      </x:c>
      <x:c r="S1025" s="10" t="n">
        <x:f>IF(K1025&gt;0,R1025/K1025,"")</x:f>
        <x:v>0.14457831325301215</x:v>
      </x:c>
    </x:row>
    <x:row r="1026">
      <x:c r="A1026" s="7" t="n">
        <x:v>1022</x:v>
      </x:c>
      <x:c r="B1026" s="7" t="str">
        <x:v>Tata</x:v>
      </x:c>
      <x:c r="C1026" s="7" t="str">
        <x:v>Tigor</x:v>
      </x:c>
      <x:c r="D1026" s="7" t="str">
        <x:v>XZA</x:v>
      </x:c>
      <x:c r="E1026" s="7" t="str">
        <x:v>Petrol</x:v>
      </x:c>
      <x:c r="F1026" s="7" t="str">
        <x:v>Automatic</x:v>
      </x:c>
      <x:c r="G1026" s="7" t="str">
        <x:v>Sedan</x:v>
      </x:c>
      <x:c r="H1026" s="7" t="n">
        <x:v>1199</x:v>
      </x:c>
      <x:c r="I1026" s="7" t="n">
        <x:v>85</x:v>
      </x:c>
      <x:c r="J1026" s="9" t="n">
        <x:v>19.6</x:v>
      </x:c>
      <x:c r="K1026" s="9" t="n">
        <x:v>8.3</x:v>
      </x:c>
      <x:c r="L1026" s="7" t="n">
        <x:v>2025</x:v>
      </x:c>
      <x:c r="M1026" s="11" t="n">
        <x:v>14318</x:v>
      </x:c>
      <x:c r="N1026" s="7" t="n">
        <x:v>1</x:v>
      </x:c>
      <x:c r="O1026" s="7" t="n">
        <x:v>0</x:v>
      </x:c>
      <x:c r="P1026" s="9" t="n">
        <x:v>7.44</x:v>
      </x:c>
      <x:c r="Q1026" s="7" t="n">
        <x:f>'Guide'!$B$5-L1026</x:f>
        <x:v>1</x:v>
      </x:c>
      <x:c r="R1026" s="9" t="n">
        <x:f>K1026-P1026</x:f>
        <x:v>0.8600000000000003</x:v>
      </x:c>
      <x:c r="S1026" s="10" t="n">
        <x:f>IF(K1026&gt;0,R1026/K1026,"")</x:f>
        <x:v>0.10361445783132534</x:v>
      </x:c>
    </x:row>
    <x:row r="1027">
      <x:c r="A1027" s="7" t="n">
        <x:v>1023</x:v>
      </x:c>
      <x:c r="B1027" s="7" t="str">
        <x:v>Tata</x:v>
      </x:c>
      <x:c r="C1027" s="7" t="str">
        <x:v>Tigor</x:v>
      </x:c>
      <x:c r="D1027" s="7" t="str">
        <x:v>XZA</x:v>
      </x:c>
      <x:c r="E1027" s="7" t="str">
        <x:v>Petrol</x:v>
      </x:c>
      <x:c r="F1027" s="7" t="str">
        <x:v>Automatic</x:v>
      </x:c>
      <x:c r="G1027" s="7" t="str">
        <x:v>Sedan</x:v>
      </x:c>
      <x:c r="H1027" s="7" t="n">
        <x:v>1199</x:v>
      </x:c>
      <x:c r="I1027" s="7" t="n">
        <x:v>85</x:v>
      </x:c>
      <x:c r="J1027" s="9" t="n">
        <x:v>19.6</x:v>
      </x:c>
      <x:c r="K1027" s="9" t="n">
        <x:v>8.3</x:v>
      </x:c>
      <x:c r="L1027" s="7" t="n">
        <x:v>2021</x:v>
      </x:c>
      <x:c r="M1027" s="11" t="n">
        <x:v>88189</x:v>
      </x:c>
      <x:c r="N1027" s="7" t="n">
        <x:v>1</x:v>
      </x:c>
      <x:c r="O1027" s="7" t="n">
        <x:v>0</x:v>
      </x:c>
      <x:c r="P1027" s="9" t="n">
        <x:v>4.34</x:v>
      </x:c>
      <x:c r="Q1027" s="7" t="n">
        <x:f>'Guide'!$B$5-L1027</x:f>
        <x:v>5</x:v>
      </x:c>
      <x:c r="R1027" s="9" t="n">
        <x:f>K1027-P1027</x:f>
        <x:v>3.960000000000001</x:v>
      </x:c>
      <x:c r="S1027" s="10" t="n">
        <x:f>IF(K1027&gt;0,R1027/K1027,"")</x:f>
        <x:v>0.47710843373493983</x:v>
      </x:c>
    </x:row>
    <x:row r="1028">
      <x:c r="A1028" s="7" t="n">
        <x:v>1024</x:v>
      </x:c>
      <x:c r="B1028" s="7" t="str">
        <x:v>Tata</x:v>
      </x:c>
      <x:c r="C1028" s="7" t="str">
        <x:v>Tigor</x:v>
      </x:c>
      <x:c r="D1028" s="7" t="str">
        <x:v>XZA</x:v>
      </x:c>
      <x:c r="E1028" s="7" t="str">
        <x:v>Petrol</x:v>
      </x:c>
      <x:c r="F1028" s="7" t="str">
        <x:v>Automatic</x:v>
      </x:c>
      <x:c r="G1028" s="7" t="str">
        <x:v>Sedan</x:v>
      </x:c>
      <x:c r="H1028" s="7" t="n">
        <x:v>1199</x:v>
      </x:c>
      <x:c r="I1028" s="7" t="n">
        <x:v>85</x:v>
      </x:c>
      <x:c r="J1028" s="9" t="n">
        <x:v>19.6</x:v>
      </x:c>
      <x:c r="K1028" s="9" t="n">
        <x:v>8.3</x:v>
      </x:c>
      <x:c r="L1028" s="7" t="n">
        <x:v>2020</x:v>
      </x:c>
      <x:c r="M1028" s="11" t="n">
        <x:v>102240</x:v>
      </x:c>
      <x:c r="N1028" s="7" t="n">
        <x:v>1</x:v>
      </x:c>
      <x:c r="O1028" s="7" t="n">
        <x:v>0</x:v>
      </x:c>
      <x:c r="P1028" s="9" t="n">
        <x:v>3.52</x:v>
      </x:c>
      <x:c r="Q1028" s="7" t="n">
        <x:f>'Guide'!$B$5-L1028</x:f>
        <x:v>6</x:v>
      </x:c>
      <x:c r="R1028" s="9" t="n">
        <x:f>K1028-P1028</x:f>
        <x:v>4.780000000000001</x:v>
      </x:c>
      <x:c r="S1028" s="10" t="n">
        <x:f>IF(K1028&gt;0,R1028/K1028,"")</x:f>
        <x:v>0.5759036144578314</x:v>
      </x:c>
    </x:row>
    <x:row r="1029">
      <x:c r="A1029" s="7" t="n">
        <x:v>1025</x:v>
      </x:c>
      <x:c r="B1029" s="7" t="str">
        <x:v>Tata</x:v>
      </x:c>
      <x:c r="C1029" s="7" t="str">
        <x:v>Tigor</x:v>
      </x:c>
      <x:c r="D1029" s="7" t="str">
        <x:v>XZA</x:v>
      </x:c>
      <x:c r="E1029" s="7" t="str">
        <x:v>Petrol</x:v>
      </x:c>
      <x:c r="F1029" s="7" t="str">
        <x:v>Automatic</x:v>
      </x:c>
      <x:c r="G1029" s="7" t="str">
        <x:v>Sedan</x:v>
      </x:c>
      <x:c r="H1029" s="7" t="n">
        <x:v>1199</x:v>
      </x:c>
      <x:c r="I1029" s="7" t="n">
        <x:v>85</x:v>
      </x:c>
      <x:c r="J1029" s="9" t="n">
        <x:v>19.6</x:v>
      </x:c>
      <x:c r="K1029" s="9" t="n">
        <x:v>8.3</x:v>
      </x:c>
      <x:c r="L1029" s="7" t="n">
        <x:v>2026</x:v>
      </x:c>
      <x:c r="M1029" s="11" t="n">
        <x:v>7659</x:v>
      </x:c>
      <x:c r="N1029" s="7" t="n">
        <x:v>1</x:v>
      </x:c>
      <x:c r="O1029" s="7" t="n">
        <x:v>0</x:v>
      </x:c>
      <x:c r="P1029" s="9" t="n">
        <x:v>8.36</x:v>
      </x:c>
      <x:c r="Q1029" s="7" t="n">
        <x:f>'Guide'!$B$5-L1029</x:f>
        <x:v>0</x:v>
      </x:c>
      <x:c r="R1029" s="9" t="n">
        <x:f>K1029-P1029</x:f>
        <x:v>-0.05999999999999872</x:v>
      </x:c>
      <x:c r="S1029" s="10" t="n">
        <x:f>IF(K1029&gt;0,R1029/K1029,"")</x:f>
        <x:v>-0.007228915662650447</x:v>
      </x:c>
    </x:row>
    <x:row r="1030">
      <x:c r="A1030" s="7" t="n">
        <x:v>1026</x:v>
      </x:c>
      <x:c r="B1030" s="7" t="str">
        <x:v>Tata</x:v>
      </x:c>
      <x:c r="C1030" s="7" t="str">
        <x:v>Tigor</x:v>
      </x:c>
      <x:c r="D1030" s="7" t="str">
        <x:v>XZA</x:v>
      </x:c>
      <x:c r="E1030" s="7" t="str">
        <x:v>Petrol</x:v>
      </x:c>
      <x:c r="F1030" s="7" t="str">
        <x:v>Automatic</x:v>
      </x:c>
      <x:c r="G1030" s="7" t="str">
        <x:v>Sedan</x:v>
      </x:c>
      <x:c r="H1030" s="7" t="n">
        <x:v>1199</x:v>
      </x:c>
      <x:c r="I1030" s="7" t="n">
        <x:v>85</x:v>
      </x:c>
      <x:c r="J1030" s="9" t="n">
        <x:v>19.6</x:v>
      </x:c>
      <x:c r="K1030" s="9" t="n">
        <x:v>8.3</x:v>
      </x:c>
      <x:c r="L1030" s="7" t="n">
        <x:v>2024</x:v>
      </x:c>
      <x:c r="M1030" s="11" t="n">
        <x:v>45002</x:v>
      </x:c>
      <x:c r="N1030" s="7" t="n">
        <x:v>2</x:v>
      </x:c>
      <x:c r="O1030" s="7" t="n">
        <x:v>0</x:v>
      </x:c>
      <x:c r="P1030" s="9" t="n">
        <x:v>6.02</x:v>
      </x:c>
      <x:c r="Q1030" s="7" t="n">
        <x:f>'Guide'!$B$5-L1030</x:f>
        <x:v>2</x:v>
      </x:c>
      <x:c r="R1030" s="9" t="n">
        <x:f>K1030-P1030</x:f>
        <x:v>2.280000000000001</x:v>
      </x:c>
      <x:c r="S1030" s="10" t="n">
        <x:f>IF(K1030&gt;0,R1030/K1030,"")</x:f>
        <x:v>0.274698795180723</x:v>
      </x:c>
    </x:row>
    <x:row r="1031">
      <x:c r="A1031" s="7" t="n">
        <x:v>1027</x:v>
      </x:c>
      <x:c r="B1031" s="7" t="str">
        <x:v>Tata</x:v>
      </x:c>
      <x:c r="C1031" s="7" t="str">
        <x:v>Tigor</x:v>
      </x:c>
      <x:c r="D1031" s="7" t="str">
        <x:v>XZA</x:v>
      </x:c>
      <x:c r="E1031" s="7" t="str">
        <x:v>Petrol</x:v>
      </x:c>
      <x:c r="F1031" s="7" t="str">
        <x:v>Automatic</x:v>
      </x:c>
      <x:c r="G1031" s="7" t="str">
        <x:v>Sedan</x:v>
      </x:c>
      <x:c r="H1031" s="7" t="n">
        <x:v>1199</x:v>
      </x:c>
      <x:c r="I1031" s="7" t="n">
        <x:v>85</x:v>
      </x:c>
      <x:c r="J1031" s="9" t="n">
        <x:v>19.6</x:v>
      </x:c>
      <x:c r="K1031" s="9" t="n">
        <x:v>8.3</x:v>
      </x:c>
      <x:c r="L1031" s="7" t="n">
        <x:v>2024</x:v>
      </x:c>
      <x:c r="M1031" s="11" t="n">
        <x:v>36657</x:v>
      </x:c>
      <x:c r="N1031" s="7" t="n">
        <x:v>1</x:v>
      </x:c>
      <x:c r="O1031" s="7" t="n">
        <x:v>1</x:v>
      </x:c>
      <x:c r="P1031" s="9" t="n">
        <x:v>5.55</x:v>
      </x:c>
      <x:c r="Q1031" s="7" t="n">
        <x:f>'Guide'!$B$5-L1031</x:f>
        <x:v>2</x:v>
      </x:c>
      <x:c r="R1031" s="9" t="n">
        <x:f>K1031-P1031</x:f>
        <x:v>2.750000000000001</x:v>
      </x:c>
      <x:c r="S1031" s="10" t="n">
        <x:f>IF(K1031&gt;0,R1031/K1031,"")</x:f>
        <x:v>0.33132530120481934</x:v>
      </x:c>
    </x:row>
    <x:row r="1032">
      <x:c r="A1032" s="7" t="n">
        <x:v>1028</x:v>
      </x:c>
      <x:c r="B1032" s="7" t="str">
        <x:v>Tata</x:v>
      </x:c>
      <x:c r="C1032" s="7" t="str">
        <x:v>Tigor</x:v>
      </x:c>
      <x:c r="D1032" s="7" t="str">
        <x:v>XZA</x:v>
      </x:c>
      <x:c r="E1032" s="7" t="str">
        <x:v>Petrol</x:v>
      </x:c>
      <x:c r="F1032" s="7" t="str">
        <x:v>Automatic</x:v>
      </x:c>
      <x:c r="G1032" s="7" t="str">
        <x:v>Sedan</x:v>
      </x:c>
      <x:c r="H1032" s="7" t="n">
        <x:v>1199</x:v>
      </x:c>
      <x:c r="I1032" s="7" t="n">
        <x:v>85</x:v>
      </x:c>
      <x:c r="J1032" s="9" t="n">
        <x:v>19.6</x:v>
      </x:c>
      <x:c r="K1032" s="9" t="n">
        <x:v>8.3</x:v>
      </x:c>
      <x:c r="L1032" s="7" t="n">
        <x:v>2026</x:v>
      </x:c>
      <x:c r="M1032" s="11" t="n">
        <x:v>9838</x:v>
      </x:c>
      <x:c r="N1032" s="7" t="n">
        <x:v>1</x:v>
      </x:c>
      <x:c r="O1032" s="7" t="n">
        <x:v>0</x:v>
      </x:c>
      <x:c r="P1032" s="9" t="n">
        <x:v>8.47</x:v>
      </x:c>
      <x:c r="Q1032" s="7" t="n">
        <x:f>'Guide'!$B$5-L1032</x:f>
        <x:v>0</x:v>
      </x:c>
      <x:c r="R1032" s="9" t="n">
        <x:f>K1032-P1032</x:f>
        <x:v>-0.16999999999999993</x:v>
      </x:c>
      <x:c r="S1032" s="10" t="n">
        <x:f>IF(K1032&gt;0,R1032/K1032,"")</x:f>
        <x:v>-0.020481927710843364</x:v>
      </x:c>
    </x:row>
    <x:row r="1033">
      <x:c r="A1033" s="7" t="n">
        <x:v>1029</x:v>
      </x:c>
      <x:c r="B1033" s="7" t="str">
        <x:v>Tata</x:v>
      </x:c>
      <x:c r="C1033" s="7" t="str">
        <x:v>Tigor</x:v>
      </x:c>
      <x:c r="D1033" s="7" t="str">
        <x:v>XZA</x:v>
      </x:c>
      <x:c r="E1033" s="7" t="str">
        <x:v>Petrol</x:v>
      </x:c>
      <x:c r="F1033" s="7" t="str">
        <x:v>Automatic</x:v>
      </x:c>
      <x:c r="G1033" s="7" t="str">
        <x:v>Sedan</x:v>
      </x:c>
      <x:c r="H1033" s="7" t="n">
        <x:v>1199</x:v>
      </x:c>
      <x:c r="I1033" s="7" t="n">
        <x:v>85</x:v>
      </x:c>
      <x:c r="J1033" s="9" t="n">
        <x:v>19.6</x:v>
      </x:c>
      <x:c r="K1033" s="9" t="n">
        <x:v>8.3</x:v>
      </x:c>
      <x:c r="L1033" s="7" t="n">
        <x:v>2023</x:v>
      </x:c>
      <x:c r="M1033" s="11" t="n">
        <x:v>68619</x:v>
      </x:c>
      <x:c r="N1033" s="7" t="n">
        <x:v>2</x:v>
      </x:c>
      <x:c r="O1033" s="7" t="n">
        <x:v>0</x:v>
      </x:c>
      <x:c r="P1033" s="9" t="n">
        <x:v>5.48</x:v>
      </x:c>
      <x:c r="Q1033" s="7" t="n">
        <x:f>'Guide'!$B$5-L1033</x:f>
        <x:v>3</x:v>
      </x:c>
      <x:c r="R1033" s="9" t="n">
        <x:f>K1033-P1033</x:f>
        <x:v>2.8200000000000003</x:v>
      </x:c>
      <x:c r="S1033" s="10" t="n">
        <x:f>IF(K1033&gt;0,R1033/K1033,"")</x:f>
        <x:v>0.3397590361445783</x:v>
      </x:c>
    </x:row>
    <x:row r="1034">
      <x:c r="A1034" s="7" t="n">
        <x:v>1030</x:v>
      </x:c>
      <x:c r="B1034" s="7" t="str">
        <x:v>Tata</x:v>
      </x:c>
      <x:c r="C1034" s="7" t="str">
        <x:v>Tigor</x:v>
      </x:c>
      <x:c r="D1034" s="7" t="str">
        <x:v>XZA</x:v>
      </x:c>
      <x:c r="E1034" s="7" t="str">
        <x:v>Petrol</x:v>
      </x:c>
      <x:c r="F1034" s="7" t="str">
        <x:v>Automatic</x:v>
      </x:c>
      <x:c r="G1034" s="7" t="str">
        <x:v>Sedan</x:v>
      </x:c>
      <x:c r="H1034" s="7" t="n">
        <x:v>1199</x:v>
      </x:c>
      <x:c r="I1034" s="7" t="n">
        <x:v>85</x:v>
      </x:c>
      <x:c r="J1034" s="9" t="n">
        <x:v>19.6</x:v>
      </x:c>
      <x:c r="K1034" s="9" t="n">
        <x:v>8.3</x:v>
      </x:c>
      <x:c r="L1034" s="7" t="n">
        <x:v>2024</x:v>
      </x:c>
      <x:c r="M1034" s="11" t="n">
        <x:v>33704</x:v>
      </x:c>
      <x:c r="N1034" s="7" t="n">
        <x:v>1</x:v>
      </x:c>
      <x:c r="O1034" s="7" t="n">
        <x:v>0</x:v>
      </x:c>
      <x:c r="P1034" s="9" t="n">
        <x:v>6.46</x:v>
      </x:c>
      <x:c r="Q1034" s="7" t="n">
        <x:f>'Guide'!$B$5-L1034</x:f>
        <x:v>2</x:v>
      </x:c>
      <x:c r="R1034" s="9" t="n">
        <x:f>K1034-P1034</x:f>
        <x:v>1.8400000000000007</x:v>
      </x:c>
      <x:c r="S1034" s="10" t="n">
        <x:f>IF(K1034&gt;0,R1034/K1034,"")</x:f>
        <x:v>0.22168674698795188</x:v>
      </x:c>
    </x:row>
    <x:row r="1035">
      <x:c r="A1035" s="7" t="n">
        <x:v>1031</x:v>
      </x:c>
      <x:c r="B1035" s="7" t="str">
        <x:v>Tata</x:v>
      </x:c>
      <x:c r="C1035" s="7" t="str">
        <x:v>Tigor</x:v>
      </x:c>
      <x:c r="D1035" s="7" t="str">
        <x:v>XZA</x:v>
      </x:c>
      <x:c r="E1035" s="7" t="str">
        <x:v>Petrol</x:v>
      </x:c>
      <x:c r="F1035" s="7" t="str">
        <x:v>Automatic</x:v>
      </x:c>
      <x:c r="G1035" s="7" t="str">
        <x:v>Sedan</x:v>
      </x:c>
      <x:c r="H1035" s="7" t="n">
        <x:v>1199</x:v>
      </x:c>
      <x:c r="I1035" s="7" t="n">
        <x:v>85</x:v>
      </x:c>
      <x:c r="J1035" s="9" t="n">
        <x:v>19.6</x:v>
      </x:c>
      <x:c r="K1035" s="9" t="n">
        <x:v>8.3</x:v>
      </x:c>
      <x:c r="L1035" s="7" t="n">
        <x:v>2024</x:v>
      </x:c>
      <x:c r="M1035" s="11" t="n">
        <x:v>41286</x:v>
      </x:c>
      <x:c r="N1035" s="7" t="n">
        <x:v>3</x:v>
      </x:c>
      <x:c r="O1035" s="7" t="n">
        <x:v>0</x:v>
      </x:c>
      <x:c r="P1035" s="9" t="n">
        <x:v>5.53</x:v>
      </x:c>
      <x:c r="Q1035" s="7" t="n">
        <x:f>'Guide'!$B$5-L1035</x:f>
        <x:v>2</x:v>
      </x:c>
      <x:c r="R1035" s="9" t="n">
        <x:f>K1035-P1035</x:f>
        <x:v>2.7700000000000005</x:v>
      </x:c>
      <x:c r="S1035" s="10" t="n">
        <x:f>IF(K1035&gt;0,R1035/K1035,"")</x:f>
        <x:v>0.3337349397590362</x:v>
      </x:c>
    </x:row>
    <x:row r="1036">
      <x:c r="A1036" s="7" t="n">
        <x:v>1032</x:v>
      </x:c>
      <x:c r="B1036" s="7" t="str">
        <x:v>Tata</x:v>
      </x:c>
      <x:c r="C1036" s="7" t="str">
        <x:v>Tigor</x:v>
      </x:c>
      <x:c r="D1036" s="7" t="str">
        <x:v>XZA</x:v>
      </x:c>
      <x:c r="E1036" s="7" t="str">
        <x:v>Petrol</x:v>
      </x:c>
      <x:c r="F1036" s="7" t="str">
        <x:v>Automatic</x:v>
      </x:c>
      <x:c r="G1036" s="7" t="str">
        <x:v>Sedan</x:v>
      </x:c>
      <x:c r="H1036" s="7" t="n">
        <x:v>1199</x:v>
      </x:c>
      <x:c r="I1036" s="7" t="n">
        <x:v>85</x:v>
      </x:c>
      <x:c r="J1036" s="9" t="n">
        <x:v>19.6</x:v>
      </x:c>
      <x:c r="K1036" s="9" t="n">
        <x:v>8.3</x:v>
      </x:c>
      <x:c r="L1036" s="7" t="n">
        <x:v>2025</x:v>
      </x:c>
      <x:c r="M1036" s="11" t="n">
        <x:v>25969</x:v>
      </x:c>
      <x:c r="N1036" s="7" t="n">
        <x:v>1</x:v>
      </x:c>
      <x:c r="O1036" s="7" t="n">
        <x:v>0</x:v>
      </x:c>
      <x:c r="P1036" s="9" t="n">
        <x:v>7.61</x:v>
      </x:c>
      <x:c r="Q1036" s="7" t="n">
        <x:f>'Guide'!$B$5-L1036</x:f>
        <x:v>1</x:v>
      </x:c>
      <x:c r="R1036" s="9" t="n">
        <x:f>K1036-P1036</x:f>
        <x:v>0.6900000000000004</x:v>
      </x:c>
      <x:c r="S1036" s="10" t="n">
        <x:f>IF(K1036&gt;0,R1036/K1036,"")</x:f>
        <x:v>0.08313253012048197</x:v>
      </x:c>
    </x:row>
    <x:row r="1037">
      <x:c r="A1037" s="7" t="n">
        <x:v>1033</x:v>
      </x:c>
      <x:c r="B1037" s="7" t="str">
        <x:v>Tata</x:v>
      </x:c>
      <x:c r="C1037" s="7" t="str">
        <x:v>Tigor</x:v>
      </x:c>
      <x:c r="D1037" s="7" t="str">
        <x:v>XZA</x:v>
      </x:c>
      <x:c r="E1037" s="7" t="str">
        <x:v>Petrol</x:v>
      </x:c>
      <x:c r="F1037" s="7" t="str">
        <x:v>Automatic</x:v>
      </x:c>
      <x:c r="G1037" s="7" t="str">
        <x:v>Sedan</x:v>
      </x:c>
      <x:c r="H1037" s="7" t="n">
        <x:v>1199</x:v>
      </x:c>
      <x:c r="I1037" s="7" t="n">
        <x:v>85</x:v>
      </x:c>
      <x:c r="J1037" s="9" t="n">
        <x:v>19.6</x:v>
      </x:c>
      <x:c r="K1037" s="9" t="n">
        <x:v>8.3</x:v>
      </x:c>
      <x:c r="L1037" s="7" t="n">
        <x:v>2025</x:v>
      </x:c>
      <x:c r="M1037" s="11" t="n">
        <x:v>19485</x:v>
      </x:c>
      <x:c r="N1037" s="7" t="n">
        <x:v>1</x:v>
      </x:c>
      <x:c r="O1037" s="7" t="n">
        <x:v>0</x:v>
      </x:c>
      <x:c r="P1037" s="9" t="n">
        <x:v>7.34</x:v>
      </x:c>
      <x:c r="Q1037" s="7" t="n">
        <x:f>'Guide'!$B$5-L1037</x:f>
        <x:v>1</x:v>
      </x:c>
      <x:c r="R1037" s="9" t="n">
        <x:f>K1037-P1037</x:f>
        <x:v>0.9600000000000009</x:v>
      </x:c>
      <x:c r="S1037" s="10" t="n">
        <x:f>IF(K1037&gt;0,R1037/K1037,"")</x:f>
        <x:v>0.11566265060240973</x:v>
      </x:c>
    </x:row>
    <x:row r="1038">
      <x:c r="A1038" s="7" t="n">
        <x:v>1034</x:v>
      </x:c>
      <x:c r="B1038" s="7" t="str">
        <x:v>Tata</x:v>
      </x:c>
      <x:c r="C1038" s="7" t="str">
        <x:v>Tigor</x:v>
      </x:c>
      <x:c r="D1038" s="7" t="str">
        <x:v>XZA</x:v>
      </x:c>
      <x:c r="E1038" s="7" t="str">
        <x:v>Petrol</x:v>
      </x:c>
      <x:c r="F1038" s="7" t="str">
        <x:v>Automatic</x:v>
      </x:c>
      <x:c r="G1038" s="7" t="str">
        <x:v>Sedan</x:v>
      </x:c>
      <x:c r="H1038" s="7" t="n">
        <x:v>1199</x:v>
      </x:c>
      <x:c r="I1038" s="7" t="n">
        <x:v>85</x:v>
      </x:c>
      <x:c r="J1038" s="9" t="n">
        <x:v>19.6</x:v>
      </x:c>
      <x:c r="K1038" s="9" t="n">
        <x:v>8.3</x:v>
      </x:c>
      <x:c r="L1038" s="7" t="n">
        <x:v>2024</x:v>
      </x:c>
      <x:c r="M1038" s="11" t="n">
        <x:v>46747</x:v>
      </x:c>
      <x:c r="N1038" s="7" t="n">
        <x:v>1</x:v>
      </x:c>
      <x:c r="O1038" s="7" t="n">
        <x:v>0</x:v>
      </x:c>
      <x:c r="P1038" s="9" t="n">
        <x:v>6.32</x:v>
      </x:c>
      <x:c r="Q1038" s="7" t="n">
        <x:f>'Guide'!$B$5-L1038</x:f>
        <x:v>2</x:v>
      </x:c>
      <x:c r="R1038" s="9" t="n">
        <x:f>K1038-P1038</x:f>
        <x:v>1.9800000000000004</x:v>
      </x:c>
      <x:c r="S1038" s="10" t="n">
        <x:f>IF(K1038&gt;0,R1038/K1038,"")</x:f>
        <x:v>0.23855421686746991</x:v>
      </x:c>
    </x:row>
    <x:row r="1039">
      <x:c r="A1039" s="7" t="n">
        <x:v>1035</x:v>
      </x:c>
      <x:c r="B1039" s="7" t="str">
        <x:v>Tata</x:v>
      </x:c>
      <x:c r="C1039" s="7" t="str">
        <x:v>Tigor</x:v>
      </x:c>
      <x:c r="D1039" s="7" t="str">
        <x:v>XZA</x:v>
      </x:c>
      <x:c r="E1039" s="7" t="str">
        <x:v>Petrol</x:v>
      </x:c>
      <x:c r="F1039" s="7" t="str">
        <x:v>Automatic</x:v>
      </x:c>
      <x:c r="G1039" s="7" t="str">
        <x:v>Sedan</x:v>
      </x:c>
      <x:c r="H1039" s="7" t="n">
        <x:v>1199</x:v>
      </x:c>
      <x:c r="I1039" s="7" t="n">
        <x:v>85</x:v>
      </x:c>
      <x:c r="J1039" s="9" t="n">
        <x:v>19.6</x:v>
      </x:c>
      <x:c r="K1039" s="9" t="n">
        <x:v>8.3</x:v>
      </x:c>
      <x:c r="L1039" s="7" t="n">
        <x:v>2022</x:v>
      </x:c>
      <x:c r="M1039" s="11" t="n">
        <x:v>75780</x:v>
      </x:c>
      <x:c r="N1039" s="7" t="n">
        <x:v>1</x:v>
      </x:c>
      <x:c r="O1039" s="7" t="n">
        <x:v>0</x:v>
      </x:c>
      <x:c r="P1039" s="9" t="n">
        <x:v>4.81</x:v>
      </x:c>
      <x:c r="Q1039" s="7" t="n">
        <x:f>'Guide'!$B$5-L1039</x:f>
        <x:v>4</x:v>
      </x:c>
      <x:c r="R1039" s="9" t="n">
        <x:f>K1039-P1039</x:f>
        <x:v>3.490000000000001</x:v>
      </x:c>
      <x:c r="S1039" s="10" t="n">
        <x:f>IF(K1039&gt;0,R1039/K1039,"")</x:f>
        <x:v>0.4204819277108435</x:v>
      </x:c>
    </x:row>
    <x:row r="1040">
      <x:c r="A1040" s="7" t="n">
        <x:v>1036</x:v>
      </x:c>
      <x:c r="B1040" s="7" t="str">
        <x:v>Tata</x:v>
      </x:c>
      <x:c r="C1040" s="7" t="str">
        <x:v>Tigor</x:v>
      </x:c>
      <x:c r="D1040" s="7" t="str">
        <x:v>XZA</x:v>
      </x:c>
      <x:c r="E1040" s="7" t="str">
        <x:v>Petrol</x:v>
      </x:c>
      <x:c r="F1040" s="7" t="str">
        <x:v>Automatic</x:v>
      </x:c>
      <x:c r="G1040" s="7" t="str">
        <x:v>Sedan</x:v>
      </x:c>
      <x:c r="H1040" s="7" t="n">
        <x:v>1199</x:v>
      </x:c>
      <x:c r="I1040" s="7" t="n">
        <x:v>85</x:v>
      </x:c>
      <x:c r="J1040" s="9" t="n">
        <x:v>19.6</x:v>
      </x:c>
      <x:c r="K1040" s="9" t="n">
        <x:v>8.3</x:v>
      </x:c>
      <x:c r="L1040" s="7" t="n">
        <x:v>2026</x:v>
      </x:c>
      <x:c r="M1040" s="11" t="n">
        <x:v>4598</x:v>
      </x:c>
      <x:c r="N1040" s="7" t="n">
        <x:v>1</x:v>
      </x:c>
      <x:c r="O1040" s="7" t="n">
        <x:v>0</x:v>
      </x:c>
      <x:c r="P1040" s="9" t="n">
        <x:v>8.16</x:v>
      </x:c>
      <x:c r="Q1040" s="7" t="n">
        <x:f>'Guide'!$B$5-L1040</x:f>
        <x:v>0</x:v>
      </x:c>
      <x:c r="R1040" s="9" t="n">
        <x:f>K1040-P1040</x:f>
        <x:v>0.14000000000000057</x:v>
      </x:c>
      <x:c r="S1040" s="10" t="n">
        <x:f>IF(K1040&gt;0,R1040/K1040,"")</x:f>
        <x:v>0.01686746987951814</x:v>
      </x:c>
    </x:row>
    <x:row r="1041">
      <x:c r="A1041" s="7" t="n">
        <x:v>1037</x:v>
      </x:c>
      <x:c r="B1041" s="7" t="str">
        <x:v>Tata</x:v>
      </x:c>
      <x:c r="C1041" s="7" t="str">
        <x:v>Tigor</x:v>
      </x:c>
      <x:c r="D1041" s="7" t="str">
        <x:v>XZA</x:v>
      </x:c>
      <x:c r="E1041" s="7" t="str">
        <x:v>Petrol</x:v>
      </x:c>
      <x:c r="F1041" s="7" t="str">
        <x:v>Automatic</x:v>
      </x:c>
      <x:c r="G1041" s="7" t="str">
        <x:v>Sedan</x:v>
      </x:c>
      <x:c r="H1041" s="7" t="n">
        <x:v>1199</x:v>
      </x:c>
      <x:c r="I1041" s="7" t="n">
        <x:v>85</x:v>
      </x:c>
      <x:c r="J1041" s="9" t="n">
        <x:v>19.6</x:v>
      </x:c>
      <x:c r="K1041" s="9" t="n">
        <x:v>8.3</x:v>
      </x:c>
      <x:c r="L1041" s="7" t="n">
        <x:v>2024</x:v>
      </x:c>
      <x:c r="M1041" s="11" t="n">
        <x:v>23000</x:v>
      </x:c>
      <x:c r="N1041" s="7" t="n">
        <x:v>1</x:v>
      </x:c>
      <x:c r="O1041" s="7" t="n">
        <x:v>0</x:v>
      </x:c>
      <x:c r="P1041" s="9" t="n">
        <x:v>6.98</x:v>
      </x:c>
      <x:c r="Q1041" s="7" t="n">
        <x:f>'Guide'!$B$5-L1041</x:f>
        <x:v>2</x:v>
      </x:c>
      <x:c r="R1041" s="9" t="n">
        <x:f>K1041-P1041</x:f>
        <x:v>1.3200000000000003</x:v>
      </x:c>
      <x:c r="S1041" s="10" t="n">
        <x:f>IF(K1041&gt;0,R1041/K1041,"")</x:f>
        <x:v>0.15903614457831328</x:v>
      </x:c>
    </x:row>
    <x:row r="1042">
      <x:c r="A1042" s="7" t="n">
        <x:v>1038</x:v>
      </x:c>
      <x:c r="B1042" s="7" t="str">
        <x:v>Tata</x:v>
      </x:c>
      <x:c r="C1042" s="7" t="str">
        <x:v>Tigor</x:v>
      </x:c>
      <x:c r="D1042" s="7" t="str">
        <x:v>XZA</x:v>
      </x:c>
      <x:c r="E1042" s="7" t="str">
        <x:v>Petrol</x:v>
      </x:c>
      <x:c r="F1042" s="7" t="str">
        <x:v>Automatic</x:v>
      </x:c>
      <x:c r="G1042" s="7" t="str">
        <x:v>Sedan</x:v>
      </x:c>
      <x:c r="H1042" s="7" t="n">
        <x:v>1199</x:v>
      </x:c>
      <x:c r="I1042" s="7" t="n">
        <x:v>85</x:v>
      </x:c>
      <x:c r="J1042" s="9" t="n">
        <x:v>19.6</x:v>
      </x:c>
      <x:c r="K1042" s="9" t="n">
        <x:v>8.3</x:v>
      </x:c>
      <x:c r="L1042" s="7" t="n">
        <x:v>2020</x:v>
      </x:c>
      <x:c r="M1042" s="11" t="n">
        <x:v>106121</x:v>
      </x:c>
      <x:c r="N1042" s="7" t="n">
        <x:v>1</x:v>
      </x:c>
      <x:c r="O1042" s="7" t="n">
        <x:v>1</x:v>
      </x:c>
      <x:c r="P1042" s="9" t="n">
        <x:v>2.46</x:v>
      </x:c>
      <x:c r="Q1042" s="7" t="n">
        <x:f>'Guide'!$B$5-L1042</x:f>
        <x:v>6</x:v>
      </x:c>
      <x:c r="R1042" s="9" t="n">
        <x:f>K1042-P1042</x:f>
        <x:v>5.840000000000001</x:v>
      </x:c>
      <x:c r="S1042" s="10" t="n">
        <x:f>IF(K1042&gt;0,R1042/K1042,"")</x:f>
        <x:v>0.7036144578313254</x:v>
      </x:c>
    </x:row>
    <x:row r="1043">
      <x:c r="A1043" s="7" t="n">
        <x:v>1039</x:v>
      </x:c>
      <x:c r="B1043" s="7" t="str">
        <x:v>Tata</x:v>
      </x:c>
      <x:c r="C1043" s="7" t="str">
        <x:v>Tigor</x:v>
      </x:c>
      <x:c r="D1043" s="7" t="str">
        <x:v>XZA</x:v>
      </x:c>
      <x:c r="E1043" s="7" t="str">
        <x:v>Petrol</x:v>
      </x:c>
      <x:c r="F1043" s="7" t="str">
        <x:v>Automatic</x:v>
      </x:c>
      <x:c r="G1043" s="7" t="str">
        <x:v>Sedan</x:v>
      </x:c>
      <x:c r="H1043" s="7" t="n">
        <x:v>1199</x:v>
      </x:c>
      <x:c r="I1043" s="7" t="n">
        <x:v>85</x:v>
      </x:c>
      <x:c r="J1043" s="9" t="n">
        <x:v>19.6</x:v>
      </x:c>
      <x:c r="K1043" s="9" t="n">
        <x:v>8.3</x:v>
      </x:c>
      <x:c r="L1043" s="7" t="n">
        <x:v>2025</x:v>
      </x:c>
      <x:c r="M1043" s="11" t="n">
        <x:v>18488</x:v>
      </x:c>
      <x:c r="N1043" s="7" t="n">
        <x:v>1</x:v>
      </x:c>
      <x:c r="O1043" s="7" t="n">
        <x:v>1</x:v>
      </x:c>
      <x:c r="P1043" s="9" t="n">
        <x:v>6.36</x:v>
      </x:c>
      <x:c r="Q1043" s="7" t="n">
        <x:f>'Guide'!$B$5-L1043</x:f>
        <x:v>1</x:v>
      </x:c>
      <x:c r="R1043" s="9" t="n">
        <x:f>K1043-P1043</x:f>
        <x:v>1.9400000000000004</x:v>
      </x:c>
      <x:c r="S1043" s="10" t="n">
        <x:f>IF(K1043&gt;0,R1043/K1043,"")</x:f>
        <x:v>0.23373493975903617</x:v>
      </x:c>
    </x:row>
    <x:row r="1044">
      <x:c r="A1044" s="7" t="n">
        <x:v>1040</x:v>
      </x:c>
      <x:c r="B1044" s="7" t="str">
        <x:v>Tata</x:v>
      </x:c>
      <x:c r="C1044" s="7" t="str">
        <x:v>Tigor</x:v>
      </x:c>
      <x:c r="D1044" s="7" t="str">
        <x:v>XZA</x:v>
      </x:c>
      <x:c r="E1044" s="7" t="str">
        <x:v>Petrol</x:v>
      </x:c>
      <x:c r="F1044" s="7" t="str">
        <x:v>Automatic</x:v>
      </x:c>
      <x:c r="G1044" s="7" t="str">
        <x:v>Sedan</x:v>
      </x:c>
      <x:c r="H1044" s="7" t="n">
        <x:v>1199</x:v>
      </x:c>
      <x:c r="I1044" s="7" t="n">
        <x:v>85</x:v>
      </x:c>
      <x:c r="J1044" s="9" t="n">
        <x:v>19.6</x:v>
      </x:c>
      <x:c r="K1044" s="9" t="n">
        <x:v>8.3</x:v>
      </x:c>
      <x:c r="L1044" s="7" t="n">
        <x:v>2021</x:v>
      </x:c>
      <x:c r="M1044" s="11" t="n">
        <x:v>50576</x:v>
      </x:c>
      <x:c r="N1044" s="7" t="n">
        <x:v>1</x:v>
      </x:c>
      <x:c r="O1044" s="7" t="n">
        <x:v>0</x:v>
      </x:c>
      <x:c r="P1044" s="9" t="n">
        <x:v>4.39</x:v>
      </x:c>
      <x:c r="Q1044" s="7" t="n">
        <x:f>'Guide'!$B$5-L1044</x:f>
        <x:v>5</x:v>
      </x:c>
      <x:c r="R1044" s="9" t="n">
        <x:f>K1044-P1044</x:f>
        <x:v>3.910000000000001</x:v>
      </x:c>
      <x:c r="S1044" s="10" t="n">
        <x:f>IF(K1044&gt;0,R1044/K1044,"")</x:f>
        <x:v>0.4710843373493977</x:v>
      </x:c>
    </x:row>
    <x:row r="1045">
      <x:c r="A1045" s="7" t="n">
        <x:v>1041</x:v>
      </x:c>
      <x:c r="B1045" s="7" t="str">
        <x:v>Tata</x:v>
      </x:c>
      <x:c r="C1045" s="7" t="str">
        <x:v>Tigor</x:v>
      </x:c>
      <x:c r="D1045" s="7" t="str">
        <x:v>XZA</x:v>
      </x:c>
      <x:c r="E1045" s="7" t="str">
        <x:v>Petrol</x:v>
      </x:c>
      <x:c r="F1045" s="7" t="str">
        <x:v>Automatic</x:v>
      </x:c>
      <x:c r="G1045" s="7" t="str">
        <x:v>Sedan</x:v>
      </x:c>
      <x:c r="H1045" s="7" t="n">
        <x:v>1199</x:v>
      </x:c>
      <x:c r="I1045" s="7" t="n">
        <x:v>85</x:v>
      </x:c>
      <x:c r="J1045" s="9" t="n">
        <x:v>19.6</x:v>
      </x:c>
      <x:c r="K1045" s="9" t="n">
        <x:v>8.3</x:v>
      </x:c>
      <x:c r="L1045" s="7" t="n">
        <x:v>2023</x:v>
      </x:c>
      <x:c r="M1045" s="11" t="n">
        <x:v>63039</x:v>
      </x:c>
      <x:c r="N1045" s="7" t="n">
        <x:v>2</x:v>
      </x:c>
      <x:c r="O1045" s="7" t="n">
        <x:v>0</x:v>
      </x:c>
      <x:c r="P1045" s="9" t="n">
        <x:v>4.94</x:v>
      </x:c>
      <x:c r="Q1045" s="7" t="n">
        <x:f>'Guide'!$B$5-L1045</x:f>
        <x:v>3</x:v>
      </x:c>
      <x:c r="R1045" s="9" t="n">
        <x:f>K1045-P1045</x:f>
        <x:v>3.3600000000000003</x:v>
      </x:c>
      <x:c r="S1045" s="10" t="n">
        <x:f>IF(K1045&gt;0,R1045/K1045,"")</x:f>
        <x:v>0.40481927710843374</x:v>
      </x:c>
    </x:row>
    <x:row r="1046">
      <x:c r="A1046" s="7" t="n">
        <x:v>1042</x:v>
      </x:c>
      <x:c r="B1046" s="7" t="str">
        <x:v>Tata</x:v>
      </x:c>
      <x:c r="C1046" s="7" t="str">
        <x:v>Tigor</x:v>
      </x:c>
      <x:c r="D1046" s="7" t="str">
        <x:v>XZA</x:v>
      </x:c>
      <x:c r="E1046" s="7" t="str">
        <x:v>Petrol</x:v>
      </x:c>
      <x:c r="F1046" s="7" t="str">
        <x:v>Automatic</x:v>
      </x:c>
      <x:c r="G1046" s="7" t="str">
        <x:v>Sedan</x:v>
      </x:c>
      <x:c r="H1046" s="7" t="n">
        <x:v>1199</x:v>
      </x:c>
      <x:c r="I1046" s="7" t="n">
        <x:v>85</x:v>
      </x:c>
      <x:c r="J1046" s="9" t="n">
        <x:v>19.6</x:v>
      </x:c>
      <x:c r="K1046" s="9" t="n">
        <x:v>8.3</x:v>
      </x:c>
      <x:c r="L1046" s="7" t="n">
        <x:v>2021</x:v>
      </x:c>
      <x:c r="M1046" s="11" t="n">
        <x:v>46064</x:v>
      </x:c>
      <x:c r="N1046" s="7" t="n">
        <x:v>1</x:v>
      </x:c>
      <x:c r="O1046" s="7" t="n">
        <x:v>0</x:v>
      </x:c>
      <x:c r="P1046" s="9" t="n">
        <x:v>4.54</x:v>
      </x:c>
      <x:c r="Q1046" s="7" t="n">
        <x:f>'Guide'!$B$5-L1046</x:f>
        <x:v>5</x:v>
      </x:c>
      <x:c r="R1046" s="9" t="n">
        <x:f>K1046-P1046</x:f>
        <x:v>3.7600000000000007</x:v>
      </x:c>
      <x:c r="S1046" s="10" t="n">
        <x:f>IF(K1046&gt;0,R1046/K1046,"")</x:f>
        <x:v>0.45301204819277113</x:v>
      </x:c>
    </x:row>
    <x:row r="1047">
      <x:c r="A1047" s="7" t="n">
        <x:v>1043</x:v>
      </x:c>
      <x:c r="B1047" s="7" t="str">
        <x:v>Tata</x:v>
      </x:c>
      <x:c r="C1047" s="7" t="str">
        <x:v>Tigor</x:v>
      </x:c>
      <x:c r="D1047" s="7" t="str">
        <x:v>XZA</x:v>
      </x:c>
      <x:c r="E1047" s="7" t="str">
        <x:v>Petrol</x:v>
      </x:c>
      <x:c r="F1047" s="7" t="str">
        <x:v>Automatic</x:v>
      </x:c>
      <x:c r="G1047" s="7" t="str">
        <x:v>Sedan</x:v>
      </x:c>
      <x:c r="H1047" s="7" t="n">
        <x:v>1199</x:v>
      </x:c>
      <x:c r="I1047" s="7" t="n">
        <x:v>85</x:v>
      </x:c>
      <x:c r="J1047" s="9" t="n">
        <x:v>19.6</x:v>
      </x:c>
      <x:c r="K1047" s="9" t="n">
        <x:v>8.3</x:v>
      </x:c>
      <x:c r="L1047" s="7" t="n">
        <x:v>2026</x:v>
      </x:c>
      <x:c r="M1047" s="11" t="n">
        <x:v>7125</x:v>
      </x:c>
      <x:c r="N1047" s="7" t="n">
        <x:v>1</x:v>
      </x:c>
      <x:c r="O1047" s="7" t="n">
        <x:v>0</x:v>
      </x:c>
      <x:c r="P1047" s="9" t="n">
        <x:v>8.54</x:v>
      </x:c>
      <x:c r="Q1047" s="7" t="n">
        <x:f>'Guide'!$B$5-L1047</x:f>
        <x:v>0</x:v>
      </x:c>
      <x:c r="R1047" s="9" t="n">
        <x:f>K1047-P1047</x:f>
        <x:v>-0.23999999999999844</x:v>
      </x:c>
      <x:c r="S1047" s="10" t="n">
        <x:f>IF(K1047&gt;0,R1047/K1047,"")</x:f>
        <x:v>-0.02891566265060222</x:v>
      </x:c>
    </x:row>
    <x:row r="1048">
      <x:c r="A1048" s="7" t="n">
        <x:v>1044</x:v>
      </x:c>
      <x:c r="B1048" s="7" t="str">
        <x:v>Tata</x:v>
      </x:c>
      <x:c r="C1048" s="7" t="str">
        <x:v>Tigor</x:v>
      </x:c>
      <x:c r="D1048" s="7" t="str">
        <x:v>XZA</x:v>
      </x:c>
      <x:c r="E1048" s="7" t="str">
        <x:v>Petrol</x:v>
      </x:c>
      <x:c r="F1048" s="7" t="str">
        <x:v>Automatic</x:v>
      </x:c>
      <x:c r="G1048" s="7" t="str">
        <x:v>Sedan</x:v>
      </x:c>
      <x:c r="H1048" s="7" t="n">
        <x:v>1199</x:v>
      </x:c>
      <x:c r="I1048" s="7" t="n">
        <x:v>85</x:v>
      </x:c>
      <x:c r="J1048" s="9" t="n">
        <x:v>19.6</x:v>
      </x:c>
      <x:c r="K1048" s="9" t="n">
        <x:v>8.3</x:v>
      </x:c>
      <x:c r="L1048" s="7" t="n">
        <x:v>2022</x:v>
      </x:c>
      <x:c r="M1048" s="11" t="n">
        <x:v>88028</x:v>
      </x:c>
      <x:c r="N1048" s="7" t="n">
        <x:v>1</x:v>
      </x:c>
      <x:c r="O1048" s="7" t="n">
        <x:v>0</x:v>
      </x:c>
      <x:c r="P1048" s="9" t="n">
        <x:v>5.02</x:v>
      </x:c>
      <x:c r="Q1048" s="7" t="n">
        <x:f>'Guide'!$B$5-L1048</x:f>
        <x:v>4</x:v>
      </x:c>
      <x:c r="R1048" s="9" t="n">
        <x:f>K1048-P1048</x:f>
        <x:v>3.280000000000001</x:v>
      </x:c>
      <x:c r="S1048" s="10" t="n">
        <x:f>IF(K1048&gt;0,R1048/K1048,"")</x:f>
        <x:v>0.39518072289156636</x:v>
      </x:c>
    </x:row>
    <x:row r="1049">
      <x:c r="A1049" s="7" t="n">
        <x:v>1045</x:v>
      </x:c>
      <x:c r="B1049" s="7" t="str">
        <x:v>Tata</x:v>
      </x:c>
      <x:c r="C1049" s="7" t="str">
        <x:v>Tigor</x:v>
      </x:c>
      <x:c r="D1049" s="7" t="str">
        <x:v>XZA</x:v>
      </x:c>
      <x:c r="E1049" s="7" t="str">
        <x:v>Petrol</x:v>
      </x:c>
      <x:c r="F1049" s="7" t="str">
        <x:v>Automatic</x:v>
      </x:c>
      <x:c r="G1049" s="7" t="str">
        <x:v>Sedan</x:v>
      </x:c>
      <x:c r="H1049" s="7" t="n">
        <x:v>1199</x:v>
      </x:c>
      <x:c r="I1049" s="7" t="n">
        <x:v>85</x:v>
      </x:c>
      <x:c r="J1049" s="9" t="n">
        <x:v>19.6</x:v>
      </x:c>
      <x:c r="K1049" s="9" t="n">
        <x:v>8.3</x:v>
      </x:c>
      <x:c r="L1049" s="7" t="n">
        <x:v>2026</x:v>
      </x:c>
      <x:c r="M1049" s="11" t="n">
        <x:v>5989</x:v>
      </x:c>
      <x:c r="N1049" s="7" t="n">
        <x:v>1</x:v>
      </x:c>
      <x:c r="O1049" s="7" t="n">
        <x:v>0</x:v>
      </x:c>
      <x:c r="P1049" s="9" t="n">
        <x:v>8.11</x:v>
      </x:c>
      <x:c r="Q1049" s="7" t="n">
        <x:f>'Guide'!$B$5-L1049</x:f>
        <x:v>0</x:v>
      </x:c>
      <x:c r="R1049" s="9" t="n">
        <x:f>K1049-P1049</x:f>
        <x:v>0.19000000000000128</x:v>
      </x:c>
      <x:c r="S1049" s="10" t="n">
        <x:f>IF(K1049&gt;0,R1049/K1049,"")</x:f>
        <x:v>0.022891566265060392</x:v>
      </x:c>
    </x:row>
    <x:row r="1050">
      <x:c r="A1050" s="7" t="n">
        <x:v>1046</x:v>
      </x:c>
      <x:c r="B1050" s="7" t="str">
        <x:v>Tata</x:v>
      </x:c>
      <x:c r="C1050" s="7" t="str">
        <x:v>Tigor</x:v>
      </x:c>
      <x:c r="D1050" s="7" t="str">
        <x:v>XZA</x:v>
      </x:c>
      <x:c r="E1050" s="7" t="str">
        <x:v>Petrol</x:v>
      </x:c>
      <x:c r="F1050" s="7" t="str">
        <x:v>Automatic</x:v>
      </x:c>
      <x:c r="G1050" s="7" t="str">
        <x:v>Sedan</x:v>
      </x:c>
      <x:c r="H1050" s="7" t="n">
        <x:v>1199</x:v>
      </x:c>
      <x:c r="I1050" s="7" t="n">
        <x:v>85</x:v>
      </x:c>
      <x:c r="J1050" s="9" t="n">
        <x:v>19.6</x:v>
      </x:c>
      <x:c r="K1050" s="9" t="n">
        <x:v>8.3</x:v>
      </x:c>
      <x:c r="L1050" s="7" t="n">
        <x:v>2021</x:v>
      </x:c>
      <x:c r="M1050" s="11" t="n">
        <x:v>102177</x:v>
      </x:c>
      <x:c r="N1050" s="7" t="n">
        <x:v>2</x:v>
      </x:c>
      <x:c r="O1050" s="7" t="n">
        <x:v>0</x:v>
      </x:c>
      <x:c r="P1050" s="9" t="n">
        <x:v>3.9</x:v>
      </x:c>
      <x:c r="Q1050" s="7" t="n">
        <x:f>'Guide'!$B$5-L1050</x:f>
        <x:v>5</x:v>
      </x:c>
      <x:c r="R1050" s="9" t="n">
        <x:f>K1050-P1050</x:f>
        <x:v>4.4</x:v>
      </x:c>
      <x:c r="S1050" s="10" t="n">
        <x:f>IF(K1050&gt;0,R1050/K1050,"")</x:f>
        <x:v>0.5301204819277109</x:v>
      </x:c>
    </x:row>
    <x:row r="1051">
      <x:c r="A1051" s="7" t="n">
        <x:v>1047</x:v>
      </x:c>
      <x:c r="B1051" s="7" t="str">
        <x:v>Tata</x:v>
      </x:c>
      <x:c r="C1051" s="7" t="str">
        <x:v>Tigor</x:v>
      </x:c>
      <x:c r="D1051" s="7" t="str">
        <x:v>XZA</x:v>
      </x:c>
      <x:c r="E1051" s="7" t="str">
        <x:v>Petrol</x:v>
      </x:c>
      <x:c r="F1051" s="7" t="str">
        <x:v>Automatic</x:v>
      </x:c>
      <x:c r="G1051" s="7" t="str">
        <x:v>Sedan</x:v>
      </x:c>
      <x:c r="H1051" s="7" t="n">
        <x:v>1199</x:v>
      </x:c>
      <x:c r="I1051" s="7" t="n">
        <x:v>85</x:v>
      </x:c>
      <x:c r="J1051" s="9" t="n">
        <x:v>19.6</x:v>
      </x:c>
      <x:c r="K1051" s="9" t="n">
        <x:v>8.3</x:v>
      </x:c>
      <x:c r="L1051" s="7" t="n">
        <x:v>2025</x:v>
      </x:c>
      <x:c r="M1051" s="11" t="n">
        <x:v>26346</x:v>
      </x:c>
      <x:c r="N1051" s="7" t="n">
        <x:v>1</x:v>
      </x:c>
      <x:c r="O1051" s="7" t="n">
        <x:v>1</x:v>
      </x:c>
      <x:c r="P1051" s="9" t="n">
        <x:v>6.39</x:v>
      </x:c>
      <x:c r="Q1051" s="7" t="n">
        <x:f>'Guide'!$B$5-L1051</x:f>
        <x:v>1</x:v>
      </x:c>
      <x:c r="R1051" s="9" t="n">
        <x:f>K1051-P1051</x:f>
        <x:v>1.910000000000001</x:v>
      </x:c>
      <x:c r="S1051" s="10" t="n">
        <x:f>IF(K1051&gt;0,R1051/K1051,"")</x:f>
        <x:v>0.23012048192771095</x:v>
      </x:c>
    </x:row>
    <x:row r="1052">
      <x:c r="A1052" s="7" t="n">
        <x:v>1048</x:v>
      </x:c>
      <x:c r="B1052" s="7" t="str">
        <x:v>Tata</x:v>
      </x:c>
      <x:c r="C1052" s="7" t="str">
        <x:v>Tigor</x:v>
      </x:c>
      <x:c r="D1052" s="7" t="str">
        <x:v>XZA</x:v>
      </x:c>
      <x:c r="E1052" s="7" t="str">
        <x:v>Petrol</x:v>
      </x:c>
      <x:c r="F1052" s="7" t="str">
        <x:v>Automatic</x:v>
      </x:c>
      <x:c r="G1052" s="7" t="str">
        <x:v>Sedan</x:v>
      </x:c>
      <x:c r="H1052" s="7" t="n">
        <x:v>1199</x:v>
      </x:c>
      <x:c r="I1052" s="7" t="n">
        <x:v>85</x:v>
      </x:c>
      <x:c r="J1052" s="9" t="n">
        <x:v>19.6</x:v>
      </x:c>
      <x:c r="K1052" s="9" t="n">
        <x:v>8.3</x:v>
      </x:c>
      <x:c r="L1052" s="7" t="n">
        <x:v>2020</x:v>
      </x:c>
      <x:c r="M1052" s="11" t="n">
        <x:v>115982</x:v>
      </x:c>
      <x:c r="N1052" s="7" t="n">
        <x:v>1</x:v>
      </x:c>
      <x:c r="O1052" s="7" t="n">
        <x:v>0</x:v>
      </x:c>
      <x:c r="P1052" s="9" t="n">
        <x:v>3.05</x:v>
      </x:c>
      <x:c r="Q1052" s="7" t="n">
        <x:f>'Guide'!$B$5-L1052</x:f>
        <x:v>6</x:v>
      </x:c>
      <x:c r="R1052" s="9" t="n">
        <x:f>K1052-P1052</x:f>
        <x:v>5.250000000000001</x:v>
      </x:c>
      <x:c r="S1052" s="10" t="n">
        <x:f>IF(K1052&gt;0,R1052/K1052,"")</x:f>
        <x:v>0.6325301204819278</x:v>
      </x:c>
    </x:row>
    <x:row r="1053">
      <x:c r="A1053" s="7" t="n">
        <x:v>1049</x:v>
      </x:c>
      <x:c r="B1053" s="7" t="str">
        <x:v>Tata</x:v>
      </x:c>
      <x:c r="C1053" s="7" t="str">
        <x:v>Tigor</x:v>
      </x:c>
      <x:c r="D1053" s="7" t="str">
        <x:v>XZA</x:v>
      </x:c>
      <x:c r="E1053" s="7" t="str">
        <x:v>Petrol</x:v>
      </x:c>
      <x:c r="F1053" s="7" t="str">
        <x:v>Automatic</x:v>
      </x:c>
      <x:c r="G1053" s="7" t="str">
        <x:v>Sedan</x:v>
      </x:c>
      <x:c r="H1053" s="7" t="n">
        <x:v>1199</x:v>
      </x:c>
      <x:c r="I1053" s="7" t="n">
        <x:v>85</x:v>
      </x:c>
      <x:c r="J1053" s="9" t="n">
        <x:v>19.6</x:v>
      </x:c>
      <x:c r="K1053" s="9" t="n">
        <x:v>8.3</x:v>
      </x:c>
      <x:c r="L1053" s="7" t="n">
        <x:v>2024</x:v>
      </x:c>
      <x:c r="M1053" s="11" t="n">
        <x:v>20395</x:v>
      </x:c>
      <x:c r="N1053" s="7" t="n">
        <x:v>1</x:v>
      </x:c>
      <x:c r="O1053" s="7" t="n">
        <x:v>0</x:v>
      </x:c>
      <x:c r="P1053" s="9" t="n">
        <x:v>6.43</x:v>
      </x:c>
      <x:c r="Q1053" s="7" t="n">
        <x:f>'Guide'!$B$5-L1053</x:f>
        <x:v>2</x:v>
      </x:c>
      <x:c r="R1053" s="9" t="n">
        <x:f>K1053-P1053</x:f>
        <x:v>1.870000000000001</x:v>
      </x:c>
      <x:c r="S1053" s="10" t="n">
        <x:f>IF(K1053&gt;0,R1053/K1053,"")</x:f>
        <x:v>0.2253012048192772</x:v>
      </x:c>
    </x:row>
    <x:row r="1054">
      <x:c r="A1054" s="7" t="n">
        <x:v>1050</x:v>
      </x:c>
      <x:c r="B1054" s="7" t="str">
        <x:v>Tata</x:v>
      </x:c>
      <x:c r="C1054" s="7" t="str">
        <x:v>Tigor</x:v>
      </x:c>
      <x:c r="D1054" s="7" t="str">
        <x:v>XZA</x:v>
      </x:c>
      <x:c r="E1054" s="7" t="str">
        <x:v>Petrol</x:v>
      </x:c>
      <x:c r="F1054" s="7" t="str">
        <x:v>Automatic</x:v>
      </x:c>
      <x:c r="G1054" s="7" t="str">
        <x:v>Sedan</x:v>
      </x:c>
      <x:c r="H1054" s="7" t="n">
        <x:v>1199</x:v>
      </x:c>
      <x:c r="I1054" s="7" t="n">
        <x:v>85</x:v>
      </x:c>
      <x:c r="J1054" s="9" t="n">
        <x:v>19.6</x:v>
      </x:c>
      <x:c r="K1054" s="9" t="n">
        <x:v>8.3</x:v>
      </x:c>
      <x:c r="L1054" s="7" t="n">
        <x:v>2021</x:v>
      </x:c>
      <x:c r="M1054" s="11" t="n">
        <x:v>63759</x:v>
      </x:c>
      <x:c r="N1054" s="7" t="n">
        <x:v>1</x:v>
      </x:c>
      <x:c r="O1054" s="7" t="n">
        <x:v>0</x:v>
      </x:c>
      <x:c r="P1054" s="9" t="n">
        <x:v>4.65</x:v>
      </x:c>
      <x:c r="Q1054" s="7" t="n">
        <x:f>'Guide'!$B$5-L1054</x:f>
        <x:v>5</x:v>
      </x:c>
      <x:c r="R1054" s="9" t="n">
        <x:f>K1054-P1054</x:f>
        <x:v>3.6500000000000004</x:v>
      </x:c>
      <x:c r="S1054" s="10" t="n">
        <x:f>IF(K1054&gt;0,R1054/K1054,"")</x:f>
        <x:v>0.43975903614457834</x:v>
      </x:c>
    </x:row>
    <x:row r="1055">
      <x:c r="A1055" s="7" t="n">
        <x:v>1051</x:v>
      </x:c>
      <x:c r="B1055" s="7" t="str">
        <x:v>Tata</x:v>
      </x:c>
      <x:c r="C1055" s="7" t="str">
        <x:v>Tigor</x:v>
      </x:c>
      <x:c r="D1055" s="7" t="str">
        <x:v>XZA</x:v>
      </x:c>
      <x:c r="E1055" s="7" t="str">
        <x:v>Petrol</x:v>
      </x:c>
      <x:c r="F1055" s="7" t="str">
        <x:v>Automatic</x:v>
      </x:c>
      <x:c r="G1055" s="7" t="str">
        <x:v>Sedan</x:v>
      </x:c>
      <x:c r="H1055" s="7" t="n">
        <x:v>1199</x:v>
      </x:c>
      <x:c r="I1055" s="7" t="n">
        <x:v>85</x:v>
      </x:c>
      <x:c r="J1055" s="9" t="n">
        <x:v>19.6</x:v>
      </x:c>
      <x:c r="K1055" s="9" t="n">
        <x:v>8.3</x:v>
      </x:c>
      <x:c r="L1055" s="7" t="n">
        <x:v>2024</x:v>
      </x:c>
      <x:c r="M1055" s="11" t="n">
        <x:v>33957</x:v>
      </x:c>
      <x:c r="N1055" s="7" t="n">
        <x:v>2</x:v>
      </x:c>
      <x:c r="O1055" s="7" t="n">
        <x:v>0</x:v>
      </x:c>
      <x:c r="P1055" s="9" t="n">
        <x:v>6.33</x:v>
      </x:c>
      <x:c r="Q1055" s="7" t="n">
        <x:f>'Guide'!$B$5-L1055</x:f>
        <x:v>2</x:v>
      </x:c>
      <x:c r="R1055" s="9" t="n">
        <x:f>K1055-P1055</x:f>
        <x:v>1.9700000000000006</x:v>
      </x:c>
      <x:c r="S1055" s="10" t="n">
        <x:f>IF(K1055&gt;0,R1055/K1055,"")</x:f>
        <x:v>0.2373493975903615</x:v>
      </x:c>
    </x:row>
    <x:row r="1056">
      <x:c r="A1056" s="7" t="n">
        <x:v>1052</x:v>
      </x:c>
      <x:c r="B1056" s="7" t="str">
        <x:v>Tata</x:v>
      </x:c>
      <x:c r="C1056" s="7" t="str">
        <x:v>Tigor</x:v>
      </x:c>
      <x:c r="D1056" s="7" t="str">
        <x:v>XZA</x:v>
      </x:c>
      <x:c r="E1056" s="7" t="str">
        <x:v>Petrol</x:v>
      </x:c>
      <x:c r="F1056" s="7" t="str">
        <x:v>Automatic</x:v>
      </x:c>
      <x:c r="G1056" s="7" t="str">
        <x:v>Sedan</x:v>
      </x:c>
      <x:c r="H1056" s="7" t="n">
        <x:v>1199</x:v>
      </x:c>
      <x:c r="I1056" s="7" t="n">
        <x:v>85</x:v>
      </x:c>
      <x:c r="J1056" s="9" t="n">
        <x:v>19.6</x:v>
      </x:c>
      <x:c r="K1056" s="9" t="n">
        <x:v>8.3</x:v>
      </x:c>
      <x:c r="L1056" s="7" t="n">
        <x:v>2022</x:v>
      </x:c>
      <x:c r="M1056" s="11" t="n">
        <x:v>82822</x:v>
      </x:c>
      <x:c r="N1056" s="7" t="n">
        <x:v>1</x:v>
      </x:c>
      <x:c r="O1056" s="7" t="n">
        <x:v>0</x:v>
      </x:c>
      <x:c r="P1056" s="9" t="n">
        <x:v>4.47</x:v>
      </x:c>
      <x:c r="Q1056" s="7" t="n">
        <x:f>'Guide'!$B$5-L1056</x:f>
        <x:v>4</x:v>
      </x:c>
      <x:c r="R1056" s="9" t="n">
        <x:f>K1056-P1056</x:f>
        <x:v>3.830000000000001</x:v>
      </x:c>
      <x:c r="S1056" s="10" t="n">
        <x:f>IF(K1056&gt;0,R1056/K1056,"")</x:f>
        <x:v>0.4614457831325302</x:v>
      </x:c>
    </x:row>
    <x:row r="1057">
      <x:c r="A1057" s="7" t="n">
        <x:v>1053</x:v>
      </x:c>
      <x:c r="B1057" s="7" t="str">
        <x:v>Tata</x:v>
      </x:c>
      <x:c r="C1057" s="7" t="str">
        <x:v>Tigor</x:v>
      </x:c>
      <x:c r="D1057" s="7" t="str">
        <x:v>XZA</x:v>
      </x:c>
      <x:c r="E1057" s="7" t="str">
        <x:v>Petrol</x:v>
      </x:c>
      <x:c r="F1057" s="7" t="str">
        <x:v>Automatic</x:v>
      </x:c>
      <x:c r="G1057" s="7" t="str">
        <x:v>Sedan</x:v>
      </x:c>
      <x:c r="H1057" s="7" t="n">
        <x:v>1199</x:v>
      </x:c>
      <x:c r="I1057" s="7" t="n">
        <x:v>85</x:v>
      </x:c>
      <x:c r="J1057" s="9" t="n">
        <x:v>19.6</x:v>
      </x:c>
      <x:c r="K1057" s="9" t="n">
        <x:v>8.3</x:v>
      </x:c>
      <x:c r="L1057" s="7" t="n">
        <x:v>2025</x:v>
      </x:c>
      <x:c r="M1057" s="11" t="n">
        <x:v>27182</x:v>
      </x:c>
      <x:c r="N1057" s="7" t="n">
        <x:v>1</x:v>
      </x:c>
      <x:c r="O1057" s="7" t="n">
        <x:v>0</x:v>
      </x:c>
      <x:c r="P1057" s="9" t="n">
        <x:v>7.48</x:v>
      </x:c>
      <x:c r="Q1057" s="7" t="n">
        <x:f>'Guide'!$B$5-L1057</x:f>
        <x:v>1</x:v>
      </x:c>
      <x:c r="R1057" s="9" t="n">
        <x:f>K1057-P1057</x:f>
        <x:v>0.8200000000000003</x:v>
      </x:c>
      <x:c r="S1057" s="10" t="n">
        <x:f>IF(K1057&gt;0,R1057/K1057,"")</x:f>
        <x:v>0.09879518072289159</x:v>
      </x:c>
    </x:row>
    <x:row r="1058">
      <x:c r="A1058" s="7" t="n">
        <x:v>1054</x:v>
      </x:c>
      <x:c r="B1058" s="7" t="str">
        <x:v>Tata</x:v>
      </x:c>
      <x:c r="C1058" s="7" t="str">
        <x:v>Tigor</x:v>
      </x:c>
      <x:c r="D1058" s="7" t="str">
        <x:v>XZA</x:v>
      </x:c>
      <x:c r="E1058" s="7" t="str">
        <x:v>Petrol</x:v>
      </x:c>
      <x:c r="F1058" s="7" t="str">
        <x:v>Automatic</x:v>
      </x:c>
      <x:c r="G1058" s="7" t="str">
        <x:v>Sedan</x:v>
      </x:c>
      <x:c r="H1058" s="7" t="n">
        <x:v>1199</x:v>
      </x:c>
      <x:c r="I1058" s="7" t="n">
        <x:v>85</x:v>
      </x:c>
      <x:c r="J1058" s="9" t="n">
        <x:v>19.6</x:v>
      </x:c>
      <x:c r="K1058" s="9" t="n">
        <x:v>8.3</x:v>
      </x:c>
      <x:c r="L1058" s="7" t="n">
        <x:v>2022</x:v>
      </x:c>
      <x:c r="M1058" s="11" t="n">
        <x:v>49012</x:v>
      </x:c>
      <x:c r="N1058" s="7" t="n">
        <x:v>1</x:v>
      </x:c>
      <x:c r="O1058" s="7" t="n">
        <x:v>0</x:v>
      </x:c>
      <x:c r="P1058" s="9" t="n">
        <x:v>5.3</x:v>
      </x:c>
      <x:c r="Q1058" s="7" t="n">
        <x:f>'Guide'!$B$5-L1058</x:f>
        <x:v>4</x:v>
      </x:c>
      <x:c r="R1058" s="9" t="n">
        <x:f>K1058-P1058</x:f>
        <x:v>3.000000000000001</x:v>
      </x:c>
      <x:c r="S1058" s="10" t="n">
        <x:f>IF(K1058&gt;0,R1058/K1058,"")</x:f>
        <x:v>0.3614457831325302</x:v>
      </x:c>
    </x:row>
    <x:row r="1059">
      <x:c r="A1059" s="7" t="n">
        <x:v>1055</x:v>
      </x:c>
      <x:c r="B1059" s="7" t="str">
        <x:v>Tata</x:v>
      </x:c>
      <x:c r="C1059" s="7" t="str">
        <x:v>Tigor</x:v>
      </x:c>
      <x:c r="D1059" s="7" t="str">
        <x:v>XZA</x:v>
      </x:c>
      <x:c r="E1059" s="7" t="str">
        <x:v>Petrol</x:v>
      </x:c>
      <x:c r="F1059" s="7" t="str">
        <x:v>Automatic</x:v>
      </x:c>
      <x:c r="G1059" s="7" t="str">
        <x:v>Sedan</x:v>
      </x:c>
      <x:c r="H1059" s="7" t="n">
        <x:v>1199</x:v>
      </x:c>
      <x:c r="I1059" s="7" t="n">
        <x:v>85</x:v>
      </x:c>
      <x:c r="J1059" s="9" t="n">
        <x:v>19.6</x:v>
      </x:c>
      <x:c r="K1059" s="9" t="n">
        <x:v>8.3</x:v>
      </x:c>
      <x:c r="L1059" s="7" t="n">
        <x:v>2026</x:v>
      </x:c>
      <x:c r="M1059" s="11" t="n">
        <x:v>9889</x:v>
      </x:c>
      <x:c r="N1059" s="7" t="n">
        <x:v>1</x:v>
      </x:c>
      <x:c r="O1059" s="7" t="n">
        <x:v>0</x:v>
      </x:c>
      <x:c r="P1059" s="9" t="n">
        <x:v>8.45</x:v>
      </x:c>
      <x:c r="Q1059" s="7" t="n">
        <x:f>'Guide'!$B$5-L1059</x:f>
        <x:v>0</x:v>
      </x:c>
      <x:c r="R1059" s="9" t="n">
        <x:f>K1059-P1059</x:f>
        <x:v>-0.14999999999999858</x:v>
      </x:c>
      <x:c r="S1059" s="10" t="n">
        <x:f>IF(K1059&gt;0,R1059/K1059,"")</x:f>
        <x:v>-0.018072289156626332</x:v>
      </x:c>
    </x:row>
    <x:row r="1060">
      <x:c r="A1060" s="7" t="n">
        <x:v>1056</x:v>
      </x:c>
      <x:c r="B1060" s="7" t="str">
        <x:v>Tata</x:v>
      </x:c>
      <x:c r="C1060" s="7" t="str">
        <x:v>Tigor</x:v>
      </x:c>
      <x:c r="D1060" s="7" t="str">
        <x:v>XZA</x:v>
      </x:c>
      <x:c r="E1060" s="7" t="str">
        <x:v>Petrol</x:v>
      </x:c>
      <x:c r="F1060" s="7" t="str">
        <x:v>Automatic</x:v>
      </x:c>
      <x:c r="G1060" s="7" t="str">
        <x:v>Sedan</x:v>
      </x:c>
      <x:c r="H1060" s="7" t="n">
        <x:v>1199</x:v>
      </x:c>
      <x:c r="I1060" s="7" t="n">
        <x:v>85</x:v>
      </x:c>
      <x:c r="J1060" s="9" t="n">
        <x:v>19.6</x:v>
      </x:c>
      <x:c r="K1060" s="9" t="n">
        <x:v>8.3</x:v>
      </x:c>
      <x:c r="L1060" s="7" t="n">
        <x:v>2021</x:v>
      </x:c>
      <x:c r="M1060" s="11" t="n">
        <x:v>64659</x:v>
      </x:c>
      <x:c r="N1060" s="7" t="n">
        <x:v>1</x:v>
      </x:c>
      <x:c r="O1060" s="7" t="n">
        <x:v>0</x:v>
      </x:c>
      <x:c r="P1060" s="9" t="n">
        <x:v>4.46</x:v>
      </x:c>
      <x:c r="Q1060" s="7" t="n">
        <x:f>'Guide'!$B$5-L1060</x:f>
        <x:v>5</x:v>
      </x:c>
      <x:c r="R1060" s="9" t="n">
        <x:f>K1060-P1060</x:f>
        <x:v>3.8400000000000007</x:v>
      </x:c>
      <x:c r="S1060" s="10" t="n">
        <x:f>IF(K1060&gt;0,R1060/K1060,"")</x:f>
        <x:v>0.4626506024096386</x:v>
      </x:c>
    </x:row>
    <x:row r="1061">
      <x:c r="A1061" s="7" t="n">
        <x:v>1057</x:v>
      </x:c>
      <x:c r="B1061" s="7" t="str">
        <x:v>Tata</x:v>
      </x:c>
      <x:c r="C1061" s="7" t="str">
        <x:v>Tigor</x:v>
      </x:c>
      <x:c r="D1061" s="7" t="str">
        <x:v>XZA</x:v>
      </x:c>
      <x:c r="E1061" s="7" t="str">
        <x:v>Petrol</x:v>
      </x:c>
      <x:c r="F1061" s="7" t="str">
        <x:v>Automatic</x:v>
      </x:c>
      <x:c r="G1061" s="7" t="str">
        <x:v>Sedan</x:v>
      </x:c>
      <x:c r="H1061" s="7" t="n">
        <x:v>1199</x:v>
      </x:c>
      <x:c r="I1061" s="7" t="n">
        <x:v>85</x:v>
      </x:c>
      <x:c r="J1061" s="9" t="n">
        <x:v>19.6</x:v>
      </x:c>
      <x:c r="K1061" s="9" t="n">
        <x:v>8.3</x:v>
      </x:c>
      <x:c r="L1061" s="7" t="n">
        <x:v>2024</x:v>
      </x:c>
      <x:c r="M1061" s="11" t="n">
        <x:v>31133</x:v>
      </x:c>
      <x:c r="N1061" s="7" t="n">
        <x:v>2</x:v>
      </x:c>
      <x:c r="O1061" s="7" t="n">
        <x:v>0</x:v>
      </x:c>
      <x:c r="P1061" s="9" t="n">
        <x:v>6.31</x:v>
      </x:c>
      <x:c r="Q1061" s="7" t="n">
        <x:f>'Guide'!$B$5-L1061</x:f>
        <x:v>2</x:v>
      </x:c>
      <x:c r="R1061" s="9" t="n">
        <x:f>K1061-P1061</x:f>
        <x:v>1.990000000000001</x:v>
      </x:c>
      <x:c r="S1061" s="10" t="n">
        <x:f>IF(K1061&gt;0,R1061/K1061,"")</x:f>
        <x:v>0.2397590361445784</x:v>
      </x:c>
    </x:row>
    <x:row r="1062">
      <x:c r="A1062" s="7" t="n">
        <x:v>1058</x:v>
      </x:c>
      <x:c r="B1062" s="7" t="str">
        <x:v>Tata</x:v>
      </x:c>
      <x:c r="C1062" s="7" t="str">
        <x:v>Tigor</x:v>
      </x:c>
      <x:c r="D1062" s="7" t="str">
        <x:v>XZA</x:v>
      </x:c>
      <x:c r="E1062" s="7" t="str">
        <x:v>Petrol</x:v>
      </x:c>
      <x:c r="F1062" s="7" t="str">
        <x:v>Automatic</x:v>
      </x:c>
      <x:c r="G1062" s="7" t="str">
        <x:v>Sedan</x:v>
      </x:c>
      <x:c r="H1062" s="7" t="n">
        <x:v>1199</x:v>
      </x:c>
      <x:c r="I1062" s="7" t="n">
        <x:v>85</x:v>
      </x:c>
      <x:c r="J1062" s="9" t="n">
        <x:v>19.6</x:v>
      </x:c>
      <x:c r="K1062" s="9" t="n">
        <x:v>8.3</x:v>
      </x:c>
      <x:c r="L1062" s="7" t="n">
        <x:v>2021</x:v>
      </x:c>
      <x:c r="M1062" s="11" t="n">
        <x:v>66395</x:v>
      </x:c>
      <x:c r="N1062" s="7" t="n">
        <x:v>1</x:v>
      </x:c>
      <x:c r="O1062" s="7" t="n">
        <x:v>0</x:v>
      </x:c>
      <x:c r="P1062" s="9" t="n">
        <x:v>4.56</x:v>
      </x:c>
      <x:c r="Q1062" s="7" t="n">
        <x:f>'Guide'!$B$5-L1062</x:f>
        <x:v>5</x:v>
      </x:c>
      <x:c r="R1062" s="9" t="n">
        <x:f>K1062-P1062</x:f>
        <x:v>3.740000000000001</x:v>
      </x:c>
      <x:c r="S1062" s="10" t="n">
        <x:f>IF(K1062&gt;0,R1062/K1062,"")</x:f>
        <x:v>0.4506024096385543</x:v>
      </x:c>
    </x:row>
    <x:row r="1063">
      <x:c r="A1063" s="7" t="n">
        <x:v>1059</x:v>
      </x:c>
      <x:c r="B1063" s="7" t="str">
        <x:v>Tata</x:v>
      </x:c>
      <x:c r="C1063" s="7" t="str">
        <x:v>Tigor</x:v>
      </x:c>
      <x:c r="D1063" s="7" t="str">
        <x:v>XZA</x:v>
      </x:c>
      <x:c r="E1063" s="7" t="str">
        <x:v>Petrol</x:v>
      </x:c>
      <x:c r="F1063" s="7" t="str">
        <x:v>Automatic</x:v>
      </x:c>
      <x:c r="G1063" s="7" t="str">
        <x:v>Sedan</x:v>
      </x:c>
      <x:c r="H1063" s="7" t="n">
        <x:v>1199</x:v>
      </x:c>
      <x:c r="I1063" s="7" t="n">
        <x:v>85</x:v>
      </x:c>
      <x:c r="J1063" s="9" t="n">
        <x:v>19.6</x:v>
      </x:c>
      <x:c r="K1063" s="9" t="n">
        <x:v>8.3</x:v>
      </x:c>
      <x:c r="L1063" s="7" t="n">
        <x:v>2024</x:v>
      </x:c>
      <x:c r="M1063" s="11" t="n">
        <x:v>34791</x:v>
      </x:c>
      <x:c r="N1063" s="7" t="n">
        <x:v>2</x:v>
      </x:c>
      <x:c r="O1063" s="7" t="n">
        <x:v>0</x:v>
      </x:c>
      <x:c r="P1063" s="9" t="n">
        <x:v>6.27</x:v>
      </x:c>
      <x:c r="Q1063" s="7" t="n">
        <x:f>'Guide'!$B$5-L1063</x:f>
        <x:v>2</x:v>
      </x:c>
      <x:c r="R1063" s="9" t="n">
        <x:f>K1063-P1063</x:f>
        <x:v>2.030000000000001</x:v>
      </x:c>
      <x:c r="S1063" s="10" t="n">
        <x:f>IF(K1063&gt;0,R1063/K1063,"")</x:f>
        <x:v>0.24457831325301216</x:v>
      </x:c>
    </x:row>
    <x:row r="1064">
      <x:c r="A1064" s="7" t="n">
        <x:v>1060</x:v>
      </x:c>
      <x:c r="B1064" s="7" t="str">
        <x:v>Tata</x:v>
      </x:c>
      <x:c r="C1064" s="7" t="str">
        <x:v>Tigor</x:v>
      </x:c>
      <x:c r="D1064" s="7" t="str">
        <x:v>XZA</x:v>
      </x:c>
      <x:c r="E1064" s="7" t="str">
        <x:v>Petrol</x:v>
      </x:c>
      <x:c r="F1064" s="7" t="str">
        <x:v>Automatic</x:v>
      </x:c>
      <x:c r="G1064" s="7" t="str">
        <x:v>Sedan</x:v>
      </x:c>
      <x:c r="H1064" s="7" t="n">
        <x:v>1199</x:v>
      </x:c>
      <x:c r="I1064" s="7" t="n">
        <x:v>85</x:v>
      </x:c>
      <x:c r="J1064" s="9" t="n">
        <x:v>19.6</x:v>
      </x:c>
      <x:c r="K1064" s="9" t="n">
        <x:v>8.3</x:v>
      </x:c>
      <x:c r="L1064" s="7" t="n">
        <x:v>2023</x:v>
      </x:c>
      <x:c r="M1064" s="11" t="n">
        <x:v>28128</x:v>
      </x:c>
      <x:c r="N1064" s="7" t="n">
        <x:v>1</x:v>
      </x:c>
      <x:c r="O1064" s="7" t="n">
        <x:v>0</x:v>
      </x:c>
      <x:c r="P1064" s="9" t="n">
        <x:v>6.41</x:v>
      </x:c>
      <x:c r="Q1064" s="7" t="n">
        <x:f>'Guide'!$B$5-L1064</x:f>
        <x:v>3</x:v>
      </x:c>
      <x:c r="R1064" s="9" t="n">
        <x:f>K1064-P1064</x:f>
        <x:v>1.8900000000000006</x:v>
      </x:c>
      <x:c r="S1064" s="10" t="n">
        <x:f>IF(K1064&gt;0,R1064/K1064,"")</x:f>
        <x:v>0.22771084337349404</x:v>
      </x:c>
    </x:row>
    <x:row r="1065">
      <x:c r="A1065" s="7" t="n">
        <x:v>1061</x:v>
      </x:c>
      <x:c r="B1065" s="7" t="str">
        <x:v>Tata</x:v>
      </x:c>
      <x:c r="C1065" s="7" t="str">
        <x:v>Tigor</x:v>
      </x:c>
      <x:c r="D1065" s="7" t="str">
        <x:v>XZA</x:v>
      </x:c>
      <x:c r="E1065" s="7" t="str">
        <x:v>Petrol</x:v>
      </x:c>
      <x:c r="F1065" s="7" t="str">
        <x:v>Automatic</x:v>
      </x:c>
      <x:c r="G1065" s="7" t="str">
        <x:v>Sedan</x:v>
      </x:c>
      <x:c r="H1065" s="7" t="n">
        <x:v>1199</x:v>
      </x:c>
      <x:c r="I1065" s="7" t="n">
        <x:v>85</x:v>
      </x:c>
      <x:c r="J1065" s="9" t="n">
        <x:v>19.6</x:v>
      </x:c>
      <x:c r="K1065" s="9" t="n">
        <x:v>8.3</x:v>
      </x:c>
      <x:c r="L1065" s="7" t="n">
        <x:v>2025</x:v>
      </x:c>
      <x:c r="M1065" s="11" t="n">
        <x:v>24068</x:v>
      </x:c>
      <x:c r="N1065" s="7" t="n">
        <x:v>1</x:v>
      </x:c>
      <x:c r="O1065" s="7" t="n">
        <x:v>0</x:v>
      </x:c>
      <x:c r="P1065" s="9" t="n">
        <x:v>7.05</x:v>
      </x:c>
      <x:c r="Q1065" s="7" t="n">
        <x:f>'Guide'!$B$5-L1065</x:f>
        <x:v>1</x:v>
      </x:c>
      <x:c r="R1065" s="9" t="n">
        <x:f>K1065-P1065</x:f>
        <x:v>1.2500000000000009</x:v>
      </x:c>
      <x:c r="S1065" s="10" t="n">
        <x:f>IF(K1065&gt;0,R1065/K1065,"")</x:f>
        <x:v>0.1506024096385543</x:v>
      </x:c>
    </x:row>
    <x:row r="1066">
      <x:c r="A1066" s="7" t="n">
        <x:v>1062</x:v>
      </x:c>
      <x:c r="B1066" s="7" t="str">
        <x:v>Tata</x:v>
      </x:c>
      <x:c r="C1066" s="7" t="str">
        <x:v>Tigor</x:v>
      </x:c>
      <x:c r="D1066" s="7" t="str">
        <x:v>XZA</x:v>
      </x:c>
      <x:c r="E1066" s="7" t="str">
        <x:v>Petrol</x:v>
      </x:c>
      <x:c r="F1066" s="7" t="str">
        <x:v>Automatic</x:v>
      </x:c>
      <x:c r="G1066" s="7" t="str">
        <x:v>Sedan</x:v>
      </x:c>
      <x:c r="H1066" s="7" t="n">
        <x:v>1199</x:v>
      </x:c>
      <x:c r="I1066" s="7" t="n">
        <x:v>85</x:v>
      </x:c>
      <x:c r="J1066" s="9" t="n">
        <x:v>19.6</x:v>
      </x:c>
      <x:c r="K1066" s="9" t="n">
        <x:v>8.3</x:v>
      </x:c>
      <x:c r="L1066" s="7" t="n">
        <x:v>2021</x:v>
      </x:c>
      <x:c r="M1066" s="11" t="n">
        <x:v>88658</x:v>
      </x:c>
      <x:c r="N1066" s="7" t="n">
        <x:v>1</x:v>
      </x:c>
      <x:c r="O1066" s="7" t="n">
        <x:v>0</x:v>
      </x:c>
      <x:c r="P1066" s="9" t="n">
        <x:v>4.4</x:v>
      </x:c>
      <x:c r="Q1066" s="7" t="n">
        <x:f>'Guide'!$B$5-L1066</x:f>
        <x:v>5</x:v>
      </x:c>
      <x:c r="R1066" s="9" t="n">
        <x:f>K1066-P1066</x:f>
        <x:v>3.9000000000000004</x:v>
      </x:c>
      <x:c r="S1066" s="10" t="n">
        <x:f>IF(K1066&gt;0,R1066/K1066,"")</x:f>
        <x:v>0.46987951807228917</x:v>
      </x:c>
    </x:row>
    <x:row r="1067">
      <x:c r="A1067" s="7" t="n">
        <x:v>1063</x:v>
      </x:c>
      <x:c r="B1067" s="7" t="str">
        <x:v>Tata</x:v>
      </x:c>
      <x:c r="C1067" s="7" t="str">
        <x:v>Tigor</x:v>
      </x:c>
      <x:c r="D1067" s="7" t="str">
        <x:v>XZA</x:v>
      </x:c>
      <x:c r="E1067" s="7" t="str">
        <x:v>Petrol</x:v>
      </x:c>
      <x:c r="F1067" s="7" t="str">
        <x:v>Automatic</x:v>
      </x:c>
      <x:c r="G1067" s="7" t="str">
        <x:v>Sedan</x:v>
      </x:c>
      <x:c r="H1067" s="7" t="n">
        <x:v>1199</x:v>
      </x:c>
      <x:c r="I1067" s="7" t="n">
        <x:v>85</x:v>
      </x:c>
      <x:c r="J1067" s="9" t="n">
        <x:v>19.6</x:v>
      </x:c>
      <x:c r="K1067" s="9" t="n">
        <x:v>8.3</x:v>
      </x:c>
      <x:c r="L1067" s="7" t="n">
        <x:v>2026</x:v>
      </x:c>
      <x:c r="M1067" s="11" t="n">
        <x:v>8200</x:v>
      </x:c>
      <x:c r="N1067" s="7" t="n">
        <x:v>3</x:v>
      </x:c>
      <x:c r="O1067" s="7" t="n">
        <x:v>0</x:v>
      </x:c>
      <x:c r="P1067" s="9" t="n">
        <x:v>7.7</x:v>
      </x:c>
      <x:c r="Q1067" s="7" t="n">
        <x:f>'Guide'!$B$5-L1067</x:f>
        <x:v>0</x:v>
      </x:c>
      <x:c r="R1067" s="9" t="n">
        <x:f>K1067-P1067</x:f>
        <x:v>0.6000000000000005</x:v>
      </x:c>
      <x:c r="S1067" s="10" t="n">
        <x:f>IF(K1067&gt;0,R1067/K1067,"")</x:f>
        <x:v>0.07228915662650608</x:v>
      </x:c>
    </x:row>
    <x:row r="1068">
      <x:c r="A1068" s="7" t="n">
        <x:v>1064</x:v>
      </x:c>
      <x:c r="B1068" s="7" t="str">
        <x:v>Tata</x:v>
      </x:c>
      <x:c r="C1068" s="7" t="str">
        <x:v>Tigor</x:v>
      </x:c>
      <x:c r="D1068" s="7" t="str">
        <x:v>XZA</x:v>
      </x:c>
      <x:c r="E1068" s="7" t="str">
        <x:v>Petrol</x:v>
      </x:c>
      <x:c r="F1068" s="7" t="str">
        <x:v>Automatic</x:v>
      </x:c>
      <x:c r="G1068" s="7" t="str">
        <x:v>Sedan</x:v>
      </x:c>
      <x:c r="H1068" s="7" t="n">
        <x:v>1199</x:v>
      </x:c>
      <x:c r="I1068" s="7" t="n">
        <x:v>85</x:v>
      </x:c>
      <x:c r="J1068" s="9" t="n">
        <x:v>19.6</x:v>
      </x:c>
      <x:c r="K1068" s="9" t="n">
        <x:v>8.3</x:v>
      </x:c>
      <x:c r="L1068" s="7" t="n">
        <x:v>2025</x:v>
      </x:c>
      <x:c r="M1068" s="11" t="n">
        <x:v>14963</x:v>
      </x:c>
      <x:c r="N1068" s="7" t="n">
        <x:v>1</x:v>
      </x:c>
      <x:c r="O1068" s="7" t="n">
        <x:v>0</x:v>
      </x:c>
      <x:c r="P1068" s="9" t="n">
        <x:v>7.8</x:v>
      </x:c>
      <x:c r="Q1068" s="7" t="n">
        <x:f>'Guide'!$B$5-L1068</x:f>
        <x:v>1</x:v>
      </x:c>
      <x:c r="R1068" s="9" t="n">
        <x:f>K1068-P1068</x:f>
        <x:v>0.5000000000000009</x:v>
      </x:c>
      <x:c r="S1068" s="10" t="n">
        <x:f>IF(K1068&gt;0,R1068/K1068,"")</x:f>
        <x:v>0.06024096385542179</x:v>
      </x:c>
    </x:row>
    <x:row r="1069">
      <x:c r="A1069" s="7" t="n">
        <x:v>1065</x:v>
      </x:c>
      <x:c r="B1069" s="7" t="str">
        <x:v>Tata</x:v>
      </x:c>
      <x:c r="C1069" s="7" t="str">
        <x:v>Tigor</x:v>
      </x:c>
      <x:c r="D1069" s="7" t="str">
        <x:v>XZA</x:v>
      </x:c>
      <x:c r="E1069" s="7" t="str">
        <x:v>Petrol</x:v>
      </x:c>
      <x:c r="F1069" s="7" t="str">
        <x:v>Automatic</x:v>
      </x:c>
      <x:c r="G1069" s="7" t="str">
        <x:v>Sedan</x:v>
      </x:c>
      <x:c r="H1069" s="7" t="n">
        <x:v>1199</x:v>
      </x:c>
      <x:c r="I1069" s="7" t="n">
        <x:v>85</x:v>
      </x:c>
      <x:c r="J1069" s="9" t="n">
        <x:v>19.6</x:v>
      </x:c>
      <x:c r="K1069" s="9" t="n">
        <x:v>8.3</x:v>
      </x:c>
      <x:c r="L1069" s="7" t="n">
        <x:v>2026</x:v>
      </x:c>
      <x:c r="M1069" s="11" t="n">
        <x:v>7684</x:v>
      </x:c>
      <x:c r="N1069" s="7" t="n">
        <x:v>1</x:v>
      </x:c>
      <x:c r="O1069" s="7" t="n">
        <x:v>1</x:v>
      </x:c>
      <x:c r="P1069" s="9" t="n">
        <x:v>7.18</x:v>
      </x:c>
      <x:c r="Q1069" s="7" t="n">
        <x:f>'Guide'!$B$5-L1069</x:f>
        <x:v>0</x:v>
      </x:c>
      <x:c r="R1069" s="9" t="n">
        <x:f>K1069-P1069</x:f>
        <x:v>1.120000000000001</x:v>
      </x:c>
      <x:c r="S1069" s="10" t="n">
        <x:f>IF(K1069&gt;0,R1069/K1069,"")</x:f>
        <x:v>0.1349397590361447</x:v>
      </x:c>
    </x:row>
    <x:row r="1070">
      <x:c r="A1070" s="7" t="n">
        <x:v>1066</x:v>
      </x:c>
      <x:c r="B1070" s="7" t="str">
        <x:v>Tata</x:v>
      </x:c>
      <x:c r="C1070" s="7" t="str">
        <x:v>Tigor</x:v>
      </x:c>
      <x:c r="D1070" s="7" t="str">
        <x:v>XZA</x:v>
      </x:c>
      <x:c r="E1070" s="7" t="str">
        <x:v>Petrol</x:v>
      </x:c>
      <x:c r="F1070" s="7" t="str">
        <x:v>Automatic</x:v>
      </x:c>
      <x:c r="G1070" s="7" t="str">
        <x:v>Sedan</x:v>
      </x:c>
      <x:c r="H1070" s="7" t="n">
        <x:v>1199</x:v>
      </x:c>
      <x:c r="I1070" s="7" t="n">
        <x:v>85</x:v>
      </x:c>
      <x:c r="J1070" s="9" t="n">
        <x:v>19.6</x:v>
      </x:c>
      <x:c r="K1070" s="9" t="n">
        <x:v>8.3</x:v>
      </x:c>
      <x:c r="L1070" s="7" t="n">
        <x:v>2026</x:v>
      </x:c>
      <x:c r="M1070" s="11" t="n">
        <x:v>7554</x:v>
      </x:c>
      <x:c r="N1070" s="7" t="n">
        <x:v>1</x:v>
      </x:c>
      <x:c r="O1070" s="7" t="n">
        <x:v>0</x:v>
      </x:c>
      <x:c r="P1070" s="9" t="n">
        <x:v>8.21</x:v>
      </x:c>
      <x:c r="Q1070" s="7" t="n">
        <x:f>'Guide'!$B$5-L1070</x:f>
        <x:v>0</x:v>
      </x:c>
      <x:c r="R1070" s="9" t="n">
        <x:f>K1070-P1070</x:f>
        <x:v>0.08999999999999986</x:v>
      </x:c>
      <x:c r="S1070" s="10" t="n">
        <x:f>IF(K1070&gt;0,R1070/K1070,"")</x:f>
        <x:v>0.010843373493975886</x:v>
      </x:c>
    </x:row>
    <x:row r="1071">
      <x:c r="A1071" s="7" t="n">
        <x:v>1067</x:v>
      </x:c>
      <x:c r="B1071" s="7" t="str">
        <x:v>Tata</x:v>
      </x:c>
      <x:c r="C1071" s="7" t="str">
        <x:v>Tigor</x:v>
      </x:c>
      <x:c r="D1071" s="7" t="str">
        <x:v>XZA</x:v>
      </x:c>
      <x:c r="E1071" s="7" t="str">
        <x:v>Petrol</x:v>
      </x:c>
      <x:c r="F1071" s="7" t="str">
        <x:v>Automatic</x:v>
      </x:c>
      <x:c r="G1071" s="7" t="str">
        <x:v>Sedan</x:v>
      </x:c>
      <x:c r="H1071" s="7" t="n">
        <x:v>1199</x:v>
      </x:c>
      <x:c r="I1071" s="7" t="n">
        <x:v>85</x:v>
      </x:c>
      <x:c r="J1071" s="9" t="n">
        <x:v>19.6</x:v>
      </x:c>
      <x:c r="K1071" s="9" t="n">
        <x:v>8.3</x:v>
      </x:c>
      <x:c r="L1071" s="7" t="n">
        <x:v>2022</x:v>
      </x:c>
      <x:c r="M1071" s="11" t="n">
        <x:v>37224</x:v>
      </x:c>
      <x:c r="N1071" s="7" t="n">
        <x:v>2</x:v>
      </x:c>
      <x:c r="O1071" s="7" t="n">
        <x:v>0</x:v>
      </x:c>
      <x:c r="P1071" s="9" t="n">
        <x:v>5.04</x:v>
      </x:c>
      <x:c r="Q1071" s="7" t="n">
        <x:f>'Guide'!$B$5-L1071</x:f>
        <x:v>4</x:v>
      </x:c>
      <x:c r="R1071" s="9" t="n">
        <x:f>K1071-P1071</x:f>
        <x:v>3.2600000000000007</x:v>
      </x:c>
      <x:c r="S1071" s="10" t="n">
        <x:f>IF(K1071&gt;0,R1071/K1071,"")</x:f>
        <x:v>0.3927710843373494</x:v>
      </x:c>
    </x:row>
    <x:row r="1072">
      <x:c r="A1072" s="7" t="n">
        <x:v>1068</x:v>
      </x:c>
      <x:c r="B1072" s="7" t="str">
        <x:v>Tata</x:v>
      </x:c>
      <x:c r="C1072" s="7" t="str">
        <x:v>Tigor</x:v>
      </x:c>
      <x:c r="D1072" s="7" t="str">
        <x:v>XZA</x:v>
      </x:c>
      <x:c r="E1072" s="7" t="str">
        <x:v>Petrol</x:v>
      </x:c>
      <x:c r="F1072" s="7" t="str">
        <x:v>Automatic</x:v>
      </x:c>
      <x:c r="G1072" s="7" t="str">
        <x:v>Sedan</x:v>
      </x:c>
      <x:c r="H1072" s="7" t="n">
        <x:v>1199</x:v>
      </x:c>
      <x:c r="I1072" s="7" t="n">
        <x:v>85</x:v>
      </x:c>
      <x:c r="J1072" s="9" t="n">
        <x:v>19.6</x:v>
      </x:c>
      <x:c r="K1072" s="9" t="n">
        <x:v>8.3</x:v>
      </x:c>
      <x:c r="L1072" s="7" t="n">
        <x:v>2022</x:v>
      </x:c>
      <x:c r="M1072" s="11" t="n">
        <x:v>74845</x:v>
      </x:c>
      <x:c r="N1072" s="7" t="n">
        <x:v>1</x:v>
      </x:c>
      <x:c r="O1072" s="7" t="n">
        <x:v>0</x:v>
      </x:c>
      <x:c r="P1072" s="9" t="n">
        <x:v>5.13</x:v>
      </x:c>
      <x:c r="Q1072" s="7" t="n">
        <x:f>'Guide'!$B$5-L1072</x:f>
        <x:v>4</x:v>
      </x:c>
      <x:c r="R1072" s="9" t="n">
        <x:f>K1072-P1072</x:f>
        <x:v>3.170000000000001</x:v>
      </x:c>
      <x:c r="S1072" s="10" t="n">
        <x:f>IF(K1072&gt;0,R1072/K1072,"")</x:f>
        <x:v>0.38192771084337357</x:v>
      </x:c>
    </x:row>
    <x:row r="1073">
      <x:c r="A1073" s="7" t="n">
        <x:v>1069</x:v>
      </x:c>
      <x:c r="B1073" s="7" t="str">
        <x:v>Tata</x:v>
      </x:c>
      <x:c r="C1073" s="7" t="str">
        <x:v>Tigor</x:v>
      </x:c>
      <x:c r="D1073" s="7" t="str">
        <x:v>XZA</x:v>
      </x:c>
      <x:c r="E1073" s="7" t="str">
        <x:v>Petrol</x:v>
      </x:c>
      <x:c r="F1073" s="7" t="str">
        <x:v>Automatic</x:v>
      </x:c>
      <x:c r="G1073" s="7" t="str">
        <x:v>Sedan</x:v>
      </x:c>
      <x:c r="H1073" s="7" t="n">
        <x:v>1199</x:v>
      </x:c>
      <x:c r="I1073" s="7" t="n">
        <x:v>85</x:v>
      </x:c>
      <x:c r="J1073" s="9" t="n">
        <x:v>19.6</x:v>
      </x:c>
      <x:c r="K1073" s="9" t="n">
        <x:v>8.3</x:v>
      </x:c>
      <x:c r="L1073" s="7" t="n">
        <x:v>2021</x:v>
      </x:c>
      <x:c r="M1073" s="11" t="n">
        <x:v>85592</x:v>
      </x:c>
      <x:c r="N1073" s="7" t="n">
        <x:v>1</x:v>
      </x:c>
      <x:c r="O1073" s="7" t="n">
        <x:v>0</x:v>
      </x:c>
      <x:c r="P1073" s="9" t="n">
        <x:v>4.28</x:v>
      </x:c>
      <x:c r="Q1073" s="7" t="n">
        <x:f>'Guide'!$B$5-L1073</x:f>
        <x:v>5</x:v>
      </x:c>
      <x:c r="R1073" s="9" t="n">
        <x:f>K1073-P1073</x:f>
        <x:v>4.0200000000000005</x:v>
      </x:c>
      <x:c r="S1073" s="10" t="n">
        <x:f>IF(K1073&gt;0,R1073/K1073,"")</x:f>
        <x:v>0.4843373493975904</x:v>
      </x:c>
    </x:row>
    <x:row r="1074">
      <x:c r="A1074" s="7" t="n">
        <x:v>1070</x:v>
      </x:c>
      <x:c r="B1074" s="7" t="str">
        <x:v>Tata</x:v>
      </x:c>
      <x:c r="C1074" s="7" t="str">
        <x:v>Tigor</x:v>
      </x:c>
      <x:c r="D1074" s="7" t="str">
        <x:v>XZA</x:v>
      </x:c>
      <x:c r="E1074" s="7" t="str">
        <x:v>Petrol</x:v>
      </x:c>
      <x:c r="F1074" s="7" t="str">
        <x:v>Automatic</x:v>
      </x:c>
      <x:c r="G1074" s="7" t="str">
        <x:v>Sedan</x:v>
      </x:c>
      <x:c r="H1074" s="7" t="n">
        <x:v>1199</x:v>
      </x:c>
      <x:c r="I1074" s="7" t="n">
        <x:v>85</x:v>
      </x:c>
      <x:c r="J1074" s="9" t="n">
        <x:v>19.6</x:v>
      </x:c>
      <x:c r="K1074" s="9" t="n">
        <x:v>8.3</x:v>
      </x:c>
      <x:c r="L1074" s="7" t="n">
        <x:v>2025</x:v>
      </x:c>
      <x:c r="M1074" s="11" t="n">
        <x:v>16654</x:v>
      </x:c>
      <x:c r="N1074" s="7" t="n">
        <x:v>2</x:v>
      </x:c>
      <x:c r="O1074" s="7" t="n">
        <x:v>0</x:v>
      </x:c>
      <x:c r="P1074" s="9" t="n">
        <x:v>7.2</x:v>
      </x:c>
      <x:c r="Q1074" s="7" t="n">
        <x:f>'Guide'!$B$5-L1074</x:f>
        <x:v>1</x:v>
      </x:c>
      <x:c r="R1074" s="9" t="n">
        <x:f>K1074-P1074</x:f>
        <x:v>1.1000000000000005</x:v>
      </x:c>
      <x:c r="S1074" s="10" t="n">
        <x:f>IF(K1074&gt;0,R1074/K1074,"")</x:f>
        <x:v>0.13253012048192778</x:v>
      </x:c>
    </x:row>
    <x:row r="1075">
      <x:c r="A1075" s="7" t="n">
        <x:v>1071</x:v>
      </x:c>
      <x:c r="B1075" s="7" t="str">
        <x:v>Tata</x:v>
      </x:c>
      <x:c r="C1075" s="7" t="str">
        <x:v>Tigor</x:v>
      </x:c>
      <x:c r="D1075" s="7" t="str">
        <x:v>XZA</x:v>
      </x:c>
      <x:c r="E1075" s="7" t="str">
        <x:v>Petrol</x:v>
      </x:c>
      <x:c r="F1075" s="7" t="str">
        <x:v>Automatic</x:v>
      </x:c>
      <x:c r="G1075" s="7" t="str">
        <x:v>Sedan</x:v>
      </x:c>
      <x:c r="H1075" s="7" t="n">
        <x:v>1199</x:v>
      </x:c>
      <x:c r="I1075" s="7" t="n">
        <x:v>85</x:v>
      </x:c>
      <x:c r="J1075" s="9" t="n">
        <x:v>19.6</x:v>
      </x:c>
      <x:c r="K1075" s="9" t="n">
        <x:v>8.3</x:v>
      </x:c>
      <x:c r="L1075" s="7" t="n">
        <x:v>2020</x:v>
      </x:c>
      <x:c r="M1075" s="11" t="n">
        <x:v>72725</x:v>
      </x:c>
      <x:c r="N1075" s="7" t="n">
        <x:v>2</x:v>
      </x:c>
      <x:c r="O1075" s="7" t="n">
        <x:v>0</x:v>
      </x:c>
      <x:c r="P1075" s="9" t="n">
        <x:v>3.49</x:v>
      </x:c>
      <x:c r="Q1075" s="7" t="n">
        <x:f>'Guide'!$B$5-L1075</x:f>
        <x:v>6</x:v>
      </x:c>
      <x:c r="R1075" s="9" t="n">
        <x:f>K1075-P1075</x:f>
        <x:v>4.8100000000000005</x:v>
      </x:c>
      <x:c r="S1075" s="10" t="n">
        <x:f>IF(K1075&gt;0,R1075/K1075,"")</x:f>
        <x:v>0.5795180722891566</x:v>
      </x:c>
    </x:row>
    <x:row r="1076">
      <x:c r="A1076" s="7" t="n">
        <x:v>1072</x:v>
      </x:c>
      <x:c r="B1076" s="7" t="str">
        <x:v>Tata</x:v>
      </x:c>
      <x:c r="C1076" s="7" t="str">
        <x:v>Tigor</x:v>
      </x:c>
      <x:c r="D1076" s="7" t="str">
        <x:v>XZA</x:v>
      </x:c>
      <x:c r="E1076" s="7" t="str">
        <x:v>Petrol</x:v>
      </x:c>
      <x:c r="F1076" s="7" t="str">
        <x:v>Automatic</x:v>
      </x:c>
      <x:c r="G1076" s="7" t="str">
        <x:v>Sedan</x:v>
      </x:c>
      <x:c r="H1076" s="7" t="n">
        <x:v>1199</x:v>
      </x:c>
      <x:c r="I1076" s="7" t="n">
        <x:v>85</x:v>
      </x:c>
      <x:c r="J1076" s="9" t="n">
        <x:v>19.6</x:v>
      </x:c>
      <x:c r="K1076" s="9" t="n">
        <x:v>8.3</x:v>
      </x:c>
      <x:c r="L1076" s="7" t="n">
        <x:v>2021</x:v>
      </x:c>
      <x:c r="M1076" s="11" t="n">
        <x:v>47116</x:v>
      </x:c>
      <x:c r="N1076" s="7" t="n">
        <x:v>2</x:v>
      </x:c>
      <x:c r="O1076" s="7" t="n">
        <x:v>0</x:v>
      </x:c>
      <x:c r="P1076" s="9" t="n">
        <x:v>3.96</x:v>
      </x:c>
      <x:c r="Q1076" s="7" t="n">
        <x:f>'Guide'!$B$5-L1076</x:f>
        <x:v>5</x:v>
      </x:c>
      <x:c r="R1076" s="9" t="n">
        <x:f>K1076-P1076</x:f>
        <x:v>4.340000000000001</x:v>
      </x:c>
      <x:c r="S1076" s="10" t="n">
        <x:f>IF(K1076&gt;0,R1076/K1076,"")</x:f>
        <x:v>0.5228915662650603</x:v>
      </x:c>
    </x:row>
    <x:row r="1077">
      <x:c r="A1077" s="7" t="n">
        <x:v>1073</x:v>
      </x:c>
      <x:c r="B1077" s="7" t="str">
        <x:v>Tata</x:v>
      </x:c>
      <x:c r="C1077" s="7" t="str">
        <x:v>Tigor</x:v>
      </x:c>
      <x:c r="D1077" s="7" t="str">
        <x:v>XZA</x:v>
      </x:c>
      <x:c r="E1077" s="7" t="str">
        <x:v>Petrol</x:v>
      </x:c>
      <x:c r="F1077" s="7" t="str">
        <x:v>Automatic</x:v>
      </x:c>
      <x:c r="G1077" s="7" t="str">
        <x:v>Sedan</x:v>
      </x:c>
      <x:c r="H1077" s="7" t="n">
        <x:v>1199</x:v>
      </x:c>
      <x:c r="I1077" s="7" t="n">
        <x:v>85</x:v>
      </x:c>
      <x:c r="J1077" s="9" t="n">
        <x:v>19.6</x:v>
      </x:c>
      <x:c r="K1077" s="9" t="n">
        <x:v>8.3</x:v>
      </x:c>
      <x:c r="L1077" s="7" t="n">
        <x:v>2025</x:v>
      </x:c>
      <x:c r="M1077" s="11" t="n">
        <x:v>29803</x:v>
      </x:c>
      <x:c r="N1077" s="7" t="n">
        <x:v>1</x:v>
      </x:c>
      <x:c r="O1077" s="7" t="n">
        <x:v>1</x:v>
      </x:c>
      <x:c r="P1077" s="9" t="n">
        <x:v>6.64</x:v>
      </x:c>
      <x:c r="Q1077" s="7" t="n">
        <x:f>'Guide'!$B$5-L1077</x:f>
        <x:v>1</x:v>
      </x:c>
      <x:c r="R1077" s="9" t="n">
        <x:f>K1077-P1077</x:f>
        <x:v>1.660000000000001</x:v>
      </x:c>
      <x:c r="S1077" s="10" t="n">
        <x:f>IF(K1077&gt;0,R1077/K1077,"")</x:f>
        <x:v>0.2000000000000001</x:v>
      </x:c>
    </x:row>
    <x:row r="1078">
      <x:c r="A1078" s="7" t="n">
        <x:v>1074</x:v>
      </x:c>
      <x:c r="B1078" s="7" t="str">
        <x:v>Tata</x:v>
      </x:c>
      <x:c r="C1078" s="7" t="str">
        <x:v>Tigor</x:v>
      </x:c>
      <x:c r="D1078" s="7" t="str">
        <x:v>XZA</x:v>
      </x:c>
      <x:c r="E1078" s="7" t="str">
        <x:v>Petrol</x:v>
      </x:c>
      <x:c r="F1078" s="7" t="str">
        <x:v>Automatic</x:v>
      </x:c>
      <x:c r="G1078" s="7" t="str">
        <x:v>Sedan</x:v>
      </x:c>
      <x:c r="H1078" s="7" t="n">
        <x:v>1199</x:v>
      </x:c>
      <x:c r="I1078" s="7" t="n">
        <x:v>85</x:v>
      </x:c>
      <x:c r="J1078" s="9" t="n">
        <x:v>19.6</x:v>
      </x:c>
      <x:c r="K1078" s="9" t="n">
        <x:v>8.3</x:v>
      </x:c>
      <x:c r="L1078" s="7" t="n">
        <x:v>2021</x:v>
      </x:c>
      <x:c r="M1078" s="11" t="n">
        <x:v>82771</x:v>
      </x:c>
      <x:c r="N1078" s="7" t="n">
        <x:v>1</x:v>
      </x:c>
      <x:c r="O1078" s="7" t="n">
        <x:v>0</x:v>
      </x:c>
      <x:c r="P1078" s="9" t="n">
        <x:v>4.49</x:v>
      </x:c>
      <x:c r="Q1078" s="7" t="n">
        <x:f>'Guide'!$B$5-L1078</x:f>
        <x:v>5</x:v>
      </x:c>
      <x:c r="R1078" s="9" t="n">
        <x:f>K1078-P1078</x:f>
        <x:v>3.8100000000000005</x:v>
      </x:c>
      <x:c r="S1078" s="10" t="n">
        <x:f>IF(K1078&gt;0,R1078/K1078,"")</x:f>
        <x:v>0.45903614457831327</x:v>
      </x:c>
    </x:row>
    <x:row r="1079">
      <x:c r="A1079" s="7" t="n">
        <x:v>1075</x:v>
      </x:c>
      <x:c r="B1079" s="7" t="str">
        <x:v>Tata</x:v>
      </x:c>
      <x:c r="C1079" s="7" t="str">
        <x:v>Tigor</x:v>
      </x:c>
      <x:c r="D1079" s="7" t="str">
        <x:v>XZA</x:v>
      </x:c>
      <x:c r="E1079" s="7" t="str">
        <x:v>Petrol</x:v>
      </x:c>
      <x:c r="F1079" s="7" t="str">
        <x:v>Automatic</x:v>
      </x:c>
      <x:c r="G1079" s="7" t="str">
        <x:v>Sedan</x:v>
      </x:c>
      <x:c r="H1079" s="7" t="n">
        <x:v>1199</x:v>
      </x:c>
      <x:c r="I1079" s="7" t="n">
        <x:v>85</x:v>
      </x:c>
      <x:c r="J1079" s="9" t="n">
        <x:v>19.6</x:v>
      </x:c>
      <x:c r="K1079" s="9" t="n">
        <x:v>8.3</x:v>
      </x:c>
      <x:c r="L1079" s="7" t="n">
        <x:v>2026</x:v>
      </x:c>
      <x:c r="M1079" s="11" t="n">
        <x:v>9827</x:v>
      </x:c>
      <x:c r="N1079" s="7" t="n">
        <x:v>1</x:v>
      </x:c>
      <x:c r="O1079" s="7" t="n">
        <x:v>1</x:v>
      </x:c>
      <x:c r="P1079" s="9" t="n">
        <x:v>7.75</x:v>
      </x:c>
      <x:c r="Q1079" s="7" t="n">
        <x:f>'Guide'!$B$5-L1079</x:f>
        <x:v>0</x:v>
      </x:c>
      <x:c r="R1079" s="9" t="n">
        <x:f>K1079-P1079</x:f>
        <x:v>0.5500000000000007</x:v>
      </x:c>
      <x:c r="S1079" s="10" t="n">
        <x:f>IF(K1079&gt;0,R1079/K1079,"")</x:f>
        <x:v>0.06626506024096393</x:v>
      </x:c>
    </x:row>
    <x:row r="1080">
      <x:c r="A1080" s="7" t="n">
        <x:v>1076</x:v>
      </x:c>
      <x:c r="B1080" s="7" t="str">
        <x:v>Tata</x:v>
      </x:c>
      <x:c r="C1080" s="7" t="str">
        <x:v>Tigor</x:v>
      </x:c>
      <x:c r="D1080" s="7" t="str">
        <x:v>XZA</x:v>
      </x:c>
      <x:c r="E1080" s="7" t="str">
        <x:v>Petrol</x:v>
      </x:c>
      <x:c r="F1080" s="7" t="str">
        <x:v>Automatic</x:v>
      </x:c>
      <x:c r="G1080" s="7" t="str">
        <x:v>Sedan</x:v>
      </x:c>
      <x:c r="H1080" s="7" t="n">
        <x:v>1199</x:v>
      </x:c>
      <x:c r="I1080" s="7" t="n">
        <x:v>85</x:v>
      </x:c>
      <x:c r="J1080" s="9" t="n">
        <x:v>19.6</x:v>
      </x:c>
      <x:c r="K1080" s="9" t="n">
        <x:v>8.3</x:v>
      </x:c>
      <x:c r="L1080" s="7" t="n">
        <x:v>2021</x:v>
      </x:c>
      <x:c r="M1080" s="11" t="n">
        <x:v>62306</x:v>
      </x:c>
      <x:c r="N1080" s="7" t="n">
        <x:v>1</x:v>
      </x:c>
      <x:c r="O1080" s="7" t="n">
        <x:v>0</x:v>
      </x:c>
      <x:c r="P1080" s="9" t="n">
        <x:v>4.37</x:v>
      </x:c>
      <x:c r="Q1080" s="7" t="n">
        <x:f>'Guide'!$B$5-L1080</x:f>
        <x:v>5</x:v>
      </x:c>
      <x:c r="R1080" s="9" t="n">
        <x:f>K1080-P1080</x:f>
        <x:v>3.9300000000000006</x:v>
      </x:c>
      <x:c r="S1080" s="10" t="n">
        <x:f>IF(K1080&gt;0,R1080/K1080,"")</x:f>
        <x:v>0.4734939759036145</x:v>
      </x:c>
    </x:row>
    <x:row r="1081">
      <x:c r="A1081" s="7" t="n">
        <x:v>1077</x:v>
      </x:c>
      <x:c r="B1081" s="7" t="str">
        <x:v>Tata</x:v>
      </x:c>
      <x:c r="C1081" s="7" t="str">
        <x:v>Tigor</x:v>
      </x:c>
      <x:c r="D1081" s="7" t="str">
        <x:v>XZA</x:v>
      </x:c>
      <x:c r="E1081" s="7" t="str">
        <x:v>Petrol</x:v>
      </x:c>
      <x:c r="F1081" s="7" t="str">
        <x:v>Automatic</x:v>
      </x:c>
      <x:c r="G1081" s="7" t="str">
        <x:v>Sedan</x:v>
      </x:c>
      <x:c r="H1081" s="7" t="n">
        <x:v>1199</x:v>
      </x:c>
      <x:c r="I1081" s="7" t="n">
        <x:v>85</x:v>
      </x:c>
      <x:c r="J1081" s="9" t="n">
        <x:v>19.6</x:v>
      </x:c>
      <x:c r="K1081" s="9" t="n">
        <x:v>8.3</x:v>
      </x:c>
      <x:c r="L1081" s="7" t="n">
        <x:v>2026</x:v>
      </x:c>
      <x:c r="M1081" s="11" t="n">
        <x:v>5263</x:v>
      </x:c>
      <x:c r="N1081" s="7" t="n">
        <x:v>1</x:v>
      </x:c>
      <x:c r="O1081" s="7" t="n">
        <x:v>0</x:v>
      </x:c>
      <x:c r="P1081" s="9" t="n">
        <x:v>8.27</x:v>
      </x:c>
      <x:c r="Q1081" s="7" t="n">
        <x:f>'Guide'!$B$5-L1081</x:f>
        <x:v>0</x:v>
      </x:c>
      <x:c r="R1081" s="9" t="n">
        <x:f>K1081-P1081</x:f>
        <x:v>0.030000000000001137</x:v>
      </x:c>
      <x:c r="S1081" s="10" t="n">
        <x:f>IF(K1081&gt;0,R1081/K1081,"")</x:f>
        <x:v>0.003614457831325438</x:v>
      </x:c>
    </x:row>
    <x:row r="1082">
      <x:c r="A1082" s="7" t="n">
        <x:v>1078</x:v>
      </x:c>
      <x:c r="B1082" s="7" t="str">
        <x:v>Tata</x:v>
      </x:c>
      <x:c r="C1082" s="7" t="str">
        <x:v>Tigor</x:v>
      </x:c>
      <x:c r="D1082" s="7" t="str">
        <x:v>XZA</x:v>
      </x:c>
      <x:c r="E1082" s="7" t="str">
        <x:v>Petrol</x:v>
      </x:c>
      <x:c r="F1082" s="7" t="str">
        <x:v>Automatic</x:v>
      </x:c>
      <x:c r="G1082" s="7" t="str">
        <x:v>Sedan</x:v>
      </x:c>
      <x:c r="H1082" s="7" t="n">
        <x:v>1199</x:v>
      </x:c>
      <x:c r="I1082" s="7" t="n">
        <x:v>85</x:v>
      </x:c>
      <x:c r="J1082" s="9" t="n">
        <x:v>19.6</x:v>
      </x:c>
      <x:c r="K1082" s="9" t="n">
        <x:v>8.3</x:v>
      </x:c>
      <x:c r="L1082" s="7" t="n">
        <x:v>2020</x:v>
      </x:c>
      <x:c r="M1082" s="11" t="n">
        <x:v>93016</x:v>
      </x:c>
      <x:c r="N1082" s="7" t="n">
        <x:v>2</x:v>
      </x:c>
      <x:c r="O1082" s="7" t="n">
        <x:v>0</x:v>
      </x:c>
      <x:c r="P1082" s="9" t="n">
        <x:v>3.24</x:v>
      </x:c>
      <x:c r="Q1082" s="7" t="n">
        <x:f>'Guide'!$B$5-L1082</x:f>
        <x:v>6</x:v>
      </x:c>
      <x:c r="R1082" s="9" t="n">
        <x:f>K1082-P1082</x:f>
        <x:v>5.0600000000000005</x:v>
      </x:c>
      <x:c r="S1082" s="10" t="n">
        <x:f>IF(K1082&gt;0,R1082/K1082,"")</x:f>
        <x:v>0.6096385542168675</x:v>
      </x:c>
    </x:row>
    <x:row r="1083">
      <x:c r="A1083" s="7" t="n">
        <x:v>1079</x:v>
      </x:c>
      <x:c r="B1083" s="7" t="str">
        <x:v>Tata</x:v>
      </x:c>
      <x:c r="C1083" s="7" t="str">
        <x:v>Tigor</x:v>
      </x:c>
      <x:c r="D1083" s="7" t="str">
        <x:v>XZA</x:v>
      </x:c>
      <x:c r="E1083" s="7" t="str">
        <x:v>Petrol</x:v>
      </x:c>
      <x:c r="F1083" s="7" t="str">
        <x:v>Automatic</x:v>
      </x:c>
      <x:c r="G1083" s="7" t="str">
        <x:v>Sedan</x:v>
      </x:c>
      <x:c r="H1083" s="7" t="n">
        <x:v>1199</x:v>
      </x:c>
      <x:c r="I1083" s="7" t="n">
        <x:v>85</x:v>
      </x:c>
      <x:c r="J1083" s="9" t="n">
        <x:v>19.6</x:v>
      </x:c>
      <x:c r="K1083" s="9" t="n">
        <x:v>8.3</x:v>
      </x:c>
      <x:c r="L1083" s="7" t="n">
        <x:v>2023</x:v>
      </x:c>
      <x:c r="M1083" s="11" t="n">
        <x:v>53142</x:v>
      </x:c>
      <x:c r="N1083" s="7" t="n">
        <x:v>1</x:v>
      </x:c>
      <x:c r="O1083" s="7" t="n">
        <x:v>0</x:v>
      </x:c>
      <x:c r="P1083" s="9" t="n">
        <x:v>5.84</x:v>
      </x:c>
      <x:c r="Q1083" s="7" t="n">
        <x:f>'Guide'!$B$5-L1083</x:f>
        <x:v>3</x:v>
      </x:c>
      <x:c r="R1083" s="9" t="n">
        <x:f>K1083-P1083</x:f>
        <x:v>2.460000000000001</x:v>
      </x:c>
      <x:c r="S1083" s="10" t="n">
        <x:f>IF(K1083&gt;0,R1083/K1083,"")</x:f>
        <x:v>0.2963855421686748</x:v>
      </x:c>
    </x:row>
    <x:row r="1084">
      <x:c r="A1084" s="7" t="n">
        <x:v>1080</x:v>
      </x:c>
      <x:c r="B1084" s="7" t="str">
        <x:v>Tata</x:v>
      </x:c>
      <x:c r="C1084" s="7" t="str">
        <x:v>Tigor</x:v>
      </x:c>
      <x:c r="D1084" s="7" t="str">
        <x:v>XZA</x:v>
      </x:c>
      <x:c r="E1084" s="7" t="str">
        <x:v>Petrol</x:v>
      </x:c>
      <x:c r="F1084" s="7" t="str">
        <x:v>Automatic</x:v>
      </x:c>
      <x:c r="G1084" s="7" t="str">
        <x:v>Sedan</x:v>
      </x:c>
      <x:c r="H1084" s="7" t="n">
        <x:v>1199</x:v>
      </x:c>
      <x:c r="I1084" s="7" t="n">
        <x:v>85</x:v>
      </x:c>
      <x:c r="J1084" s="9" t="n">
        <x:v>19.6</x:v>
      </x:c>
      <x:c r="K1084" s="9" t="n">
        <x:v>8.3</x:v>
      </x:c>
      <x:c r="L1084" s="7" t="n">
        <x:v>2021</x:v>
      </x:c>
      <x:c r="M1084" s="11" t="n">
        <x:v>98414</x:v>
      </x:c>
      <x:c r="N1084" s="7" t="n">
        <x:v>1</x:v>
      </x:c>
      <x:c r="O1084" s="7" t="n">
        <x:v>0</x:v>
      </x:c>
      <x:c r="P1084" s="9" t="n">
        <x:v>3.61</x:v>
      </x:c>
      <x:c r="Q1084" s="7" t="n">
        <x:f>'Guide'!$B$5-L1084</x:f>
        <x:v>5</x:v>
      </x:c>
      <x:c r="R1084" s="9" t="n">
        <x:f>K1084-P1084</x:f>
        <x:v>4.690000000000001</x:v>
      </x:c>
      <x:c r="S1084" s="10" t="n">
        <x:f>IF(K1084&gt;0,R1084/K1084,"")</x:f>
        <x:v>0.5650602409638555</x:v>
      </x:c>
    </x:row>
    <x:row r="1085">
      <x:c r="A1085" s="7" t="n">
        <x:v>1081</x:v>
      </x:c>
      <x:c r="B1085" s="7" t="str">
        <x:v>Tata</x:v>
      </x:c>
      <x:c r="C1085" s="7" t="str">
        <x:v>Tigor</x:v>
      </x:c>
      <x:c r="D1085" s="7" t="str">
        <x:v>XZA</x:v>
      </x:c>
      <x:c r="E1085" s="7" t="str">
        <x:v>Petrol</x:v>
      </x:c>
      <x:c r="F1085" s="7" t="str">
        <x:v>Automatic</x:v>
      </x:c>
      <x:c r="G1085" s="7" t="str">
        <x:v>Sedan</x:v>
      </x:c>
      <x:c r="H1085" s="7" t="n">
        <x:v>1199</x:v>
      </x:c>
      <x:c r="I1085" s="7" t="n">
        <x:v>85</x:v>
      </x:c>
      <x:c r="J1085" s="9" t="n">
        <x:v>19.6</x:v>
      </x:c>
      <x:c r="K1085" s="9" t="n">
        <x:v>8.3</x:v>
      </x:c>
      <x:c r="L1085" s="7" t="n">
        <x:v>2025</x:v>
      </x:c>
      <x:c r="M1085" s="11" t="n">
        <x:v>29336</x:v>
      </x:c>
      <x:c r="N1085" s="7" t="n">
        <x:v>2</x:v>
      </x:c>
      <x:c r="O1085" s="7" t="n">
        <x:v>0</x:v>
      </x:c>
      <x:c r="P1085" s="9" t="n">
        <x:v>7.3</x:v>
      </x:c>
      <x:c r="Q1085" s="7" t="n">
        <x:f>'Guide'!$B$5-L1085</x:f>
        <x:v>1</x:v>
      </x:c>
      <x:c r="R1085" s="9" t="n">
        <x:f>K1085-P1085</x:f>
        <x:v>1.0000000000000009</x:v>
      </x:c>
      <x:c r="S1085" s="10" t="n">
        <x:f>IF(K1085&gt;0,R1085/K1085,"")</x:f>
        <x:v>0.12048192771084347</x:v>
      </x:c>
    </x:row>
    <x:row r="1086">
      <x:c r="A1086" s="7" t="n">
        <x:v>1082</x:v>
      </x:c>
      <x:c r="B1086" s="7" t="str">
        <x:v>Tata</x:v>
      </x:c>
      <x:c r="C1086" s="7" t="str">
        <x:v>Tigor</x:v>
      </x:c>
      <x:c r="D1086" s="7" t="str">
        <x:v>XZA</x:v>
      </x:c>
      <x:c r="E1086" s="7" t="str">
        <x:v>Petrol</x:v>
      </x:c>
      <x:c r="F1086" s="7" t="str">
        <x:v>Automatic</x:v>
      </x:c>
      <x:c r="G1086" s="7" t="str">
        <x:v>Sedan</x:v>
      </x:c>
      <x:c r="H1086" s="7" t="n">
        <x:v>1199</x:v>
      </x:c>
      <x:c r="I1086" s="7" t="n">
        <x:v>85</x:v>
      </x:c>
      <x:c r="J1086" s="9" t="n">
        <x:v>19.6</x:v>
      </x:c>
      <x:c r="K1086" s="9" t="n">
        <x:v>8.3</x:v>
      </x:c>
      <x:c r="L1086" s="7" t="n">
        <x:v>2022</x:v>
      </x:c>
      <x:c r="M1086" s="11" t="n">
        <x:v>47384</x:v>
      </x:c>
      <x:c r="N1086" s="7" t="n">
        <x:v>3</x:v>
      </x:c>
      <x:c r="O1086" s="7" t="n">
        <x:v>1</x:v>
      </x:c>
      <x:c r="P1086" s="9" t="n">
        <x:v>3.88</x:v>
      </x:c>
      <x:c r="Q1086" s="7" t="n">
        <x:f>'Guide'!$B$5-L1086</x:f>
        <x:v>4</x:v>
      </x:c>
      <x:c r="R1086" s="9" t="n">
        <x:f>K1086-P1086</x:f>
        <x:v>4.420000000000001</x:v>
      </x:c>
      <x:c r="S1086" s="10" t="n">
        <x:f>IF(K1086&gt;0,R1086/K1086,"")</x:f>
        <x:v>0.5325301204819277</x:v>
      </x:c>
    </x:row>
    <x:row r="1087">
      <x:c r="A1087" s="7" t="n">
        <x:v>1083</x:v>
      </x:c>
      <x:c r="B1087" s="7" t="str">
        <x:v>Tata</x:v>
      </x:c>
      <x:c r="C1087" s="7" t="str">
        <x:v>Tigor</x:v>
      </x:c>
      <x:c r="D1087" s="7" t="str">
        <x:v>XZA</x:v>
      </x:c>
      <x:c r="E1087" s="7" t="str">
        <x:v>Petrol</x:v>
      </x:c>
      <x:c r="F1087" s="7" t="str">
        <x:v>Automatic</x:v>
      </x:c>
      <x:c r="G1087" s="7" t="str">
        <x:v>Sedan</x:v>
      </x:c>
      <x:c r="H1087" s="7" t="n">
        <x:v>1199</x:v>
      </x:c>
      <x:c r="I1087" s="7" t="n">
        <x:v>85</x:v>
      </x:c>
      <x:c r="J1087" s="9" t="n">
        <x:v>19.6</x:v>
      </x:c>
      <x:c r="K1087" s="9" t="n">
        <x:v>8.3</x:v>
      </x:c>
      <x:c r="L1087" s="7" t="n">
        <x:v>2024</x:v>
      </x:c>
      <x:c r="M1087" s="11" t="n">
        <x:v>44199</x:v>
      </x:c>
      <x:c r="N1087" s="7" t="n">
        <x:v>2</x:v>
      </x:c>
      <x:c r="O1087" s="7" t="n">
        <x:v>0</x:v>
      </x:c>
      <x:c r="P1087" s="9" t="n">
        <x:v>5.88</x:v>
      </x:c>
      <x:c r="Q1087" s="7" t="n">
        <x:f>'Guide'!$B$5-L1087</x:f>
        <x:v>2</x:v>
      </x:c>
      <x:c r="R1087" s="9" t="n">
        <x:f>K1087-P1087</x:f>
        <x:v>2.420000000000001</x:v>
      </x:c>
      <x:c r="S1087" s="10" t="n">
        <x:f>IF(K1087&gt;0,R1087/K1087,"")</x:f>
        <x:v>0.291566265060241</x:v>
      </x:c>
    </x:row>
    <x:row r="1088">
      <x:c r="A1088" s="7" t="n">
        <x:v>1084</x:v>
      </x:c>
      <x:c r="B1088" s="7" t="str">
        <x:v>Tata</x:v>
      </x:c>
      <x:c r="C1088" s="7" t="str">
        <x:v>Tigor</x:v>
      </x:c>
      <x:c r="D1088" s="7" t="str">
        <x:v>XZA</x:v>
      </x:c>
      <x:c r="E1088" s="7" t="str">
        <x:v>Petrol</x:v>
      </x:c>
      <x:c r="F1088" s="7" t="str">
        <x:v>Automatic</x:v>
      </x:c>
      <x:c r="G1088" s="7" t="str">
        <x:v>Sedan</x:v>
      </x:c>
      <x:c r="H1088" s="7" t="n">
        <x:v>1199</x:v>
      </x:c>
      <x:c r="I1088" s="7" t="n">
        <x:v>85</x:v>
      </x:c>
      <x:c r="J1088" s="9" t="n">
        <x:v>19.6</x:v>
      </x:c>
      <x:c r="K1088" s="9" t="n">
        <x:v>8.3</x:v>
      </x:c>
      <x:c r="L1088" s="7" t="n">
        <x:v>2022</x:v>
      </x:c>
      <x:c r="M1088" s="11" t="n">
        <x:v>82948</x:v>
      </x:c>
      <x:c r="N1088" s="7" t="n">
        <x:v>1</x:v>
      </x:c>
      <x:c r="O1088" s="7" t="n">
        <x:v>0</x:v>
      </x:c>
      <x:c r="P1088" s="9" t="n">
        <x:v>4.78</x:v>
      </x:c>
      <x:c r="Q1088" s="7" t="n">
        <x:f>'Guide'!$B$5-L1088</x:f>
        <x:v>4</x:v>
      </x:c>
      <x:c r="R1088" s="9" t="n">
        <x:f>K1088-P1088</x:f>
        <x:v>3.5200000000000005</x:v>
      </x:c>
      <x:c r="S1088" s="10" t="n">
        <x:f>IF(K1088&gt;0,R1088/K1088,"")</x:f>
        <x:v>0.4240963855421687</x:v>
      </x:c>
    </x:row>
    <x:row r="1089">
      <x:c r="A1089" s="7" t="n">
        <x:v>1085</x:v>
      </x:c>
      <x:c r="B1089" s="7" t="str">
        <x:v>Tata</x:v>
      </x:c>
      <x:c r="C1089" s="7" t="str">
        <x:v>Tigor</x:v>
      </x:c>
      <x:c r="D1089" s="7" t="str">
        <x:v>XZA</x:v>
      </x:c>
      <x:c r="E1089" s="7" t="str">
        <x:v>Petrol</x:v>
      </x:c>
      <x:c r="F1089" s="7" t="str">
        <x:v>Automatic</x:v>
      </x:c>
      <x:c r="G1089" s="7" t="str">
        <x:v>Sedan</x:v>
      </x:c>
      <x:c r="H1089" s="7" t="n">
        <x:v>1199</x:v>
      </x:c>
      <x:c r="I1089" s="7" t="n">
        <x:v>85</x:v>
      </x:c>
      <x:c r="J1089" s="9" t="n">
        <x:v>19.6</x:v>
      </x:c>
      <x:c r="K1089" s="9" t="n">
        <x:v>8.3</x:v>
      </x:c>
      <x:c r="L1089" s="7" t="n">
        <x:v>2025</x:v>
      </x:c>
      <x:c r="M1089" s="11" t="n">
        <x:v>15809</x:v>
      </x:c>
      <x:c r="N1089" s="7" t="n">
        <x:v>2</x:v>
      </x:c>
      <x:c r="O1089" s="7" t="n">
        <x:v>0</x:v>
      </x:c>
      <x:c r="P1089" s="9" t="n">
        <x:v>7.24</x:v>
      </x:c>
      <x:c r="Q1089" s="7" t="n">
        <x:f>'Guide'!$B$5-L1089</x:f>
        <x:v>1</x:v>
      </x:c>
      <x:c r="R1089" s="9" t="n">
        <x:f>K1089-P1089</x:f>
        <x:v>1.0600000000000005</x:v>
      </x:c>
      <x:c r="S1089" s="10" t="n">
        <x:f>IF(K1089&gt;0,R1089/K1089,"")</x:f>
        <x:v>0.12771084337349403</x:v>
      </x:c>
    </x:row>
    <x:row r="1090">
      <x:c r="A1090" s="7" t="n">
        <x:v>1086</x:v>
      </x:c>
      <x:c r="B1090" s="7" t="str">
        <x:v>Tata</x:v>
      </x:c>
      <x:c r="C1090" s="7" t="str">
        <x:v>Tigor</x:v>
      </x:c>
      <x:c r="D1090" s="7" t="str">
        <x:v>XZA</x:v>
      </x:c>
      <x:c r="E1090" s="7" t="str">
        <x:v>Petrol</x:v>
      </x:c>
      <x:c r="F1090" s="7" t="str">
        <x:v>Automatic</x:v>
      </x:c>
      <x:c r="G1090" s="7" t="str">
        <x:v>Sedan</x:v>
      </x:c>
      <x:c r="H1090" s="7" t="n">
        <x:v>1199</x:v>
      </x:c>
      <x:c r="I1090" s="7" t="n">
        <x:v>85</x:v>
      </x:c>
      <x:c r="J1090" s="9" t="n">
        <x:v>19.6</x:v>
      </x:c>
      <x:c r="K1090" s="9" t="n">
        <x:v>8.3</x:v>
      </x:c>
      <x:c r="L1090" s="7" t="n">
        <x:v>2022</x:v>
      </x:c>
      <x:c r="M1090" s="11" t="n">
        <x:v>89860</x:v>
      </x:c>
      <x:c r="N1090" s="7" t="n">
        <x:v>1</x:v>
      </x:c>
      <x:c r="O1090" s="7" t="n">
        <x:v>0</x:v>
      </x:c>
      <x:c r="P1090" s="9" t="n">
        <x:v>4.46</x:v>
      </x:c>
      <x:c r="Q1090" s="7" t="n">
        <x:f>'Guide'!$B$5-L1090</x:f>
        <x:v>4</x:v>
      </x:c>
      <x:c r="R1090" s="9" t="n">
        <x:f>K1090-P1090</x:f>
        <x:v>3.8400000000000007</x:v>
      </x:c>
      <x:c r="S1090" s="10" t="n">
        <x:f>IF(K1090&gt;0,R1090/K1090,"")</x:f>
        <x:v>0.4626506024096386</x:v>
      </x:c>
    </x:row>
    <x:row r="1091">
      <x:c r="A1091" s="7" t="n">
        <x:v>1087</x:v>
      </x:c>
      <x:c r="B1091" s="7" t="str">
        <x:v>Tata</x:v>
      </x:c>
      <x:c r="C1091" s="7" t="str">
        <x:v>Tigor</x:v>
      </x:c>
      <x:c r="D1091" s="7" t="str">
        <x:v>XZA</x:v>
      </x:c>
      <x:c r="E1091" s="7" t="str">
        <x:v>Petrol</x:v>
      </x:c>
      <x:c r="F1091" s="7" t="str">
        <x:v>Automatic</x:v>
      </x:c>
      <x:c r="G1091" s="7" t="str">
        <x:v>Sedan</x:v>
      </x:c>
      <x:c r="H1091" s="7" t="n">
        <x:v>1199</x:v>
      </x:c>
      <x:c r="I1091" s="7" t="n">
        <x:v>85</x:v>
      </x:c>
      <x:c r="J1091" s="9" t="n">
        <x:v>19.6</x:v>
      </x:c>
      <x:c r="K1091" s="9" t="n">
        <x:v>8.3</x:v>
      </x:c>
      <x:c r="L1091" s="7" t="n">
        <x:v>2023</x:v>
      </x:c>
      <x:c r="M1091" s="11" t="n">
        <x:v>52902</x:v>
      </x:c>
      <x:c r="N1091" s="7" t="n">
        <x:v>1</x:v>
      </x:c>
      <x:c r="O1091" s="7" t="n">
        <x:v>0</x:v>
      </x:c>
      <x:c r="P1091" s="9" t="n">
        <x:v>5.98</x:v>
      </x:c>
      <x:c r="Q1091" s="7" t="n">
        <x:f>'Guide'!$B$5-L1091</x:f>
        <x:v>3</x:v>
      </x:c>
      <x:c r="R1091" s="9" t="n">
        <x:f>K1091-P1091</x:f>
        <x:v>2.3200000000000003</x:v>
      </x:c>
      <x:c r="S1091" s="10" t="n">
        <x:f>IF(K1091&gt;0,R1091/K1091,"")</x:f>
        <x:v>0.27951807228915665</x:v>
      </x:c>
    </x:row>
    <x:row r="1092">
      <x:c r="A1092" s="7" t="n">
        <x:v>1088</x:v>
      </x:c>
      <x:c r="B1092" s="7" t="str">
        <x:v>Tata</x:v>
      </x:c>
      <x:c r="C1092" s="7" t="str">
        <x:v>Tigor</x:v>
      </x:c>
      <x:c r="D1092" s="7" t="str">
        <x:v>XZA</x:v>
      </x:c>
      <x:c r="E1092" s="7" t="str">
        <x:v>Petrol</x:v>
      </x:c>
      <x:c r="F1092" s="7" t="str">
        <x:v>Automatic</x:v>
      </x:c>
      <x:c r="G1092" s="7" t="str">
        <x:v>Sedan</x:v>
      </x:c>
      <x:c r="H1092" s="7" t="n">
        <x:v>1199</x:v>
      </x:c>
      <x:c r="I1092" s="7" t="n">
        <x:v>85</x:v>
      </x:c>
      <x:c r="J1092" s="9" t="n">
        <x:v>19.6</x:v>
      </x:c>
      <x:c r="K1092" s="9" t="n">
        <x:v>8.3</x:v>
      </x:c>
      <x:c r="L1092" s="7" t="n">
        <x:v>2025</x:v>
      </x:c>
      <x:c r="M1092" s="11" t="n">
        <x:v>17209</x:v>
      </x:c>
      <x:c r="N1092" s="7" t="n">
        <x:v>1</x:v>
      </x:c>
      <x:c r="O1092" s="7" t="n">
        <x:v>0</x:v>
      </x:c>
      <x:c r="P1092" s="9" t="n">
        <x:v>7.26</x:v>
      </x:c>
      <x:c r="Q1092" s="7" t="n">
        <x:f>'Guide'!$B$5-L1092</x:f>
        <x:v>1</x:v>
      </x:c>
      <x:c r="R1092" s="9" t="n">
        <x:f>K1092-P1092</x:f>
        <x:v>1.040000000000001</x:v>
      </x:c>
      <x:c r="S1092" s="10" t="n">
        <x:f>IF(K1092&gt;0,R1092/K1092,"")</x:f>
        <x:v>0.1253012048192772</x:v>
      </x:c>
    </x:row>
    <x:row r="1093">
      <x:c r="A1093" s="7" t="n">
        <x:v>1089</x:v>
      </x:c>
      <x:c r="B1093" s="7" t="str">
        <x:v>Tata</x:v>
      </x:c>
      <x:c r="C1093" s="7" t="str">
        <x:v>Tigor</x:v>
      </x:c>
      <x:c r="D1093" s="7" t="str">
        <x:v>XZA</x:v>
      </x:c>
      <x:c r="E1093" s="7" t="str">
        <x:v>Petrol</x:v>
      </x:c>
      <x:c r="F1093" s="7" t="str">
        <x:v>Automatic</x:v>
      </x:c>
      <x:c r="G1093" s="7" t="str">
        <x:v>Sedan</x:v>
      </x:c>
      <x:c r="H1093" s="7" t="n">
        <x:v>1199</x:v>
      </x:c>
      <x:c r="I1093" s="7" t="n">
        <x:v>85</x:v>
      </x:c>
      <x:c r="J1093" s="9" t="n">
        <x:v>19.6</x:v>
      </x:c>
      <x:c r="K1093" s="9" t="n">
        <x:v>8.3</x:v>
      </x:c>
      <x:c r="L1093" s="7" t="n">
        <x:v>2021</x:v>
      </x:c>
      <x:c r="M1093" s="11" t="n">
        <x:v>52146</x:v>
      </x:c>
      <x:c r="N1093" s="7" t="n">
        <x:v>1</x:v>
      </x:c>
      <x:c r="O1093" s="7" t="n">
        <x:v>0</x:v>
      </x:c>
      <x:c r="P1093" s="9" t="n">
        <x:v>4.27</x:v>
      </x:c>
      <x:c r="Q1093" s="7" t="n">
        <x:f>'Guide'!$B$5-L1093</x:f>
        <x:v>5</x:v>
      </x:c>
      <x:c r="R1093" s="9" t="n">
        <x:f>K1093-P1093</x:f>
        <x:v>4.030000000000001</x:v>
      </x:c>
      <x:c r="S1093" s="10" t="n">
        <x:f>IF(K1093&gt;0,R1093/K1093,"")</x:f>
        <x:v>0.4855421686746989</x:v>
      </x:c>
    </x:row>
    <x:row r="1094">
      <x:c r="A1094" s="7" t="n">
        <x:v>1090</x:v>
      </x:c>
      <x:c r="B1094" s="7" t="str">
        <x:v>Tata</x:v>
      </x:c>
      <x:c r="C1094" s="7" t="str">
        <x:v>Tigor</x:v>
      </x:c>
      <x:c r="D1094" s="7" t="str">
        <x:v>XZA</x:v>
      </x:c>
      <x:c r="E1094" s="7" t="str">
        <x:v>Petrol</x:v>
      </x:c>
      <x:c r="F1094" s="7" t="str">
        <x:v>Automatic</x:v>
      </x:c>
      <x:c r="G1094" s="7" t="str">
        <x:v>Sedan</x:v>
      </x:c>
      <x:c r="H1094" s="7" t="n">
        <x:v>1199</x:v>
      </x:c>
      <x:c r="I1094" s="7" t="n">
        <x:v>85</x:v>
      </x:c>
      <x:c r="J1094" s="9" t="n">
        <x:v>19.6</x:v>
      </x:c>
      <x:c r="K1094" s="9" t="n">
        <x:v>8.3</x:v>
      </x:c>
      <x:c r="L1094" s="7" t="n">
        <x:v>2023</x:v>
      </x:c>
      <x:c r="M1094" s="11" t="n">
        <x:v>65040</x:v>
      </x:c>
      <x:c r="N1094" s="7" t="n">
        <x:v>1</x:v>
      </x:c>
      <x:c r="O1094" s="7" t="n">
        <x:v>1</x:v>
      </x:c>
      <x:c r="P1094" s="9" t="n">
        <x:v>5</x:v>
      </x:c>
      <x:c r="Q1094" s="7" t="n">
        <x:f>'Guide'!$B$5-L1094</x:f>
        <x:v>3</x:v>
      </x:c>
      <x:c r="R1094" s="9" t="n">
        <x:f>K1094-P1094</x:f>
        <x:v>3.3000000000000007</x:v>
      </x:c>
      <x:c r="S1094" s="10" t="n">
        <x:f>IF(K1094&gt;0,R1094/K1094,"")</x:f>
        <x:v>0.3975903614457832</x:v>
      </x:c>
    </x:row>
    <x:row r="1095">
      <x:c r="A1095" s="7" t="n">
        <x:v>1091</x:v>
      </x:c>
      <x:c r="B1095" s="7" t="str">
        <x:v>Tata</x:v>
      </x:c>
      <x:c r="C1095" s="7" t="str">
        <x:v>Tigor</x:v>
      </x:c>
      <x:c r="D1095" s="7" t="str">
        <x:v>XZA</x:v>
      </x:c>
      <x:c r="E1095" s="7" t="str">
        <x:v>Petrol</x:v>
      </x:c>
      <x:c r="F1095" s="7" t="str">
        <x:v>Automatic</x:v>
      </x:c>
      <x:c r="G1095" s="7" t="str">
        <x:v>Sedan</x:v>
      </x:c>
      <x:c r="H1095" s="7" t="n">
        <x:v>1199</x:v>
      </x:c>
      <x:c r="I1095" s="7" t="n">
        <x:v>85</x:v>
      </x:c>
      <x:c r="J1095" s="9" t="n">
        <x:v>19.6</x:v>
      </x:c>
      <x:c r="K1095" s="9" t="n">
        <x:v>8.3</x:v>
      </x:c>
      <x:c r="L1095" s="7" t="n">
        <x:v>2025</x:v>
      </x:c>
      <x:c r="M1095" s="11" t="n">
        <x:v>26515</x:v>
      </x:c>
      <x:c r="N1095" s="7" t="n">
        <x:v>3</x:v>
      </x:c>
      <x:c r="O1095" s="7" t="n">
        <x:v>0</x:v>
      </x:c>
      <x:c r="P1095" s="9" t="n">
        <x:v>6.18</x:v>
      </x:c>
      <x:c r="Q1095" s="7" t="n">
        <x:f>'Guide'!$B$5-L1095</x:f>
        <x:v>1</x:v>
      </x:c>
      <x:c r="R1095" s="9" t="n">
        <x:f>K1095-P1095</x:f>
        <x:v>2.120000000000001</x:v>
      </x:c>
      <x:c r="S1095" s="10" t="n">
        <x:f>IF(K1095&gt;0,R1095/K1095,"")</x:f>
        <x:v>0.25542168674698806</x:v>
      </x:c>
    </x:row>
    <x:row r="1096">
      <x:c r="A1096" s="7" t="n">
        <x:v>1092</x:v>
      </x:c>
      <x:c r="B1096" s="7" t="str">
        <x:v>Tata</x:v>
      </x:c>
      <x:c r="C1096" s="7" t="str">
        <x:v>Tigor</x:v>
      </x:c>
      <x:c r="D1096" s="7" t="str">
        <x:v>XZA</x:v>
      </x:c>
      <x:c r="E1096" s="7" t="str">
        <x:v>Petrol</x:v>
      </x:c>
      <x:c r="F1096" s="7" t="str">
        <x:v>Automatic</x:v>
      </x:c>
      <x:c r="G1096" s="7" t="str">
        <x:v>Sedan</x:v>
      </x:c>
      <x:c r="H1096" s="7" t="n">
        <x:v>1199</x:v>
      </x:c>
      <x:c r="I1096" s="7" t="n">
        <x:v>85</x:v>
      </x:c>
      <x:c r="J1096" s="9" t="n">
        <x:v>19.6</x:v>
      </x:c>
      <x:c r="K1096" s="9" t="n">
        <x:v>8.3</x:v>
      </x:c>
      <x:c r="L1096" s="7" t="n">
        <x:v>2026</x:v>
      </x:c>
      <x:c r="M1096" s="11" t="n">
        <x:v>6476</x:v>
      </x:c>
      <x:c r="N1096" s="7" t="n">
        <x:v>1</x:v>
      </x:c>
      <x:c r="O1096" s="7" t="n">
        <x:v>0</x:v>
      </x:c>
      <x:c r="P1096" s="9" t="n">
        <x:v>8.4</x:v>
      </x:c>
      <x:c r="Q1096" s="7" t="n">
        <x:f>'Guide'!$B$5-L1096</x:f>
        <x:v>0</x:v>
      </x:c>
      <x:c r="R1096" s="9" t="n">
        <x:f>K1096-P1096</x:f>
        <x:v>-0.09999999999999964</x:v>
      </x:c>
      <x:c r="S1096" s="10" t="n">
        <x:f>IF(K1096&gt;0,R1096/K1096,"")</x:f>
        <x:v>-0.012048192771084293</x:v>
      </x:c>
    </x:row>
    <x:row r="1097">
      <x:c r="A1097" s="7" t="n">
        <x:v>1093</x:v>
      </x:c>
      <x:c r="B1097" s="7" t="str">
        <x:v>Tata</x:v>
      </x:c>
      <x:c r="C1097" s="7" t="str">
        <x:v>Tigor</x:v>
      </x:c>
      <x:c r="D1097" s="7" t="str">
        <x:v>XZA</x:v>
      </x:c>
      <x:c r="E1097" s="7" t="str">
        <x:v>Petrol</x:v>
      </x:c>
      <x:c r="F1097" s="7" t="str">
        <x:v>Automatic</x:v>
      </x:c>
      <x:c r="G1097" s="7" t="str">
        <x:v>Sedan</x:v>
      </x:c>
      <x:c r="H1097" s="7" t="n">
        <x:v>1199</x:v>
      </x:c>
      <x:c r="I1097" s="7" t="n">
        <x:v>85</x:v>
      </x:c>
      <x:c r="J1097" s="9" t="n">
        <x:v>19.6</x:v>
      </x:c>
      <x:c r="K1097" s="9" t="n">
        <x:v>8.3</x:v>
      </x:c>
      <x:c r="L1097" s="7" t="n">
        <x:v>2022</x:v>
      </x:c>
      <x:c r="M1097" s="11" t="n">
        <x:v>81378</x:v>
      </x:c>
      <x:c r="N1097" s="7" t="n">
        <x:v>2</x:v>
      </x:c>
      <x:c r="O1097" s="7" t="n">
        <x:v>0</x:v>
      </x:c>
      <x:c r="P1097" s="9" t="n">
        <x:v>4.7</x:v>
      </x:c>
      <x:c r="Q1097" s="7" t="n">
        <x:f>'Guide'!$B$5-L1097</x:f>
        <x:v>4</x:v>
      </x:c>
      <x:c r="R1097" s="9" t="n">
        <x:f>K1097-P1097</x:f>
        <x:v>3.6000000000000005</x:v>
      </x:c>
      <x:c r="S1097" s="10" t="n">
        <x:f>IF(K1097&gt;0,R1097/K1097,"")</x:f>
        <x:v>0.43373493975903615</x:v>
      </x:c>
    </x:row>
    <x:row r="1098">
      <x:c r="A1098" s="7" t="n">
        <x:v>1094</x:v>
      </x:c>
      <x:c r="B1098" s="7" t="str">
        <x:v>Tata</x:v>
      </x:c>
      <x:c r="C1098" s="7" t="str">
        <x:v>Tigor</x:v>
      </x:c>
      <x:c r="D1098" s="7" t="str">
        <x:v>XZA</x:v>
      </x:c>
      <x:c r="E1098" s="7" t="str">
        <x:v>Petrol</x:v>
      </x:c>
      <x:c r="F1098" s="7" t="str">
        <x:v>Automatic</x:v>
      </x:c>
      <x:c r="G1098" s="7" t="str">
        <x:v>Sedan</x:v>
      </x:c>
      <x:c r="H1098" s="7" t="n">
        <x:v>1199</x:v>
      </x:c>
      <x:c r="I1098" s="7" t="n">
        <x:v>85</x:v>
      </x:c>
      <x:c r="J1098" s="9" t="n">
        <x:v>19.6</x:v>
      </x:c>
      <x:c r="K1098" s="9" t="n">
        <x:v>8.3</x:v>
      </x:c>
      <x:c r="L1098" s="7" t="n">
        <x:v>2026</x:v>
      </x:c>
      <x:c r="M1098" s="11" t="n">
        <x:v>4201</x:v>
      </x:c>
      <x:c r="N1098" s="7" t="n">
        <x:v>1</x:v>
      </x:c>
      <x:c r="O1098" s="7" t="n">
        <x:v>1</x:v>
      </x:c>
      <x:c r="P1098" s="9" t="n">
        <x:v>7.21</x:v>
      </x:c>
      <x:c r="Q1098" s="7" t="n">
        <x:f>'Guide'!$B$5-L1098</x:f>
        <x:v>0</x:v>
      </x:c>
      <x:c r="R1098" s="9" t="n">
        <x:f>K1098-P1098</x:f>
        <x:v>1.0900000000000007</x:v>
      </x:c>
      <x:c r="S1098" s="10" t="n">
        <x:f>IF(K1098&gt;0,R1098/K1098,"")</x:f>
        <x:v>0.13132530120481936</x:v>
      </x:c>
    </x:row>
    <x:row r="1099">
      <x:c r="A1099" s="7" t="n">
        <x:v>1095</x:v>
      </x:c>
      <x:c r="B1099" s="7" t="str">
        <x:v>Tata</x:v>
      </x:c>
      <x:c r="C1099" s="7" t="str">
        <x:v>Tigor</x:v>
      </x:c>
      <x:c r="D1099" s="7" t="str">
        <x:v>XZA</x:v>
      </x:c>
      <x:c r="E1099" s="7" t="str">
        <x:v>Petrol</x:v>
      </x:c>
      <x:c r="F1099" s="7" t="str">
        <x:v>Automatic</x:v>
      </x:c>
      <x:c r="G1099" s="7" t="str">
        <x:v>Sedan</x:v>
      </x:c>
      <x:c r="H1099" s="7" t="n">
        <x:v>1199</x:v>
      </x:c>
      <x:c r="I1099" s="7" t="n">
        <x:v>85</x:v>
      </x:c>
      <x:c r="J1099" s="9" t="n">
        <x:v>19.6</x:v>
      </x:c>
      <x:c r="K1099" s="9" t="n">
        <x:v>8.3</x:v>
      </x:c>
      <x:c r="L1099" s="7" t="n">
        <x:v>2026</x:v>
      </x:c>
      <x:c r="M1099" s="11" t="n">
        <x:v>6259</x:v>
      </x:c>
      <x:c r="N1099" s="7" t="n">
        <x:v>2</x:v>
      </x:c>
      <x:c r="O1099" s="7" t="n">
        <x:v>0</x:v>
      </x:c>
      <x:c r="P1099" s="9" t="n">
        <x:v>7.89</x:v>
      </x:c>
      <x:c r="Q1099" s="7" t="n">
        <x:f>'Guide'!$B$5-L1099</x:f>
        <x:v>0</x:v>
      </x:c>
      <x:c r="R1099" s="9" t="n">
        <x:f>K1099-P1099</x:f>
        <x:v>0.41000000000000103</x:v>
      </x:c>
      <x:c r="S1099" s="10" t="n">
        <x:f>IF(K1099&gt;0,R1099/K1099,"")</x:f>
        <x:v>0.049397590361445906</x:v>
      </x:c>
    </x:row>
    <x:row r="1100">
      <x:c r="A1100" s="7" t="n">
        <x:v>1096</x:v>
      </x:c>
      <x:c r="B1100" s="7" t="str">
        <x:v>Tata</x:v>
      </x:c>
      <x:c r="C1100" s="7" t="str">
        <x:v>Tigor</x:v>
      </x:c>
      <x:c r="D1100" s="7" t="str">
        <x:v>XZA</x:v>
      </x:c>
      <x:c r="E1100" s="7" t="str">
        <x:v>Petrol</x:v>
      </x:c>
      <x:c r="F1100" s="7" t="str">
        <x:v>Automatic</x:v>
      </x:c>
      <x:c r="G1100" s="7" t="str">
        <x:v>Sedan</x:v>
      </x:c>
      <x:c r="H1100" s="7" t="n">
        <x:v>1199</x:v>
      </x:c>
      <x:c r="I1100" s="7" t="n">
        <x:v>85</x:v>
      </x:c>
      <x:c r="J1100" s="9" t="n">
        <x:v>19.6</x:v>
      </x:c>
      <x:c r="K1100" s="9" t="n">
        <x:v>8.3</x:v>
      </x:c>
      <x:c r="L1100" s="7" t="n">
        <x:v>2020</x:v>
      </x:c>
      <x:c r="M1100" s="11" t="n">
        <x:v>104093</x:v>
      </x:c>
      <x:c r="N1100" s="7" t="n">
        <x:v>1</x:v>
      </x:c>
      <x:c r="O1100" s="7" t="n">
        <x:v>0</x:v>
      </x:c>
      <x:c r="P1100" s="9" t="n">
        <x:v>3.47</x:v>
      </x:c>
      <x:c r="Q1100" s="7" t="n">
        <x:f>'Guide'!$B$5-L1100</x:f>
        <x:v>6</x:v>
      </x:c>
      <x:c r="R1100" s="9" t="n">
        <x:f>K1100-P1100</x:f>
        <x:v>4.83</x:v>
      </x:c>
      <x:c r="S1100" s="10" t="n">
        <x:f>IF(K1100&gt;0,R1100/K1100,"")</x:f>
        <x:v>0.5819277108433735</x:v>
      </x:c>
    </x:row>
    <x:row r="1101">
      <x:c r="A1101" s="7" t="n">
        <x:v>1097</x:v>
      </x:c>
      <x:c r="B1101" s="7" t="str">
        <x:v>Tata</x:v>
      </x:c>
      <x:c r="C1101" s="7" t="str">
        <x:v>Tigor</x:v>
      </x:c>
      <x:c r="D1101" s="7" t="str">
        <x:v>XZA</x:v>
      </x:c>
      <x:c r="E1101" s="7" t="str">
        <x:v>Petrol</x:v>
      </x:c>
      <x:c r="F1101" s="7" t="str">
        <x:v>Automatic</x:v>
      </x:c>
      <x:c r="G1101" s="7" t="str">
        <x:v>Sedan</x:v>
      </x:c>
      <x:c r="H1101" s="7" t="n">
        <x:v>1199</x:v>
      </x:c>
      <x:c r="I1101" s="7" t="n">
        <x:v>85</x:v>
      </x:c>
      <x:c r="J1101" s="9" t="n">
        <x:v>19.6</x:v>
      </x:c>
      <x:c r="K1101" s="9" t="n">
        <x:v>8.3</x:v>
      </x:c>
      <x:c r="L1101" s="7" t="n">
        <x:v>2025</x:v>
      </x:c>
      <x:c r="M1101" s="11" t="n">
        <x:v>21889</x:v>
      </x:c>
      <x:c r="N1101" s="7" t="n">
        <x:v>1</x:v>
      </x:c>
      <x:c r="O1101" s="7" t="n">
        <x:v>1</x:v>
      </x:c>
      <x:c r="P1101" s="9" t="n">
        <x:v>6.45</x:v>
      </x:c>
      <x:c r="Q1101" s="7" t="n">
        <x:f>'Guide'!$B$5-L1101</x:f>
        <x:v>1</x:v>
      </x:c>
      <x:c r="R1101" s="9" t="n">
        <x:f>K1101-P1101</x:f>
        <x:v>1.8500000000000005</x:v>
      </x:c>
      <x:c r="S1101" s="10" t="n">
        <x:f>IF(K1101&gt;0,R1101/K1101,"")</x:f>
        <x:v>0.2228915662650603</x:v>
      </x:c>
    </x:row>
    <x:row r="1102">
      <x:c r="A1102" s="7" t="n">
        <x:v>1098</x:v>
      </x:c>
      <x:c r="B1102" s="7" t="str">
        <x:v>Tata</x:v>
      </x:c>
      <x:c r="C1102" s="7" t="str">
        <x:v>Tigor</x:v>
      </x:c>
      <x:c r="D1102" s="7" t="str">
        <x:v>XZA</x:v>
      </x:c>
      <x:c r="E1102" s="7" t="str">
        <x:v>Petrol</x:v>
      </x:c>
      <x:c r="F1102" s="7" t="str">
        <x:v>Automatic</x:v>
      </x:c>
      <x:c r="G1102" s="7" t="str">
        <x:v>Sedan</x:v>
      </x:c>
      <x:c r="H1102" s="7" t="n">
        <x:v>1199</x:v>
      </x:c>
      <x:c r="I1102" s="7" t="n">
        <x:v>85</x:v>
      </x:c>
      <x:c r="J1102" s="9" t="n">
        <x:v>19.6</x:v>
      </x:c>
      <x:c r="K1102" s="9" t="n">
        <x:v>8.3</x:v>
      </x:c>
      <x:c r="L1102" s="7" t="n">
        <x:v>2021</x:v>
      </x:c>
      <x:c r="M1102" s="11" t="n">
        <x:v>93022</x:v>
      </x:c>
      <x:c r="N1102" s="7" t="n">
        <x:v>1</x:v>
      </x:c>
      <x:c r="O1102" s="7" t="n">
        <x:v>0</x:v>
      </x:c>
      <x:c r="P1102" s="9" t="n">
        <x:v>3.9</x:v>
      </x:c>
      <x:c r="Q1102" s="7" t="n">
        <x:f>'Guide'!$B$5-L1102</x:f>
        <x:v>5</x:v>
      </x:c>
      <x:c r="R1102" s="9" t="n">
        <x:f>K1102-P1102</x:f>
        <x:v>4.4</x:v>
      </x:c>
      <x:c r="S1102" s="10" t="n">
        <x:f>IF(K1102&gt;0,R1102/K1102,"")</x:f>
        <x:v>0.5301204819277109</x:v>
      </x:c>
    </x:row>
    <x:row r="1103">
      <x:c r="A1103" s="7" t="n">
        <x:v>1099</x:v>
      </x:c>
      <x:c r="B1103" s="7" t="str">
        <x:v>Tata</x:v>
      </x:c>
      <x:c r="C1103" s="7" t="str">
        <x:v>Tigor</x:v>
      </x:c>
      <x:c r="D1103" s="7" t="str">
        <x:v>XZA</x:v>
      </x:c>
      <x:c r="E1103" s="7" t="str">
        <x:v>Petrol</x:v>
      </x:c>
      <x:c r="F1103" s="7" t="str">
        <x:v>Automatic</x:v>
      </x:c>
      <x:c r="G1103" s="7" t="str">
        <x:v>Sedan</x:v>
      </x:c>
      <x:c r="H1103" s="7" t="n">
        <x:v>1199</x:v>
      </x:c>
      <x:c r="I1103" s="7" t="n">
        <x:v>85</x:v>
      </x:c>
      <x:c r="J1103" s="9" t="n">
        <x:v>19.6</x:v>
      </x:c>
      <x:c r="K1103" s="9" t="n">
        <x:v>8.3</x:v>
      </x:c>
      <x:c r="L1103" s="7" t="n">
        <x:v>2021</x:v>
      </x:c>
      <x:c r="M1103" s="11" t="n">
        <x:v>51700</x:v>
      </x:c>
      <x:c r="N1103" s="7" t="n">
        <x:v>2</x:v>
      </x:c>
      <x:c r="O1103" s="7" t="n">
        <x:v>0</x:v>
      </x:c>
      <x:c r="P1103" s="9" t="n">
        <x:v>4.39</x:v>
      </x:c>
      <x:c r="Q1103" s="7" t="n">
        <x:f>'Guide'!$B$5-L1103</x:f>
        <x:v>5</x:v>
      </x:c>
      <x:c r="R1103" s="9" t="n">
        <x:f>K1103-P1103</x:f>
        <x:v>3.910000000000001</x:v>
      </x:c>
      <x:c r="S1103" s="10" t="n">
        <x:f>IF(K1103&gt;0,R1103/K1103,"")</x:f>
        <x:v>0.4710843373493977</x:v>
      </x:c>
    </x:row>
    <x:row r="1104">
      <x:c r="A1104" s="7" t="n">
        <x:v>1100</x:v>
      </x:c>
      <x:c r="B1104" s="7" t="str">
        <x:v>Tata</x:v>
      </x:c>
      <x:c r="C1104" s="7" t="str">
        <x:v>Tigor</x:v>
      </x:c>
      <x:c r="D1104" s="7" t="str">
        <x:v>XZA</x:v>
      </x:c>
      <x:c r="E1104" s="7" t="str">
        <x:v>Petrol</x:v>
      </x:c>
      <x:c r="F1104" s="7" t="str">
        <x:v>Automatic</x:v>
      </x:c>
      <x:c r="G1104" s="7" t="str">
        <x:v>Sedan</x:v>
      </x:c>
      <x:c r="H1104" s="7" t="n">
        <x:v>1199</x:v>
      </x:c>
      <x:c r="I1104" s="7" t="n">
        <x:v>85</x:v>
      </x:c>
      <x:c r="J1104" s="9" t="n">
        <x:v>19.6</x:v>
      </x:c>
      <x:c r="K1104" s="9" t="n">
        <x:v>8.3</x:v>
      </x:c>
      <x:c r="L1104" s="7" t="n">
        <x:v>2026</x:v>
      </x:c>
      <x:c r="M1104" s="11" t="n">
        <x:v>7764</x:v>
      </x:c>
      <x:c r="N1104" s="7" t="n">
        <x:v>1</x:v>
      </x:c>
      <x:c r="O1104" s="7" t="n">
        <x:v>0</x:v>
      </x:c>
      <x:c r="P1104" s="9" t="n">
        <x:v>8.57</x:v>
      </x:c>
      <x:c r="Q1104" s="7" t="n">
        <x:f>'Guide'!$B$5-L1104</x:f>
        <x:v>0</x:v>
      </x:c>
      <x:c r="R1104" s="9" t="n">
        <x:f>K1104-P1104</x:f>
        <x:v>-0.2699999999999996</x:v>
      </x:c>
      <x:c r="S1104" s="10" t="n">
        <x:f>IF(K1104&gt;0,R1104/K1104,"")</x:f>
        <x:v>-0.03253012048192766</x:v>
      </x:c>
    </x:row>
    <x:row r="1105">
      <x:c r="A1105" s="7" t="n">
        <x:v>1101</x:v>
      </x:c>
      <x:c r="B1105" s="7" t="str">
        <x:v>Tata</x:v>
      </x:c>
      <x:c r="C1105" s="7" t="str">
        <x:v>Tigor</x:v>
      </x:c>
      <x:c r="D1105" s="7" t="str">
        <x:v>XZA</x:v>
      </x:c>
      <x:c r="E1105" s="7" t="str">
        <x:v>Petrol</x:v>
      </x:c>
      <x:c r="F1105" s="7" t="str">
        <x:v>Automatic</x:v>
      </x:c>
      <x:c r="G1105" s="7" t="str">
        <x:v>Sedan</x:v>
      </x:c>
      <x:c r="H1105" s="7" t="n">
        <x:v>1199</x:v>
      </x:c>
      <x:c r="I1105" s="7" t="n">
        <x:v>85</x:v>
      </x:c>
      <x:c r="J1105" s="9" t="n">
        <x:v>19.6</x:v>
      </x:c>
      <x:c r="K1105" s="9" t="n">
        <x:v>8.3</x:v>
      </x:c>
      <x:c r="L1105" s="7" t="n">
        <x:v>2021</x:v>
      </x:c>
      <x:c r="M1105" s="11" t="n">
        <x:v>70995</x:v>
      </x:c>
      <x:c r="N1105" s="7" t="n">
        <x:v>1</x:v>
      </x:c>
      <x:c r="O1105" s="7" t="n">
        <x:v>0</x:v>
      </x:c>
      <x:c r="P1105" s="9" t="n">
        <x:v>4.24</x:v>
      </x:c>
      <x:c r="Q1105" s="7" t="n">
        <x:f>'Guide'!$B$5-L1105</x:f>
        <x:v>5</x:v>
      </x:c>
      <x:c r="R1105" s="9" t="n">
        <x:f>K1105-P1105</x:f>
        <x:v>4.0600000000000005</x:v>
      </x:c>
      <x:c r="S1105" s="10" t="n">
        <x:f>IF(K1105&gt;0,R1105/K1105,"")</x:f>
        <x:v>0.4891566265060241</x:v>
      </x:c>
    </x:row>
    <x:row r="1106">
      <x:c r="A1106" s="7" t="n">
        <x:v>1102</x:v>
      </x:c>
      <x:c r="B1106" s="7" t="str">
        <x:v>Tata</x:v>
      </x:c>
      <x:c r="C1106" s="7" t="str">
        <x:v>Tigor</x:v>
      </x:c>
      <x:c r="D1106" s="7" t="str">
        <x:v>XZA</x:v>
      </x:c>
      <x:c r="E1106" s="7" t="str">
        <x:v>Petrol</x:v>
      </x:c>
      <x:c r="F1106" s="7" t="str">
        <x:v>Automatic</x:v>
      </x:c>
      <x:c r="G1106" s="7" t="str">
        <x:v>Sedan</x:v>
      </x:c>
      <x:c r="H1106" s="7" t="n">
        <x:v>1199</x:v>
      </x:c>
      <x:c r="I1106" s="7" t="n">
        <x:v>85</x:v>
      </x:c>
      <x:c r="J1106" s="9" t="n">
        <x:v>19.6</x:v>
      </x:c>
      <x:c r="K1106" s="9" t="n">
        <x:v>8.3</x:v>
      </x:c>
      <x:c r="L1106" s="7" t="n">
        <x:v>2022</x:v>
      </x:c>
      <x:c r="M1106" s="11" t="n">
        <x:v>49700</x:v>
      </x:c>
      <x:c r="N1106" s="7" t="n">
        <x:v>1</x:v>
      </x:c>
      <x:c r="O1106" s="7" t="n">
        <x:v>0</x:v>
      </x:c>
      <x:c r="P1106" s="9" t="n">
        <x:v>5.24</x:v>
      </x:c>
      <x:c r="Q1106" s="7" t="n">
        <x:f>'Guide'!$B$5-L1106</x:f>
        <x:v>4</x:v>
      </x:c>
      <x:c r="R1106" s="9" t="n">
        <x:f>K1106-P1106</x:f>
        <x:v>3.0600000000000005</x:v>
      </x:c>
      <x:c r="S1106" s="10" t="n">
        <x:f>IF(K1106&gt;0,R1106/K1106,"")</x:f>
        <x:v>0.3686746987951808</x:v>
      </x:c>
    </x:row>
    <x:row r="1107">
      <x:c r="A1107" s="7" t="n">
        <x:v>1103</x:v>
      </x:c>
      <x:c r="B1107" s="7" t="str">
        <x:v>Tata</x:v>
      </x:c>
      <x:c r="C1107" s="7" t="str">
        <x:v>Tigor</x:v>
      </x:c>
      <x:c r="D1107" s="7" t="str">
        <x:v>XZA</x:v>
      </x:c>
      <x:c r="E1107" s="7" t="str">
        <x:v>Petrol</x:v>
      </x:c>
      <x:c r="F1107" s="7" t="str">
        <x:v>Automatic</x:v>
      </x:c>
      <x:c r="G1107" s="7" t="str">
        <x:v>Sedan</x:v>
      </x:c>
      <x:c r="H1107" s="7" t="n">
        <x:v>1199</x:v>
      </x:c>
      <x:c r="I1107" s="7" t="n">
        <x:v>85</x:v>
      </x:c>
      <x:c r="J1107" s="9" t="n">
        <x:v>19.6</x:v>
      </x:c>
      <x:c r="K1107" s="9" t="n">
        <x:v>8.3</x:v>
      </x:c>
      <x:c r="L1107" s="7" t="n">
        <x:v>2021</x:v>
      </x:c>
      <x:c r="M1107" s="11" t="n">
        <x:v>51230</x:v>
      </x:c>
      <x:c r="N1107" s="7" t="n">
        <x:v>1</x:v>
      </x:c>
      <x:c r="O1107" s="7" t="n">
        <x:v>0</x:v>
      </x:c>
      <x:c r="P1107" s="9" t="n">
        <x:v>4.49</x:v>
      </x:c>
      <x:c r="Q1107" s="7" t="n">
        <x:f>'Guide'!$B$5-L1107</x:f>
        <x:v>5</x:v>
      </x:c>
      <x:c r="R1107" s="9" t="n">
        <x:f>K1107-P1107</x:f>
        <x:v>3.8100000000000005</x:v>
      </x:c>
      <x:c r="S1107" s="10" t="n">
        <x:f>IF(K1107&gt;0,R1107/K1107,"")</x:f>
        <x:v>0.45903614457831327</x:v>
      </x:c>
    </x:row>
    <x:row r="1108">
      <x:c r="A1108" s="7" t="n">
        <x:v>1104</x:v>
      </x:c>
      <x:c r="B1108" s="7" t="str">
        <x:v>Tata</x:v>
      </x:c>
      <x:c r="C1108" s="7" t="str">
        <x:v>Tigor</x:v>
      </x:c>
      <x:c r="D1108" s="7" t="str">
        <x:v>XZA</x:v>
      </x:c>
      <x:c r="E1108" s="7" t="str">
        <x:v>Petrol</x:v>
      </x:c>
      <x:c r="F1108" s="7" t="str">
        <x:v>Automatic</x:v>
      </x:c>
      <x:c r="G1108" s="7" t="str">
        <x:v>Sedan</x:v>
      </x:c>
      <x:c r="H1108" s="7" t="n">
        <x:v>1199</x:v>
      </x:c>
      <x:c r="I1108" s="7" t="n">
        <x:v>85</x:v>
      </x:c>
      <x:c r="J1108" s="9" t="n">
        <x:v>19.6</x:v>
      </x:c>
      <x:c r="K1108" s="9" t="n">
        <x:v>8.3</x:v>
      </x:c>
      <x:c r="L1108" s="7" t="n">
        <x:v>2026</x:v>
      </x:c>
      <x:c r="M1108" s="11" t="n">
        <x:v>5722</x:v>
      </x:c>
      <x:c r="N1108" s="7" t="n">
        <x:v>1</x:v>
      </x:c>
      <x:c r="O1108" s="7" t="n">
        <x:v>0</x:v>
      </x:c>
      <x:c r="P1108" s="9" t="n">
        <x:v>7.95</x:v>
      </x:c>
      <x:c r="Q1108" s="7" t="n">
        <x:f>'Guide'!$B$5-L1108</x:f>
        <x:v>0</x:v>
      </x:c>
      <x:c r="R1108" s="9" t="n">
        <x:f>K1108-P1108</x:f>
        <x:v>0.35000000000000053</x:v>
      </x:c>
      <x:c r="S1108" s="10" t="n">
        <x:f>IF(K1108&gt;0,R1108/K1108,"")</x:f>
        <x:v>0.04216867469879524</x:v>
      </x:c>
    </x:row>
    <x:row r="1109">
      <x:c r="A1109" s="7" t="n">
        <x:v>1105</x:v>
      </x:c>
      <x:c r="B1109" s="7" t="str">
        <x:v>Tata</x:v>
      </x:c>
      <x:c r="C1109" s="7" t="str">
        <x:v>Tigor</x:v>
      </x:c>
      <x:c r="D1109" s="7" t="str">
        <x:v>XZA</x:v>
      </x:c>
      <x:c r="E1109" s="7" t="str">
        <x:v>Petrol</x:v>
      </x:c>
      <x:c r="F1109" s="7" t="str">
        <x:v>Automatic</x:v>
      </x:c>
      <x:c r="G1109" s="7" t="str">
        <x:v>Sedan</x:v>
      </x:c>
      <x:c r="H1109" s="7" t="n">
        <x:v>1199</x:v>
      </x:c>
      <x:c r="I1109" s="7" t="n">
        <x:v>85</x:v>
      </x:c>
      <x:c r="J1109" s="9" t="n">
        <x:v>19.6</x:v>
      </x:c>
      <x:c r="K1109" s="9" t="n">
        <x:v>8.3</x:v>
      </x:c>
      <x:c r="L1109" s="7" t="n">
        <x:v>2023</x:v>
      </x:c>
      <x:c r="M1109" s="11" t="n">
        <x:v>56353</x:v>
      </x:c>
      <x:c r="N1109" s="7" t="n">
        <x:v>1</x:v>
      </x:c>
      <x:c r="O1109" s="7" t="n">
        <x:v>0</x:v>
      </x:c>
      <x:c r="P1109" s="9" t="n">
        <x:v>5.59</x:v>
      </x:c>
      <x:c r="Q1109" s="7" t="n">
        <x:f>'Guide'!$B$5-L1109</x:f>
        <x:v>3</x:v>
      </x:c>
      <x:c r="R1109" s="9" t="n">
        <x:f>K1109-P1109</x:f>
        <x:v>2.710000000000001</x:v>
      </x:c>
      <x:c r="S1109" s="10" t="n">
        <x:f>IF(K1109&gt;0,R1109/K1109,"")</x:f>
        <x:v>0.3265060240963856</x:v>
      </x:c>
    </x:row>
    <x:row r="1110">
      <x:c r="A1110" s="7" t="n">
        <x:v>1106</x:v>
      </x:c>
      <x:c r="B1110" s="7" t="str">
        <x:v>Tata</x:v>
      </x:c>
      <x:c r="C1110" s="7" t="str">
        <x:v>Tigor</x:v>
      </x:c>
      <x:c r="D1110" s="7" t="str">
        <x:v>XZA</x:v>
      </x:c>
      <x:c r="E1110" s="7" t="str">
        <x:v>Petrol</x:v>
      </x:c>
      <x:c r="F1110" s="7" t="str">
        <x:v>Automatic</x:v>
      </x:c>
      <x:c r="G1110" s="7" t="str">
        <x:v>Sedan</x:v>
      </x:c>
      <x:c r="H1110" s="7" t="n">
        <x:v>1199</x:v>
      </x:c>
      <x:c r="I1110" s="7" t="n">
        <x:v>85</x:v>
      </x:c>
      <x:c r="J1110" s="9" t="n">
        <x:v>19.6</x:v>
      </x:c>
      <x:c r="K1110" s="9" t="n">
        <x:v>8.3</x:v>
      </x:c>
      <x:c r="L1110" s="7" t="n">
        <x:v>2020</x:v>
      </x:c>
      <x:c r="M1110" s="11" t="n">
        <x:v>124623</x:v>
      </x:c>
      <x:c r="N1110" s="7" t="n">
        <x:v>1</x:v>
      </x:c>
      <x:c r="O1110" s="7" t="n">
        <x:v>0</x:v>
      </x:c>
      <x:c r="P1110" s="9" t="n">
        <x:v>3.09</x:v>
      </x:c>
      <x:c r="Q1110" s="7" t="n">
        <x:f>'Guide'!$B$5-L1110</x:f>
        <x:v>6</x:v>
      </x:c>
      <x:c r="R1110" s="9" t="n">
        <x:f>K1110-P1110</x:f>
        <x:v>5.210000000000001</x:v>
      </x:c>
      <x:c r="S1110" s="10" t="n">
        <x:f>IF(K1110&gt;0,R1110/K1110,"")</x:f>
        <x:v>0.627710843373494</x:v>
      </x:c>
    </x:row>
    <x:row r="1111">
      <x:c r="A1111" s="7" t="n">
        <x:v>1107</x:v>
      </x:c>
      <x:c r="B1111" s="7" t="str">
        <x:v>Tata</x:v>
      </x:c>
      <x:c r="C1111" s="7" t="str">
        <x:v>Tigor</x:v>
      </x:c>
      <x:c r="D1111" s="7" t="str">
        <x:v>XZA</x:v>
      </x:c>
      <x:c r="E1111" s="7" t="str">
        <x:v>Petrol</x:v>
      </x:c>
      <x:c r="F1111" s="7" t="str">
        <x:v>Automatic</x:v>
      </x:c>
      <x:c r="G1111" s="7" t="str">
        <x:v>Sedan</x:v>
      </x:c>
      <x:c r="H1111" s="7" t="n">
        <x:v>1199</x:v>
      </x:c>
      <x:c r="I1111" s="7" t="n">
        <x:v>85</x:v>
      </x:c>
      <x:c r="J1111" s="9" t="n">
        <x:v>19.6</x:v>
      </x:c>
      <x:c r="K1111" s="9" t="n">
        <x:v>8.3</x:v>
      </x:c>
      <x:c r="L1111" s="7" t="n">
        <x:v>2025</x:v>
      </x:c>
      <x:c r="M1111" s="11" t="n">
        <x:v>15159</x:v>
      </x:c>
      <x:c r="N1111" s="7" t="n">
        <x:v>1</x:v>
      </x:c>
      <x:c r="O1111" s="7" t="n">
        <x:v>0</x:v>
      </x:c>
      <x:c r="P1111" s="9" t="n">
        <x:v>7.31</x:v>
      </x:c>
      <x:c r="Q1111" s="7" t="n">
        <x:f>'Guide'!$B$5-L1111</x:f>
        <x:v>1</x:v>
      </x:c>
      <x:c r="R1111" s="9" t="n">
        <x:f>K1111-P1111</x:f>
        <x:v>0.9900000000000011</x:v>
      </x:c>
      <x:c r="S1111" s="10" t="n">
        <x:f>IF(K1111&gt;0,R1111/K1111,"")</x:f>
        <x:v>0.11927710843373507</x:v>
      </x:c>
    </x:row>
    <x:row r="1112">
      <x:c r="A1112" s="7" t="n">
        <x:v>1108</x:v>
      </x:c>
      <x:c r="B1112" s="7" t="str">
        <x:v>Tata</x:v>
      </x:c>
      <x:c r="C1112" s="7" t="str">
        <x:v>Tigor</x:v>
      </x:c>
      <x:c r="D1112" s="7" t="str">
        <x:v>XZA</x:v>
      </x:c>
      <x:c r="E1112" s="7" t="str">
        <x:v>Petrol</x:v>
      </x:c>
      <x:c r="F1112" s="7" t="str">
        <x:v>Automatic</x:v>
      </x:c>
      <x:c r="G1112" s="7" t="str">
        <x:v>Sedan</x:v>
      </x:c>
      <x:c r="H1112" s="7" t="n">
        <x:v>1199</x:v>
      </x:c>
      <x:c r="I1112" s="7" t="n">
        <x:v>85</x:v>
      </x:c>
      <x:c r="J1112" s="9" t="n">
        <x:v>19.6</x:v>
      </x:c>
      <x:c r="K1112" s="9" t="n">
        <x:v>8.3</x:v>
      </x:c>
      <x:c r="L1112" s="7" t="n">
        <x:v>2025</x:v>
      </x:c>
      <x:c r="M1112" s="11" t="n">
        <x:v>13852</x:v>
      </x:c>
      <x:c r="N1112" s="7" t="n">
        <x:v>1</x:v>
      </x:c>
      <x:c r="O1112" s="7" t="n">
        <x:v>0</x:v>
      </x:c>
      <x:c r="P1112" s="9" t="n">
        <x:v>7.31</x:v>
      </x:c>
      <x:c r="Q1112" s="7" t="n">
        <x:f>'Guide'!$B$5-L1112</x:f>
        <x:v>1</x:v>
      </x:c>
      <x:c r="R1112" s="9" t="n">
        <x:f>K1112-P1112</x:f>
        <x:v>0.9900000000000011</x:v>
      </x:c>
      <x:c r="S1112" s="10" t="n">
        <x:f>IF(K1112&gt;0,R1112/K1112,"")</x:f>
        <x:v>0.11927710843373507</x:v>
      </x:c>
    </x:row>
    <x:row r="1113">
      <x:c r="A1113" s="7" t="n">
        <x:v>1109</x:v>
      </x:c>
      <x:c r="B1113" s="7" t="str">
        <x:v>Tata</x:v>
      </x:c>
      <x:c r="C1113" s="7" t="str">
        <x:v>Tigor</x:v>
      </x:c>
      <x:c r="D1113" s="7" t="str">
        <x:v>XZA</x:v>
      </x:c>
      <x:c r="E1113" s="7" t="str">
        <x:v>Petrol</x:v>
      </x:c>
      <x:c r="F1113" s="7" t="str">
        <x:v>Automatic</x:v>
      </x:c>
      <x:c r="G1113" s="7" t="str">
        <x:v>Sedan</x:v>
      </x:c>
      <x:c r="H1113" s="7" t="n">
        <x:v>1199</x:v>
      </x:c>
      <x:c r="I1113" s="7" t="n">
        <x:v>85</x:v>
      </x:c>
      <x:c r="J1113" s="9" t="n">
        <x:v>19.6</x:v>
      </x:c>
      <x:c r="K1113" s="9" t="n">
        <x:v>8.3</x:v>
      </x:c>
      <x:c r="L1113" s="7" t="n">
        <x:v>2023</x:v>
      </x:c>
      <x:c r="M1113" s="11" t="n">
        <x:v>38521</x:v>
      </x:c>
      <x:c r="N1113" s="7" t="n">
        <x:v>2</x:v>
      </x:c>
      <x:c r="O1113" s="7" t="n">
        <x:v>0</x:v>
      </x:c>
      <x:c r="P1113" s="9" t="n">
        <x:v>5.82</x:v>
      </x:c>
      <x:c r="Q1113" s="7" t="n">
        <x:f>'Guide'!$B$5-L1113</x:f>
        <x:v>3</x:v>
      </x:c>
      <x:c r="R1113" s="9" t="n">
        <x:f>K1113-P1113</x:f>
        <x:v>2.4800000000000004</x:v>
      </x:c>
      <x:c r="S1113" s="10" t="n">
        <x:f>IF(K1113&gt;0,R1113/K1113,"")</x:f>
        <x:v>0.2987951807228916</x:v>
      </x:c>
    </x:row>
    <x:row r="1114">
      <x:c r="A1114" s="7" t="n">
        <x:v>1110</x:v>
      </x:c>
      <x:c r="B1114" s="7" t="str">
        <x:v>Tata</x:v>
      </x:c>
      <x:c r="C1114" s="7" t="str">
        <x:v>Tigor</x:v>
      </x:c>
      <x:c r="D1114" s="7" t="str">
        <x:v>XZA</x:v>
      </x:c>
      <x:c r="E1114" s="7" t="str">
        <x:v>Petrol</x:v>
      </x:c>
      <x:c r="F1114" s="7" t="str">
        <x:v>Automatic</x:v>
      </x:c>
      <x:c r="G1114" s="7" t="str">
        <x:v>Sedan</x:v>
      </x:c>
      <x:c r="H1114" s="7" t="n">
        <x:v>1199</x:v>
      </x:c>
      <x:c r="I1114" s="7" t="n">
        <x:v>85</x:v>
      </x:c>
      <x:c r="J1114" s="9" t="n">
        <x:v>19.6</x:v>
      </x:c>
      <x:c r="K1114" s="9" t="n">
        <x:v>8.3</x:v>
      </x:c>
      <x:c r="L1114" s="7" t="n">
        <x:v>2024</x:v>
      </x:c>
      <x:c r="M1114" s="11" t="n">
        <x:v>26274</x:v>
      </x:c>
      <x:c r="N1114" s="7" t="n">
        <x:v>1</x:v>
      </x:c>
      <x:c r="O1114" s="7" t="n">
        <x:v>0</x:v>
      </x:c>
      <x:c r="P1114" s="9" t="n">
        <x:v>6.5</x:v>
      </x:c>
      <x:c r="Q1114" s="7" t="n">
        <x:f>'Guide'!$B$5-L1114</x:f>
        <x:v>2</x:v>
      </x:c>
      <x:c r="R1114" s="9" t="n">
        <x:f>K1114-P1114</x:f>
        <x:v>1.8000000000000007</x:v>
      </x:c>
      <x:c r="S1114" s="10" t="n">
        <x:f>IF(K1114&gt;0,R1114/K1114,"")</x:f>
        <x:v>0.21686746987951813</x:v>
      </x:c>
    </x:row>
    <x:row r="1115">
      <x:c r="A1115" s="7" t="n">
        <x:v>1111</x:v>
      </x:c>
      <x:c r="B1115" s="7" t="str">
        <x:v>Tata</x:v>
      </x:c>
      <x:c r="C1115" s="7" t="str">
        <x:v>Tigor</x:v>
      </x:c>
      <x:c r="D1115" s="7" t="str">
        <x:v>XZA</x:v>
      </x:c>
      <x:c r="E1115" s="7" t="str">
        <x:v>Petrol</x:v>
      </x:c>
      <x:c r="F1115" s="7" t="str">
        <x:v>Automatic</x:v>
      </x:c>
      <x:c r="G1115" s="7" t="str">
        <x:v>Sedan</x:v>
      </x:c>
      <x:c r="H1115" s="7" t="n">
        <x:v>1199</x:v>
      </x:c>
      <x:c r="I1115" s="7" t="n">
        <x:v>85</x:v>
      </x:c>
      <x:c r="J1115" s="9" t="n">
        <x:v>19.6</x:v>
      </x:c>
      <x:c r="K1115" s="9" t="n">
        <x:v>8.3</x:v>
      </x:c>
      <x:c r="L1115" s="7" t="n">
        <x:v>2025</x:v>
      </x:c>
      <x:c r="M1115" s="11" t="n">
        <x:v>24159</x:v>
      </x:c>
      <x:c r="N1115" s="7" t="n">
        <x:v>1</x:v>
      </x:c>
      <x:c r="O1115" s="7" t="n">
        <x:v>0</x:v>
      </x:c>
      <x:c r="P1115" s="9" t="n">
        <x:v>7.2</x:v>
      </x:c>
      <x:c r="Q1115" s="7" t="n">
        <x:f>'Guide'!$B$5-L1115</x:f>
        <x:v>1</x:v>
      </x:c>
      <x:c r="R1115" s="9" t="n">
        <x:f>K1115-P1115</x:f>
        <x:v>1.1000000000000005</x:v>
      </x:c>
      <x:c r="S1115" s="10" t="n">
        <x:f>IF(K1115&gt;0,R1115/K1115,"")</x:f>
        <x:v>0.13253012048192778</x:v>
      </x:c>
    </x:row>
    <x:row r="1116">
      <x:c r="A1116" s="7" t="n">
        <x:v>1112</x:v>
      </x:c>
      <x:c r="B1116" s="7" t="str">
        <x:v>Tata</x:v>
      </x:c>
      <x:c r="C1116" s="7" t="str">
        <x:v>Tigor</x:v>
      </x:c>
      <x:c r="D1116" s="7" t="str">
        <x:v>XZA</x:v>
      </x:c>
      <x:c r="E1116" s="7" t="str">
        <x:v>Petrol</x:v>
      </x:c>
      <x:c r="F1116" s="7" t="str">
        <x:v>Automatic</x:v>
      </x:c>
      <x:c r="G1116" s="7" t="str">
        <x:v>Sedan</x:v>
      </x:c>
      <x:c r="H1116" s="7" t="n">
        <x:v>1199</x:v>
      </x:c>
      <x:c r="I1116" s="7" t="n">
        <x:v>85</x:v>
      </x:c>
      <x:c r="J1116" s="9" t="n">
        <x:v>19.6</x:v>
      </x:c>
      <x:c r="K1116" s="9" t="n">
        <x:v>8.3</x:v>
      </x:c>
      <x:c r="L1116" s="7" t="n">
        <x:v>2020</x:v>
      </x:c>
      <x:c r="M1116" s="11" t="n">
        <x:v>69478</x:v>
      </x:c>
      <x:c r="N1116" s="7" t="n">
        <x:v>1</x:v>
      </x:c>
      <x:c r="O1116" s="7" t="n">
        <x:v>1</x:v>
      </x:c>
      <x:c r="P1116" s="9" t="n">
        <x:v>2.51</x:v>
      </x:c>
      <x:c r="Q1116" s="7" t="n">
        <x:f>'Guide'!$B$5-L1116</x:f>
        <x:v>6</x:v>
      </x:c>
      <x:c r="R1116" s="9" t="n">
        <x:f>K1116-P1116</x:f>
        <x:v>5.790000000000001</x:v>
      </x:c>
      <x:c r="S1116" s="10" t="n">
        <x:f>IF(K1116&gt;0,R1116/K1116,"")</x:f>
        <x:v>0.6975903614457832</x:v>
      </x:c>
    </x:row>
    <x:row r="1117">
      <x:c r="A1117" s="7" t="n">
        <x:v>1113</x:v>
      </x:c>
      <x:c r="B1117" s="7" t="str">
        <x:v>Tata</x:v>
      </x:c>
      <x:c r="C1117" s="7" t="str">
        <x:v>Tigor</x:v>
      </x:c>
      <x:c r="D1117" s="7" t="str">
        <x:v>XZA</x:v>
      </x:c>
      <x:c r="E1117" s="7" t="str">
        <x:v>Petrol</x:v>
      </x:c>
      <x:c r="F1117" s="7" t="str">
        <x:v>Automatic</x:v>
      </x:c>
      <x:c r="G1117" s="7" t="str">
        <x:v>Sedan</x:v>
      </x:c>
      <x:c r="H1117" s="7" t="n">
        <x:v>1199</x:v>
      </x:c>
      <x:c r="I1117" s="7" t="n">
        <x:v>85</x:v>
      </x:c>
      <x:c r="J1117" s="9" t="n">
        <x:v>19.6</x:v>
      </x:c>
      <x:c r="K1117" s="9" t="n">
        <x:v>8.3</x:v>
      </x:c>
      <x:c r="L1117" s="7" t="n">
        <x:v>2021</x:v>
      </x:c>
      <x:c r="M1117" s="11" t="n">
        <x:v>89031</x:v>
      </x:c>
      <x:c r="N1117" s="7" t="n">
        <x:v>2</x:v>
      </x:c>
      <x:c r="O1117" s="7" t="n">
        <x:v>0</x:v>
      </x:c>
      <x:c r="P1117" s="9" t="n">
        <x:v>3.78</x:v>
      </x:c>
      <x:c r="Q1117" s="7" t="n">
        <x:f>'Guide'!$B$5-L1117</x:f>
        <x:v>5</x:v>
      </x:c>
      <x:c r="R1117" s="9" t="n">
        <x:f>K1117-P1117</x:f>
        <x:v>4.520000000000001</x:v>
      </x:c>
      <x:c r="S1117" s="10" t="n">
        <x:f>IF(K1117&gt;0,R1117/K1117,"")</x:f>
        <x:v>0.5445783132530122</x:v>
      </x:c>
    </x:row>
    <x:row r="1118">
      <x:c r="A1118" s="7" t="n">
        <x:v>1114</x:v>
      </x:c>
      <x:c r="B1118" s="7" t="str">
        <x:v>Tata</x:v>
      </x:c>
      <x:c r="C1118" s="7" t="str">
        <x:v>Tigor</x:v>
      </x:c>
      <x:c r="D1118" s="7" t="str">
        <x:v>XZA</x:v>
      </x:c>
      <x:c r="E1118" s="7" t="str">
        <x:v>Petrol</x:v>
      </x:c>
      <x:c r="F1118" s="7" t="str">
        <x:v>Automatic</x:v>
      </x:c>
      <x:c r="G1118" s="7" t="str">
        <x:v>Sedan</x:v>
      </x:c>
      <x:c r="H1118" s="7" t="n">
        <x:v>1199</x:v>
      </x:c>
      <x:c r="I1118" s="7" t="n">
        <x:v>85</x:v>
      </x:c>
      <x:c r="J1118" s="9" t="n">
        <x:v>19.6</x:v>
      </x:c>
      <x:c r="K1118" s="9" t="n">
        <x:v>8.3</x:v>
      </x:c>
      <x:c r="L1118" s="7" t="n">
        <x:v>2026</x:v>
      </x:c>
      <x:c r="M1118" s="11" t="n">
        <x:v>5209</x:v>
      </x:c>
      <x:c r="N1118" s="7" t="n">
        <x:v>1</x:v>
      </x:c>
      <x:c r="O1118" s="7" t="n">
        <x:v>0</x:v>
      </x:c>
      <x:c r="P1118" s="9" t="n">
        <x:v>8.1</x:v>
      </x:c>
      <x:c r="Q1118" s="7" t="n">
        <x:f>'Guide'!$B$5-L1118</x:f>
        <x:v>0</x:v>
      </x:c>
      <x:c r="R1118" s="9" t="n">
        <x:f>K1118-P1118</x:f>
        <x:v>0.20000000000000107</x:v>
      </x:c>
      <x:c r="S1118" s="10" t="n">
        <x:f>IF(K1118&gt;0,R1118/K1118,"")</x:f>
        <x:v>0.0240963855421688</x:v>
      </x:c>
    </x:row>
    <x:row r="1119">
      <x:c r="A1119" s="7" t="n">
        <x:v>1115</x:v>
      </x:c>
      <x:c r="B1119" s="7" t="str">
        <x:v>Tata</x:v>
      </x:c>
      <x:c r="C1119" s="7" t="str">
        <x:v>Tigor</x:v>
      </x:c>
      <x:c r="D1119" s="7" t="str">
        <x:v>XZA</x:v>
      </x:c>
      <x:c r="E1119" s="7" t="str">
        <x:v>Petrol</x:v>
      </x:c>
      <x:c r="F1119" s="7" t="str">
        <x:v>Automatic</x:v>
      </x:c>
      <x:c r="G1119" s="7" t="str">
        <x:v>Sedan</x:v>
      </x:c>
      <x:c r="H1119" s="7" t="n">
        <x:v>1199</x:v>
      </x:c>
      <x:c r="I1119" s="7" t="n">
        <x:v>85</x:v>
      </x:c>
      <x:c r="J1119" s="9" t="n">
        <x:v>19.6</x:v>
      </x:c>
      <x:c r="K1119" s="9" t="n">
        <x:v>8.3</x:v>
      </x:c>
      <x:c r="L1119" s="7" t="n">
        <x:v>2025</x:v>
      </x:c>
      <x:c r="M1119" s="11" t="n">
        <x:v>22720</x:v>
      </x:c>
      <x:c r="N1119" s="7" t="n">
        <x:v>1</x:v>
      </x:c>
      <x:c r="O1119" s="7" t="n">
        <x:v>0</x:v>
      </x:c>
      <x:c r="P1119" s="9" t="n">
        <x:v>7.15</x:v>
      </x:c>
      <x:c r="Q1119" s="7" t="n">
        <x:f>'Guide'!$B$5-L1119</x:f>
        <x:v>1</x:v>
      </x:c>
      <x:c r="R1119" s="9" t="n">
        <x:f>K1119-P1119</x:f>
        <x:v>1.1500000000000004</x:v>
      </x:c>
      <x:c r="S1119" s="10" t="n">
        <x:f>IF(K1119&gt;0,R1119/K1119,"")</x:f>
        <x:v>0.1385542168674699</x:v>
      </x:c>
    </x:row>
    <x:row r="1120">
      <x:c r="A1120" s="7" t="n">
        <x:v>1116</x:v>
      </x:c>
      <x:c r="B1120" s="7" t="str">
        <x:v>Tata</x:v>
      </x:c>
      <x:c r="C1120" s="7" t="str">
        <x:v>Tigor</x:v>
      </x:c>
      <x:c r="D1120" s="7" t="str">
        <x:v>XZA</x:v>
      </x:c>
      <x:c r="E1120" s="7" t="str">
        <x:v>Petrol</x:v>
      </x:c>
      <x:c r="F1120" s="7" t="str">
        <x:v>Automatic</x:v>
      </x:c>
      <x:c r="G1120" s="7" t="str">
        <x:v>Sedan</x:v>
      </x:c>
      <x:c r="H1120" s="7" t="n">
        <x:v>1199</x:v>
      </x:c>
      <x:c r="I1120" s="7" t="n">
        <x:v>85</x:v>
      </x:c>
      <x:c r="J1120" s="9" t="n">
        <x:v>19.6</x:v>
      </x:c>
      <x:c r="K1120" s="9" t="n">
        <x:v>8.3</x:v>
      </x:c>
      <x:c r="L1120" s="7" t="n">
        <x:v>2022</x:v>
      </x:c>
      <x:c r="M1120" s="11" t="n">
        <x:v>74338</x:v>
      </x:c>
      <x:c r="N1120" s="7" t="n">
        <x:v>1</x:v>
      </x:c>
      <x:c r="O1120" s="7" t="n">
        <x:v>0</x:v>
      </x:c>
      <x:c r="P1120" s="9" t="n">
        <x:v>5.13</x:v>
      </x:c>
      <x:c r="Q1120" s="7" t="n">
        <x:f>'Guide'!$B$5-L1120</x:f>
        <x:v>4</x:v>
      </x:c>
      <x:c r="R1120" s="9" t="n">
        <x:f>K1120-P1120</x:f>
        <x:v>3.170000000000001</x:v>
      </x:c>
      <x:c r="S1120" s="10" t="n">
        <x:f>IF(K1120&gt;0,R1120/K1120,"")</x:f>
        <x:v>0.38192771084337357</x:v>
      </x:c>
    </x:row>
    <x:row r="1121">
      <x:c r="A1121" s="7" t="n">
        <x:v>1117</x:v>
      </x:c>
      <x:c r="B1121" s="7" t="str">
        <x:v>Tata</x:v>
      </x:c>
      <x:c r="C1121" s="7" t="str">
        <x:v>Tigor</x:v>
      </x:c>
      <x:c r="D1121" s="7" t="str">
        <x:v>XZA</x:v>
      </x:c>
      <x:c r="E1121" s="7" t="str">
        <x:v>Petrol</x:v>
      </x:c>
      <x:c r="F1121" s="7" t="str">
        <x:v>Automatic</x:v>
      </x:c>
      <x:c r="G1121" s="7" t="str">
        <x:v>Sedan</x:v>
      </x:c>
      <x:c r="H1121" s="7" t="n">
        <x:v>1199</x:v>
      </x:c>
      <x:c r="I1121" s="7" t="n">
        <x:v>85</x:v>
      </x:c>
      <x:c r="J1121" s="9" t="n">
        <x:v>19.6</x:v>
      </x:c>
      <x:c r="K1121" s="9" t="n">
        <x:v>8.3</x:v>
      </x:c>
      <x:c r="L1121" s="7" t="n">
        <x:v>2025</x:v>
      </x:c>
      <x:c r="M1121" s="11" t="n">
        <x:v>19534</x:v>
      </x:c>
      <x:c r="N1121" s="7" t="n">
        <x:v>1</x:v>
      </x:c>
      <x:c r="O1121" s="7" t="n">
        <x:v>1</x:v>
      </x:c>
      <x:c r="P1121" s="9" t="n">
        <x:v>6.9</x:v>
      </x:c>
      <x:c r="Q1121" s="7" t="n">
        <x:f>'Guide'!$B$5-L1121</x:f>
        <x:v>1</x:v>
      </x:c>
      <x:c r="R1121" s="9" t="n">
        <x:f>K1121-P1121</x:f>
        <x:v>1.4000000000000004</x:v>
      </x:c>
      <x:c r="S1121" s="10" t="n">
        <x:f>IF(K1121&gt;0,R1121/K1121,"")</x:f>
        <x:v>0.16867469879518074</x:v>
      </x:c>
    </x:row>
    <x:row r="1122">
      <x:c r="A1122" s="7" t="n">
        <x:v>1118</x:v>
      </x:c>
      <x:c r="B1122" s="7" t="str">
        <x:v>Tata</x:v>
      </x:c>
      <x:c r="C1122" s="7" t="str">
        <x:v>Tigor</x:v>
      </x:c>
      <x:c r="D1122" s="7" t="str">
        <x:v>XZA</x:v>
      </x:c>
      <x:c r="E1122" s="7" t="str">
        <x:v>Petrol</x:v>
      </x:c>
      <x:c r="F1122" s="7" t="str">
        <x:v>Automatic</x:v>
      </x:c>
      <x:c r="G1122" s="7" t="str">
        <x:v>Sedan</x:v>
      </x:c>
      <x:c r="H1122" s="7" t="n">
        <x:v>1199</x:v>
      </x:c>
      <x:c r="I1122" s="7" t="n">
        <x:v>85</x:v>
      </x:c>
      <x:c r="J1122" s="9" t="n">
        <x:v>19.6</x:v>
      </x:c>
      <x:c r="K1122" s="9" t="n">
        <x:v>8.3</x:v>
      </x:c>
      <x:c r="L1122" s="7" t="n">
        <x:v>2020</x:v>
      </x:c>
      <x:c r="M1122" s="11" t="n">
        <x:v>88854</x:v>
      </x:c>
      <x:c r="N1122" s="7" t="n">
        <x:v>2</x:v>
      </x:c>
      <x:c r="O1122" s="7" t="n">
        <x:v>0</x:v>
      </x:c>
      <x:c r="P1122" s="9" t="n">
        <x:v>3.07</x:v>
      </x:c>
      <x:c r="Q1122" s="7" t="n">
        <x:f>'Guide'!$B$5-L1122</x:f>
        <x:v>6</x:v>
      </x:c>
      <x:c r="R1122" s="9" t="n">
        <x:f>K1122-P1122</x:f>
        <x:v>5.23</x:v>
      </x:c>
      <x:c r="S1122" s="10" t="n">
        <x:f>IF(K1122&gt;0,R1122/K1122,"")</x:f>
        <x:v>0.6301204819277109</x:v>
      </x:c>
    </x:row>
    <x:row r="1123">
      <x:c r="A1123" s="7" t="n">
        <x:v>1119</x:v>
      </x:c>
      <x:c r="B1123" s="7" t="str">
        <x:v>Tata</x:v>
      </x:c>
      <x:c r="C1123" s="7" t="str">
        <x:v>Tigor</x:v>
      </x:c>
      <x:c r="D1123" s="7" t="str">
        <x:v>XZA</x:v>
      </x:c>
      <x:c r="E1123" s="7" t="str">
        <x:v>Petrol</x:v>
      </x:c>
      <x:c r="F1123" s="7" t="str">
        <x:v>Automatic</x:v>
      </x:c>
      <x:c r="G1123" s="7" t="str">
        <x:v>Sedan</x:v>
      </x:c>
      <x:c r="H1123" s="7" t="n">
        <x:v>1199</x:v>
      </x:c>
      <x:c r="I1123" s="7" t="n">
        <x:v>85</x:v>
      </x:c>
      <x:c r="J1123" s="9" t="n">
        <x:v>19.6</x:v>
      </x:c>
      <x:c r="K1123" s="9" t="n">
        <x:v>8.3</x:v>
      </x:c>
      <x:c r="L1123" s="7" t="n">
        <x:v>2020</x:v>
      </x:c>
      <x:c r="M1123" s="11" t="n">
        <x:v>114723</x:v>
      </x:c>
      <x:c r="N1123" s="7" t="n">
        <x:v>1</x:v>
      </x:c>
      <x:c r="O1123" s="7" t="n">
        <x:v>1</x:v>
      </x:c>
      <x:c r="P1123" s="9" t="n">
        <x:v>2.4</x:v>
      </x:c>
      <x:c r="Q1123" s="7" t="n">
        <x:f>'Guide'!$B$5-L1123</x:f>
        <x:v>6</x:v>
      </x:c>
      <x:c r="R1123" s="9" t="n">
        <x:f>K1123-P1123</x:f>
        <x:v>5.9</x:v>
      </x:c>
      <x:c r="S1123" s="10" t="n">
        <x:f>IF(K1123&gt;0,R1123/K1123,"")</x:f>
        <x:v>0.7108433734939759</x:v>
      </x:c>
    </x:row>
    <x:row r="1124">
      <x:c r="A1124" s="7" t="n">
        <x:v>1120</x:v>
      </x:c>
      <x:c r="B1124" s="7" t="str">
        <x:v>Tata</x:v>
      </x:c>
      <x:c r="C1124" s="7" t="str">
        <x:v>Tigor</x:v>
      </x:c>
      <x:c r="D1124" s="7" t="str">
        <x:v>XZA</x:v>
      </x:c>
      <x:c r="E1124" s="7" t="str">
        <x:v>Petrol</x:v>
      </x:c>
      <x:c r="F1124" s="7" t="str">
        <x:v>Automatic</x:v>
      </x:c>
      <x:c r="G1124" s="7" t="str">
        <x:v>Sedan</x:v>
      </x:c>
      <x:c r="H1124" s="7" t="n">
        <x:v>1199</x:v>
      </x:c>
      <x:c r="I1124" s="7" t="n">
        <x:v>85</x:v>
      </x:c>
      <x:c r="J1124" s="9" t="n">
        <x:v>19.6</x:v>
      </x:c>
      <x:c r="K1124" s="9" t="n">
        <x:v>8.3</x:v>
      </x:c>
      <x:c r="L1124" s="7" t="n">
        <x:v>2024</x:v>
      </x:c>
      <x:c r="M1124" s="11" t="n">
        <x:v>40481</x:v>
      </x:c>
      <x:c r="N1124" s="7" t="n">
        <x:v>1</x:v>
      </x:c>
      <x:c r="O1124" s="7" t="n">
        <x:v>0</x:v>
      </x:c>
      <x:c r="P1124" s="9" t="n">
        <x:v>6.23</x:v>
      </x:c>
      <x:c r="Q1124" s="7" t="n">
        <x:f>'Guide'!$B$5-L1124</x:f>
        <x:v>2</x:v>
      </x:c>
      <x:c r="R1124" s="9" t="n">
        <x:f>K1124-P1124</x:f>
        <x:v>2.0700000000000003</x:v>
      </x:c>
      <x:c r="S1124" s="10" t="n">
        <x:f>IF(K1124&gt;0,R1124/K1124,"")</x:f>
        <x:v>0.2493975903614458</x:v>
      </x:c>
    </x:row>
    <x:row r="1125">
      <x:c r="A1125" s="7" t="n">
        <x:v>1121</x:v>
      </x:c>
      <x:c r="B1125" s="7" t="str">
        <x:v>Tata</x:v>
      </x:c>
      <x:c r="C1125" s="7" t="str">
        <x:v>Tigor</x:v>
      </x:c>
      <x:c r="D1125" s="7" t="str">
        <x:v>XZA</x:v>
      </x:c>
      <x:c r="E1125" s="7" t="str">
        <x:v>Petrol</x:v>
      </x:c>
      <x:c r="F1125" s="7" t="str">
        <x:v>Automatic</x:v>
      </x:c>
      <x:c r="G1125" s="7" t="str">
        <x:v>Sedan</x:v>
      </x:c>
      <x:c r="H1125" s="7" t="n">
        <x:v>1199</x:v>
      </x:c>
      <x:c r="I1125" s="7" t="n">
        <x:v>85</x:v>
      </x:c>
      <x:c r="J1125" s="9" t="n">
        <x:v>19.6</x:v>
      </x:c>
      <x:c r="K1125" s="9" t="n">
        <x:v>8.3</x:v>
      </x:c>
      <x:c r="L1125" s="7" t="n">
        <x:v>2025</x:v>
      </x:c>
      <x:c r="M1125" s="11" t="n">
        <x:v>14900</x:v>
      </x:c>
      <x:c r="N1125" s="7" t="n">
        <x:v>2</x:v>
      </x:c>
      <x:c r="O1125" s="7" t="n">
        <x:v>0</x:v>
      </x:c>
      <x:c r="P1125" s="9" t="n">
        <x:v>6.89</x:v>
      </x:c>
      <x:c r="Q1125" s="7" t="n">
        <x:f>'Guide'!$B$5-L1125</x:f>
        <x:v>1</x:v>
      </x:c>
      <x:c r="R1125" s="9" t="n">
        <x:f>K1125-P1125</x:f>
        <x:v>1.410000000000001</x:v>
      </x:c>
      <x:c r="S1125" s="10" t="n">
        <x:f>IF(K1125&gt;0,R1125/K1125,"")</x:f>
        <x:v>0.16987951807228927</x:v>
      </x:c>
    </x:row>
    <x:row r="1126">
      <x:c r="A1126" s="7" t="n">
        <x:v>1122</x:v>
      </x:c>
      <x:c r="B1126" s="7" t="str">
        <x:v>Tata</x:v>
      </x:c>
      <x:c r="C1126" s="7" t="str">
        <x:v>Tigor</x:v>
      </x:c>
      <x:c r="D1126" s="7" t="str">
        <x:v>XZA</x:v>
      </x:c>
      <x:c r="E1126" s="7" t="str">
        <x:v>Petrol</x:v>
      </x:c>
      <x:c r="F1126" s="7" t="str">
        <x:v>Automatic</x:v>
      </x:c>
      <x:c r="G1126" s="7" t="str">
        <x:v>Sedan</x:v>
      </x:c>
      <x:c r="H1126" s="7" t="n">
        <x:v>1199</x:v>
      </x:c>
      <x:c r="I1126" s="7" t="n">
        <x:v>85</x:v>
      </x:c>
      <x:c r="J1126" s="9" t="n">
        <x:v>19.6</x:v>
      </x:c>
      <x:c r="K1126" s="9" t="n">
        <x:v>8.3</x:v>
      </x:c>
      <x:c r="L1126" s="7" t="n">
        <x:v>2026</x:v>
      </x:c>
      <x:c r="M1126" s="11" t="n">
        <x:v>7805</x:v>
      </x:c>
      <x:c r="N1126" s="7" t="n">
        <x:v>1</x:v>
      </x:c>
      <x:c r="O1126" s="7" t="n">
        <x:v>1</x:v>
      </x:c>
      <x:c r="P1126" s="9" t="n">
        <x:v>7.32</x:v>
      </x:c>
      <x:c r="Q1126" s="7" t="n">
        <x:f>'Guide'!$B$5-L1126</x:f>
        <x:v>0</x:v>
      </x:c>
      <x:c r="R1126" s="9" t="n">
        <x:f>K1126-P1126</x:f>
        <x:v>0.9800000000000004</x:v>
      </x:c>
      <x:c r="S1126" s="10" t="n">
        <x:f>IF(K1126&gt;0,R1126/K1126,"")</x:f>
        <x:v>0.11807228915662654</x:v>
      </x:c>
    </x:row>
    <x:row r="1127">
      <x:c r="A1127" s="7" t="n">
        <x:v>1123</x:v>
      </x:c>
      <x:c r="B1127" s="7" t="str">
        <x:v>Tata</x:v>
      </x:c>
      <x:c r="C1127" s="7" t="str">
        <x:v>Tigor</x:v>
      </x:c>
      <x:c r="D1127" s="7" t="str">
        <x:v>XZA</x:v>
      </x:c>
      <x:c r="E1127" s="7" t="str">
        <x:v>Petrol</x:v>
      </x:c>
      <x:c r="F1127" s="7" t="str">
        <x:v>Automatic</x:v>
      </x:c>
      <x:c r="G1127" s="7" t="str">
        <x:v>Sedan</x:v>
      </x:c>
      <x:c r="H1127" s="7" t="n">
        <x:v>1199</x:v>
      </x:c>
      <x:c r="I1127" s="7" t="n">
        <x:v>85</x:v>
      </x:c>
      <x:c r="J1127" s="9" t="n">
        <x:v>19.6</x:v>
      </x:c>
      <x:c r="K1127" s="9" t="n">
        <x:v>8.3</x:v>
      </x:c>
      <x:c r="L1127" s="7" t="n">
        <x:v>2024</x:v>
      </x:c>
      <x:c r="M1127" s="11" t="n">
        <x:v>39771</x:v>
      </x:c>
      <x:c r="N1127" s="7" t="n">
        <x:v>1</x:v>
      </x:c>
      <x:c r="O1127" s="7" t="n">
        <x:v>0</x:v>
      </x:c>
      <x:c r="P1127" s="9" t="n">
        <x:v>6.19</x:v>
      </x:c>
      <x:c r="Q1127" s="7" t="n">
        <x:f>'Guide'!$B$5-L1127</x:f>
        <x:v>2</x:v>
      </x:c>
      <x:c r="R1127" s="9" t="n">
        <x:f>K1127-P1127</x:f>
        <x:v>2.1100000000000003</x:v>
      </x:c>
      <x:c r="S1127" s="10" t="n">
        <x:f>IF(K1127&gt;0,R1127/K1127,"")</x:f>
        <x:v>0.25421686746987954</x:v>
      </x:c>
    </x:row>
    <x:row r="1128">
      <x:c r="A1128" s="7" t="n">
        <x:v>1124</x:v>
      </x:c>
      <x:c r="B1128" s="7" t="str">
        <x:v>Tata</x:v>
      </x:c>
      <x:c r="C1128" s="7" t="str">
        <x:v>Tigor</x:v>
      </x:c>
      <x:c r="D1128" s="7" t="str">
        <x:v>XZA</x:v>
      </x:c>
      <x:c r="E1128" s="7" t="str">
        <x:v>Petrol</x:v>
      </x:c>
      <x:c r="F1128" s="7" t="str">
        <x:v>Automatic</x:v>
      </x:c>
      <x:c r="G1128" s="7" t="str">
        <x:v>Sedan</x:v>
      </x:c>
      <x:c r="H1128" s="7" t="n">
        <x:v>1199</x:v>
      </x:c>
      <x:c r="I1128" s="7" t="n">
        <x:v>85</x:v>
      </x:c>
      <x:c r="J1128" s="9" t="n">
        <x:v>19.6</x:v>
      </x:c>
      <x:c r="K1128" s="9" t="n">
        <x:v>8.3</x:v>
      </x:c>
      <x:c r="L1128" s="7" t="n">
        <x:v>2020</x:v>
      </x:c>
      <x:c r="M1128" s="11" t="n">
        <x:v>116493</x:v>
      </x:c>
      <x:c r="N1128" s="7" t="n">
        <x:v>1</x:v>
      </x:c>
      <x:c r="O1128" s="7" t="n">
        <x:v>0</x:v>
      </x:c>
      <x:c r="P1128" s="9" t="n">
        <x:v>3.17</x:v>
      </x:c>
      <x:c r="Q1128" s="7" t="n">
        <x:f>'Guide'!$B$5-L1128</x:f>
        <x:v>6</x:v>
      </x:c>
      <x:c r="R1128" s="9" t="n">
        <x:f>K1128-P1128</x:f>
        <x:v>5.130000000000001</x:v>
      </x:c>
      <x:c r="S1128" s="10" t="n">
        <x:f>IF(K1128&gt;0,R1128/K1128,"")</x:f>
        <x:v>0.6180722891566266</x:v>
      </x:c>
    </x:row>
    <x:row r="1129">
      <x:c r="A1129" s="7" t="n">
        <x:v>1125</x:v>
      </x:c>
      <x:c r="B1129" s="7" t="str">
        <x:v>Tata</x:v>
      </x:c>
      <x:c r="C1129" s="7" t="str">
        <x:v>Tigor</x:v>
      </x:c>
      <x:c r="D1129" s="7" t="str">
        <x:v>XZA</x:v>
      </x:c>
      <x:c r="E1129" s="7" t="str">
        <x:v>Petrol</x:v>
      </x:c>
      <x:c r="F1129" s="7" t="str">
        <x:v>Automatic</x:v>
      </x:c>
      <x:c r="G1129" s="7" t="str">
        <x:v>Sedan</x:v>
      </x:c>
      <x:c r="H1129" s="7" t="n">
        <x:v>1199</x:v>
      </x:c>
      <x:c r="I1129" s="7" t="n">
        <x:v>85</x:v>
      </x:c>
      <x:c r="J1129" s="9" t="n">
        <x:v>19.6</x:v>
      </x:c>
      <x:c r="K1129" s="9" t="n">
        <x:v>8.3</x:v>
      </x:c>
      <x:c r="L1129" s="7" t="n">
        <x:v>2022</x:v>
      </x:c>
      <x:c r="M1129" s="11" t="n">
        <x:v>52802</x:v>
      </x:c>
      <x:c r="N1129" s="7" t="n">
        <x:v>2</x:v>
      </x:c>
      <x:c r="O1129" s="7" t="n">
        <x:v>1</x:v>
      </x:c>
      <x:c r="P1129" s="9" t="n">
        <x:v>3.77</x:v>
      </x:c>
      <x:c r="Q1129" s="7" t="n">
        <x:f>'Guide'!$B$5-L1129</x:f>
        <x:v>4</x:v>
      </x:c>
      <x:c r="R1129" s="9" t="n">
        <x:f>K1129-P1129</x:f>
        <x:v>4.530000000000001</x:v>
      </x:c>
      <x:c r="S1129" s="10" t="n">
        <x:f>IF(K1129&gt;0,R1129/K1129,"")</x:f>
        <x:v>0.5457831325301206</x:v>
      </x:c>
    </x:row>
    <x:row r="1130">
      <x:c r="A1130" s="7" t="n">
        <x:v>1126</x:v>
      </x:c>
      <x:c r="B1130" s="7" t="str">
        <x:v>Tata</x:v>
      </x:c>
      <x:c r="C1130" s="7" t="str">
        <x:v>Tigor</x:v>
      </x:c>
      <x:c r="D1130" s="7" t="str">
        <x:v>XZA</x:v>
      </x:c>
      <x:c r="E1130" s="7" t="str">
        <x:v>Petrol</x:v>
      </x:c>
      <x:c r="F1130" s="7" t="str">
        <x:v>Automatic</x:v>
      </x:c>
      <x:c r="G1130" s="7" t="str">
        <x:v>Sedan</x:v>
      </x:c>
      <x:c r="H1130" s="7" t="n">
        <x:v>1199</x:v>
      </x:c>
      <x:c r="I1130" s="7" t="n">
        <x:v>85</x:v>
      </x:c>
      <x:c r="J1130" s="9" t="n">
        <x:v>19.6</x:v>
      </x:c>
      <x:c r="K1130" s="9" t="n">
        <x:v>8.3</x:v>
      </x:c>
      <x:c r="L1130" s="7" t="n">
        <x:v>2024</x:v>
      </x:c>
      <x:c r="M1130" s="11" t="n">
        <x:v>36047</x:v>
      </x:c>
      <x:c r="N1130" s="7" t="n">
        <x:v>1</x:v>
      </x:c>
      <x:c r="O1130" s="7" t="n">
        <x:v>0</x:v>
      </x:c>
      <x:c r="P1130" s="9" t="n">
        <x:v>6.65</x:v>
      </x:c>
      <x:c r="Q1130" s="7" t="n">
        <x:f>'Guide'!$B$5-L1130</x:f>
        <x:v>2</x:v>
      </x:c>
      <x:c r="R1130" s="9" t="n">
        <x:f>K1130-P1130</x:f>
        <x:v>1.6500000000000004</x:v>
      </x:c>
      <x:c r="S1130" s="10" t="n">
        <x:f>IF(K1130&gt;0,R1130/K1130,"")</x:f>
        <x:v>0.1987951807228916</x:v>
      </x:c>
    </x:row>
    <x:row r="1131">
      <x:c r="A1131" s="7" t="n">
        <x:v>1127</x:v>
      </x:c>
      <x:c r="B1131" s="7" t="str">
        <x:v>Tata</x:v>
      </x:c>
      <x:c r="C1131" s="7" t="str">
        <x:v>Tigor</x:v>
      </x:c>
      <x:c r="D1131" s="7" t="str">
        <x:v>XZA</x:v>
      </x:c>
      <x:c r="E1131" s="7" t="str">
        <x:v>Petrol</x:v>
      </x:c>
      <x:c r="F1131" s="7" t="str">
        <x:v>Automatic</x:v>
      </x:c>
      <x:c r="G1131" s="7" t="str">
        <x:v>Sedan</x:v>
      </x:c>
      <x:c r="H1131" s="7" t="n">
        <x:v>1199</x:v>
      </x:c>
      <x:c r="I1131" s="7" t="n">
        <x:v>85</x:v>
      </x:c>
      <x:c r="J1131" s="9" t="n">
        <x:v>19.6</x:v>
      </x:c>
      <x:c r="K1131" s="9" t="n">
        <x:v>8.3</x:v>
      </x:c>
      <x:c r="L1131" s="7" t="n">
        <x:v>2020</x:v>
      </x:c>
      <x:c r="M1131" s="11" t="n">
        <x:v>96862</x:v>
      </x:c>
      <x:c r="N1131" s="7" t="n">
        <x:v>1</x:v>
      </x:c>
      <x:c r="O1131" s="7" t="n">
        <x:v>0</x:v>
      </x:c>
      <x:c r="P1131" s="9" t="n">
        <x:v>3.53</x:v>
      </x:c>
      <x:c r="Q1131" s="7" t="n">
        <x:f>'Guide'!$B$5-L1131</x:f>
        <x:v>6</x:v>
      </x:c>
      <x:c r="R1131" s="9" t="n">
        <x:f>K1131-P1131</x:f>
        <x:v>4.770000000000001</x:v>
      </x:c>
      <x:c r="S1131" s="10" t="n">
        <x:f>IF(K1131&gt;0,R1131/K1131,"")</x:f>
        <x:v>0.574698795180723</x:v>
      </x:c>
    </x:row>
    <x:row r="1132">
      <x:c r="A1132" s="7" t="n">
        <x:v>1128</x:v>
      </x:c>
      <x:c r="B1132" s="7" t="str">
        <x:v>Tata</x:v>
      </x:c>
      <x:c r="C1132" s="7" t="str">
        <x:v>Tigor</x:v>
      </x:c>
      <x:c r="D1132" s="7" t="str">
        <x:v>XZA</x:v>
      </x:c>
      <x:c r="E1132" s="7" t="str">
        <x:v>Petrol</x:v>
      </x:c>
      <x:c r="F1132" s="7" t="str">
        <x:v>Automatic</x:v>
      </x:c>
      <x:c r="G1132" s="7" t="str">
        <x:v>Sedan</x:v>
      </x:c>
      <x:c r="H1132" s="7" t="n">
        <x:v>1199</x:v>
      </x:c>
      <x:c r="I1132" s="7" t="n">
        <x:v>85</x:v>
      </x:c>
      <x:c r="J1132" s="9" t="n">
        <x:v>19.6</x:v>
      </x:c>
      <x:c r="K1132" s="9" t="n">
        <x:v>8.3</x:v>
      </x:c>
      <x:c r="L1132" s="7" t="n">
        <x:v>2024</x:v>
      </x:c>
      <x:c r="M1132" s="11" t="n">
        <x:v>38331</x:v>
      </x:c>
      <x:c r="N1132" s="7" t="n">
        <x:v>1</x:v>
      </x:c>
      <x:c r="O1132" s="7" t="n">
        <x:v>0</x:v>
      </x:c>
      <x:c r="P1132" s="9" t="n">
        <x:v>6.87</x:v>
      </x:c>
      <x:c r="Q1132" s="7" t="n">
        <x:f>'Guide'!$B$5-L1132</x:f>
        <x:v>2</x:v>
      </x:c>
      <x:c r="R1132" s="9" t="n">
        <x:f>K1132-P1132</x:f>
        <x:v>1.4300000000000006</x:v>
      </x:c>
      <x:c r="S1132" s="10" t="n">
        <x:f>IF(K1132&gt;0,R1132/K1132,"")</x:f>
        <x:v>0.1722891566265061</x:v>
      </x:c>
    </x:row>
    <x:row r="1133">
      <x:c r="A1133" s="7" t="n">
        <x:v>1129</x:v>
      </x:c>
      <x:c r="B1133" s="7" t="str">
        <x:v>Tata</x:v>
      </x:c>
      <x:c r="C1133" s="7" t="str">
        <x:v>Tigor</x:v>
      </x:c>
      <x:c r="D1133" s="7" t="str">
        <x:v>XZA</x:v>
      </x:c>
      <x:c r="E1133" s="7" t="str">
        <x:v>Petrol</x:v>
      </x:c>
      <x:c r="F1133" s="7" t="str">
        <x:v>Automatic</x:v>
      </x:c>
      <x:c r="G1133" s="7" t="str">
        <x:v>Sedan</x:v>
      </x:c>
      <x:c r="H1133" s="7" t="n">
        <x:v>1199</x:v>
      </x:c>
      <x:c r="I1133" s="7" t="n">
        <x:v>85</x:v>
      </x:c>
      <x:c r="J1133" s="9" t="n">
        <x:v>19.6</x:v>
      </x:c>
      <x:c r="K1133" s="9" t="n">
        <x:v>8.3</x:v>
      </x:c>
      <x:c r="L1133" s="7" t="n">
        <x:v>2022</x:v>
      </x:c>
      <x:c r="M1133" s="11" t="n">
        <x:v>36312</x:v>
      </x:c>
      <x:c r="N1133" s="7" t="n">
        <x:v>1</x:v>
      </x:c>
      <x:c r="O1133" s="7" t="n">
        <x:v>0</x:v>
      </x:c>
      <x:c r="P1133" s="9" t="n">
        <x:v>5.59</x:v>
      </x:c>
      <x:c r="Q1133" s="7" t="n">
        <x:f>'Guide'!$B$5-L1133</x:f>
        <x:v>4</x:v>
      </x:c>
      <x:c r="R1133" s="9" t="n">
        <x:f>K1133-P1133</x:f>
        <x:v>2.710000000000001</x:v>
      </x:c>
      <x:c r="S1133" s="10" t="n">
        <x:f>IF(K1133&gt;0,R1133/K1133,"")</x:f>
        <x:v>0.3265060240963856</x:v>
      </x:c>
    </x:row>
    <x:row r="1134">
      <x:c r="A1134" s="7" t="n">
        <x:v>1130</x:v>
      </x:c>
      <x:c r="B1134" s="7" t="str">
        <x:v>Tata</x:v>
      </x:c>
      <x:c r="C1134" s="7" t="str">
        <x:v>Tigor</x:v>
      </x:c>
      <x:c r="D1134" s="7" t="str">
        <x:v>XZA</x:v>
      </x:c>
      <x:c r="E1134" s="7" t="str">
        <x:v>Petrol</x:v>
      </x:c>
      <x:c r="F1134" s="7" t="str">
        <x:v>Automatic</x:v>
      </x:c>
      <x:c r="G1134" s="7" t="str">
        <x:v>Sedan</x:v>
      </x:c>
      <x:c r="H1134" s="7" t="n">
        <x:v>1199</x:v>
      </x:c>
      <x:c r="I1134" s="7" t="n">
        <x:v>85</x:v>
      </x:c>
      <x:c r="J1134" s="9" t="n">
        <x:v>19.6</x:v>
      </x:c>
      <x:c r="K1134" s="9" t="n">
        <x:v>8.3</x:v>
      </x:c>
      <x:c r="L1134" s="7" t="n">
        <x:v>2020</x:v>
      </x:c>
      <x:c r="M1134" s="11" t="n">
        <x:v>109572</x:v>
      </x:c>
      <x:c r="N1134" s="7" t="n">
        <x:v>1</x:v>
      </x:c>
      <x:c r="O1134" s="7" t="n">
        <x:v>0</x:v>
      </x:c>
      <x:c r="P1134" s="9" t="n">
        <x:v>3</x:v>
      </x:c>
      <x:c r="Q1134" s="7" t="n">
        <x:f>'Guide'!$B$5-L1134</x:f>
        <x:v>6</x:v>
      </x:c>
      <x:c r="R1134" s="9" t="n">
        <x:f>K1134-P1134</x:f>
        <x:v>5.300000000000001</x:v>
      </x:c>
      <x:c r="S1134" s="10" t="n">
        <x:f>IF(K1134&gt;0,R1134/K1134,"")</x:f>
        <x:v>0.6385542168674699</x:v>
      </x:c>
    </x:row>
    <x:row r="1135">
      <x:c r="A1135" s="7" t="n">
        <x:v>1131</x:v>
      </x:c>
      <x:c r="B1135" s="7" t="str">
        <x:v>Tata</x:v>
      </x:c>
      <x:c r="C1135" s="7" t="str">
        <x:v>Tigor</x:v>
      </x:c>
      <x:c r="D1135" s="7" t="str">
        <x:v>XZA</x:v>
      </x:c>
      <x:c r="E1135" s="7" t="str">
        <x:v>Petrol</x:v>
      </x:c>
      <x:c r="F1135" s="7" t="str">
        <x:v>Automatic</x:v>
      </x:c>
      <x:c r="G1135" s="7" t="str">
        <x:v>Sedan</x:v>
      </x:c>
      <x:c r="H1135" s="7" t="n">
        <x:v>1199</x:v>
      </x:c>
      <x:c r="I1135" s="7" t="n">
        <x:v>85</x:v>
      </x:c>
      <x:c r="J1135" s="9" t="n">
        <x:v>19.6</x:v>
      </x:c>
      <x:c r="K1135" s="9" t="n">
        <x:v>8.3</x:v>
      </x:c>
      <x:c r="L1135" s="7" t="n">
        <x:v>2021</x:v>
      </x:c>
      <x:c r="M1135" s="11" t="n">
        <x:v>46559</x:v>
      </x:c>
      <x:c r="N1135" s="7" t="n">
        <x:v>3</x:v>
      </x:c>
      <x:c r="O1135" s="7" t="n">
        <x:v>1</x:v>
      </x:c>
      <x:c r="P1135" s="9" t="n">
        <x:v>2.72</x:v>
      </x:c>
      <x:c r="Q1135" s="7" t="n">
        <x:f>'Guide'!$B$5-L1135</x:f>
        <x:v>5</x:v>
      </x:c>
      <x:c r="R1135" s="9" t="n">
        <x:f>K1135-P1135</x:f>
        <x:v>5.58</x:v>
      </x:c>
      <x:c r="S1135" s="10" t="n">
        <x:f>IF(K1135&gt;0,R1135/K1135,"")</x:f>
        <x:v>0.672289156626506</x:v>
      </x:c>
    </x:row>
    <x:row r="1136">
      <x:c r="A1136" s="7" t="n">
        <x:v>1132</x:v>
      </x:c>
      <x:c r="B1136" s="7" t="str">
        <x:v>Tata</x:v>
      </x:c>
      <x:c r="C1136" s="7" t="str">
        <x:v>Tigor</x:v>
      </x:c>
      <x:c r="D1136" s="7" t="str">
        <x:v>XZA</x:v>
      </x:c>
      <x:c r="E1136" s="7" t="str">
        <x:v>Petrol</x:v>
      </x:c>
      <x:c r="F1136" s="7" t="str">
        <x:v>Automatic</x:v>
      </x:c>
      <x:c r="G1136" s="7" t="str">
        <x:v>Sedan</x:v>
      </x:c>
      <x:c r="H1136" s="7" t="n">
        <x:v>1199</x:v>
      </x:c>
      <x:c r="I1136" s="7" t="n">
        <x:v>85</x:v>
      </x:c>
      <x:c r="J1136" s="9" t="n">
        <x:v>19.6</x:v>
      </x:c>
      <x:c r="K1136" s="9" t="n">
        <x:v>8.3</x:v>
      </x:c>
      <x:c r="L1136" s="7" t="n">
        <x:v>2025</x:v>
      </x:c>
      <x:c r="M1136" s="11" t="n">
        <x:v>23724</x:v>
      </x:c>
      <x:c r="N1136" s="7" t="n">
        <x:v>2</x:v>
      </x:c>
      <x:c r="O1136" s="7" t="n">
        <x:v>0</x:v>
      </x:c>
      <x:c r="P1136" s="9" t="n">
        <x:v>7.11</x:v>
      </x:c>
      <x:c r="Q1136" s="7" t="n">
        <x:f>'Guide'!$B$5-L1136</x:f>
        <x:v>1</x:v>
      </x:c>
      <x:c r="R1136" s="9" t="n">
        <x:f>K1136-P1136</x:f>
        <x:v>1.1900000000000004</x:v>
      </x:c>
      <x:c r="S1136" s="10" t="n">
        <x:f>IF(K1136&gt;0,R1136/K1136,"")</x:f>
        <x:v>0.14337349397590365</x:v>
      </x:c>
    </x:row>
    <x:row r="1137">
      <x:c r="A1137" s="7" t="n">
        <x:v>1133</x:v>
      </x:c>
      <x:c r="B1137" s="7" t="str">
        <x:v>Tata</x:v>
      </x:c>
      <x:c r="C1137" s="7" t="str">
        <x:v>Tigor</x:v>
      </x:c>
      <x:c r="D1137" s="7" t="str">
        <x:v>XZA</x:v>
      </x:c>
      <x:c r="E1137" s="7" t="str">
        <x:v>Petrol</x:v>
      </x:c>
      <x:c r="F1137" s="7" t="str">
        <x:v>Automatic</x:v>
      </x:c>
      <x:c r="G1137" s="7" t="str">
        <x:v>Sedan</x:v>
      </x:c>
      <x:c r="H1137" s="7" t="n">
        <x:v>1199</x:v>
      </x:c>
      <x:c r="I1137" s="7" t="n">
        <x:v>85</x:v>
      </x:c>
      <x:c r="J1137" s="9" t="n">
        <x:v>19.6</x:v>
      </x:c>
      <x:c r="K1137" s="9" t="n">
        <x:v>8.3</x:v>
      </x:c>
      <x:c r="L1137" s="7" t="n">
        <x:v>2021</x:v>
      </x:c>
      <x:c r="M1137" s="11" t="n">
        <x:v>102420</x:v>
      </x:c>
      <x:c r="N1137" s="7" t="n">
        <x:v>2</x:v>
      </x:c>
      <x:c r="O1137" s="7" t="n">
        <x:v>0</x:v>
      </x:c>
      <x:c r="P1137" s="9" t="n">
        <x:v>3.83</x:v>
      </x:c>
      <x:c r="Q1137" s="7" t="n">
        <x:f>'Guide'!$B$5-L1137</x:f>
        <x:v>5</x:v>
      </x:c>
      <x:c r="R1137" s="9" t="n">
        <x:f>K1137-P1137</x:f>
        <x:v>4.470000000000001</x:v>
      </x:c>
      <x:c r="S1137" s="10" t="n">
        <x:f>IF(K1137&gt;0,R1137/K1137,"")</x:f>
        <x:v>0.53855421686747</x:v>
      </x:c>
    </x:row>
    <x:row r="1138">
      <x:c r="A1138" s="7" t="n">
        <x:v>1134</x:v>
      </x:c>
      <x:c r="B1138" s="7" t="str">
        <x:v>Tata</x:v>
      </x:c>
      <x:c r="C1138" s="7" t="str">
        <x:v>Tigor</x:v>
      </x:c>
      <x:c r="D1138" s="7" t="str">
        <x:v>XZA</x:v>
      </x:c>
      <x:c r="E1138" s="7" t="str">
        <x:v>Petrol</x:v>
      </x:c>
      <x:c r="F1138" s="7" t="str">
        <x:v>Automatic</x:v>
      </x:c>
      <x:c r="G1138" s="7" t="str">
        <x:v>Sedan</x:v>
      </x:c>
      <x:c r="H1138" s="7" t="n">
        <x:v>1199</x:v>
      </x:c>
      <x:c r="I1138" s="7" t="n">
        <x:v>85</x:v>
      </x:c>
      <x:c r="J1138" s="9" t="n">
        <x:v>19.6</x:v>
      </x:c>
      <x:c r="K1138" s="9" t="n">
        <x:v>8.3</x:v>
      </x:c>
      <x:c r="L1138" s="7" t="n">
        <x:v>2021</x:v>
      </x:c>
      <x:c r="M1138" s="11" t="n">
        <x:v>49295</x:v>
      </x:c>
      <x:c r="N1138" s="7" t="n">
        <x:v>1</x:v>
      </x:c>
      <x:c r="O1138" s="7" t="n">
        <x:v>0</x:v>
      </x:c>
      <x:c r="P1138" s="9" t="n">
        <x:v>4.34</x:v>
      </x:c>
      <x:c r="Q1138" s="7" t="n">
        <x:f>'Guide'!$B$5-L1138</x:f>
        <x:v>5</x:v>
      </x:c>
      <x:c r="R1138" s="9" t="n">
        <x:f>K1138-P1138</x:f>
        <x:v>3.960000000000001</x:v>
      </x:c>
      <x:c r="S1138" s="10" t="n">
        <x:f>IF(K1138&gt;0,R1138/K1138,"")</x:f>
        <x:v>0.47710843373493983</x:v>
      </x:c>
    </x:row>
    <x:row r="1139">
      <x:c r="A1139" s="7" t="n">
        <x:v>1135</x:v>
      </x:c>
      <x:c r="B1139" s="7" t="str">
        <x:v>Tata</x:v>
      </x:c>
      <x:c r="C1139" s="7" t="str">
        <x:v>Tigor</x:v>
      </x:c>
      <x:c r="D1139" s="7" t="str">
        <x:v>XZA</x:v>
      </x:c>
      <x:c r="E1139" s="7" t="str">
        <x:v>Petrol</x:v>
      </x:c>
      <x:c r="F1139" s="7" t="str">
        <x:v>Automatic</x:v>
      </x:c>
      <x:c r="G1139" s="7" t="str">
        <x:v>Sedan</x:v>
      </x:c>
      <x:c r="H1139" s="7" t="n">
        <x:v>1199</x:v>
      </x:c>
      <x:c r="I1139" s="7" t="n">
        <x:v>85</x:v>
      </x:c>
      <x:c r="J1139" s="9" t="n">
        <x:v>19.6</x:v>
      </x:c>
      <x:c r="K1139" s="9" t="n">
        <x:v>8.3</x:v>
      </x:c>
      <x:c r="L1139" s="7" t="n">
        <x:v>2020</x:v>
      </x:c>
      <x:c r="M1139" s="11" t="n">
        <x:v>127490</x:v>
      </x:c>
      <x:c r="N1139" s="7" t="n">
        <x:v>1</x:v>
      </x:c>
      <x:c r="O1139" s="7" t="n">
        <x:v>0</x:v>
      </x:c>
      <x:c r="P1139" s="9" t="n">
        <x:v>2.65</x:v>
      </x:c>
      <x:c r="Q1139" s="7" t="n">
        <x:f>'Guide'!$B$5-L1139</x:f>
        <x:v>6</x:v>
      </x:c>
      <x:c r="R1139" s="9" t="n">
        <x:f>K1139-P1139</x:f>
        <x:v>5.65</x:v>
      </x:c>
      <x:c r="S1139" s="10" t="n">
        <x:f>IF(K1139&gt;0,R1139/K1139,"")</x:f>
        <x:v>0.6807228915662651</x:v>
      </x:c>
    </x:row>
    <x:row r="1140">
      <x:c r="A1140" s="7" t="n">
        <x:v>1136</x:v>
      </x:c>
      <x:c r="B1140" s="7" t="str">
        <x:v>Tata</x:v>
      </x:c>
      <x:c r="C1140" s="7" t="str">
        <x:v>Tigor</x:v>
      </x:c>
      <x:c r="D1140" s="7" t="str">
        <x:v>XZA</x:v>
      </x:c>
      <x:c r="E1140" s="7" t="str">
        <x:v>Petrol</x:v>
      </x:c>
      <x:c r="F1140" s="7" t="str">
        <x:v>Automatic</x:v>
      </x:c>
      <x:c r="G1140" s="7" t="str">
        <x:v>Sedan</x:v>
      </x:c>
      <x:c r="H1140" s="7" t="n">
        <x:v>1199</x:v>
      </x:c>
      <x:c r="I1140" s="7" t="n">
        <x:v>85</x:v>
      </x:c>
      <x:c r="J1140" s="9" t="n">
        <x:v>19.6</x:v>
      </x:c>
      <x:c r="K1140" s="9" t="n">
        <x:v>8.3</x:v>
      </x:c>
      <x:c r="L1140" s="7" t="n">
        <x:v>2020</x:v>
      </x:c>
      <x:c r="M1140" s="11" t="n">
        <x:v>103700</x:v>
      </x:c>
      <x:c r="N1140" s="7" t="n">
        <x:v>2</x:v>
      </x:c>
      <x:c r="O1140" s="7" t="n">
        <x:v>0</x:v>
      </x:c>
      <x:c r="P1140" s="9" t="n">
        <x:v>2.84</x:v>
      </x:c>
      <x:c r="Q1140" s="7" t="n">
        <x:f>'Guide'!$B$5-L1140</x:f>
        <x:v>6</x:v>
      </x:c>
      <x:c r="R1140" s="9" t="n">
        <x:f>K1140-P1140</x:f>
        <x:v>5.460000000000001</x:v>
      </x:c>
      <x:c r="S1140" s="10" t="n">
        <x:f>IF(K1140&gt;0,R1140/K1140,"")</x:f>
        <x:v>0.6578313253012049</x:v>
      </x:c>
    </x:row>
    <x:row r="1141">
      <x:c r="A1141" s="7" t="n">
        <x:v>1137</x:v>
      </x:c>
      <x:c r="B1141" s="7" t="str">
        <x:v>Tata</x:v>
      </x:c>
      <x:c r="C1141" s="7" t="str">
        <x:v>Tigor</x:v>
      </x:c>
      <x:c r="D1141" s="7" t="str">
        <x:v>XZA</x:v>
      </x:c>
      <x:c r="E1141" s="7" t="str">
        <x:v>Petrol</x:v>
      </x:c>
      <x:c r="F1141" s="7" t="str">
        <x:v>Automatic</x:v>
      </x:c>
      <x:c r="G1141" s="7" t="str">
        <x:v>Sedan</x:v>
      </x:c>
      <x:c r="H1141" s="7" t="n">
        <x:v>1199</x:v>
      </x:c>
      <x:c r="I1141" s="7" t="n">
        <x:v>85</x:v>
      </x:c>
      <x:c r="J1141" s="9" t="n">
        <x:v>19.6</x:v>
      </x:c>
      <x:c r="K1141" s="9" t="n">
        <x:v>8.3</x:v>
      </x:c>
      <x:c r="L1141" s="7" t="n">
        <x:v>2023</x:v>
      </x:c>
      <x:c r="M1141" s="11" t="n">
        <x:v>68100</x:v>
      </x:c>
      <x:c r="N1141" s="7" t="n">
        <x:v>1</x:v>
      </x:c>
      <x:c r="O1141" s="7" t="n">
        <x:v>0</x:v>
      </x:c>
      <x:c r="P1141" s="9" t="n">
        <x:v>6</x:v>
      </x:c>
      <x:c r="Q1141" s="7" t="n">
        <x:f>'Guide'!$B$5-L1141</x:f>
        <x:v>3</x:v>
      </x:c>
      <x:c r="R1141" s="9" t="n">
        <x:f>K1141-P1141</x:f>
        <x:v>2.3000000000000007</x:v>
      </x:c>
      <x:c r="S1141" s="10" t="n">
        <x:f>IF(K1141&gt;0,R1141/K1141,"")</x:f>
        <x:v>0.2771084337349398</x:v>
      </x:c>
    </x:row>
    <x:row r="1142">
      <x:c r="A1142" s="7" t="n">
        <x:v>1138</x:v>
      </x:c>
      <x:c r="B1142" s="7" t="str">
        <x:v>Tata</x:v>
      </x:c>
      <x:c r="C1142" s="7" t="str">
        <x:v>Tigor</x:v>
      </x:c>
      <x:c r="D1142" s="7" t="str">
        <x:v>XZA</x:v>
      </x:c>
      <x:c r="E1142" s="7" t="str">
        <x:v>Petrol</x:v>
      </x:c>
      <x:c r="F1142" s="7" t="str">
        <x:v>Automatic</x:v>
      </x:c>
      <x:c r="G1142" s="7" t="str">
        <x:v>Sedan</x:v>
      </x:c>
      <x:c r="H1142" s="7" t="n">
        <x:v>1199</x:v>
      </x:c>
      <x:c r="I1142" s="7" t="n">
        <x:v>85</x:v>
      </x:c>
      <x:c r="J1142" s="9" t="n">
        <x:v>19.6</x:v>
      </x:c>
      <x:c r="K1142" s="9" t="n">
        <x:v>8.3</x:v>
      </x:c>
      <x:c r="L1142" s="7" t="n">
        <x:v>2026</x:v>
      </x:c>
      <x:c r="M1142" s="11" t="n">
        <x:v>8346</x:v>
      </x:c>
      <x:c r="N1142" s="7" t="n">
        <x:v>1</x:v>
      </x:c>
      <x:c r="O1142" s="7" t="n">
        <x:v>0</x:v>
      </x:c>
      <x:c r="P1142" s="9" t="n">
        <x:v>8.38</x:v>
      </x:c>
      <x:c r="Q1142" s="7" t="n">
        <x:f>'Guide'!$B$5-L1142</x:f>
        <x:v>0</x:v>
      </x:c>
      <x:c r="R1142" s="9" t="n">
        <x:f>K1142-P1142</x:f>
        <x:v>-0.08000000000000007</x:v>
      </x:c>
      <x:c r="S1142" s="10" t="n">
        <x:f>IF(K1142&gt;0,R1142/K1142,"")</x:f>
        <x:v>-0.009638554216867478</x:v>
      </x:c>
    </x:row>
    <x:row r="1143">
      <x:c r="A1143" s="7" t="n">
        <x:v>1139</x:v>
      </x:c>
      <x:c r="B1143" s="7" t="str">
        <x:v>Tata</x:v>
      </x:c>
      <x:c r="C1143" s="7" t="str">
        <x:v>Tigor</x:v>
      </x:c>
      <x:c r="D1143" s="7" t="str">
        <x:v>XZA</x:v>
      </x:c>
      <x:c r="E1143" s="7" t="str">
        <x:v>Petrol</x:v>
      </x:c>
      <x:c r="F1143" s="7" t="str">
        <x:v>Automatic</x:v>
      </x:c>
      <x:c r="G1143" s="7" t="str">
        <x:v>Sedan</x:v>
      </x:c>
      <x:c r="H1143" s="7" t="n">
        <x:v>1199</x:v>
      </x:c>
      <x:c r="I1143" s="7" t="n">
        <x:v>85</x:v>
      </x:c>
      <x:c r="J1143" s="9" t="n">
        <x:v>19.6</x:v>
      </x:c>
      <x:c r="K1143" s="9" t="n">
        <x:v>8.3</x:v>
      </x:c>
      <x:c r="L1143" s="7" t="n">
        <x:v>2021</x:v>
      </x:c>
      <x:c r="M1143" s="11" t="n">
        <x:v>95695</x:v>
      </x:c>
      <x:c r="N1143" s="7" t="n">
        <x:v>1</x:v>
      </x:c>
      <x:c r="O1143" s="7" t="n">
        <x:v>0</x:v>
      </x:c>
      <x:c r="P1143" s="9" t="n">
        <x:v>3.77</x:v>
      </x:c>
      <x:c r="Q1143" s="7" t="n">
        <x:f>'Guide'!$B$5-L1143</x:f>
        <x:v>5</x:v>
      </x:c>
      <x:c r="R1143" s="9" t="n">
        <x:f>K1143-P1143</x:f>
        <x:v>4.530000000000001</x:v>
      </x:c>
      <x:c r="S1143" s="10" t="n">
        <x:f>IF(K1143&gt;0,R1143/K1143,"")</x:f>
        <x:v>0.5457831325301206</x:v>
      </x:c>
    </x:row>
    <x:row r="1144">
      <x:c r="A1144" s="7" t="n">
        <x:v>1140</x:v>
      </x:c>
      <x:c r="B1144" s="7" t="str">
        <x:v>Tata</x:v>
      </x:c>
      <x:c r="C1144" s="7" t="str">
        <x:v>Tigor</x:v>
      </x:c>
      <x:c r="D1144" s="7" t="str">
        <x:v>XZA</x:v>
      </x:c>
      <x:c r="E1144" s="7" t="str">
        <x:v>Petrol</x:v>
      </x:c>
      <x:c r="F1144" s="7" t="str">
        <x:v>Automatic</x:v>
      </x:c>
      <x:c r="G1144" s="7" t="str">
        <x:v>Sedan</x:v>
      </x:c>
      <x:c r="H1144" s="7" t="n">
        <x:v>1199</x:v>
      </x:c>
      <x:c r="I1144" s="7" t="n">
        <x:v>85</x:v>
      </x:c>
      <x:c r="J1144" s="9" t="n">
        <x:v>19.6</x:v>
      </x:c>
      <x:c r="K1144" s="9" t="n">
        <x:v>8.3</x:v>
      </x:c>
      <x:c r="L1144" s="7" t="n">
        <x:v>2021</x:v>
      </x:c>
      <x:c r="M1144" s="11" t="n">
        <x:v>102629</x:v>
      </x:c>
      <x:c r="N1144" s="7" t="n">
        <x:v>1</x:v>
      </x:c>
      <x:c r="O1144" s="7" t="n">
        <x:v>0</x:v>
      </x:c>
      <x:c r="P1144" s="9" t="n">
        <x:v>4.03</x:v>
      </x:c>
      <x:c r="Q1144" s="7" t="n">
        <x:f>'Guide'!$B$5-L1144</x:f>
        <x:v>5</x:v>
      </x:c>
      <x:c r="R1144" s="9" t="n">
        <x:f>K1144-P1144</x:f>
        <x:v>4.2700000000000005</x:v>
      </x:c>
      <x:c r="S1144" s="10" t="n">
        <x:f>IF(K1144&gt;0,R1144/K1144,"")</x:f>
        <x:v>0.5144578313253012</x:v>
      </x:c>
    </x:row>
    <x:row r="1145">
      <x:c r="A1145" s="7" t="n">
        <x:v>1141</x:v>
      </x:c>
      <x:c r="B1145" s="7" t="str">
        <x:v>Tata</x:v>
      </x:c>
      <x:c r="C1145" s="7" t="str">
        <x:v>Tigor</x:v>
      </x:c>
      <x:c r="D1145" s="7" t="str">
        <x:v>XZA</x:v>
      </x:c>
      <x:c r="E1145" s="7" t="str">
        <x:v>Petrol</x:v>
      </x:c>
      <x:c r="F1145" s="7" t="str">
        <x:v>Automatic</x:v>
      </x:c>
      <x:c r="G1145" s="7" t="str">
        <x:v>Sedan</x:v>
      </x:c>
      <x:c r="H1145" s="7" t="n">
        <x:v>1199</x:v>
      </x:c>
      <x:c r="I1145" s="7" t="n">
        <x:v>85</x:v>
      </x:c>
      <x:c r="J1145" s="9" t="n">
        <x:v>19.6</x:v>
      </x:c>
      <x:c r="K1145" s="9" t="n">
        <x:v>8.3</x:v>
      </x:c>
      <x:c r="L1145" s="7" t="n">
        <x:v>2020</x:v>
      </x:c>
      <x:c r="M1145" s="11" t="n">
        <x:v>55713</x:v>
      </x:c>
      <x:c r="N1145" s="7" t="n">
        <x:v>1</x:v>
      </x:c>
      <x:c r="O1145" s="7" t="n">
        <x:v>0</x:v>
      </x:c>
      <x:c r="P1145" s="9" t="n">
        <x:v>3.98</x:v>
      </x:c>
      <x:c r="Q1145" s="7" t="n">
        <x:f>'Guide'!$B$5-L1145</x:f>
        <x:v>6</x:v>
      </x:c>
      <x:c r="R1145" s="9" t="n">
        <x:f>K1145-P1145</x:f>
        <x:v>4.32</x:v>
      </x:c>
      <x:c r="S1145" s="10" t="n">
        <x:f>IF(K1145&gt;0,R1145/K1145,"")</x:f>
        <x:v>0.5204819277108433</x:v>
      </x:c>
    </x:row>
    <x:row r="1146">
      <x:c r="A1146" s="7" t="n">
        <x:v>1142</x:v>
      </x:c>
      <x:c r="B1146" s="7" t="str">
        <x:v>Tata</x:v>
      </x:c>
      <x:c r="C1146" s="7" t="str">
        <x:v>Tigor</x:v>
      </x:c>
      <x:c r="D1146" s="7" t="str">
        <x:v>XZA</x:v>
      </x:c>
      <x:c r="E1146" s="7" t="str">
        <x:v>Petrol</x:v>
      </x:c>
      <x:c r="F1146" s="7" t="str">
        <x:v>Automatic</x:v>
      </x:c>
      <x:c r="G1146" s="7" t="str">
        <x:v>Sedan</x:v>
      </x:c>
      <x:c r="H1146" s="7" t="n">
        <x:v>1199</x:v>
      </x:c>
      <x:c r="I1146" s="7" t="n">
        <x:v>85</x:v>
      </x:c>
      <x:c r="J1146" s="9" t="n">
        <x:v>19.6</x:v>
      </x:c>
      <x:c r="K1146" s="9" t="n">
        <x:v>8.3</x:v>
      </x:c>
      <x:c r="L1146" s="7" t="n">
        <x:v>2022</x:v>
      </x:c>
      <x:c r="M1146" s="11" t="n">
        <x:v>47287</x:v>
      </x:c>
      <x:c r="N1146" s="7" t="n">
        <x:v>2</x:v>
      </x:c>
      <x:c r="O1146" s="7" t="n">
        <x:v>0</x:v>
      </x:c>
      <x:c r="P1146" s="9" t="n">
        <x:v>4.69</x:v>
      </x:c>
      <x:c r="Q1146" s="7" t="n">
        <x:f>'Guide'!$B$5-L1146</x:f>
        <x:v>4</x:v>
      </x:c>
      <x:c r="R1146" s="9" t="n">
        <x:f>K1146-P1146</x:f>
        <x:v>3.6100000000000003</x:v>
      </x:c>
      <x:c r="S1146" s="10" t="n">
        <x:f>IF(K1146&gt;0,R1146/K1146,"")</x:f>
        <x:v>0.43493975903614457</x:v>
      </x:c>
    </x:row>
    <x:row r="1147">
      <x:c r="A1147" s="7" t="n">
        <x:v>1143</x:v>
      </x:c>
      <x:c r="B1147" s="7" t="str">
        <x:v>Tata</x:v>
      </x:c>
      <x:c r="C1147" s="7" t="str">
        <x:v>Tigor</x:v>
      </x:c>
      <x:c r="D1147" s="7" t="str">
        <x:v>XZA</x:v>
      </x:c>
      <x:c r="E1147" s="7" t="str">
        <x:v>Petrol</x:v>
      </x:c>
      <x:c r="F1147" s="7" t="str">
        <x:v>Automatic</x:v>
      </x:c>
      <x:c r="G1147" s="7" t="str">
        <x:v>Sedan</x:v>
      </x:c>
      <x:c r="H1147" s="7" t="n">
        <x:v>1199</x:v>
      </x:c>
      <x:c r="I1147" s="7" t="n">
        <x:v>85</x:v>
      </x:c>
      <x:c r="J1147" s="9" t="n">
        <x:v>19.6</x:v>
      </x:c>
      <x:c r="K1147" s="9" t="n">
        <x:v>8.3</x:v>
      </x:c>
      <x:c r="L1147" s="7" t="n">
        <x:v>2025</x:v>
      </x:c>
      <x:c r="M1147" s="11" t="n">
        <x:v>21664</x:v>
      </x:c>
      <x:c r="N1147" s="7" t="n">
        <x:v>1</x:v>
      </x:c>
      <x:c r="O1147" s="7" t="n">
        <x:v>0</x:v>
      </x:c>
      <x:c r="P1147" s="9" t="n">
        <x:v>7.51</x:v>
      </x:c>
      <x:c r="Q1147" s="7" t="n">
        <x:f>'Guide'!$B$5-L1147</x:f>
        <x:v>1</x:v>
      </x:c>
      <x:c r="R1147" s="9" t="n">
        <x:f>K1147-P1147</x:f>
        <x:v>0.7900000000000009</x:v>
      </x:c>
      <x:c r="S1147" s="10" t="n">
        <x:f>IF(K1147&gt;0,R1147/K1147,"")</x:f>
        <x:v>0.09518072289156637</x:v>
      </x:c>
    </x:row>
    <x:row r="1148">
      <x:c r="A1148" s="7" t="n">
        <x:v>1144</x:v>
      </x:c>
      <x:c r="B1148" s="7" t="str">
        <x:v>Tata</x:v>
      </x:c>
      <x:c r="C1148" s="7" t="str">
        <x:v>Tigor</x:v>
      </x:c>
      <x:c r="D1148" s="7" t="str">
        <x:v>XZA</x:v>
      </x:c>
      <x:c r="E1148" s="7" t="str">
        <x:v>Petrol</x:v>
      </x:c>
      <x:c r="F1148" s="7" t="str">
        <x:v>Automatic</x:v>
      </x:c>
      <x:c r="G1148" s="7" t="str">
        <x:v>Sedan</x:v>
      </x:c>
      <x:c r="H1148" s="7" t="n">
        <x:v>1199</x:v>
      </x:c>
      <x:c r="I1148" s="7" t="n">
        <x:v>85</x:v>
      </x:c>
      <x:c r="J1148" s="9" t="n">
        <x:v>19.6</x:v>
      </x:c>
      <x:c r="K1148" s="9" t="n">
        <x:v>8.3</x:v>
      </x:c>
      <x:c r="L1148" s="7" t="n">
        <x:v>2023</x:v>
      </x:c>
      <x:c r="M1148" s="11" t="n">
        <x:v>32547</x:v>
      </x:c>
      <x:c r="N1148" s="7" t="n">
        <x:v>2</x:v>
      </x:c>
      <x:c r="O1148" s="7" t="n">
        <x:v>0</x:v>
      </x:c>
      <x:c r="P1148" s="9" t="n">
        <x:v>5.81</x:v>
      </x:c>
      <x:c r="Q1148" s="7" t="n">
        <x:f>'Guide'!$B$5-L1148</x:f>
        <x:v>3</x:v>
      </x:c>
      <x:c r="R1148" s="9" t="n">
        <x:f>K1148-P1148</x:f>
        <x:v>2.490000000000001</x:v>
      </x:c>
      <x:c r="S1148" s="10" t="n">
        <x:f>IF(K1148&gt;0,R1148/K1148,"")</x:f>
        <x:v>0.3000000000000001</x:v>
      </x:c>
    </x:row>
    <x:row r="1149">
      <x:c r="A1149" s="7" t="n">
        <x:v>1145</x:v>
      </x:c>
      <x:c r="B1149" s="7" t="str">
        <x:v>Tata</x:v>
      </x:c>
      <x:c r="C1149" s="7" t="str">
        <x:v>Tigor</x:v>
      </x:c>
      <x:c r="D1149" s="7" t="str">
        <x:v>XZA</x:v>
      </x:c>
      <x:c r="E1149" s="7" t="str">
        <x:v>Petrol</x:v>
      </x:c>
      <x:c r="F1149" s="7" t="str">
        <x:v>Automatic</x:v>
      </x:c>
      <x:c r="G1149" s="7" t="str">
        <x:v>Sedan</x:v>
      </x:c>
      <x:c r="H1149" s="7" t="n">
        <x:v>1199</x:v>
      </x:c>
      <x:c r="I1149" s="7" t="n">
        <x:v>85</x:v>
      </x:c>
      <x:c r="J1149" s="9" t="n">
        <x:v>19.6</x:v>
      </x:c>
      <x:c r="K1149" s="9" t="n">
        <x:v>8.3</x:v>
      </x:c>
      <x:c r="L1149" s="7" t="n">
        <x:v>2024</x:v>
      </x:c>
      <x:c r="M1149" s="11" t="n">
        <x:v>42295</x:v>
      </x:c>
      <x:c r="N1149" s="7" t="n">
        <x:v>2</x:v>
      </x:c>
      <x:c r="O1149" s="7" t="n">
        <x:v>0</x:v>
      </x:c>
      <x:c r="P1149" s="9" t="n">
        <x:v>5.75</x:v>
      </x:c>
      <x:c r="Q1149" s="7" t="n">
        <x:f>'Guide'!$B$5-L1149</x:f>
        <x:v>2</x:v>
      </x:c>
      <x:c r="R1149" s="9" t="n">
        <x:f>K1149-P1149</x:f>
        <x:v>2.5500000000000007</x:v>
      </x:c>
      <x:c r="S1149" s="10" t="n">
        <x:f>IF(K1149&gt;0,R1149/K1149,"")</x:f>
        <x:v>0.30722891566265065</x:v>
      </x:c>
    </x:row>
    <x:row r="1150">
      <x:c r="A1150" s="7" t="n">
        <x:v>1146</x:v>
      </x:c>
      <x:c r="B1150" s="7" t="str">
        <x:v>Tata</x:v>
      </x:c>
      <x:c r="C1150" s="7" t="str">
        <x:v>Tigor</x:v>
      </x:c>
      <x:c r="D1150" s="7" t="str">
        <x:v>XZA</x:v>
      </x:c>
      <x:c r="E1150" s="7" t="str">
        <x:v>Petrol</x:v>
      </x:c>
      <x:c r="F1150" s="7" t="str">
        <x:v>Automatic</x:v>
      </x:c>
      <x:c r="G1150" s="7" t="str">
        <x:v>Sedan</x:v>
      </x:c>
      <x:c r="H1150" s="7" t="n">
        <x:v>1199</x:v>
      </x:c>
      <x:c r="I1150" s="7" t="n">
        <x:v>85</x:v>
      </x:c>
      <x:c r="J1150" s="9" t="n">
        <x:v>19.6</x:v>
      </x:c>
      <x:c r="K1150" s="9" t="n">
        <x:v>8.3</x:v>
      </x:c>
      <x:c r="L1150" s="7" t="n">
        <x:v>2025</x:v>
      </x:c>
      <x:c r="M1150" s="11" t="n">
        <x:v>21310</x:v>
      </x:c>
      <x:c r="N1150" s="7" t="n">
        <x:v>1</x:v>
      </x:c>
      <x:c r="O1150" s="7" t="n">
        <x:v>0</x:v>
      </x:c>
      <x:c r="P1150" s="9" t="n">
        <x:v>7.24</x:v>
      </x:c>
      <x:c r="Q1150" s="7" t="n">
        <x:f>'Guide'!$B$5-L1150</x:f>
        <x:v>1</x:v>
      </x:c>
      <x:c r="R1150" s="9" t="n">
        <x:f>K1150-P1150</x:f>
        <x:v>1.0600000000000005</x:v>
      </x:c>
      <x:c r="S1150" s="10" t="n">
        <x:f>IF(K1150&gt;0,R1150/K1150,"")</x:f>
        <x:v>0.12771084337349403</x:v>
      </x:c>
    </x:row>
    <x:row r="1151">
      <x:c r="A1151" s="7" t="n">
        <x:v>1147</x:v>
      </x:c>
      <x:c r="B1151" s="7" t="str">
        <x:v>Tata</x:v>
      </x:c>
      <x:c r="C1151" s="7" t="str">
        <x:v>Tigor</x:v>
      </x:c>
      <x:c r="D1151" s="7" t="str">
        <x:v>XZA</x:v>
      </x:c>
      <x:c r="E1151" s="7" t="str">
        <x:v>Petrol</x:v>
      </x:c>
      <x:c r="F1151" s="7" t="str">
        <x:v>Automatic</x:v>
      </x:c>
      <x:c r="G1151" s="7" t="str">
        <x:v>Sedan</x:v>
      </x:c>
      <x:c r="H1151" s="7" t="n">
        <x:v>1199</x:v>
      </x:c>
      <x:c r="I1151" s="7" t="n">
        <x:v>85</x:v>
      </x:c>
      <x:c r="J1151" s="9" t="n">
        <x:v>19.6</x:v>
      </x:c>
      <x:c r="K1151" s="9" t="n">
        <x:v>8.3</x:v>
      </x:c>
      <x:c r="L1151" s="7" t="n">
        <x:v>2023</x:v>
      </x:c>
      <x:c r="M1151" s="11" t="n">
        <x:v>68357</x:v>
      </x:c>
      <x:c r="N1151" s="7" t="n">
        <x:v>1</x:v>
      </x:c>
      <x:c r="O1151" s="7" t="n">
        <x:v>0</x:v>
      </x:c>
      <x:c r="P1151" s="9" t="n">
        <x:v>6.02</x:v>
      </x:c>
      <x:c r="Q1151" s="7" t="n">
        <x:f>'Guide'!$B$5-L1151</x:f>
        <x:v>3</x:v>
      </x:c>
      <x:c r="R1151" s="9" t="n">
        <x:f>K1151-P1151</x:f>
        <x:v>2.280000000000001</x:v>
      </x:c>
      <x:c r="S1151" s="10" t="n">
        <x:f>IF(K1151&gt;0,R1151/K1151,"")</x:f>
        <x:v>0.274698795180723</x:v>
      </x:c>
    </x:row>
    <x:row r="1152">
      <x:c r="A1152" s="7" t="n">
        <x:v>1148</x:v>
      </x:c>
      <x:c r="B1152" s="7" t="str">
        <x:v>Tata</x:v>
      </x:c>
      <x:c r="C1152" s="7" t="str">
        <x:v>Tigor</x:v>
      </x:c>
      <x:c r="D1152" s="7" t="str">
        <x:v>XZA</x:v>
      </x:c>
      <x:c r="E1152" s="7" t="str">
        <x:v>Petrol</x:v>
      </x:c>
      <x:c r="F1152" s="7" t="str">
        <x:v>Automatic</x:v>
      </x:c>
      <x:c r="G1152" s="7" t="str">
        <x:v>Sedan</x:v>
      </x:c>
      <x:c r="H1152" s="7" t="n">
        <x:v>1199</x:v>
      </x:c>
      <x:c r="I1152" s="7" t="n">
        <x:v>85</x:v>
      </x:c>
      <x:c r="J1152" s="9" t="n">
        <x:v>19.6</x:v>
      </x:c>
      <x:c r="K1152" s="9" t="n">
        <x:v>8.3</x:v>
      </x:c>
      <x:c r="L1152" s="7" t="n">
        <x:v>2025</x:v>
      </x:c>
      <x:c r="M1152" s="11" t="n">
        <x:v>12723</x:v>
      </x:c>
      <x:c r="N1152" s="7" t="n">
        <x:v>2</x:v>
      </x:c>
      <x:c r="O1152" s="7" t="n">
        <x:v>0</x:v>
      </x:c>
      <x:c r="P1152" s="9" t="n">
        <x:v>7.27</x:v>
      </x:c>
      <x:c r="Q1152" s="7" t="n">
        <x:f>'Guide'!$B$5-L1152</x:f>
        <x:v>1</x:v>
      </x:c>
      <x:c r="R1152" s="9" t="n">
        <x:f>K1152-P1152</x:f>
        <x:v>1.0300000000000011</x:v>
      </x:c>
      <x:c r="S1152" s="10" t="n">
        <x:f>IF(K1152&gt;0,R1152/K1152,"")</x:f>
        <x:v>0.1240963855421688</x:v>
      </x:c>
    </x:row>
    <x:row r="1153">
      <x:c r="A1153" s="7" t="n">
        <x:v>1149</x:v>
      </x:c>
      <x:c r="B1153" s="7" t="str">
        <x:v>Tata</x:v>
      </x:c>
      <x:c r="C1153" s="7" t="str">
        <x:v>Tigor</x:v>
      </x:c>
      <x:c r="D1153" s="7" t="str">
        <x:v>XZA</x:v>
      </x:c>
      <x:c r="E1153" s="7" t="str">
        <x:v>Petrol</x:v>
      </x:c>
      <x:c r="F1153" s="7" t="str">
        <x:v>Automatic</x:v>
      </x:c>
      <x:c r="G1153" s="7" t="str">
        <x:v>Sedan</x:v>
      </x:c>
      <x:c r="H1153" s="7" t="n">
        <x:v>1199</x:v>
      </x:c>
      <x:c r="I1153" s="7" t="n">
        <x:v>85</x:v>
      </x:c>
      <x:c r="J1153" s="9" t="n">
        <x:v>19.6</x:v>
      </x:c>
      <x:c r="K1153" s="9" t="n">
        <x:v>8.3</x:v>
      </x:c>
      <x:c r="L1153" s="7" t="n">
        <x:v>2022</x:v>
      </x:c>
      <x:c r="M1153" s="11" t="n">
        <x:v>49856</x:v>
      </x:c>
      <x:c r="N1153" s="7" t="n">
        <x:v>1</x:v>
      </x:c>
      <x:c r="O1153" s="7" t="n">
        <x:v>0</x:v>
      </x:c>
      <x:c r="P1153" s="9" t="n">
        <x:v>4.77</x:v>
      </x:c>
      <x:c r="Q1153" s="7" t="n">
        <x:f>'Guide'!$B$5-L1153</x:f>
        <x:v>4</x:v>
      </x:c>
      <x:c r="R1153" s="9" t="n">
        <x:f>K1153-P1153</x:f>
        <x:v>3.530000000000001</x:v>
      </x:c>
      <x:c r="S1153" s="10" t="n">
        <x:f>IF(K1153&gt;0,R1153/K1153,"")</x:f>
        <x:v>0.4253012048192772</x:v>
      </x:c>
    </x:row>
    <x:row r="1154">
      <x:c r="A1154" s="7" t="n">
        <x:v>1150</x:v>
      </x:c>
      <x:c r="B1154" s="7" t="str">
        <x:v>Tata</x:v>
      </x:c>
      <x:c r="C1154" s="7" t="str">
        <x:v>Tigor</x:v>
      </x:c>
      <x:c r="D1154" s="7" t="str">
        <x:v>XZA</x:v>
      </x:c>
      <x:c r="E1154" s="7" t="str">
        <x:v>Petrol</x:v>
      </x:c>
      <x:c r="F1154" s="7" t="str">
        <x:v>Automatic</x:v>
      </x:c>
      <x:c r="G1154" s="7" t="str">
        <x:v>Sedan</x:v>
      </x:c>
      <x:c r="H1154" s="7" t="n">
        <x:v>1199</x:v>
      </x:c>
      <x:c r="I1154" s="7" t="n">
        <x:v>85</x:v>
      </x:c>
      <x:c r="J1154" s="9" t="n">
        <x:v>19.6</x:v>
      </x:c>
      <x:c r="K1154" s="9" t="n">
        <x:v>8.3</x:v>
      </x:c>
      <x:c r="L1154" s="7" t="n">
        <x:v>2022</x:v>
      </x:c>
      <x:c r="M1154" s="11" t="n">
        <x:v>87772</x:v>
      </x:c>
      <x:c r="N1154" s="7" t="n">
        <x:v>1</x:v>
      </x:c>
      <x:c r="O1154" s="7" t="n">
        <x:v>0</x:v>
      </x:c>
      <x:c r="P1154" s="9" t="n">
        <x:v>5.07</x:v>
      </x:c>
      <x:c r="Q1154" s="7" t="n">
        <x:f>'Guide'!$B$5-L1154</x:f>
        <x:v>4</x:v>
      </x:c>
      <x:c r="R1154" s="9" t="n">
        <x:f>K1154-P1154</x:f>
        <x:v>3.2300000000000004</x:v>
      </x:c>
      <x:c r="S1154" s="10" t="n">
        <x:f>IF(K1154&gt;0,R1154/K1154,"")</x:f>
        <x:v>0.3891566265060241</x:v>
      </x:c>
    </x:row>
    <x:row r="1155">
      <x:c r="A1155" s="7" t="n">
        <x:v>1151</x:v>
      </x:c>
      <x:c r="B1155" s="7" t="str">
        <x:v>Tata</x:v>
      </x:c>
      <x:c r="C1155" s="7" t="str">
        <x:v>Tigor</x:v>
      </x:c>
      <x:c r="D1155" s="7" t="str">
        <x:v>XZA</x:v>
      </x:c>
      <x:c r="E1155" s="7" t="str">
        <x:v>Petrol</x:v>
      </x:c>
      <x:c r="F1155" s="7" t="str">
        <x:v>Automatic</x:v>
      </x:c>
      <x:c r="G1155" s="7" t="str">
        <x:v>Sedan</x:v>
      </x:c>
      <x:c r="H1155" s="7" t="n">
        <x:v>1199</x:v>
      </x:c>
      <x:c r="I1155" s="7" t="n">
        <x:v>85</x:v>
      </x:c>
      <x:c r="J1155" s="9" t="n">
        <x:v>19.6</x:v>
      </x:c>
      <x:c r="K1155" s="9" t="n">
        <x:v>8.3</x:v>
      </x:c>
      <x:c r="L1155" s="7" t="n">
        <x:v>2020</x:v>
      </x:c>
      <x:c r="M1155" s="11" t="n">
        <x:v>86277</x:v>
      </x:c>
      <x:c r="N1155" s="7" t="n">
        <x:v>1</x:v>
      </x:c>
      <x:c r="O1155" s="7" t="n">
        <x:v>0</x:v>
      </x:c>
      <x:c r="P1155" s="9" t="n">
        <x:v>3.68</x:v>
      </x:c>
      <x:c r="Q1155" s="7" t="n">
        <x:f>'Guide'!$B$5-L1155</x:f>
        <x:v>6</x:v>
      </x:c>
      <x:c r="R1155" s="9" t="n">
        <x:f>K1155-P1155</x:f>
        <x:v>4.620000000000001</x:v>
      </x:c>
      <x:c r="S1155" s="10" t="n">
        <x:f>IF(K1155&gt;0,R1155/K1155,"")</x:f>
        <x:v>0.5566265060240965</x:v>
      </x:c>
    </x:row>
    <x:row r="1156">
      <x:c r="A1156" s="7" t="n">
        <x:v>1152</x:v>
      </x:c>
      <x:c r="B1156" s="7" t="str">
        <x:v>Tata</x:v>
      </x:c>
      <x:c r="C1156" s="7" t="str">
        <x:v>Tigor</x:v>
      </x:c>
      <x:c r="D1156" s="7" t="str">
        <x:v>XZA</x:v>
      </x:c>
      <x:c r="E1156" s="7" t="str">
        <x:v>Petrol</x:v>
      </x:c>
      <x:c r="F1156" s="7" t="str">
        <x:v>Automatic</x:v>
      </x:c>
      <x:c r="G1156" s="7" t="str">
        <x:v>Sedan</x:v>
      </x:c>
      <x:c r="H1156" s="7" t="n">
        <x:v>1199</x:v>
      </x:c>
      <x:c r="I1156" s="7" t="n">
        <x:v>85</x:v>
      </x:c>
      <x:c r="J1156" s="9" t="n">
        <x:v>19.6</x:v>
      </x:c>
      <x:c r="K1156" s="9" t="n">
        <x:v>8.3</x:v>
      </x:c>
      <x:c r="L1156" s="7" t="n">
        <x:v>2022</x:v>
      </x:c>
      <x:c r="M1156" s="11" t="n">
        <x:v>54174</x:v>
      </x:c>
      <x:c r="N1156" s="7" t="n">
        <x:v>1</x:v>
      </x:c>
      <x:c r="O1156" s="7" t="n">
        <x:v>0</x:v>
      </x:c>
      <x:c r="P1156" s="9" t="n">
        <x:v>4.81</x:v>
      </x:c>
      <x:c r="Q1156" s="7" t="n">
        <x:f>'Guide'!$B$5-L1156</x:f>
        <x:v>4</x:v>
      </x:c>
      <x:c r="R1156" s="9" t="n">
        <x:f>K1156-P1156</x:f>
        <x:v>3.490000000000001</x:v>
      </x:c>
      <x:c r="S1156" s="10" t="n">
        <x:f>IF(K1156&gt;0,R1156/K1156,"")</x:f>
        <x:v>0.4204819277108435</x:v>
      </x:c>
    </x:row>
    <x:row r="1157">
      <x:c r="A1157" s="7" t="n">
        <x:v>1153</x:v>
      </x:c>
      <x:c r="B1157" s="7" t="str">
        <x:v>Tata</x:v>
      </x:c>
      <x:c r="C1157" s="7" t="str">
        <x:v>Tigor</x:v>
      </x:c>
      <x:c r="D1157" s="7" t="str">
        <x:v>XZA</x:v>
      </x:c>
      <x:c r="E1157" s="7" t="str">
        <x:v>Petrol</x:v>
      </x:c>
      <x:c r="F1157" s="7" t="str">
        <x:v>Automatic</x:v>
      </x:c>
      <x:c r="G1157" s="7" t="str">
        <x:v>Sedan</x:v>
      </x:c>
      <x:c r="H1157" s="7" t="n">
        <x:v>1199</x:v>
      </x:c>
      <x:c r="I1157" s="7" t="n">
        <x:v>85</x:v>
      </x:c>
      <x:c r="J1157" s="9" t="n">
        <x:v>19.6</x:v>
      </x:c>
      <x:c r="K1157" s="9" t="n">
        <x:v>8.3</x:v>
      </x:c>
      <x:c r="L1157" s="7" t="n">
        <x:v>2023</x:v>
      </x:c>
      <x:c r="M1157" s="11" t="n">
        <x:v>40325</x:v>
      </x:c>
      <x:c r="N1157" s="7" t="n">
        <x:v>1</x:v>
      </x:c>
      <x:c r="O1157" s="7" t="n">
        <x:v>0</x:v>
      </x:c>
      <x:c r="P1157" s="9" t="n">
        <x:v>5.58</x:v>
      </x:c>
      <x:c r="Q1157" s="7" t="n">
        <x:f>'Guide'!$B$5-L1157</x:f>
        <x:v>3</x:v>
      </x:c>
      <x:c r="R1157" s="9" t="n">
        <x:f>K1157-P1157</x:f>
        <x:v>2.7200000000000006</x:v>
      </x:c>
      <x:c r="S1157" s="10" t="n">
        <x:f>IF(K1157&gt;0,R1157/K1157,"")</x:f>
        <x:v>0.32771084337349404</x:v>
      </x:c>
    </x:row>
    <x:row r="1158">
      <x:c r="A1158" s="7" t="n">
        <x:v>1154</x:v>
      </x:c>
      <x:c r="B1158" s="7" t="str">
        <x:v>Tata</x:v>
      </x:c>
      <x:c r="C1158" s="7" t="str">
        <x:v>Tigor</x:v>
      </x:c>
      <x:c r="D1158" s="7" t="str">
        <x:v>XZA</x:v>
      </x:c>
      <x:c r="E1158" s="7" t="str">
        <x:v>Petrol</x:v>
      </x:c>
      <x:c r="F1158" s="7" t="str">
        <x:v>Automatic</x:v>
      </x:c>
      <x:c r="G1158" s="7" t="str">
        <x:v>Sedan</x:v>
      </x:c>
      <x:c r="H1158" s="7" t="n">
        <x:v>1199</x:v>
      </x:c>
      <x:c r="I1158" s="7" t="n">
        <x:v>85</x:v>
      </x:c>
      <x:c r="J1158" s="9" t="n">
        <x:v>19.6</x:v>
      </x:c>
      <x:c r="K1158" s="9" t="n">
        <x:v>8.3</x:v>
      </x:c>
      <x:c r="L1158" s="7" t="n">
        <x:v>2023</x:v>
      </x:c>
      <x:c r="M1158" s="11" t="n">
        <x:v>49829</x:v>
      </x:c>
      <x:c r="N1158" s="7" t="n">
        <x:v>1</x:v>
      </x:c>
      <x:c r="O1158" s="7" t="n">
        <x:v>0</x:v>
      </x:c>
      <x:c r="P1158" s="9" t="n">
        <x:v>5.77</x:v>
      </x:c>
      <x:c r="Q1158" s="7" t="n">
        <x:f>'Guide'!$B$5-L1158</x:f>
        <x:v>3</x:v>
      </x:c>
      <x:c r="R1158" s="9" t="n">
        <x:f>K1158-P1158</x:f>
        <x:v>2.530000000000001</x:v>
      </x:c>
      <x:c r="S1158" s="10" t="n">
        <x:f>IF(K1158&gt;0,R1158/K1158,"")</x:f>
        <x:v>0.3048192771084339</x:v>
      </x:c>
    </x:row>
    <x:row r="1159">
      <x:c r="A1159" s="7" t="n">
        <x:v>1155</x:v>
      </x:c>
      <x:c r="B1159" s="7" t="str">
        <x:v>Tata</x:v>
      </x:c>
      <x:c r="C1159" s="7" t="str">
        <x:v>Tigor</x:v>
      </x:c>
      <x:c r="D1159" s="7" t="str">
        <x:v>XZA</x:v>
      </x:c>
      <x:c r="E1159" s="7" t="str">
        <x:v>Petrol</x:v>
      </x:c>
      <x:c r="F1159" s="7" t="str">
        <x:v>Automatic</x:v>
      </x:c>
      <x:c r="G1159" s="7" t="str">
        <x:v>Sedan</x:v>
      </x:c>
      <x:c r="H1159" s="7" t="n">
        <x:v>1199</x:v>
      </x:c>
      <x:c r="I1159" s="7" t="n">
        <x:v>85</x:v>
      </x:c>
      <x:c r="J1159" s="9" t="n">
        <x:v>19.6</x:v>
      </x:c>
      <x:c r="K1159" s="9" t="n">
        <x:v>8.3</x:v>
      </x:c>
      <x:c r="L1159" s="7" t="n">
        <x:v>2026</x:v>
      </x:c>
      <x:c r="M1159" s="11" t="n">
        <x:v>4001</x:v>
      </x:c>
      <x:c r="N1159" s="7" t="n">
        <x:v>1</x:v>
      </x:c>
      <x:c r="O1159" s="7" t="n">
        <x:v>0</x:v>
      </x:c>
      <x:c r="P1159" s="9" t="n">
        <x:v>8.45</x:v>
      </x:c>
      <x:c r="Q1159" s="7" t="n">
        <x:f>'Guide'!$B$5-L1159</x:f>
        <x:v>0</x:v>
      </x:c>
      <x:c r="R1159" s="9" t="n">
        <x:f>K1159-P1159</x:f>
        <x:v>-0.14999999999999858</x:v>
      </x:c>
      <x:c r="S1159" s="10" t="n">
        <x:f>IF(K1159&gt;0,R1159/K1159,"")</x:f>
        <x:v>-0.018072289156626332</x:v>
      </x:c>
    </x:row>
    <x:row r="1160">
      <x:c r="A1160" s="7" t="n">
        <x:v>1156</x:v>
      </x:c>
      <x:c r="B1160" s="7" t="str">
        <x:v>Tata</x:v>
      </x:c>
      <x:c r="C1160" s="7" t="str">
        <x:v>Tigor</x:v>
      </x:c>
      <x:c r="D1160" s="7" t="str">
        <x:v>XZA</x:v>
      </x:c>
      <x:c r="E1160" s="7" t="str">
        <x:v>Petrol</x:v>
      </x:c>
      <x:c r="F1160" s="7" t="str">
        <x:v>Automatic</x:v>
      </x:c>
      <x:c r="G1160" s="7" t="str">
        <x:v>Sedan</x:v>
      </x:c>
      <x:c r="H1160" s="7" t="n">
        <x:v>1199</x:v>
      </x:c>
      <x:c r="I1160" s="7" t="n">
        <x:v>85</x:v>
      </x:c>
      <x:c r="J1160" s="9" t="n">
        <x:v>19.6</x:v>
      </x:c>
      <x:c r="K1160" s="9" t="n">
        <x:v>8.3</x:v>
      </x:c>
      <x:c r="L1160" s="7" t="n">
        <x:v>2021</x:v>
      </x:c>
      <x:c r="M1160" s="11" t="n">
        <x:v>88727</x:v>
      </x:c>
      <x:c r="N1160" s="7" t="n">
        <x:v>1</x:v>
      </x:c>
      <x:c r="O1160" s="7" t="n">
        <x:v>0</x:v>
      </x:c>
      <x:c r="P1160" s="9" t="n">
        <x:v>3.8</x:v>
      </x:c>
      <x:c r="Q1160" s="7" t="n">
        <x:f>'Guide'!$B$5-L1160</x:f>
        <x:v>5</x:v>
      </x:c>
      <x:c r="R1160" s="9" t="n">
        <x:f>K1160-P1160</x:f>
        <x:v>4.500000000000001</x:v>
      </x:c>
      <x:c r="S1160" s="10" t="n">
        <x:f>IF(K1160&gt;0,R1160/K1160,"")</x:f>
        <x:v>0.5421686746987953</x:v>
      </x:c>
    </x:row>
    <x:row r="1161">
      <x:c r="A1161" s="7" t="n">
        <x:v>1157</x:v>
      </x:c>
      <x:c r="B1161" s="7" t="str">
        <x:v>Tata</x:v>
      </x:c>
      <x:c r="C1161" s="7" t="str">
        <x:v>Tigor</x:v>
      </x:c>
      <x:c r="D1161" s="7" t="str">
        <x:v>XZA</x:v>
      </x:c>
      <x:c r="E1161" s="7" t="str">
        <x:v>Petrol</x:v>
      </x:c>
      <x:c r="F1161" s="7" t="str">
        <x:v>Automatic</x:v>
      </x:c>
      <x:c r="G1161" s="7" t="str">
        <x:v>Sedan</x:v>
      </x:c>
      <x:c r="H1161" s="7" t="n">
        <x:v>1199</x:v>
      </x:c>
      <x:c r="I1161" s="7" t="n">
        <x:v>85</x:v>
      </x:c>
      <x:c r="J1161" s="9" t="n">
        <x:v>19.6</x:v>
      </x:c>
      <x:c r="K1161" s="9" t="n">
        <x:v>8.3</x:v>
      </x:c>
      <x:c r="L1161" s="7" t="n">
        <x:v>2026</x:v>
      </x:c>
      <x:c r="M1161" s="11" t="n">
        <x:v>6759</x:v>
      </x:c>
      <x:c r="N1161" s="7" t="n">
        <x:v>1</x:v>
      </x:c>
      <x:c r="O1161" s="7" t="n">
        <x:v>0</x:v>
      </x:c>
      <x:c r="P1161" s="9" t="n">
        <x:v>8.02</x:v>
      </x:c>
      <x:c r="Q1161" s="7" t="n">
        <x:f>'Guide'!$B$5-L1161</x:f>
        <x:v>0</x:v>
      </x:c>
      <x:c r="R1161" s="9" t="n">
        <x:f>K1161-P1161</x:f>
        <x:v>0.28000000000000114</x:v>
      </x:c>
      <x:c r="S1161" s="10" t="n">
        <x:f>IF(K1161&gt;0,R1161/K1161,"")</x:f>
        <x:v>0.03373493975903628</x:v>
      </x:c>
    </x:row>
    <x:row r="1162">
      <x:c r="A1162" s="7" t="n">
        <x:v>1158</x:v>
      </x:c>
      <x:c r="B1162" s="7" t="str">
        <x:v>Tata</x:v>
      </x:c>
      <x:c r="C1162" s="7" t="str">
        <x:v>Tigor</x:v>
      </x:c>
      <x:c r="D1162" s="7" t="str">
        <x:v>XZA</x:v>
      </x:c>
      <x:c r="E1162" s="7" t="str">
        <x:v>Petrol</x:v>
      </x:c>
      <x:c r="F1162" s="7" t="str">
        <x:v>Automatic</x:v>
      </x:c>
      <x:c r="G1162" s="7" t="str">
        <x:v>Sedan</x:v>
      </x:c>
      <x:c r="H1162" s="7" t="n">
        <x:v>1199</x:v>
      </x:c>
      <x:c r="I1162" s="7" t="n">
        <x:v>85</x:v>
      </x:c>
      <x:c r="J1162" s="9" t="n">
        <x:v>19.6</x:v>
      </x:c>
      <x:c r="K1162" s="9" t="n">
        <x:v>8.3</x:v>
      </x:c>
      <x:c r="L1162" s="7" t="n">
        <x:v>2022</x:v>
      </x:c>
      <x:c r="M1162" s="11" t="n">
        <x:v>83244</x:v>
      </x:c>
      <x:c r="N1162" s="7" t="n">
        <x:v>3</x:v>
      </x:c>
      <x:c r="O1162" s="7" t="n">
        <x:v>0</x:v>
      </x:c>
      <x:c r="P1162" s="9" t="n">
        <x:v>3.96</x:v>
      </x:c>
      <x:c r="Q1162" s="7" t="n">
        <x:f>'Guide'!$B$5-L1162</x:f>
        <x:v>4</x:v>
      </x:c>
      <x:c r="R1162" s="9" t="n">
        <x:f>K1162-P1162</x:f>
        <x:v>4.340000000000001</x:v>
      </x:c>
      <x:c r="S1162" s="10" t="n">
        <x:f>IF(K1162&gt;0,R1162/K1162,"")</x:f>
        <x:v>0.5228915662650603</x:v>
      </x:c>
    </x:row>
    <x:row r="1163">
      <x:c r="A1163" s="7" t="n">
        <x:v>1159</x:v>
      </x:c>
      <x:c r="B1163" s="7" t="str">
        <x:v>Tata</x:v>
      </x:c>
      <x:c r="C1163" s="7" t="str">
        <x:v>Tigor</x:v>
      </x:c>
      <x:c r="D1163" s="7" t="str">
        <x:v>XZA</x:v>
      </x:c>
      <x:c r="E1163" s="7" t="str">
        <x:v>Petrol</x:v>
      </x:c>
      <x:c r="F1163" s="7" t="str">
        <x:v>Automatic</x:v>
      </x:c>
      <x:c r="G1163" s="7" t="str">
        <x:v>Sedan</x:v>
      </x:c>
      <x:c r="H1163" s="7" t="n">
        <x:v>1199</x:v>
      </x:c>
      <x:c r="I1163" s="7" t="n">
        <x:v>85</x:v>
      </x:c>
      <x:c r="J1163" s="9" t="n">
        <x:v>19.6</x:v>
      </x:c>
      <x:c r="K1163" s="9" t="n">
        <x:v>8.3</x:v>
      </x:c>
      <x:c r="L1163" s="7" t="n">
        <x:v>2022</x:v>
      </x:c>
      <x:c r="M1163" s="11" t="n">
        <x:v>81325</x:v>
      </x:c>
      <x:c r="N1163" s="7" t="n">
        <x:v>1</x:v>
      </x:c>
      <x:c r="O1163" s="7" t="n">
        <x:v>0</x:v>
      </x:c>
      <x:c r="P1163" s="9" t="n">
        <x:v>5.08</x:v>
      </x:c>
      <x:c r="Q1163" s="7" t="n">
        <x:f>'Guide'!$B$5-L1163</x:f>
        <x:v>4</x:v>
      </x:c>
      <x:c r="R1163" s="9" t="n">
        <x:f>K1163-P1163</x:f>
        <x:v>3.2200000000000006</x:v>
      </x:c>
      <x:c r="S1163" s="10" t="n">
        <x:f>IF(K1163&gt;0,R1163/K1163,"")</x:f>
        <x:v>0.3879518072289157</x:v>
      </x:c>
    </x:row>
    <x:row r="1164">
      <x:c r="A1164" s="7" t="n">
        <x:v>1160</x:v>
      </x:c>
      <x:c r="B1164" s="7" t="str">
        <x:v>Tata</x:v>
      </x:c>
      <x:c r="C1164" s="7" t="str">
        <x:v>Tigor</x:v>
      </x:c>
      <x:c r="D1164" s="7" t="str">
        <x:v>XZA</x:v>
      </x:c>
      <x:c r="E1164" s="7" t="str">
        <x:v>Petrol</x:v>
      </x:c>
      <x:c r="F1164" s="7" t="str">
        <x:v>Automatic</x:v>
      </x:c>
      <x:c r="G1164" s="7" t="str">
        <x:v>Sedan</x:v>
      </x:c>
      <x:c r="H1164" s="7" t="n">
        <x:v>1199</x:v>
      </x:c>
      <x:c r="I1164" s="7" t="n">
        <x:v>85</x:v>
      </x:c>
      <x:c r="J1164" s="9" t="n">
        <x:v>19.6</x:v>
      </x:c>
      <x:c r="K1164" s="9" t="n">
        <x:v>8.3</x:v>
      </x:c>
      <x:c r="L1164" s="7" t="n">
        <x:v>2021</x:v>
      </x:c>
      <x:c r="M1164" s="11" t="n">
        <x:v>59513</x:v>
      </x:c>
      <x:c r="N1164" s="7" t="n">
        <x:v>1</x:v>
      </x:c>
      <x:c r="O1164" s="7" t="n">
        <x:v>0</x:v>
      </x:c>
      <x:c r="P1164" s="9" t="n">
        <x:v>4.33</x:v>
      </x:c>
      <x:c r="Q1164" s="7" t="n">
        <x:f>'Guide'!$B$5-L1164</x:f>
        <x:v>5</x:v>
      </x:c>
      <x:c r="R1164" s="9" t="n">
        <x:f>K1164-P1164</x:f>
        <x:v>3.9700000000000006</x:v>
      </x:c>
      <x:c r="S1164" s="10" t="n">
        <x:f>IF(K1164&gt;0,R1164/K1164,"")</x:f>
        <x:v>0.47831325301204825</x:v>
      </x:c>
    </x:row>
    <x:row r="1165">
      <x:c r="A1165" s="7" t="n">
        <x:v>1161</x:v>
      </x:c>
      <x:c r="B1165" s="7" t="str">
        <x:v>Tata</x:v>
      </x:c>
      <x:c r="C1165" s="7" t="str">
        <x:v>Tigor</x:v>
      </x:c>
      <x:c r="D1165" s="7" t="str">
        <x:v>XZA</x:v>
      </x:c>
      <x:c r="E1165" s="7" t="str">
        <x:v>Petrol</x:v>
      </x:c>
      <x:c r="F1165" s="7" t="str">
        <x:v>Automatic</x:v>
      </x:c>
      <x:c r="G1165" s="7" t="str">
        <x:v>Sedan</x:v>
      </x:c>
      <x:c r="H1165" s="7" t="n">
        <x:v>1199</x:v>
      </x:c>
      <x:c r="I1165" s="7" t="n">
        <x:v>85</x:v>
      </x:c>
      <x:c r="J1165" s="9" t="n">
        <x:v>19.6</x:v>
      </x:c>
      <x:c r="K1165" s="9" t="n">
        <x:v>8.3</x:v>
      </x:c>
      <x:c r="L1165" s="7" t="n">
        <x:v>2025</x:v>
      </x:c>
      <x:c r="M1165" s="11" t="n">
        <x:v>14176</x:v>
      </x:c>
      <x:c r="N1165" s="7" t="n">
        <x:v>1</x:v>
      </x:c>
      <x:c r="O1165" s="7" t="n">
        <x:v>0</x:v>
      </x:c>
      <x:c r="P1165" s="9" t="n">
        <x:v>7.29</x:v>
      </x:c>
      <x:c r="Q1165" s="7" t="n">
        <x:f>'Guide'!$B$5-L1165</x:f>
        <x:v>1</x:v>
      </x:c>
      <x:c r="R1165" s="9" t="n">
        <x:f>K1165-P1165</x:f>
        <x:v>1.0100000000000007</x:v>
      </x:c>
      <x:c r="S1165" s="10" t="n">
        <x:f>IF(K1165&gt;0,R1165/K1165,"")</x:f>
        <x:v>0.12168674698795187</x:v>
      </x:c>
    </x:row>
    <x:row r="1166">
      <x:c r="A1166" s="7" t="n">
        <x:v>1162</x:v>
      </x:c>
      <x:c r="B1166" s="7" t="str">
        <x:v>Tata</x:v>
      </x:c>
      <x:c r="C1166" s="7" t="str">
        <x:v>Tigor</x:v>
      </x:c>
      <x:c r="D1166" s="7" t="str">
        <x:v>XZA</x:v>
      </x:c>
      <x:c r="E1166" s="7" t="str">
        <x:v>Petrol</x:v>
      </x:c>
      <x:c r="F1166" s="7" t="str">
        <x:v>Automatic</x:v>
      </x:c>
      <x:c r="G1166" s="7" t="str">
        <x:v>Sedan</x:v>
      </x:c>
      <x:c r="H1166" s="7" t="n">
        <x:v>1199</x:v>
      </x:c>
      <x:c r="I1166" s="7" t="n">
        <x:v>85</x:v>
      </x:c>
      <x:c r="J1166" s="9" t="n">
        <x:v>19.6</x:v>
      </x:c>
      <x:c r="K1166" s="9" t="n">
        <x:v>8.3</x:v>
      </x:c>
      <x:c r="L1166" s="7" t="n">
        <x:v>2026</x:v>
      </x:c>
      <x:c r="M1166" s="11" t="n">
        <x:v>9893</x:v>
      </x:c>
      <x:c r="N1166" s="7" t="n">
        <x:v>1</x:v>
      </x:c>
      <x:c r="O1166" s="7" t="n">
        <x:v>0</x:v>
      </x:c>
      <x:c r="P1166" s="9" t="n">
        <x:v>8.43</x:v>
      </x:c>
      <x:c r="Q1166" s="7" t="n">
        <x:f>'Guide'!$B$5-L1166</x:f>
        <x:v>0</x:v>
      </x:c>
      <x:c r="R1166" s="9" t="n">
        <x:f>K1166-P1166</x:f>
        <x:v>-0.129999999999999</x:v>
      </x:c>
      <x:c r="S1166" s="10" t="n">
        <x:f>IF(K1166&gt;0,R1166/K1166,"")</x:f>
        <x:v>-0.01566265060240952</x:v>
      </x:c>
    </x:row>
    <x:row r="1167">
      <x:c r="A1167" s="7" t="n">
        <x:v>1163</x:v>
      </x:c>
      <x:c r="B1167" s="7" t="str">
        <x:v>Tata</x:v>
      </x:c>
      <x:c r="C1167" s="7" t="str">
        <x:v>Tigor</x:v>
      </x:c>
      <x:c r="D1167" s="7" t="str">
        <x:v>XZA</x:v>
      </x:c>
      <x:c r="E1167" s="7" t="str">
        <x:v>Petrol</x:v>
      </x:c>
      <x:c r="F1167" s="7" t="str">
        <x:v>Automatic</x:v>
      </x:c>
      <x:c r="G1167" s="7" t="str">
        <x:v>Sedan</x:v>
      </x:c>
      <x:c r="H1167" s="7" t="n">
        <x:v>1199</x:v>
      </x:c>
      <x:c r="I1167" s="7" t="n">
        <x:v>85</x:v>
      </x:c>
      <x:c r="J1167" s="9" t="n">
        <x:v>19.6</x:v>
      </x:c>
      <x:c r="K1167" s="9" t="n">
        <x:v>8.3</x:v>
      </x:c>
      <x:c r="L1167" s="7" t="n">
        <x:v>2025</x:v>
      </x:c>
      <x:c r="M1167" s="11" t="n">
        <x:v>21267</x:v>
      </x:c>
      <x:c r="N1167" s="7" t="n">
        <x:v>1</x:v>
      </x:c>
      <x:c r="O1167" s="7" t="n">
        <x:v>0</x:v>
      </x:c>
      <x:c r="P1167" s="9" t="n">
        <x:v>7.26</x:v>
      </x:c>
      <x:c r="Q1167" s="7" t="n">
        <x:f>'Guide'!$B$5-L1167</x:f>
        <x:v>1</x:v>
      </x:c>
      <x:c r="R1167" s="9" t="n">
        <x:f>K1167-P1167</x:f>
        <x:v>1.040000000000001</x:v>
      </x:c>
      <x:c r="S1167" s="10" t="n">
        <x:f>IF(K1167&gt;0,R1167/K1167,"")</x:f>
        <x:v>0.1253012048192772</x:v>
      </x:c>
    </x:row>
    <x:row r="1168">
      <x:c r="A1168" s="7" t="n">
        <x:v>1164</x:v>
      </x:c>
      <x:c r="B1168" s="7" t="str">
        <x:v>Tata</x:v>
      </x:c>
      <x:c r="C1168" s="7" t="str">
        <x:v>Tigor</x:v>
      </x:c>
      <x:c r="D1168" s="7" t="str">
        <x:v>XZA</x:v>
      </x:c>
      <x:c r="E1168" s="7" t="str">
        <x:v>Petrol</x:v>
      </x:c>
      <x:c r="F1168" s="7" t="str">
        <x:v>Automatic</x:v>
      </x:c>
      <x:c r="G1168" s="7" t="str">
        <x:v>Sedan</x:v>
      </x:c>
      <x:c r="H1168" s="7" t="n">
        <x:v>1199</x:v>
      </x:c>
      <x:c r="I1168" s="7" t="n">
        <x:v>85</x:v>
      </x:c>
      <x:c r="J1168" s="9" t="n">
        <x:v>19.6</x:v>
      </x:c>
      <x:c r="K1168" s="9" t="n">
        <x:v>8.3</x:v>
      </x:c>
      <x:c r="L1168" s="7" t="n">
        <x:v>2023</x:v>
      </x:c>
      <x:c r="M1168" s="11" t="n">
        <x:v>68617</x:v>
      </x:c>
      <x:c r="N1168" s="7" t="n">
        <x:v>2</x:v>
      </x:c>
      <x:c r="O1168" s="7" t="n">
        <x:v>0</x:v>
      </x:c>
      <x:c r="P1168" s="9" t="n">
        <x:v>5.1</x:v>
      </x:c>
      <x:c r="Q1168" s="7" t="n">
        <x:f>'Guide'!$B$5-L1168</x:f>
        <x:v>3</x:v>
      </x:c>
      <x:c r="R1168" s="9" t="n">
        <x:f>K1168-P1168</x:f>
        <x:v>3.200000000000001</x:v>
      </x:c>
      <x:c r="S1168" s="10" t="n">
        <x:f>IF(K1168&gt;0,R1168/K1168,"")</x:f>
        <x:v>0.38554216867469887</x:v>
      </x:c>
    </x:row>
    <x:row r="1169">
      <x:c r="A1169" s="7" t="n">
        <x:v>1165</x:v>
      </x:c>
      <x:c r="B1169" s="7" t="str">
        <x:v>Tata</x:v>
      </x:c>
      <x:c r="C1169" s="7" t="str">
        <x:v>Tigor</x:v>
      </x:c>
      <x:c r="D1169" s="7" t="str">
        <x:v>XZA</x:v>
      </x:c>
      <x:c r="E1169" s="7" t="str">
        <x:v>Petrol</x:v>
      </x:c>
      <x:c r="F1169" s="7" t="str">
        <x:v>Automatic</x:v>
      </x:c>
      <x:c r="G1169" s="7" t="str">
        <x:v>Sedan</x:v>
      </x:c>
      <x:c r="H1169" s="7" t="n">
        <x:v>1199</x:v>
      </x:c>
      <x:c r="I1169" s="7" t="n">
        <x:v>85</x:v>
      </x:c>
      <x:c r="J1169" s="9" t="n">
        <x:v>19.6</x:v>
      </x:c>
      <x:c r="K1169" s="9" t="n">
        <x:v>8.3</x:v>
      </x:c>
      <x:c r="L1169" s="7" t="n">
        <x:v>2025</x:v>
      </x:c>
      <x:c r="M1169" s="11" t="n">
        <x:v>29714</x:v>
      </x:c>
      <x:c r="N1169" s="7" t="n">
        <x:v>2</x:v>
      </x:c>
      <x:c r="O1169" s="7" t="n">
        <x:v>0</x:v>
      </x:c>
      <x:c r="P1169" s="9" t="n">
        <x:v>6.86</x:v>
      </x:c>
      <x:c r="Q1169" s="7" t="n">
        <x:f>'Guide'!$B$5-L1169</x:f>
        <x:v>1</x:v>
      </x:c>
      <x:c r="R1169" s="9" t="n">
        <x:f>K1169-P1169</x:f>
        <x:v>1.4400000000000004</x:v>
      </x:c>
      <x:c r="S1169" s="10" t="n">
        <x:f>IF(K1169&gt;0,R1169/K1169,"")</x:f>
        <x:v>0.17349397590361448</x:v>
      </x:c>
    </x:row>
    <x:row r="1170">
      <x:c r="A1170" s="7" t="n">
        <x:v>1166</x:v>
      </x:c>
      <x:c r="B1170" s="7" t="str">
        <x:v>Tata</x:v>
      </x:c>
      <x:c r="C1170" s="7" t="str">
        <x:v>Tigor</x:v>
      </x:c>
      <x:c r="D1170" s="7" t="str">
        <x:v>XZA</x:v>
      </x:c>
      <x:c r="E1170" s="7" t="str">
        <x:v>Petrol</x:v>
      </x:c>
      <x:c r="F1170" s="7" t="str">
        <x:v>Automatic</x:v>
      </x:c>
      <x:c r="G1170" s="7" t="str">
        <x:v>Sedan</x:v>
      </x:c>
      <x:c r="H1170" s="7" t="n">
        <x:v>1199</x:v>
      </x:c>
      <x:c r="I1170" s="7" t="n">
        <x:v>85</x:v>
      </x:c>
      <x:c r="J1170" s="9" t="n">
        <x:v>19.6</x:v>
      </x:c>
      <x:c r="K1170" s="9" t="n">
        <x:v>8.3</x:v>
      </x:c>
      <x:c r="L1170" s="7" t="n">
        <x:v>2021</x:v>
      </x:c>
      <x:c r="M1170" s="11" t="n">
        <x:v>77646</x:v>
      </x:c>
      <x:c r="N1170" s="7" t="n">
        <x:v>2</x:v>
      </x:c>
      <x:c r="O1170" s="7" t="n">
        <x:v>0</x:v>
      </x:c>
      <x:c r="P1170" s="9" t="n">
        <x:v>3.88</x:v>
      </x:c>
      <x:c r="Q1170" s="7" t="n">
        <x:f>'Guide'!$B$5-L1170</x:f>
        <x:v>5</x:v>
      </x:c>
      <x:c r="R1170" s="9" t="n">
        <x:f>K1170-P1170</x:f>
        <x:v>4.420000000000001</x:v>
      </x:c>
      <x:c r="S1170" s="10" t="n">
        <x:f>IF(K1170&gt;0,R1170/K1170,"")</x:f>
        <x:v>0.5325301204819277</x:v>
      </x:c>
    </x:row>
    <x:row r="1171">
      <x:c r="A1171" s="7" t="n">
        <x:v>1167</x:v>
      </x:c>
      <x:c r="B1171" s="7" t="str">
        <x:v>Tata</x:v>
      </x:c>
      <x:c r="C1171" s="7" t="str">
        <x:v>Tigor</x:v>
      </x:c>
      <x:c r="D1171" s="7" t="str">
        <x:v>XZA</x:v>
      </x:c>
      <x:c r="E1171" s="7" t="str">
        <x:v>Petrol</x:v>
      </x:c>
      <x:c r="F1171" s="7" t="str">
        <x:v>Automatic</x:v>
      </x:c>
      <x:c r="G1171" s="7" t="str">
        <x:v>Sedan</x:v>
      </x:c>
      <x:c r="H1171" s="7" t="n">
        <x:v>1199</x:v>
      </x:c>
      <x:c r="I1171" s="7" t="n">
        <x:v>85</x:v>
      </x:c>
      <x:c r="J1171" s="9" t="n">
        <x:v>19.6</x:v>
      </x:c>
      <x:c r="K1171" s="9" t="n">
        <x:v>8.3</x:v>
      </x:c>
      <x:c r="L1171" s="7" t="n">
        <x:v>2021</x:v>
      </x:c>
      <x:c r="M1171" s="11" t="n">
        <x:v>98808</x:v>
      </x:c>
      <x:c r="N1171" s="7" t="n">
        <x:v>1</x:v>
      </x:c>
      <x:c r="O1171" s="7" t="n">
        <x:v>0</x:v>
      </x:c>
      <x:c r="P1171" s="9" t="n">
        <x:v>3.92</x:v>
      </x:c>
      <x:c r="Q1171" s="7" t="n">
        <x:f>'Guide'!$B$5-L1171</x:f>
        <x:v>5</x:v>
      </x:c>
      <x:c r="R1171" s="9" t="n">
        <x:f>K1171-P1171</x:f>
        <x:v>4.380000000000001</x:v>
      </x:c>
      <x:c r="S1171" s="10" t="n">
        <x:f>IF(K1171&gt;0,R1171/K1171,"")</x:f>
        <x:v>0.527710843373494</x:v>
      </x:c>
    </x:row>
    <x:row r="1172">
      <x:c r="A1172" s="7" t="n">
        <x:v>1168</x:v>
      </x:c>
      <x:c r="B1172" s="7" t="str">
        <x:v>Tata</x:v>
      </x:c>
      <x:c r="C1172" s="7" t="str">
        <x:v>Tigor</x:v>
      </x:c>
      <x:c r="D1172" s="7" t="str">
        <x:v>XZA</x:v>
      </x:c>
      <x:c r="E1172" s="7" t="str">
        <x:v>Petrol</x:v>
      </x:c>
      <x:c r="F1172" s="7" t="str">
        <x:v>Automatic</x:v>
      </x:c>
      <x:c r="G1172" s="7" t="str">
        <x:v>Sedan</x:v>
      </x:c>
      <x:c r="H1172" s="7" t="n">
        <x:v>1199</x:v>
      </x:c>
      <x:c r="I1172" s="7" t="n">
        <x:v>85</x:v>
      </x:c>
      <x:c r="J1172" s="9" t="n">
        <x:v>19.6</x:v>
      </x:c>
      <x:c r="K1172" s="9" t="n">
        <x:v>8.3</x:v>
      </x:c>
      <x:c r="L1172" s="7" t="n">
        <x:v>2026</x:v>
      </x:c>
      <x:c r="M1172" s="11" t="n">
        <x:v>4283</x:v>
      </x:c>
      <x:c r="N1172" s="7" t="n">
        <x:v>1</x:v>
      </x:c>
      <x:c r="O1172" s="7" t="n">
        <x:v>0</x:v>
      </x:c>
      <x:c r="P1172" s="9" t="n">
        <x:v>8.25</x:v>
      </x:c>
      <x:c r="Q1172" s="7" t="n">
        <x:f>'Guide'!$B$5-L1172</x:f>
        <x:v>0</x:v>
      </x:c>
      <x:c r="R1172" s="9" t="n">
        <x:f>K1172-P1172</x:f>
        <x:v>0.05000000000000071</x:v>
      </x:c>
      <x:c r="S1172" s="10" t="n">
        <x:f>IF(K1172&gt;0,R1172/K1172,"")</x:f>
        <x:v>0.006024096385542254</x:v>
      </x:c>
    </x:row>
    <x:row r="1173">
      <x:c r="A1173" s="7" t="n">
        <x:v>1169</x:v>
      </x:c>
      <x:c r="B1173" s="7" t="str">
        <x:v>Tata</x:v>
      </x:c>
      <x:c r="C1173" s="7" t="str">
        <x:v>Tigor</x:v>
      </x:c>
      <x:c r="D1173" s="7" t="str">
        <x:v>XZA</x:v>
      </x:c>
      <x:c r="E1173" s="7" t="str">
        <x:v>Petrol</x:v>
      </x:c>
      <x:c r="F1173" s="7" t="str">
        <x:v>Automatic</x:v>
      </x:c>
      <x:c r="G1173" s="7" t="str">
        <x:v>Sedan</x:v>
      </x:c>
      <x:c r="H1173" s="7" t="n">
        <x:v>1199</x:v>
      </x:c>
      <x:c r="I1173" s="7" t="n">
        <x:v>85</x:v>
      </x:c>
      <x:c r="J1173" s="9" t="n">
        <x:v>19.6</x:v>
      </x:c>
      <x:c r="K1173" s="9" t="n">
        <x:v>8.3</x:v>
      </x:c>
      <x:c r="L1173" s="7" t="n">
        <x:v>2024</x:v>
      </x:c>
      <x:c r="M1173" s="11" t="n">
        <x:v>46826</x:v>
      </x:c>
      <x:c r="N1173" s="7" t="n">
        <x:v>2</x:v>
      </x:c>
      <x:c r="O1173" s="7" t="n">
        <x:v>0</x:v>
      </x:c>
      <x:c r="P1173" s="9" t="n">
        <x:v>6.44</x:v>
      </x:c>
      <x:c r="Q1173" s="7" t="n">
        <x:f>'Guide'!$B$5-L1173</x:f>
        <x:v>2</x:v>
      </x:c>
      <x:c r="R1173" s="9" t="n">
        <x:f>K1173-P1173</x:f>
        <x:v>1.8600000000000003</x:v>
      </x:c>
      <x:c r="S1173" s="10" t="n">
        <x:f>IF(K1173&gt;0,R1173/K1173,"")</x:f>
        <x:v>0.2240963855421687</x:v>
      </x:c>
    </x:row>
    <x:row r="1174">
      <x:c r="A1174" s="7" t="n">
        <x:v>1170</x:v>
      </x:c>
      <x:c r="B1174" s="7" t="str">
        <x:v>Tata</x:v>
      </x:c>
      <x:c r="C1174" s="7" t="str">
        <x:v>Tigor</x:v>
      </x:c>
      <x:c r="D1174" s="7" t="str">
        <x:v>XZA</x:v>
      </x:c>
      <x:c r="E1174" s="7" t="str">
        <x:v>Petrol</x:v>
      </x:c>
      <x:c r="F1174" s="7" t="str">
        <x:v>Automatic</x:v>
      </x:c>
      <x:c r="G1174" s="7" t="str">
        <x:v>Sedan</x:v>
      </x:c>
      <x:c r="H1174" s="7" t="n">
        <x:v>1199</x:v>
      </x:c>
      <x:c r="I1174" s="7" t="n">
        <x:v>85</x:v>
      </x:c>
      <x:c r="J1174" s="9" t="n">
        <x:v>19.6</x:v>
      </x:c>
      <x:c r="K1174" s="9" t="n">
        <x:v>8.3</x:v>
      </x:c>
      <x:c r="L1174" s="7" t="n">
        <x:v>2022</x:v>
      </x:c>
      <x:c r="M1174" s="11" t="n">
        <x:v>69245</x:v>
      </x:c>
      <x:c r="N1174" s="7" t="n">
        <x:v>2</x:v>
      </x:c>
      <x:c r="O1174" s="7" t="n">
        <x:v>0</x:v>
      </x:c>
      <x:c r="P1174" s="9" t="n">
        <x:v>4.47</x:v>
      </x:c>
      <x:c r="Q1174" s="7" t="n">
        <x:f>'Guide'!$B$5-L1174</x:f>
        <x:v>4</x:v>
      </x:c>
      <x:c r="R1174" s="9" t="n">
        <x:f>K1174-P1174</x:f>
        <x:v>3.830000000000001</x:v>
      </x:c>
      <x:c r="S1174" s="10" t="n">
        <x:f>IF(K1174&gt;0,R1174/K1174,"")</x:f>
        <x:v>0.4614457831325302</x:v>
      </x:c>
    </x:row>
    <x:row r="1175">
      <x:c r="A1175" s="7" t="n">
        <x:v>1171</x:v>
      </x:c>
      <x:c r="B1175" s="7" t="str">
        <x:v>Tata</x:v>
      </x:c>
      <x:c r="C1175" s="7" t="str">
        <x:v>Tigor</x:v>
      </x:c>
      <x:c r="D1175" s="7" t="str">
        <x:v>XZA</x:v>
      </x:c>
      <x:c r="E1175" s="7" t="str">
        <x:v>Petrol</x:v>
      </x:c>
      <x:c r="F1175" s="7" t="str">
        <x:v>Automatic</x:v>
      </x:c>
      <x:c r="G1175" s="7" t="str">
        <x:v>Sedan</x:v>
      </x:c>
      <x:c r="H1175" s="7" t="n">
        <x:v>1199</x:v>
      </x:c>
      <x:c r="I1175" s="7" t="n">
        <x:v>85</x:v>
      </x:c>
      <x:c r="J1175" s="9" t="n">
        <x:v>19.6</x:v>
      </x:c>
      <x:c r="K1175" s="9" t="n">
        <x:v>8.3</x:v>
      </x:c>
      <x:c r="L1175" s="7" t="n">
        <x:v>2022</x:v>
      </x:c>
      <x:c r="M1175" s="11" t="n">
        <x:v>80468</x:v>
      </x:c>
      <x:c r="N1175" s="7" t="n">
        <x:v>1</x:v>
      </x:c>
      <x:c r="O1175" s="7" t="n">
        <x:v>0</x:v>
      </x:c>
      <x:c r="P1175" s="9" t="n">
        <x:v>4.78</x:v>
      </x:c>
      <x:c r="Q1175" s="7" t="n">
        <x:f>'Guide'!$B$5-L1175</x:f>
        <x:v>4</x:v>
      </x:c>
      <x:c r="R1175" s="9" t="n">
        <x:f>K1175-P1175</x:f>
        <x:v>3.5200000000000005</x:v>
      </x:c>
      <x:c r="S1175" s="10" t="n">
        <x:f>IF(K1175&gt;0,R1175/K1175,"")</x:f>
        <x:v>0.4240963855421687</x:v>
      </x:c>
    </x:row>
    <x:row r="1176">
      <x:c r="A1176" s="7" t="n">
        <x:v>1172</x:v>
      </x:c>
      <x:c r="B1176" s="7" t="str">
        <x:v>Tata</x:v>
      </x:c>
      <x:c r="C1176" s="7" t="str">
        <x:v>Tigor</x:v>
      </x:c>
      <x:c r="D1176" s="7" t="str">
        <x:v>XZA</x:v>
      </x:c>
      <x:c r="E1176" s="7" t="str">
        <x:v>Petrol</x:v>
      </x:c>
      <x:c r="F1176" s="7" t="str">
        <x:v>Automatic</x:v>
      </x:c>
      <x:c r="G1176" s="7" t="str">
        <x:v>Sedan</x:v>
      </x:c>
      <x:c r="H1176" s="7" t="n">
        <x:v>1199</x:v>
      </x:c>
      <x:c r="I1176" s="7" t="n">
        <x:v>85</x:v>
      </x:c>
      <x:c r="J1176" s="9" t="n">
        <x:v>19.6</x:v>
      </x:c>
      <x:c r="K1176" s="9" t="n">
        <x:v>8.3</x:v>
      </x:c>
      <x:c r="L1176" s="7" t="n">
        <x:v>2025</x:v>
      </x:c>
      <x:c r="M1176" s="11" t="n">
        <x:v>13425</x:v>
      </x:c>
      <x:c r="N1176" s="7" t="n">
        <x:v>1</x:v>
      </x:c>
      <x:c r="O1176" s="7" t="n">
        <x:v>0</x:v>
      </x:c>
      <x:c r="P1176" s="9" t="n">
        <x:v>7.39</x:v>
      </x:c>
      <x:c r="Q1176" s="7" t="n">
        <x:f>'Guide'!$B$5-L1176</x:f>
        <x:v>1</x:v>
      </x:c>
      <x:c r="R1176" s="9" t="n">
        <x:f>K1176-P1176</x:f>
        <x:v>0.910000000000001</x:v>
      </x:c>
      <x:c r="S1176" s="10" t="n">
        <x:f>IF(K1176&gt;0,R1176/K1176,"")</x:f>
        <x:v>0.10963855421686758</x:v>
      </x:c>
    </x:row>
    <x:row r="1177">
      <x:c r="A1177" s="7" t="n">
        <x:v>1173</x:v>
      </x:c>
      <x:c r="B1177" s="7" t="str">
        <x:v>Tata</x:v>
      </x:c>
      <x:c r="C1177" s="7" t="str">
        <x:v>Tigor</x:v>
      </x:c>
      <x:c r="D1177" s="7" t="str">
        <x:v>XZA</x:v>
      </x:c>
      <x:c r="E1177" s="7" t="str">
        <x:v>Petrol</x:v>
      </x:c>
      <x:c r="F1177" s="7" t="str">
        <x:v>Automatic</x:v>
      </x:c>
      <x:c r="G1177" s="7" t="str">
        <x:v>Sedan</x:v>
      </x:c>
      <x:c r="H1177" s="7" t="n">
        <x:v>1199</x:v>
      </x:c>
      <x:c r="I1177" s="7" t="n">
        <x:v>85</x:v>
      </x:c>
      <x:c r="J1177" s="9" t="n">
        <x:v>19.6</x:v>
      </x:c>
      <x:c r="K1177" s="9" t="n">
        <x:v>8.3</x:v>
      </x:c>
      <x:c r="L1177" s="7" t="n">
        <x:v>2020</x:v>
      </x:c>
      <x:c r="M1177" s="11" t="n">
        <x:v>90056</x:v>
      </x:c>
      <x:c r="N1177" s="7" t="n">
        <x:v>1</x:v>
      </x:c>
      <x:c r="O1177" s="7" t="n">
        <x:v>0</x:v>
      </x:c>
      <x:c r="P1177" s="9" t="n">
        <x:v>3.71</x:v>
      </x:c>
      <x:c r="Q1177" s="7" t="n">
        <x:f>'Guide'!$B$5-L1177</x:f>
        <x:v>6</x:v>
      </x:c>
      <x:c r="R1177" s="9" t="n">
        <x:f>K1177-P1177</x:f>
        <x:v>4.590000000000001</x:v>
      </x:c>
      <x:c r="S1177" s="10" t="n">
        <x:f>IF(K1177&gt;0,R1177/K1177,"")</x:f>
        <x:v>0.5530120481927712</x:v>
      </x:c>
    </x:row>
    <x:row r="1178">
      <x:c r="A1178" s="7" t="n">
        <x:v>1174</x:v>
      </x:c>
      <x:c r="B1178" s="7" t="str">
        <x:v>Tata</x:v>
      </x:c>
      <x:c r="C1178" s="7" t="str">
        <x:v>Tigor</x:v>
      </x:c>
      <x:c r="D1178" s="7" t="str">
        <x:v>XZA</x:v>
      </x:c>
      <x:c r="E1178" s="7" t="str">
        <x:v>Petrol</x:v>
      </x:c>
      <x:c r="F1178" s="7" t="str">
        <x:v>Automatic</x:v>
      </x:c>
      <x:c r="G1178" s="7" t="str">
        <x:v>Sedan</x:v>
      </x:c>
      <x:c r="H1178" s="7" t="n">
        <x:v>1199</x:v>
      </x:c>
      <x:c r="I1178" s="7" t="n">
        <x:v>85</x:v>
      </x:c>
      <x:c r="J1178" s="9" t="n">
        <x:v>19.6</x:v>
      </x:c>
      <x:c r="K1178" s="9" t="n">
        <x:v>8.3</x:v>
      </x:c>
      <x:c r="L1178" s="7" t="n">
        <x:v>2025</x:v>
      </x:c>
      <x:c r="M1178" s="11" t="n">
        <x:v>15206</x:v>
      </x:c>
      <x:c r="N1178" s="7" t="n">
        <x:v>1</x:v>
      </x:c>
      <x:c r="O1178" s="7" t="n">
        <x:v>0</x:v>
      </x:c>
      <x:c r="P1178" s="9" t="n">
        <x:v>7.47</x:v>
      </x:c>
      <x:c r="Q1178" s="7" t="n">
        <x:f>'Guide'!$B$5-L1178</x:f>
        <x:v>1</x:v>
      </x:c>
      <x:c r="R1178" s="9" t="n">
        <x:f>K1178-P1178</x:f>
        <x:v>0.830000000000001</x:v>
      </x:c>
      <x:c r="S1178" s="10" t="n">
        <x:f>IF(K1178&gt;0,R1178/K1178,"")</x:f>
        <x:v>0.1000000000000001</x:v>
      </x:c>
    </x:row>
    <x:row r="1179">
      <x:c r="A1179" s="7" t="n">
        <x:v>1175</x:v>
      </x:c>
      <x:c r="B1179" s="7" t="str">
        <x:v>Tata</x:v>
      </x:c>
      <x:c r="C1179" s="7" t="str">
        <x:v>Tigor</x:v>
      </x:c>
      <x:c r="D1179" s="7" t="str">
        <x:v>XZA</x:v>
      </x:c>
      <x:c r="E1179" s="7" t="str">
        <x:v>Petrol</x:v>
      </x:c>
      <x:c r="F1179" s="7" t="str">
        <x:v>Automatic</x:v>
      </x:c>
      <x:c r="G1179" s="7" t="str">
        <x:v>Sedan</x:v>
      </x:c>
      <x:c r="H1179" s="7" t="n">
        <x:v>1199</x:v>
      </x:c>
      <x:c r="I1179" s="7" t="n">
        <x:v>85</x:v>
      </x:c>
      <x:c r="J1179" s="9" t="n">
        <x:v>19.6</x:v>
      </x:c>
      <x:c r="K1179" s="9" t="n">
        <x:v>8.3</x:v>
      </x:c>
      <x:c r="L1179" s="7" t="n">
        <x:v>2023</x:v>
      </x:c>
      <x:c r="M1179" s="11" t="n">
        <x:v>55797</x:v>
      </x:c>
      <x:c r="N1179" s="7" t="n">
        <x:v>1</x:v>
      </x:c>
      <x:c r="O1179" s="7" t="n">
        <x:v>0</x:v>
      </x:c>
      <x:c r="P1179" s="9" t="n">
        <x:v>5.68</x:v>
      </x:c>
      <x:c r="Q1179" s="7" t="n">
        <x:f>'Guide'!$B$5-L1179</x:f>
        <x:v>3</x:v>
      </x:c>
      <x:c r="R1179" s="9" t="n">
        <x:f>K1179-P1179</x:f>
        <x:v>2.620000000000001</x:v>
      </x:c>
      <x:c r="S1179" s="10" t="n">
        <x:f>IF(K1179&gt;0,R1179/K1179,"")</x:f>
        <x:v>0.3156626506024097</x:v>
      </x:c>
    </x:row>
    <x:row r="1180">
      <x:c r="A1180" s="7" t="n">
        <x:v>1176</x:v>
      </x:c>
      <x:c r="B1180" s="7" t="str">
        <x:v>Tata</x:v>
      </x:c>
      <x:c r="C1180" s="7" t="str">
        <x:v>Tigor</x:v>
      </x:c>
      <x:c r="D1180" s="7" t="str">
        <x:v>XZA</x:v>
      </x:c>
      <x:c r="E1180" s="7" t="str">
        <x:v>Petrol</x:v>
      </x:c>
      <x:c r="F1180" s="7" t="str">
        <x:v>Automatic</x:v>
      </x:c>
      <x:c r="G1180" s="7" t="str">
        <x:v>Sedan</x:v>
      </x:c>
      <x:c r="H1180" s="7" t="n">
        <x:v>1199</x:v>
      </x:c>
      <x:c r="I1180" s="7" t="n">
        <x:v>85</x:v>
      </x:c>
      <x:c r="J1180" s="9" t="n">
        <x:v>19.6</x:v>
      </x:c>
      <x:c r="K1180" s="9" t="n">
        <x:v>8.3</x:v>
      </x:c>
      <x:c r="L1180" s="7" t="n">
        <x:v>2022</x:v>
      </x:c>
      <x:c r="M1180" s="11" t="n">
        <x:v>62640</x:v>
      </x:c>
      <x:c r="N1180" s="7" t="n">
        <x:v>2</x:v>
      </x:c>
      <x:c r="O1180" s="7" t="n">
        <x:v>0</x:v>
      </x:c>
      <x:c r="P1180" s="9" t="n">
        <x:v>4.46</x:v>
      </x:c>
      <x:c r="Q1180" s="7" t="n">
        <x:f>'Guide'!$B$5-L1180</x:f>
        <x:v>4</x:v>
      </x:c>
      <x:c r="R1180" s="9" t="n">
        <x:f>K1180-P1180</x:f>
        <x:v>3.8400000000000007</x:v>
      </x:c>
      <x:c r="S1180" s="10" t="n">
        <x:f>IF(K1180&gt;0,R1180/K1180,"")</x:f>
        <x:v>0.4626506024096386</x:v>
      </x:c>
    </x:row>
    <x:row r="1181">
      <x:c r="A1181" s="7" t="n">
        <x:v>1177</x:v>
      </x:c>
      <x:c r="B1181" s="7" t="str">
        <x:v>Tata</x:v>
      </x:c>
      <x:c r="C1181" s="7" t="str">
        <x:v>Tigor</x:v>
      </x:c>
      <x:c r="D1181" s="7" t="str">
        <x:v>XZA</x:v>
      </x:c>
      <x:c r="E1181" s="7" t="str">
        <x:v>Petrol</x:v>
      </x:c>
      <x:c r="F1181" s="7" t="str">
        <x:v>Automatic</x:v>
      </x:c>
      <x:c r="G1181" s="7" t="str">
        <x:v>Sedan</x:v>
      </x:c>
      <x:c r="H1181" s="7" t="n">
        <x:v>1199</x:v>
      </x:c>
      <x:c r="I1181" s="7" t="n">
        <x:v>85</x:v>
      </x:c>
      <x:c r="J1181" s="9" t="n">
        <x:v>19.6</x:v>
      </x:c>
      <x:c r="K1181" s="9" t="n">
        <x:v>8.3</x:v>
      </x:c>
      <x:c r="L1181" s="7" t="n">
        <x:v>2026</x:v>
      </x:c>
      <x:c r="M1181" s="11" t="n">
        <x:v>9884</x:v>
      </x:c>
      <x:c r="N1181" s="7" t="n">
        <x:v>1</x:v>
      </x:c>
      <x:c r="O1181" s="7" t="n">
        <x:v>0</x:v>
      </x:c>
      <x:c r="P1181" s="9" t="n">
        <x:v>8.13</x:v>
      </x:c>
      <x:c r="Q1181" s="7" t="n">
        <x:f>'Guide'!$B$5-L1181</x:f>
        <x:v>0</x:v>
      </x:c>
      <x:c r="R1181" s="9" t="n">
        <x:f>K1181-P1181</x:f>
        <x:v>0.16999999999999993</x:v>
      </x:c>
      <x:c r="S1181" s="10" t="n">
        <x:f>IF(K1181&gt;0,R1181/K1181,"")</x:f>
        <x:v>0.020481927710843364</x:v>
      </x:c>
    </x:row>
    <x:row r="1182">
      <x:c r="A1182" s="7" t="n">
        <x:v>1178</x:v>
      </x:c>
      <x:c r="B1182" s="7" t="str">
        <x:v>Tata</x:v>
      </x:c>
      <x:c r="C1182" s="7" t="str">
        <x:v>Tigor</x:v>
      </x:c>
      <x:c r="D1182" s="7" t="str">
        <x:v>XZA</x:v>
      </x:c>
      <x:c r="E1182" s="7" t="str">
        <x:v>Petrol</x:v>
      </x:c>
      <x:c r="F1182" s="7" t="str">
        <x:v>Automatic</x:v>
      </x:c>
      <x:c r="G1182" s="7" t="str">
        <x:v>Sedan</x:v>
      </x:c>
      <x:c r="H1182" s="7" t="n">
        <x:v>1199</x:v>
      </x:c>
      <x:c r="I1182" s="7" t="n">
        <x:v>85</x:v>
      </x:c>
      <x:c r="J1182" s="9" t="n">
        <x:v>19.6</x:v>
      </x:c>
      <x:c r="K1182" s="9" t="n">
        <x:v>8.3</x:v>
      </x:c>
      <x:c r="L1182" s="7" t="n">
        <x:v>2025</x:v>
      </x:c>
      <x:c r="M1182" s="11" t="n">
        <x:v>12199</x:v>
      </x:c>
      <x:c r="N1182" s="7" t="n">
        <x:v>1</x:v>
      </x:c>
      <x:c r="O1182" s="7" t="n">
        <x:v>0</x:v>
      </x:c>
      <x:c r="P1182" s="9" t="n">
        <x:v>7.5</x:v>
      </x:c>
      <x:c r="Q1182" s="7" t="n">
        <x:f>'Guide'!$B$5-L1182</x:f>
        <x:v>1</x:v>
      </x:c>
      <x:c r="R1182" s="9" t="n">
        <x:f>K1182-P1182</x:f>
        <x:v>0.8000000000000007</x:v>
      </x:c>
      <x:c r="S1182" s="10" t="n">
        <x:f>IF(K1182&gt;0,R1182/K1182,"")</x:f>
        <x:v>0.09638554216867477</x:v>
      </x:c>
    </x:row>
    <x:row r="1183">
      <x:c r="A1183" s="7" t="n">
        <x:v>1179</x:v>
      </x:c>
      <x:c r="B1183" s="7" t="str">
        <x:v>Tata</x:v>
      </x:c>
      <x:c r="C1183" s="7" t="str">
        <x:v>Tigor</x:v>
      </x:c>
      <x:c r="D1183" s="7" t="str">
        <x:v>XZA</x:v>
      </x:c>
      <x:c r="E1183" s="7" t="str">
        <x:v>Petrol</x:v>
      </x:c>
      <x:c r="F1183" s="7" t="str">
        <x:v>Automatic</x:v>
      </x:c>
      <x:c r="G1183" s="7" t="str">
        <x:v>Sedan</x:v>
      </x:c>
      <x:c r="H1183" s="7" t="n">
        <x:v>1199</x:v>
      </x:c>
      <x:c r="I1183" s="7" t="n">
        <x:v>85</x:v>
      </x:c>
      <x:c r="J1183" s="9" t="n">
        <x:v>19.6</x:v>
      </x:c>
      <x:c r="K1183" s="9" t="n">
        <x:v>8.3</x:v>
      </x:c>
      <x:c r="L1183" s="7" t="n">
        <x:v>2024</x:v>
      </x:c>
      <x:c r="M1183" s="11" t="n">
        <x:v>43614</x:v>
      </x:c>
      <x:c r="N1183" s="7" t="n">
        <x:v>2</x:v>
      </x:c>
      <x:c r="O1183" s="7" t="n">
        <x:v>0</x:v>
      </x:c>
      <x:c r="P1183" s="9" t="n">
        <x:v>6.21</x:v>
      </x:c>
      <x:c r="Q1183" s="7" t="n">
        <x:f>'Guide'!$B$5-L1183</x:f>
        <x:v>2</x:v>
      </x:c>
      <x:c r="R1183" s="9" t="n">
        <x:f>K1183-P1183</x:f>
        <x:v>2.0900000000000007</x:v>
      </x:c>
      <x:c r="S1183" s="10" t="n">
        <x:f>IF(K1183&gt;0,R1183/K1183,"")</x:f>
        <x:v>0.2518072289156627</x:v>
      </x:c>
    </x:row>
    <x:row r="1184">
      <x:c r="A1184" s="7" t="n">
        <x:v>1180</x:v>
      </x:c>
      <x:c r="B1184" s="7" t="str">
        <x:v>Tata</x:v>
      </x:c>
      <x:c r="C1184" s="7" t="str">
        <x:v>Tigor</x:v>
      </x:c>
      <x:c r="D1184" s="7" t="str">
        <x:v>XZA</x:v>
      </x:c>
      <x:c r="E1184" s="7" t="str">
        <x:v>Petrol</x:v>
      </x:c>
      <x:c r="F1184" s="7" t="str">
        <x:v>Automatic</x:v>
      </x:c>
      <x:c r="G1184" s="7" t="str">
        <x:v>Sedan</x:v>
      </x:c>
      <x:c r="H1184" s="7" t="n">
        <x:v>1199</x:v>
      </x:c>
      <x:c r="I1184" s="7" t="n">
        <x:v>85</x:v>
      </x:c>
      <x:c r="J1184" s="9" t="n">
        <x:v>19.6</x:v>
      </x:c>
      <x:c r="K1184" s="9" t="n">
        <x:v>8.3</x:v>
      </x:c>
      <x:c r="L1184" s="7" t="n">
        <x:v>2023</x:v>
      </x:c>
      <x:c r="M1184" s="11" t="n">
        <x:v>34720</x:v>
      </x:c>
      <x:c r="N1184" s="7" t="n">
        <x:v>3</x:v>
      </x:c>
      <x:c r="O1184" s="7" t="n">
        <x:v>0</x:v>
      </x:c>
      <x:c r="P1184" s="9" t="n">
        <x:v>5.56</x:v>
      </x:c>
      <x:c r="Q1184" s="7" t="n">
        <x:f>'Guide'!$B$5-L1184</x:f>
        <x:v>3</x:v>
      </x:c>
      <x:c r="R1184" s="9" t="n">
        <x:f>K1184-P1184</x:f>
        <x:v>2.740000000000001</x:v>
      </x:c>
      <x:c r="S1184" s="10" t="n">
        <x:f>IF(K1184&gt;0,R1184/K1184,"")</x:f>
        <x:v>0.33012048192771093</x:v>
      </x:c>
    </x:row>
    <x:row r="1185">
      <x:c r="A1185" s="7" t="n">
        <x:v>1181</x:v>
      </x:c>
      <x:c r="B1185" s="7" t="str">
        <x:v>Tata</x:v>
      </x:c>
      <x:c r="C1185" s="7" t="str">
        <x:v>Tigor</x:v>
      </x:c>
      <x:c r="D1185" s="7" t="str">
        <x:v>XZA</x:v>
      </x:c>
      <x:c r="E1185" s="7" t="str">
        <x:v>Petrol</x:v>
      </x:c>
      <x:c r="F1185" s="7" t="str">
        <x:v>Automatic</x:v>
      </x:c>
      <x:c r="G1185" s="7" t="str">
        <x:v>Sedan</x:v>
      </x:c>
      <x:c r="H1185" s="7" t="n">
        <x:v>1199</x:v>
      </x:c>
      <x:c r="I1185" s="7" t="n">
        <x:v>85</x:v>
      </x:c>
      <x:c r="J1185" s="9" t="n">
        <x:v>19.6</x:v>
      </x:c>
      <x:c r="K1185" s="9" t="n">
        <x:v>8.3</x:v>
      </x:c>
      <x:c r="L1185" s="7" t="n">
        <x:v>2026</x:v>
      </x:c>
      <x:c r="M1185" s="11" t="n">
        <x:v>5991</x:v>
      </x:c>
      <x:c r="N1185" s="7" t="n">
        <x:v>1</x:v>
      </x:c>
      <x:c r="O1185" s="7" t="n">
        <x:v>0</x:v>
      </x:c>
      <x:c r="P1185" s="9" t="n">
        <x:v>8.23</x:v>
      </x:c>
      <x:c r="Q1185" s="7" t="n">
        <x:f>'Guide'!$B$5-L1185</x:f>
        <x:v>0</x:v>
      </x:c>
      <x:c r="R1185" s="9" t="n">
        <x:f>K1185-P1185</x:f>
        <x:v>0.07000000000000028</x:v>
      </x:c>
      <x:c r="S1185" s="10" t="n">
        <x:f>IF(K1185&gt;0,R1185/K1185,"")</x:f>
        <x:v>0.00843373493975907</x:v>
      </x:c>
    </x:row>
    <x:row r="1186">
      <x:c r="A1186" s="7" t="n">
        <x:v>1182</x:v>
      </x:c>
      <x:c r="B1186" s="7" t="str">
        <x:v>Tata</x:v>
      </x:c>
      <x:c r="C1186" s="7" t="str">
        <x:v>Tigor</x:v>
      </x:c>
      <x:c r="D1186" s="7" t="str">
        <x:v>XZA</x:v>
      </x:c>
      <x:c r="E1186" s="7" t="str">
        <x:v>Petrol</x:v>
      </x:c>
      <x:c r="F1186" s="7" t="str">
        <x:v>Automatic</x:v>
      </x:c>
      <x:c r="G1186" s="7" t="str">
        <x:v>Sedan</x:v>
      </x:c>
      <x:c r="H1186" s="7" t="n">
        <x:v>1199</x:v>
      </x:c>
      <x:c r="I1186" s="7" t="n">
        <x:v>85</x:v>
      </x:c>
      <x:c r="J1186" s="9" t="n">
        <x:v>19.6</x:v>
      </x:c>
      <x:c r="K1186" s="9" t="n">
        <x:v>8.3</x:v>
      </x:c>
      <x:c r="L1186" s="7" t="n">
        <x:v>2020</x:v>
      </x:c>
      <x:c r="M1186" s="11" t="n">
        <x:v>109544</x:v>
      </x:c>
      <x:c r="N1186" s="7" t="n">
        <x:v>1</x:v>
      </x:c>
      <x:c r="O1186" s="7" t="n">
        <x:v>0</x:v>
      </x:c>
      <x:c r="P1186" s="9" t="n">
        <x:v>3.19</x:v>
      </x:c>
      <x:c r="Q1186" s="7" t="n">
        <x:f>'Guide'!$B$5-L1186</x:f>
        <x:v>6</x:v>
      </x:c>
      <x:c r="R1186" s="9" t="n">
        <x:f>K1186-P1186</x:f>
        <x:v>5.110000000000001</x:v>
      </x:c>
      <x:c r="S1186" s="10" t="n">
        <x:f>IF(K1186&gt;0,R1186/K1186,"")</x:f>
        <x:v>0.6156626506024098</x:v>
      </x:c>
    </x:row>
    <x:row r="1187">
      <x:c r="A1187" s="7" t="n">
        <x:v>1183</x:v>
      </x:c>
      <x:c r="B1187" s="7" t="str">
        <x:v>Tata</x:v>
      </x:c>
      <x:c r="C1187" s="7" t="str">
        <x:v>Tigor</x:v>
      </x:c>
      <x:c r="D1187" s="7" t="str">
        <x:v>XZA</x:v>
      </x:c>
      <x:c r="E1187" s="7" t="str">
        <x:v>Petrol</x:v>
      </x:c>
      <x:c r="F1187" s="7" t="str">
        <x:v>Automatic</x:v>
      </x:c>
      <x:c r="G1187" s="7" t="str">
        <x:v>Sedan</x:v>
      </x:c>
      <x:c r="H1187" s="7" t="n">
        <x:v>1199</x:v>
      </x:c>
      <x:c r="I1187" s="7" t="n">
        <x:v>85</x:v>
      </x:c>
      <x:c r="J1187" s="9" t="n">
        <x:v>19.6</x:v>
      </x:c>
      <x:c r="K1187" s="9" t="n">
        <x:v>8.3</x:v>
      </x:c>
      <x:c r="L1187" s="7" t="n">
        <x:v>2023</x:v>
      </x:c>
      <x:c r="M1187" s="11" t="n">
        <x:v>50314</x:v>
      </x:c>
      <x:c r="N1187" s="7" t="n">
        <x:v>1</x:v>
      </x:c>
      <x:c r="O1187" s="7" t="n">
        <x:v>0</x:v>
      </x:c>
      <x:c r="P1187" s="9" t="n">
        <x:v>5.52</x:v>
      </x:c>
      <x:c r="Q1187" s="7" t="n">
        <x:f>'Guide'!$B$5-L1187</x:f>
        <x:v>3</x:v>
      </x:c>
      <x:c r="R1187" s="9" t="n">
        <x:f>K1187-P1187</x:f>
        <x:v>2.780000000000001</x:v>
      </x:c>
      <x:c r="S1187" s="10" t="n">
        <x:f>IF(K1187&gt;0,R1187/K1187,"")</x:f>
        <x:v>0.3349397590361447</x:v>
      </x:c>
    </x:row>
    <x:row r="1188">
      <x:c r="A1188" s="7" t="n">
        <x:v>1184</x:v>
      </x:c>
      <x:c r="B1188" s="7" t="str">
        <x:v>Tata</x:v>
      </x:c>
      <x:c r="C1188" s="7" t="str">
        <x:v>Tigor</x:v>
      </x:c>
      <x:c r="D1188" s="7" t="str">
        <x:v>XZA</x:v>
      </x:c>
      <x:c r="E1188" s="7" t="str">
        <x:v>Petrol</x:v>
      </x:c>
      <x:c r="F1188" s="7" t="str">
        <x:v>Automatic</x:v>
      </x:c>
      <x:c r="G1188" s="7" t="str">
        <x:v>Sedan</x:v>
      </x:c>
      <x:c r="H1188" s="7" t="n">
        <x:v>1199</x:v>
      </x:c>
      <x:c r="I1188" s="7" t="n">
        <x:v>85</x:v>
      </x:c>
      <x:c r="J1188" s="9" t="n">
        <x:v>19.6</x:v>
      </x:c>
      <x:c r="K1188" s="9" t="n">
        <x:v>8.3</x:v>
      </x:c>
      <x:c r="L1188" s="7" t="n">
        <x:v>2024</x:v>
      </x:c>
      <x:c r="M1188" s="11" t="n">
        <x:v>42692</x:v>
      </x:c>
      <x:c r="N1188" s="7" t="n">
        <x:v>1</x:v>
      </x:c>
      <x:c r="O1188" s="7" t="n">
        <x:v>0</x:v>
      </x:c>
      <x:c r="P1188" s="9" t="n">
        <x:v>6.32</x:v>
      </x:c>
      <x:c r="Q1188" s="7" t="n">
        <x:f>'Guide'!$B$5-L1188</x:f>
        <x:v>2</x:v>
      </x:c>
      <x:c r="R1188" s="9" t="n">
        <x:f>K1188-P1188</x:f>
        <x:v>1.9800000000000004</x:v>
      </x:c>
      <x:c r="S1188" s="10" t="n">
        <x:f>IF(K1188&gt;0,R1188/K1188,"")</x:f>
        <x:v>0.23855421686746991</x:v>
      </x:c>
    </x:row>
    <x:row r="1189">
      <x:c r="A1189" s="7" t="n">
        <x:v>1185</x:v>
      </x:c>
      <x:c r="B1189" s="7" t="str">
        <x:v>Tata</x:v>
      </x:c>
      <x:c r="C1189" s="7" t="str">
        <x:v>Tigor</x:v>
      </x:c>
      <x:c r="D1189" s="7" t="str">
        <x:v>XZA</x:v>
      </x:c>
      <x:c r="E1189" s="7" t="str">
        <x:v>Petrol</x:v>
      </x:c>
      <x:c r="F1189" s="7" t="str">
        <x:v>Automatic</x:v>
      </x:c>
      <x:c r="G1189" s="7" t="str">
        <x:v>Sedan</x:v>
      </x:c>
      <x:c r="H1189" s="7" t="n">
        <x:v>1199</x:v>
      </x:c>
      <x:c r="I1189" s="7" t="n">
        <x:v>85</x:v>
      </x:c>
      <x:c r="J1189" s="9" t="n">
        <x:v>19.6</x:v>
      </x:c>
      <x:c r="K1189" s="9" t="n">
        <x:v>8.3</x:v>
      </x:c>
      <x:c r="L1189" s="7" t="n">
        <x:v>2024</x:v>
      </x:c>
      <x:c r="M1189" s="11" t="n">
        <x:v>46412</x:v>
      </x:c>
      <x:c r="N1189" s="7" t="n">
        <x:v>1</x:v>
      </x:c>
      <x:c r="O1189" s="7" t="n">
        <x:v>0</x:v>
      </x:c>
      <x:c r="P1189" s="9" t="n">
        <x:v>6.21</x:v>
      </x:c>
      <x:c r="Q1189" s="7" t="n">
        <x:f>'Guide'!$B$5-L1189</x:f>
        <x:v>2</x:v>
      </x:c>
      <x:c r="R1189" s="9" t="n">
        <x:f>K1189-P1189</x:f>
        <x:v>2.0900000000000007</x:v>
      </x:c>
      <x:c r="S1189" s="10" t="n">
        <x:f>IF(K1189&gt;0,R1189/K1189,"")</x:f>
        <x:v>0.2518072289156627</x:v>
      </x:c>
    </x:row>
    <x:row r="1190">
      <x:c r="A1190" s="7" t="n">
        <x:v>1186</x:v>
      </x:c>
      <x:c r="B1190" s="7" t="str">
        <x:v>Tata</x:v>
      </x:c>
      <x:c r="C1190" s="7" t="str">
        <x:v>Tigor</x:v>
      </x:c>
      <x:c r="D1190" s="7" t="str">
        <x:v>XZA</x:v>
      </x:c>
      <x:c r="E1190" s="7" t="str">
        <x:v>Petrol</x:v>
      </x:c>
      <x:c r="F1190" s="7" t="str">
        <x:v>Automatic</x:v>
      </x:c>
      <x:c r="G1190" s="7" t="str">
        <x:v>Sedan</x:v>
      </x:c>
      <x:c r="H1190" s="7" t="n">
        <x:v>1199</x:v>
      </x:c>
      <x:c r="I1190" s="7" t="n">
        <x:v>85</x:v>
      </x:c>
      <x:c r="J1190" s="9" t="n">
        <x:v>19.6</x:v>
      </x:c>
      <x:c r="K1190" s="9" t="n">
        <x:v>8.3</x:v>
      </x:c>
      <x:c r="L1190" s="7" t="n">
        <x:v>2024</x:v>
      </x:c>
      <x:c r="M1190" s="11" t="n">
        <x:v>28771</x:v>
      </x:c>
      <x:c r="N1190" s="7" t="n">
        <x:v>2</x:v>
      </x:c>
      <x:c r="O1190" s="7" t="n">
        <x:v>0</x:v>
      </x:c>
      <x:c r="P1190" s="9" t="n">
        <x:v>6.46</x:v>
      </x:c>
      <x:c r="Q1190" s="7" t="n">
        <x:f>'Guide'!$B$5-L1190</x:f>
        <x:v>2</x:v>
      </x:c>
      <x:c r="R1190" s="9" t="n">
        <x:f>K1190-P1190</x:f>
        <x:v>1.8400000000000007</x:v>
      </x:c>
      <x:c r="S1190" s="10" t="n">
        <x:f>IF(K1190&gt;0,R1190/K1190,"")</x:f>
        <x:v>0.22168674698795188</x:v>
      </x:c>
    </x:row>
    <x:row r="1191">
      <x:c r="A1191" s="7" t="n">
        <x:v>1187</x:v>
      </x:c>
      <x:c r="B1191" s="7" t="str">
        <x:v>Tata</x:v>
      </x:c>
      <x:c r="C1191" s="7" t="str">
        <x:v>Tigor</x:v>
      </x:c>
      <x:c r="D1191" s="7" t="str">
        <x:v>XZA</x:v>
      </x:c>
      <x:c r="E1191" s="7" t="str">
        <x:v>Petrol</x:v>
      </x:c>
      <x:c r="F1191" s="7" t="str">
        <x:v>Automatic</x:v>
      </x:c>
      <x:c r="G1191" s="7" t="str">
        <x:v>Sedan</x:v>
      </x:c>
      <x:c r="H1191" s="7" t="n">
        <x:v>1199</x:v>
      </x:c>
      <x:c r="I1191" s="7" t="n">
        <x:v>85</x:v>
      </x:c>
      <x:c r="J1191" s="9" t="n">
        <x:v>19.6</x:v>
      </x:c>
      <x:c r="K1191" s="9" t="n">
        <x:v>8.3</x:v>
      </x:c>
      <x:c r="L1191" s="7" t="n">
        <x:v>2024</x:v>
      </x:c>
      <x:c r="M1191" s="11" t="n">
        <x:v>40020</x:v>
      </x:c>
      <x:c r="N1191" s="7" t="n">
        <x:v>2</x:v>
      </x:c>
      <x:c r="O1191" s="7" t="n">
        <x:v>0</x:v>
      </x:c>
      <x:c r="P1191" s="9" t="n">
        <x:v>5.82</x:v>
      </x:c>
      <x:c r="Q1191" s="7" t="n">
        <x:f>'Guide'!$B$5-L1191</x:f>
        <x:v>2</x:v>
      </x:c>
      <x:c r="R1191" s="9" t="n">
        <x:f>K1191-P1191</x:f>
        <x:v>2.4800000000000004</x:v>
      </x:c>
      <x:c r="S1191" s="10" t="n">
        <x:f>IF(K1191&gt;0,R1191/K1191,"")</x:f>
        <x:v>0.2987951807228916</x:v>
      </x:c>
    </x:row>
    <x:row r="1192">
      <x:c r="A1192" s="7" t="n">
        <x:v>1188</x:v>
      </x:c>
      <x:c r="B1192" s="7" t="str">
        <x:v>Tata</x:v>
      </x:c>
      <x:c r="C1192" s="7" t="str">
        <x:v>Tigor</x:v>
      </x:c>
      <x:c r="D1192" s="7" t="str">
        <x:v>XZA</x:v>
      </x:c>
      <x:c r="E1192" s="7" t="str">
        <x:v>Petrol</x:v>
      </x:c>
      <x:c r="F1192" s="7" t="str">
        <x:v>Automatic</x:v>
      </x:c>
      <x:c r="G1192" s="7" t="str">
        <x:v>Sedan</x:v>
      </x:c>
      <x:c r="H1192" s="7" t="n">
        <x:v>1199</x:v>
      </x:c>
      <x:c r="I1192" s="7" t="n">
        <x:v>85</x:v>
      </x:c>
      <x:c r="J1192" s="9" t="n">
        <x:v>19.6</x:v>
      </x:c>
      <x:c r="K1192" s="9" t="n">
        <x:v>8.3</x:v>
      </x:c>
      <x:c r="L1192" s="7" t="n">
        <x:v>2024</x:v>
      </x:c>
      <x:c r="M1192" s="11" t="n">
        <x:v>21227</x:v>
      </x:c>
      <x:c r="N1192" s="7" t="n">
        <x:v>2</x:v>
      </x:c>
      <x:c r="O1192" s="7" t="n">
        <x:v>0</x:v>
      </x:c>
      <x:c r="P1192" s="9" t="n">
        <x:v>6.02</x:v>
      </x:c>
      <x:c r="Q1192" s="7" t="n">
        <x:f>'Guide'!$B$5-L1192</x:f>
        <x:v>2</x:v>
      </x:c>
      <x:c r="R1192" s="9" t="n">
        <x:f>K1192-P1192</x:f>
        <x:v>2.280000000000001</x:v>
      </x:c>
      <x:c r="S1192" s="10" t="n">
        <x:f>IF(K1192&gt;0,R1192/K1192,"")</x:f>
        <x:v>0.274698795180723</x:v>
      </x:c>
    </x:row>
    <x:row r="1193">
      <x:c r="A1193" s="7" t="n">
        <x:v>1189</x:v>
      </x:c>
      <x:c r="B1193" s="7" t="str">
        <x:v>Tata</x:v>
      </x:c>
      <x:c r="C1193" s="7" t="str">
        <x:v>Tigor</x:v>
      </x:c>
      <x:c r="D1193" s="7" t="str">
        <x:v>XZA</x:v>
      </x:c>
      <x:c r="E1193" s="7" t="str">
        <x:v>Petrol</x:v>
      </x:c>
      <x:c r="F1193" s="7" t="str">
        <x:v>Automatic</x:v>
      </x:c>
      <x:c r="G1193" s="7" t="str">
        <x:v>Sedan</x:v>
      </x:c>
      <x:c r="H1193" s="7" t="n">
        <x:v>1199</x:v>
      </x:c>
      <x:c r="I1193" s="7" t="n">
        <x:v>85</x:v>
      </x:c>
      <x:c r="J1193" s="9" t="n">
        <x:v>19.6</x:v>
      </x:c>
      <x:c r="K1193" s="9" t="n">
        <x:v>8.3</x:v>
      </x:c>
      <x:c r="L1193" s="7" t="n">
        <x:v>2022</x:v>
      </x:c>
      <x:c r="M1193" s="11" t="n">
        <x:v>64484</x:v>
      </x:c>
      <x:c r="N1193" s="7" t="n">
        <x:v>1</x:v>
      </x:c>
      <x:c r="O1193" s="7" t="n">
        <x:v>0</x:v>
      </x:c>
      <x:c r="P1193" s="9" t="n">
        <x:v>5.07</x:v>
      </x:c>
      <x:c r="Q1193" s="7" t="n">
        <x:f>'Guide'!$B$5-L1193</x:f>
        <x:v>4</x:v>
      </x:c>
      <x:c r="R1193" s="9" t="n">
        <x:f>K1193-P1193</x:f>
        <x:v>3.2300000000000004</x:v>
      </x:c>
      <x:c r="S1193" s="10" t="n">
        <x:f>IF(K1193&gt;0,R1193/K1193,"")</x:f>
        <x:v>0.3891566265060241</x:v>
      </x:c>
    </x:row>
    <x:row r="1194">
      <x:c r="A1194" s="7" t="n">
        <x:v>1190</x:v>
      </x:c>
      <x:c r="B1194" s="7" t="str">
        <x:v>Tata</x:v>
      </x:c>
      <x:c r="C1194" s="7" t="str">
        <x:v>Tigor</x:v>
      </x:c>
      <x:c r="D1194" s="7" t="str">
        <x:v>XZA</x:v>
      </x:c>
      <x:c r="E1194" s="7" t="str">
        <x:v>Petrol</x:v>
      </x:c>
      <x:c r="F1194" s="7" t="str">
        <x:v>Automatic</x:v>
      </x:c>
      <x:c r="G1194" s="7" t="str">
        <x:v>Sedan</x:v>
      </x:c>
      <x:c r="H1194" s="7" t="n">
        <x:v>1199</x:v>
      </x:c>
      <x:c r="I1194" s="7" t="n">
        <x:v>85</x:v>
      </x:c>
      <x:c r="J1194" s="9" t="n">
        <x:v>19.6</x:v>
      </x:c>
      <x:c r="K1194" s="9" t="n">
        <x:v>8.3</x:v>
      </x:c>
      <x:c r="L1194" s="7" t="n">
        <x:v>2023</x:v>
      </x:c>
      <x:c r="M1194" s="11" t="n">
        <x:v>68409</x:v>
      </x:c>
      <x:c r="N1194" s="7" t="n">
        <x:v>2</x:v>
      </x:c>
      <x:c r="O1194" s="7" t="n">
        <x:v>0</x:v>
      </x:c>
      <x:c r="P1194" s="9" t="n">
        <x:v>5.12</x:v>
      </x:c>
      <x:c r="Q1194" s="7" t="n">
        <x:f>'Guide'!$B$5-L1194</x:f>
        <x:v>3</x:v>
      </x:c>
      <x:c r="R1194" s="9" t="n">
        <x:f>K1194-P1194</x:f>
        <x:v>3.1800000000000006</x:v>
      </x:c>
      <x:c r="S1194" s="10" t="n">
        <x:f>IF(K1194&gt;0,R1194/K1194,"")</x:f>
        <x:v>0.383132530120482</x:v>
      </x:c>
    </x:row>
    <x:row r="1195">
      <x:c r="A1195" s="7" t="n">
        <x:v>1191</x:v>
      </x:c>
      <x:c r="B1195" s="7" t="str">
        <x:v>Tata</x:v>
      </x:c>
      <x:c r="C1195" s="7" t="str">
        <x:v>Tigor</x:v>
      </x:c>
      <x:c r="D1195" s="7" t="str">
        <x:v>XZA</x:v>
      </x:c>
      <x:c r="E1195" s="7" t="str">
        <x:v>Petrol</x:v>
      </x:c>
      <x:c r="F1195" s="7" t="str">
        <x:v>Automatic</x:v>
      </x:c>
      <x:c r="G1195" s="7" t="str">
        <x:v>Sedan</x:v>
      </x:c>
      <x:c r="H1195" s="7" t="n">
        <x:v>1199</x:v>
      </x:c>
      <x:c r="I1195" s="7" t="n">
        <x:v>85</x:v>
      </x:c>
      <x:c r="J1195" s="9" t="n">
        <x:v>19.6</x:v>
      </x:c>
      <x:c r="K1195" s="9" t="n">
        <x:v>8.3</x:v>
      </x:c>
      <x:c r="L1195" s="7" t="n">
        <x:v>2020</x:v>
      </x:c>
      <x:c r="M1195" s="11" t="n">
        <x:v>88804</x:v>
      </x:c>
      <x:c r="N1195" s="7" t="n">
        <x:v>1</x:v>
      </x:c>
      <x:c r="O1195" s="7" t="n">
        <x:v>0</x:v>
      </x:c>
      <x:c r="P1195" s="9" t="n">
        <x:v>3.3</x:v>
      </x:c>
      <x:c r="Q1195" s="7" t="n">
        <x:f>'Guide'!$B$5-L1195</x:f>
        <x:v>6</x:v>
      </x:c>
      <x:c r="R1195" s="9" t="n">
        <x:f>K1195-P1195</x:f>
        <x:v>5.000000000000001</x:v>
      </x:c>
      <x:c r="S1195" s="10" t="n">
        <x:f>IF(K1195&gt;0,R1195/K1195,"")</x:f>
        <x:v>0.6024096385542169</x:v>
      </x:c>
    </x:row>
    <x:row r="1196">
      <x:c r="A1196" s="7" t="n">
        <x:v>1192</x:v>
      </x:c>
      <x:c r="B1196" s="7" t="str">
        <x:v>Tata</x:v>
      </x:c>
      <x:c r="C1196" s="7" t="str">
        <x:v>Tigor</x:v>
      </x:c>
      <x:c r="D1196" s="7" t="str">
        <x:v>XZA</x:v>
      </x:c>
      <x:c r="E1196" s="7" t="str">
        <x:v>Petrol</x:v>
      </x:c>
      <x:c r="F1196" s="7" t="str">
        <x:v>Automatic</x:v>
      </x:c>
      <x:c r="G1196" s="7" t="str">
        <x:v>Sedan</x:v>
      </x:c>
      <x:c r="H1196" s="7" t="n">
        <x:v>1199</x:v>
      </x:c>
      <x:c r="I1196" s="7" t="n">
        <x:v>85</x:v>
      </x:c>
      <x:c r="J1196" s="9" t="n">
        <x:v>19.6</x:v>
      </x:c>
      <x:c r="K1196" s="9" t="n">
        <x:v>8.3</x:v>
      </x:c>
      <x:c r="L1196" s="7" t="n">
        <x:v>2026</x:v>
      </x:c>
      <x:c r="M1196" s="11" t="n">
        <x:v>5333</x:v>
      </x:c>
      <x:c r="N1196" s="7" t="n">
        <x:v>1</x:v>
      </x:c>
      <x:c r="O1196" s="7" t="n">
        <x:v>0</x:v>
      </x:c>
      <x:c r="P1196" s="9" t="n">
        <x:v>8.22</x:v>
      </x:c>
      <x:c r="Q1196" s="7" t="n">
        <x:f>'Guide'!$B$5-L1196</x:f>
        <x:v>0</x:v>
      </x:c>
      <x:c r="R1196" s="9" t="n">
        <x:f>K1196-P1196</x:f>
        <x:v>0.08000000000000007</x:v>
      </x:c>
      <x:c r="S1196" s="10" t="n">
        <x:f>IF(K1196&gt;0,R1196/K1196,"")</x:f>
        <x:v>0.009638554216867478</x:v>
      </x:c>
    </x:row>
    <x:row r="1197">
      <x:c r="A1197" s="7" t="n">
        <x:v>1193</x:v>
      </x:c>
      <x:c r="B1197" s="7" t="str">
        <x:v>Tata</x:v>
      </x:c>
      <x:c r="C1197" s="7" t="str">
        <x:v>Tigor</x:v>
      </x:c>
      <x:c r="D1197" s="7" t="str">
        <x:v>XZA</x:v>
      </x:c>
      <x:c r="E1197" s="7" t="str">
        <x:v>Petrol</x:v>
      </x:c>
      <x:c r="F1197" s="7" t="str">
        <x:v>Automatic</x:v>
      </x:c>
      <x:c r="G1197" s="7" t="str">
        <x:v>Sedan</x:v>
      </x:c>
      <x:c r="H1197" s="7" t="n">
        <x:v>1199</x:v>
      </x:c>
      <x:c r="I1197" s="7" t="n">
        <x:v>85</x:v>
      </x:c>
      <x:c r="J1197" s="9" t="n">
        <x:v>19.6</x:v>
      </x:c>
      <x:c r="K1197" s="9" t="n">
        <x:v>8.3</x:v>
      </x:c>
      <x:c r="L1197" s="7" t="n">
        <x:v>2022</x:v>
      </x:c>
      <x:c r="M1197" s="11" t="n">
        <x:v>89337</x:v>
      </x:c>
      <x:c r="N1197" s="7" t="n">
        <x:v>1</x:v>
      </x:c>
      <x:c r="O1197" s="7" t="n">
        <x:v>0</x:v>
      </x:c>
      <x:c r="P1197" s="9" t="n">
        <x:v>4.4</x:v>
      </x:c>
      <x:c r="Q1197" s="7" t="n">
        <x:f>'Guide'!$B$5-L1197</x:f>
        <x:v>4</x:v>
      </x:c>
      <x:c r="R1197" s="9" t="n">
        <x:f>K1197-P1197</x:f>
        <x:v>3.9000000000000004</x:v>
      </x:c>
      <x:c r="S1197" s="10" t="n">
        <x:f>IF(K1197&gt;0,R1197/K1197,"")</x:f>
        <x:v>0.46987951807228917</x:v>
      </x:c>
    </x:row>
    <x:row r="1198">
      <x:c r="A1198" s="7" t="n">
        <x:v>1194</x:v>
      </x:c>
      <x:c r="B1198" s="7" t="str">
        <x:v>Tata</x:v>
      </x:c>
      <x:c r="C1198" s="7" t="str">
        <x:v>Tigor</x:v>
      </x:c>
      <x:c r="D1198" s="7" t="str">
        <x:v>XZA</x:v>
      </x:c>
      <x:c r="E1198" s="7" t="str">
        <x:v>Petrol</x:v>
      </x:c>
      <x:c r="F1198" s="7" t="str">
        <x:v>Automatic</x:v>
      </x:c>
      <x:c r="G1198" s="7" t="str">
        <x:v>Sedan</x:v>
      </x:c>
      <x:c r="H1198" s="7" t="n">
        <x:v>1199</x:v>
      </x:c>
      <x:c r="I1198" s="7" t="n">
        <x:v>85</x:v>
      </x:c>
      <x:c r="J1198" s="9" t="n">
        <x:v>19.6</x:v>
      </x:c>
      <x:c r="K1198" s="9" t="n">
        <x:v>8.3</x:v>
      </x:c>
      <x:c r="L1198" s="7" t="n">
        <x:v>2021</x:v>
      </x:c>
      <x:c r="M1198" s="11" t="n">
        <x:v>94956</x:v>
      </x:c>
      <x:c r="N1198" s="7" t="n">
        <x:v>2</x:v>
      </x:c>
      <x:c r="O1198" s="7" t="n">
        <x:v>0</x:v>
      </x:c>
      <x:c r="P1198" s="9" t="n">
        <x:v>3.54</x:v>
      </x:c>
      <x:c r="Q1198" s="7" t="n">
        <x:f>'Guide'!$B$5-L1198</x:f>
        <x:v>5</x:v>
      </x:c>
      <x:c r="R1198" s="9" t="n">
        <x:f>K1198-P1198</x:f>
        <x:v>4.760000000000001</x:v>
      </x:c>
      <x:c r="S1198" s="10" t="n">
        <x:f>IF(K1198&gt;0,R1198/K1198,"")</x:f>
        <x:v>0.5734939759036145</x:v>
      </x:c>
    </x:row>
    <x:row r="1199">
      <x:c r="A1199" s="7" t="n">
        <x:v>1195</x:v>
      </x:c>
      <x:c r="B1199" s="7" t="str">
        <x:v>Tata</x:v>
      </x:c>
      <x:c r="C1199" s="7" t="str">
        <x:v>Tigor</x:v>
      </x:c>
      <x:c r="D1199" s="7" t="str">
        <x:v>XZA</x:v>
      </x:c>
      <x:c r="E1199" s="7" t="str">
        <x:v>Petrol</x:v>
      </x:c>
      <x:c r="F1199" s="7" t="str">
        <x:v>Automatic</x:v>
      </x:c>
      <x:c r="G1199" s="7" t="str">
        <x:v>Sedan</x:v>
      </x:c>
      <x:c r="H1199" s="7" t="n">
        <x:v>1199</x:v>
      </x:c>
      <x:c r="I1199" s="7" t="n">
        <x:v>85</x:v>
      </x:c>
      <x:c r="J1199" s="9" t="n">
        <x:v>19.6</x:v>
      </x:c>
      <x:c r="K1199" s="9" t="n">
        <x:v>8.3</x:v>
      </x:c>
      <x:c r="L1199" s="7" t="n">
        <x:v>2023</x:v>
      </x:c>
      <x:c r="M1199" s="11" t="n">
        <x:v>45726</x:v>
      </x:c>
      <x:c r="N1199" s="7" t="n">
        <x:v>1</x:v>
      </x:c>
      <x:c r="O1199" s="7" t="n">
        <x:v>0</x:v>
      </x:c>
      <x:c r="P1199" s="9" t="n">
        <x:v>5.79</x:v>
      </x:c>
      <x:c r="Q1199" s="7" t="n">
        <x:f>'Guide'!$B$5-L1199</x:f>
        <x:v>3</x:v>
      </x:c>
      <x:c r="R1199" s="9" t="n">
        <x:f>K1199-P1199</x:f>
        <x:v>2.5100000000000007</x:v>
      </x:c>
      <x:c r="S1199" s="10" t="n">
        <x:f>IF(K1199&gt;0,R1199/K1199,"")</x:f>
        <x:v>0.30240963855421693</x:v>
      </x:c>
    </x:row>
    <x:row r="1200">
      <x:c r="A1200" s="7" t="n">
        <x:v>1196</x:v>
      </x:c>
      <x:c r="B1200" s="7" t="str">
        <x:v>Tata</x:v>
      </x:c>
      <x:c r="C1200" s="7" t="str">
        <x:v>Tigor</x:v>
      </x:c>
      <x:c r="D1200" s="7" t="str">
        <x:v>XZA</x:v>
      </x:c>
      <x:c r="E1200" s="7" t="str">
        <x:v>Petrol</x:v>
      </x:c>
      <x:c r="F1200" s="7" t="str">
        <x:v>Automatic</x:v>
      </x:c>
      <x:c r="G1200" s="7" t="str">
        <x:v>Sedan</x:v>
      </x:c>
      <x:c r="H1200" s="7" t="n">
        <x:v>1199</x:v>
      </x:c>
      <x:c r="I1200" s="7" t="n">
        <x:v>85</x:v>
      </x:c>
      <x:c r="J1200" s="9" t="n">
        <x:v>19.6</x:v>
      </x:c>
      <x:c r="K1200" s="9" t="n">
        <x:v>8.3</x:v>
      </x:c>
      <x:c r="L1200" s="7" t="n">
        <x:v>2026</x:v>
      </x:c>
      <x:c r="M1200" s="11" t="n">
        <x:v>6397</x:v>
      </x:c>
      <x:c r="N1200" s="7" t="n">
        <x:v>1</x:v>
      </x:c>
      <x:c r="O1200" s="7" t="n">
        <x:v>0</x:v>
      </x:c>
      <x:c r="P1200" s="9" t="n">
        <x:v>8.07</x:v>
      </x:c>
      <x:c r="Q1200" s="7" t="n">
        <x:f>'Guide'!$B$5-L1200</x:f>
        <x:v>0</x:v>
      </x:c>
      <x:c r="R1200" s="9" t="n">
        <x:f>K1200-P1200</x:f>
        <x:v>0.23000000000000043</x:v>
      </x:c>
      <x:c r="S1200" s="10" t="n">
        <x:f>IF(K1200&gt;0,R1200/K1200,"")</x:f>
        <x:v>0.027710843373494026</x:v>
      </x:c>
    </x:row>
    <x:row r="1201">
      <x:c r="A1201" s="7" t="n">
        <x:v>1197</x:v>
      </x:c>
      <x:c r="B1201" s="7" t="str">
        <x:v>Tata</x:v>
      </x:c>
      <x:c r="C1201" s="7" t="str">
        <x:v>Tigor</x:v>
      </x:c>
      <x:c r="D1201" s="7" t="str">
        <x:v>XZA</x:v>
      </x:c>
      <x:c r="E1201" s="7" t="str">
        <x:v>Petrol</x:v>
      </x:c>
      <x:c r="F1201" s="7" t="str">
        <x:v>Automatic</x:v>
      </x:c>
      <x:c r="G1201" s="7" t="str">
        <x:v>Sedan</x:v>
      </x:c>
      <x:c r="H1201" s="7" t="n">
        <x:v>1199</x:v>
      </x:c>
      <x:c r="I1201" s="7" t="n">
        <x:v>85</x:v>
      </x:c>
      <x:c r="J1201" s="9" t="n">
        <x:v>19.6</x:v>
      </x:c>
      <x:c r="K1201" s="9" t="n">
        <x:v>8.3</x:v>
      </x:c>
      <x:c r="L1201" s="7" t="n">
        <x:v>2021</x:v>
      </x:c>
      <x:c r="M1201" s="11" t="n">
        <x:v>67268</x:v>
      </x:c>
      <x:c r="N1201" s="7" t="n">
        <x:v>1</x:v>
      </x:c>
      <x:c r="O1201" s="7" t="n">
        <x:v>0</x:v>
      </x:c>
      <x:c r="P1201" s="9" t="n">
        <x:v>4.09</x:v>
      </x:c>
      <x:c r="Q1201" s="7" t="n">
        <x:f>'Guide'!$B$5-L1201</x:f>
        <x:v>5</x:v>
      </x:c>
      <x:c r="R1201" s="9" t="n">
        <x:f>K1201-P1201</x:f>
        <x:v>4.210000000000001</x:v>
      </x:c>
      <x:c r="S1201" s="10" t="n">
        <x:f>IF(K1201&gt;0,R1201/K1201,"")</x:f>
        <x:v>0.5072289156626507</x:v>
      </x:c>
    </x:row>
    <x:row r="1202">
      <x:c r="A1202" s="7" t="n">
        <x:v>1198</x:v>
      </x:c>
      <x:c r="B1202" s="7" t="str">
        <x:v>Tata</x:v>
      </x:c>
      <x:c r="C1202" s="7" t="str">
        <x:v>Tigor</x:v>
      </x:c>
      <x:c r="D1202" s="7" t="str">
        <x:v>XZA</x:v>
      </x:c>
      <x:c r="E1202" s="7" t="str">
        <x:v>Petrol</x:v>
      </x:c>
      <x:c r="F1202" s="7" t="str">
        <x:v>Automatic</x:v>
      </x:c>
      <x:c r="G1202" s="7" t="str">
        <x:v>Sedan</x:v>
      </x:c>
      <x:c r="H1202" s="7" t="n">
        <x:v>1199</x:v>
      </x:c>
      <x:c r="I1202" s="7" t="n">
        <x:v>85</x:v>
      </x:c>
      <x:c r="J1202" s="9" t="n">
        <x:v>19.6</x:v>
      </x:c>
      <x:c r="K1202" s="9" t="n">
        <x:v>8.3</x:v>
      </x:c>
      <x:c r="L1202" s="7" t="n">
        <x:v>2026</x:v>
      </x:c>
      <x:c r="M1202" s="11" t="n">
        <x:v>9800</x:v>
      </x:c>
      <x:c r="N1202" s="7" t="n">
        <x:v>1</x:v>
      </x:c>
      <x:c r="O1202" s="7" t="n">
        <x:v>0</x:v>
      </x:c>
      <x:c r="P1202" s="9" t="n">
        <x:v>8.46</x:v>
      </x:c>
      <x:c r="Q1202" s="7" t="n">
        <x:f>'Guide'!$B$5-L1202</x:f>
        <x:v>0</x:v>
      </x:c>
      <x:c r="R1202" s="9" t="n">
        <x:f>K1202-P1202</x:f>
        <x:v>-0.16000000000000014</x:v>
      </x:c>
      <x:c r="S1202" s="10" t="n">
        <x:f>IF(K1202&gt;0,R1202/K1202,"")</x:f>
        <x:v>-0.019277108433734955</x:v>
      </x:c>
    </x:row>
    <x:row r="1203">
      <x:c r="A1203" s="7" t="n">
        <x:v>1199</x:v>
      </x:c>
      <x:c r="B1203" s="7" t="str">
        <x:v>Tata</x:v>
      </x:c>
      <x:c r="C1203" s="7" t="str">
        <x:v>Tigor</x:v>
      </x:c>
      <x:c r="D1203" s="7" t="str">
        <x:v>XZA</x:v>
      </x:c>
      <x:c r="E1203" s="7" t="str">
        <x:v>Petrol</x:v>
      </x:c>
      <x:c r="F1203" s="7" t="str">
        <x:v>Automatic</x:v>
      </x:c>
      <x:c r="G1203" s="7" t="str">
        <x:v>Sedan</x:v>
      </x:c>
      <x:c r="H1203" s="7" t="n">
        <x:v>1199</x:v>
      </x:c>
      <x:c r="I1203" s="7" t="n">
        <x:v>85</x:v>
      </x:c>
      <x:c r="J1203" s="9" t="n">
        <x:v>19.6</x:v>
      </x:c>
      <x:c r="K1203" s="9" t="n">
        <x:v>8.3</x:v>
      </x:c>
      <x:c r="L1203" s="7" t="n">
        <x:v>2020</x:v>
      </x:c>
      <x:c r="M1203" s="11" t="n">
        <x:v>63464</x:v>
      </x:c>
      <x:c r="N1203" s="7" t="n">
        <x:v>1</x:v>
      </x:c>
      <x:c r="O1203" s="7" t="n">
        <x:v>0</x:v>
      </x:c>
      <x:c r="P1203" s="9" t="n">
        <x:v>3.37</x:v>
      </x:c>
      <x:c r="Q1203" s="7" t="n">
        <x:f>'Guide'!$B$5-L1203</x:f>
        <x:v>6</x:v>
      </x:c>
      <x:c r="R1203" s="9" t="n">
        <x:f>K1203-P1203</x:f>
        <x:v>4.930000000000001</x:v>
      </x:c>
      <x:c r="S1203" s="10" t="n">
        <x:f>IF(K1203&gt;0,R1203/K1203,"")</x:f>
        <x:v>0.5939759036144578</x:v>
      </x:c>
    </x:row>
    <x:row r="1204">
      <x:c r="A1204" s="7" t="n">
        <x:v>1200</x:v>
      </x:c>
      <x:c r="B1204" s="7" t="str">
        <x:v>Tata</x:v>
      </x:c>
      <x:c r="C1204" s="7" t="str">
        <x:v>Tigor</x:v>
      </x:c>
      <x:c r="D1204" s="7" t="str">
        <x:v>XZA</x:v>
      </x:c>
      <x:c r="E1204" s="7" t="str">
        <x:v>Petrol</x:v>
      </x:c>
      <x:c r="F1204" s="7" t="str">
        <x:v>Automatic</x:v>
      </x:c>
      <x:c r="G1204" s="7" t="str">
        <x:v>Sedan</x:v>
      </x:c>
      <x:c r="H1204" s="7" t="n">
        <x:v>1199</x:v>
      </x:c>
      <x:c r="I1204" s="7" t="n">
        <x:v>85</x:v>
      </x:c>
      <x:c r="J1204" s="9" t="n">
        <x:v>19.6</x:v>
      </x:c>
      <x:c r="K1204" s="9" t="n">
        <x:v>8.3</x:v>
      </x:c>
      <x:c r="L1204" s="7" t="n">
        <x:v>2026</x:v>
      </x:c>
      <x:c r="M1204" s="11" t="n">
        <x:v>7646</x:v>
      </x:c>
      <x:c r="N1204" s="7" t="n">
        <x:v>1</x:v>
      </x:c>
      <x:c r="O1204" s="7" t="n">
        <x:v>0</x:v>
      </x:c>
      <x:c r="P1204" s="9" t="n">
        <x:v>8.62</x:v>
      </x:c>
      <x:c r="Q1204" s="7" t="n">
        <x:f>'Guide'!$B$5-L1204</x:f>
        <x:v>0</x:v>
      </x:c>
      <x:c r="R1204" s="9" t="n">
        <x:f>K1204-P1204</x:f>
        <x:v>-0.3199999999999985</x:v>
      </x:c>
      <x:c r="S1204" s="10" t="n">
        <x:f>IF(K1204&gt;0,R1204/K1204,"")</x:f>
        <x:v>-0.038554216867469696</x:v>
      </x:c>
    </x:row>
    <x:row r="1205">
      <x:c r="A1205" s="7" t="n">
        <x:v>1201</x:v>
      </x:c>
      <x:c r="B1205" s="7" t="str">
        <x:v>Tata</x:v>
      </x:c>
      <x:c r="C1205" s="7" t="str">
        <x:v>Altroz</x:v>
      </x:c>
      <x:c r="D1205" s="7" t="str">
        <x:v>XE</x:v>
      </x:c>
      <x:c r="E1205" s="7" t="str">
        <x:v>Petrol</x:v>
      </x:c>
      <x:c r="F1205" s="7" t="str">
        <x:v>Manual</x:v>
      </x:c>
      <x:c r="G1205" s="7" t="str">
        <x:v>Hatchback</x:v>
      </x:c>
      <x:c r="H1205" s="7" t="n">
        <x:v>1199</x:v>
      </x:c>
      <x:c r="I1205" s="7" t="n">
        <x:v>87</x:v>
      </x:c>
      <x:c r="J1205" s="9" t="n">
        <x:v>19.3</x:v>
      </x:c>
      <x:c r="K1205" s="9" t="n">
        <x:v>7</x:v>
      </x:c>
      <x:c r="L1205" s="7" t="n">
        <x:v>2023</x:v>
      </x:c>
      <x:c r="M1205" s="11" t="n">
        <x:v>49276</x:v>
      </x:c>
      <x:c r="N1205" s="7" t="n">
        <x:v>1</x:v>
      </x:c>
      <x:c r="O1205" s="7" t="n">
        <x:v>0</x:v>
      </x:c>
      <x:c r="P1205" s="9" t="n">
        <x:v>4.94</x:v>
      </x:c>
      <x:c r="Q1205" s="7" t="n">
        <x:f>'Guide'!$B$5-L1205</x:f>
        <x:v>3</x:v>
      </x:c>
      <x:c r="R1205" s="9" t="n">
        <x:f>K1205-P1205</x:f>
        <x:v>2.0599999999999996</x:v>
      </x:c>
      <x:c r="S1205" s="10" t="n">
        <x:f>IF(K1205&gt;0,R1205/K1205,"")</x:f>
        <x:v>0.2942857142857142</x:v>
      </x:c>
    </x:row>
    <x:row r="1206">
      <x:c r="A1206" s="7" t="n">
        <x:v>1202</x:v>
      </x:c>
      <x:c r="B1206" s="7" t="str">
        <x:v>Tata</x:v>
      </x:c>
      <x:c r="C1206" s="7" t="str">
        <x:v>Altroz</x:v>
      </x:c>
      <x:c r="D1206" s="7" t="str">
        <x:v>XE</x:v>
      </x:c>
      <x:c r="E1206" s="7" t="str">
        <x:v>Petrol</x:v>
      </x:c>
      <x:c r="F1206" s="7" t="str">
        <x:v>Manual</x:v>
      </x:c>
      <x:c r="G1206" s="7" t="str">
        <x:v>Hatchback</x:v>
      </x:c>
      <x:c r="H1206" s="7" t="n">
        <x:v>1199</x:v>
      </x:c>
      <x:c r="I1206" s="7" t="n">
        <x:v>87</x:v>
      </x:c>
      <x:c r="J1206" s="9" t="n">
        <x:v>19.3</x:v>
      </x:c>
      <x:c r="K1206" s="9" t="n">
        <x:v>7</x:v>
      </x:c>
      <x:c r="L1206" s="7" t="n">
        <x:v>2021</x:v>
      </x:c>
      <x:c r="M1206" s="11" t="n">
        <x:v>79105</x:v>
      </x:c>
      <x:c r="N1206" s="7" t="n">
        <x:v>2</x:v>
      </x:c>
      <x:c r="O1206" s="7" t="n">
        <x:v>1</x:v>
      </x:c>
      <x:c r="P1206" s="9" t="n">
        <x:v>2.63</x:v>
      </x:c>
      <x:c r="Q1206" s="7" t="n">
        <x:f>'Guide'!$B$5-L1206</x:f>
        <x:v>5</x:v>
      </x:c>
      <x:c r="R1206" s="9" t="n">
        <x:f>K1206-P1206</x:f>
        <x:v>4.37</x:v>
      </x:c>
      <x:c r="S1206" s="10" t="n">
        <x:f>IF(K1206&gt;0,R1206/K1206,"")</x:f>
        <x:v>0.6242857142857143</x:v>
      </x:c>
    </x:row>
    <x:row r="1207">
      <x:c r="A1207" s="7" t="n">
        <x:v>1203</x:v>
      </x:c>
      <x:c r="B1207" s="7" t="str">
        <x:v>Tata</x:v>
      </x:c>
      <x:c r="C1207" s="7" t="str">
        <x:v>Altroz</x:v>
      </x:c>
      <x:c r="D1207" s="7" t="str">
        <x:v>XE</x:v>
      </x:c>
      <x:c r="E1207" s="7" t="str">
        <x:v>Petrol</x:v>
      </x:c>
      <x:c r="F1207" s="7" t="str">
        <x:v>Manual</x:v>
      </x:c>
      <x:c r="G1207" s="7" t="str">
        <x:v>Hatchback</x:v>
      </x:c>
      <x:c r="H1207" s="7" t="n">
        <x:v>1199</x:v>
      </x:c>
      <x:c r="I1207" s="7" t="n">
        <x:v>87</x:v>
      </x:c>
      <x:c r="J1207" s="9" t="n">
        <x:v>19.3</x:v>
      </x:c>
      <x:c r="K1207" s="9" t="n">
        <x:v>7</x:v>
      </x:c>
      <x:c r="L1207" s="7" t="n">
        <x:v>2021</x:v>
      </x:c>
      <x:c r="M1207" s="11" t="n">
        <x:v>67657</x:v>
      </x:c>
      <x:c r="N1207" s="7" t="n">
        <x:v>2</x:v>
      </x:c>
      <x:c r="O1207" s="7" t="n">
        <x:v>0</x:v>
      </x:c>
      <x:c r="P1207" s="9" t="n">
        <x:v>3.07</x:v>
      </x:c>
      <x:c r="Q1207" s="7" t="n">
        <x:f>'Guide'!$B$5-L1207</x:f>
        <x:v>5</x:v>
      </x:c>
      <x:c r="R1207" s="9" t="n">
        <x:f>K1207-P1207</x:f>
        <x:v>3.93</x:v>
      </x:c>
      <x:c r="S1207" s="10" t="n">
        <x:f>IF(K1207&gt;0,R1207/K1207,"")</x:f>
        <x:v>0.5614285714285715</x:v>
      </x:c>
    </x:row>
    <x:row r="1208">
      <x:c r="A1208" s="7" t="n">
        <x:v>1204</x:v>
      </x:c>
      <x:c r="B1208" s="7" t="str">
        <x:v>Tata</x:v>
      </x:c>
      <x:c r="C1208" s="7" t="str">
        <x:v>Altroz</x:v>
      </x:c>
      <x:c r="D1208" s="7" t="str">
        <x:v>XE</x:v>
      </x:c>
      <x:c r="E1208" s="7" t="str">
        <x:v>Petrol</x:v>
      </x:c>
      <x:c r="F1208" s="7" t="str">
        <x:v>Manual</x:v>
      </x:c>
      <x:c r="G1208" s="7" t="str">
        <x:v>Hatchback</x:v>
      </x:c>
      <x:c r="H1208" s="7" t="n">
        <x:v>1199</x:v>
      </x:c>
      <x:c r="I1208" s="7" t="n">
        <x:v>87</x:v>
      </x:c>
      <x:c r="J1208" s="9" t="n">
        <x:v>19.3</x:v>
      </x:c>
      <x:c r="K1208" s="9" t="n">
        <x:v>7</x:v>
      </x:c>
      <x:c r="L1208" s="7" t="n">
        <x:v>2024</x:v>
      </x:c>
      <x:c r="M1208" s="11" t="n">
        <x:v>45965</x:v>
      </x:c>
      <x:c r="N1208" s="7" t="n">
        <x:v>1</x:v>
      </x:c>
      <x:c r="O1208" s="7" t="n">
        <x:v>0</x:v>
      </x:c>
      <x:c r="P1208" s="9" t="n">
        <x:v>5.77</x:v>
      </x:c>
      <x:c r="Q1208" s="7" t="n">
        <x:f>'Guide'!$B$5-L1208</x:f>
        <x:v>2</x:v>
      </x:c>
      <x:c r="R1208" s="9" t="n">
        <x:f>K1208-P1208</x:f>
        <x:v>1.2300000000000004</x:v>
      </x:c>
      <x:c r="S1208" s="10" t="n">
        <x:f>IF(K1208&gt;0,R1208/K1208,"")</x:f>
        <x:v>0.17571428571428577</x:v>
      </x:c>
    </x:row>
    <x:row r="1209">
      <x:c r="A1209" s="7" t="n">
        <x:v>1205</x:v>
      </x:c>
      <x:c r="B1209" s="7" t="str">
        <x:v>Tata</x:v>
      </x:c>
      <x:c r="C1209" s="7" t="str">
        <x:v>Altroz</x:v>
      </x:c>
      <x:c r="D1209" s="7" t="str">
        <x:v>XE</x:v>
      </x:c>
      <x:c r="E1209" s="7" t="str">
        <x:v>Petrol</x:v>
      </x:c>
      <x:c r="F1209" s="7" t="str">
        <x:v>Manual</x:v>
      </x:c>
      <x:c r="G1209" s="7" t="str">
        <x:v>Hatchback</x:v>
      </x:c>
      <x:c r="H1209" s="7" t="n">
        <x:v>1199</x:v>
      </x:c>
      <x:c r="I1209" s="7" t="n">
        <x:v>87</x:v>
      </x:c>
      <x:c r="J1209" s="9" t="n">
        <x:v>19.3</x:v>
      </x:c>
      <x:c r="K1209" s="9" t="n">
        <x:v>7</x:v>
      </x:c>
      <x:c r="L1209" s="7" t="n">
        <x:v>2021</x:v>
      </x:c>
      <x:c r="M1209" s="11" t="n">
        <x:v>105309</x:v>
      </x:c>
      <x:c r="N1209" s="7" t="n">
        <x:v>1</x:v>
      </x:c>
      <x:c r="O1209" s="7" t="n">
        <x:v>1</x:v>
      </x:c>
      <x:c r="P1209" s="9" t="n">
        <x:v>2.44</x:v>
      </x:c>
      <x:c r="Q1209" s="7" t="n">
        <x:f>'Guide'!$B$5-L1209</x:f>
        <x:v>5</x:v>
      </x:c>
      <x:c r="R1209" s="9" t="n">
        <x:f>K1209-P1209</x:f>
        <x:v>4.5600000000000005</x:v>
      </x:c>
      <x:c r="S1209" s="10" t="n">
        <x:f>IF(K1209&gt;0,R1209/K1209,"")</x:f>
        <x:v>0.6514285714285715</x:v>
      </x:c>
    </x:row>
    <x:row r="1210">
      <x:c r="A1210" s="7" t="n">
        <x:v>1206</x:v>
      </x:c>
      <x:c r="B1210" s="7" t="str">
        <x:v>Tata</x:v>
      </x:c>
      <x:c r="C1210" s="7" t="str">
        <x:v>Altroz</x:v>
      </x:c>
      <x:c r="D1210" s="7" t="str">
        <x:v>XE</x:v>
      </x:c>
      <x:c r="E1210" s="7" t="str">
        <x:v>Petrol</x:v>
      </x:c>
      <x:c r="F1210" s="7" t="str">
        <x:v>Manual</x:v>
      </x:c>
      <x:c r="G1210" s="7" t="str">
        <x:v>Hatchback</x:v>
      </x:c>
      <x:c r="H1210" s="7" t="n">
        <x:v>1199</x:v>
      </x:c>
      <x:c r="I1210" s="7" t="n">
        <x:v>87</x:v>
      </x:c>
      <x:c r="J1210" s="9" t="n">
        <x:v>19.3</x:v>
      </x:c>
      <x:c r="K1210" s="9" t="n">
        <x:v>7</x:v>
      </x:c>
      <x:c r="L1210" s="7" t="n">
        <x:v>2024</x:v>
      </x:c>
      <x:c r="M1210" s="11" t="n">
        <x:v>23775</x:v>
      </x:c>
      <x:c r="N1210" s="7" t="n">
        <x:v>1</x:v>
      </x:c>
      <x:c r="O1210" s="7" t="n">
        <x:v>0</x:v>
      </x:c>
      <x:c r="P1210" s="9" t="n">
        <x:v>6.01</x:v>
      </x:c>
      <x:c r="Q1210" s="7" t="n">
        <x:f>'Guide'!$B$5-L1210</x:f>
        <x:v>2</x:v>
      </x:c>
      <x:c r="R1210" s="9" t="n">
        <x:f>K1210-P1210</x:f>
        <x:v>0.9900000000000002</x:v>
      </x:c>
      <x:c r="S1210" s="10" t="n">
        <x:f>IF(K1210&gt;0,R1210/K1210,"")</x:f>
        <x:v>0.14142857142857146</x:v>
      </x:c>
    </x:row>
    <x:row r="1211">
      <x:c r="A1211" s="7" t="n">
        <x:v>1207</x:v>
      </x:c>
      <x:c r="B1211" s="7" t="str">
        <x:v>Tata</x:v>
      </x:c>
      <x:c r="C1211" s="7" t="str">
        <x:v>Altroz</x:v>
      </x:c>
      <x:c r="D1211" s="7" t="str">
        <x:v>XE</x:v>
      </x:c>
      <x:c r="E1211" s="7" t="str">
        <x:v>Petrol</x:v>
      </x:c>
      <x:c r="F1211" s="7" t="str">
        <x:v>Manual</x:v>
      </x:c>
      <x:c r="G1211" s="7" t="str">
        <x:v>Hatchback</x:v>
      </x:c>
      <x:c r="H1211" s="7" t="n">
        <x:v>1199</x:v>
      </x:c>
      <x:c r="I1211" s="7" t="n">
        <x:v>87</x:v>
      </x:c>
      <x:c r="J1211" s="9" t="n">
        <x:v>19.3</x:v>
      </x:c>
      <x:c r="K1211" s="9" t="n">
        <x:v>7</x:v>
      </x:c>
      <x:c r="L1211" s="7" t="n">
        <x:v>2023</x:v>
      </x:c>
      <x:c r="M1211" s="11" t="n">
        <x:v>60109</x:v>
      </x:c>
      <x:c r="N1211" s="7" t="n">
        <x:v>2</x:v>
      </x:c>
      <x:c r="O1211" s="7" t="n">
        <x:v>0</x:v>
      </x:c>
      <x:c r="P1211" s="9" t="n">
        <x:v>4.27</x:v>
      </x:c>
      <x:c r="Q1211" s="7" t="n">
        <x:f>'Guide'!$B$5-L1211</x:f>
        <x:v>3</x:v>
      </x:c>
      <x:c r="R1211" s="9" t="n">
        <x:f>K1211-P1211</x:f>
        <x:v>2.7300000000000004</x:v>
      </x:c>
      <x:c r="S1211" s="10" t="n">
        <x:f>IF(K1211&gt;0,R1211/K1211,"")</x:f>
        <x:v>0.39000000000000007</x:v>
      </x:c>
    </x:row>
    <x:row r="1212">
      <x:c r="A1212" s="7" t="n">
        <x:v>1208</x:v>
      </x:c>
      <x:c r="B1212" s="7" t="str">
        <x:v>Tata</x:v>
      </x:c>
      <x:c r="C1212" s="7" t="str">
        <x:v>Altroz</x:v>
      </x:c>
      <x:c r="D1212" s="7" t="str">
        <x:v>XE</x:v>
      </x:c>
      <x:c r="E1212" s="7" t="str">
        <x:v>Petrol</x:v>
      </x:c>
      <x:c r="F1212" s="7" t="str">
        <x:v>Manual</x:v>
      </x:c>
      <x:c r="G1212" s="7" t="str">
        <x:v>Hatchback</x:v>
      </x:c>
      <x:c r="H1212" s="7" t="n">
        <x:v>1199</x:v>
      </x:c>
      <x:c r="I1212" s="7" t="n">
        <x:v>87</x:v>
      </x:c>
      <x:c r="J1212" s="9" t="n">
        <x:v>19.3</x:v>
      </x:c>
      <x:c r="K1212" s="9" t="n">
        <x:v>7</x:v>
      </x:c>
      <x:c r="L1212" s="7" t="n">
        <x:v>2024</x:v>
      </x:c>
      <x:c r="M1212" s="11" t="n">
        <x:v>27773</x:v>
      </x:c>
      <x:c r="N1212" s="7" t="n">
        <x:v>2</x:v>
      </x:c>
      <x:c r="O1212" s="7" t="n">
        <x:v>0</x:v>
      </x:c>
      <x:c r="P1212" s="9" t="n">
        <x:v>5.16</x:v>
      </x:c>
      <x:c r="Q1212" s="7" t="n">
        <x:f>'Guide'!$B$5-L1212</x:f>
        <x:v>2</x:v>
      </x:c>
      <x:c r="R1212" s="9" t="n">
        <x:f>K1212-P1212</x:f>
        <x:v>1.8399999999999999</x:v>
      </x:c>
      <x:c r="S1212" s="10" t="n">
        <x:f>IF(K1212&gt;0,R1212/K1212,"")</x:f>
        <x:v>0.26285714285714284</x:v>
      </x:c>
    </x:row>
    <x:row r="1213">
      <x:c r="A1213" s="7" t="n">
        <x:v>1209</x:v>
      </x:c>
      <x:c r="B1213" s="7" t="str">
        <x:v>Tata</x:v>
      </x:c>
      <x:c r="C1213" s="7" t="str">
        <x:v>Altroz</x:v>
      </x:c>
      <x:c r="D1213" s="7" t="str">
        <x:v>XE</x:v>
      </x:c>
      <x:c r="E1213" s="7" t="str">
        <x:v>Petrol</x:v>
      </x:c>
      <x:c r="F1213" s="7" t="str">
        <x:v>Manual</x:v>
      </x:c>
      <x:c r="G1213" s="7" t="str">
        <x:v>Hatchback</x:v>
      </x:c>
      <x:c r="H1213" s="7" t="n">
        <x:v>1199</x:v>
      </x:c>
      <x:c r="I1213" s="7" t="n">
        <x:v>87</x:v>
      </x:c>
      <x:c r="J1213" s="9" t="n">
        <x:v>19.3</x:v>
      </x:c>
      <x:c r="K1213" s="9" t="n">
        <x:v>7</x:v>
      </x:c>
      <x:c r="L1213" s="7" t="n">
        <x:v>2020</x:v>
      </x:c>
      <x:c r="M1213" s="11" t="n">
        <x:v>53032</x:v>
      </x:c>
      <x:c r="N1213" s="7" t="n">
        <x:v>1</x:v>
      </x:c>
      <x:c r="O1213" s="7" t="n">
        <x:v>0</x:v>
      </x:c>
      <x:c r="P1213" s="9" t="n">
        <x:v>2.89</x:v>
      </x:c>
      <x:c r="Q1213" s="7" t="n">
        <x:f>'Guide'!$B$5-L1213</x:f>
        <x:v>6</x:v>
      </x:c>
      <x:c r="R1213" s="9" t="n">
        <x:f>K1213-P1213</x:f>
        <x:v>4.109999999999999</x:v>
      </x:c>
      <x:c r="S1213" s="10" t="n">
        <x:f>IF(K1213&gt;0,R1213/K1213,"")</x:f>
        <x:v>0.5871428571428571</x:v>
      </x:c>
    </x:row>
    <x:row r="1214">
      <x:c r="A1214" s="7" t="n">
        <x:v>1210</x:v>
      </x:c>
      <x:c r="B1214" s="7" t="str">
        <x:v>Tata</x:v>
      </x:c>
      <x:c r="C1214" s="7" t="str">
        <x:v>Altroz</x:v>
      </x:c>
      <x:c r="D1214" s="7" t="str">
        <x:v>XE</x:v>
      </x:c>
      <x:c r="E1214" s="7" t="str">
        <x:v>Petrol</x:v>
      </x:c>
      <x:c r="F1214" s="7" t="str">
        <x:v>Manual</x:v>
      </x:c>
      <x:c r="G1214" s="7" t="str">
        <x:v>Hatchback</x:v>
      </x:c>
      <x:c r="H1214" s="7" t="n">
        <x:v>1199</x:v>
      </x:c>
      <x:c r="I1214" s="7" t="n">
        <x:v>87</x:v>
      </x:c>
      <x:c r="J1214" s="9" t="n">
        <x:v>19.3</x:v>
      </x:c>
      <x:c r="K1214" s="9" t="n">
        <x:v>7</x:v>
      </x:c>
      <x:c r="L1214" s="7" t="n">
        <x:v>2024</x:v>
      </x:c>
      <x:c r="M1214" s="11" t="n">
        <x:v>45224</x:v>
      </x:c>
      <x:c r="N1214" s="7" t="n">
        <x:v>1</x:v>
      </x:c>
      <x:c r="O1214" s="7" t="n">
        <x:v>0</x:v>
      </x:c>
      <x:c r="P1214" s="9" t="n">
        <x:v>5.31</x:v>
      </x:c>
      <x:c r="Q1214" s="7" t="n">
        <x:f>'Guide'!$B$5-L1214</x:f>
        <x:v>2</x:v>
      </x:c>
      <x:c r="R1214" s="9" t="n">
        <x:f>K1214-P1214</x:f>
        <x:v>1.6900000000000004</x:v>
      </x:c>
      <x:c r="S1214" s="10" t="n">
        <x:f>IF(K1214&gt;0,R1214/K1214,"")</x:f>
        <x:v>0.2414285714285715</x:v>
      </x:c>
    </x:row>
    <x:row r="1215">
      <x:c r="A1215" s="7" t="n">
        <x:v>1211</x:v>
      </x:c>
      <x:c r="B1215" s="7" t="str">
        <x:v>Tata</x:v>
      </x:c>
      <x:c r="C1215" s="7" t="str">
        <x:v>Altroz</x:v>
      </x:c>
      <x:c r="D1215" s="7" t="str">
        <x:v>XE</x:v>
      </x:c>
      <x:c r="E1215" s="7" t="str">
        <x:v>Petrol</x:v>
      </x:c>
      <x:c r="F1215" s="7" t="str">
        <x:v>Manual</x:v>
      </x:c>
      <x:c r="G1215" s="7" t="str">
        <x:v>Hatchback</x:v>
      </x:c>
      <x:c r="H1215" s="7" t="n">
        <x:v>1199</x:v>
      </x:c>
      <x:c r="I1215" s="7" t="n">
        <x:v>87</x:v>
      </x:c>
      <x:c r="J1215" s="9" t="n">
        <x:v>19.3</x:v>
      </x:c>
      <x:c r="K1215" s="9" t="n">
        <x:v>7</x:v>
      </x:c>
      <x:c r="L1215" s="7" t="n">
        <x:v>2026</x:v>
      </x:c>
      <x:c r="M1215" s="11" t="n">
        <x:v>4499</x:v>
      </x:c>
      <x:c r="N1215" s="7" t="n">
        <x:v>2</x:v>
      </x:c>
      <x:c r="O1215" s="7" t="n">
        <x:v>0</x:v>
      </x:c>
      <x:c r="P1215" s="9" t="n">
        <x:v>6.92</x:v>
      </x:c>
      <x:c r="Q1215" s="7" t="n">
        <x:f>'Guide'!$B$5-L1215</x:f>
        <x:v>0</x:v>
      </x:c>
      <x:c r="R1215" s="9" t="n">
        <x:f>K1215-P1215</x:f>
        <x:v>0.08000000000000007</x:v>
      </x:c>
      <x:c r="S1215" s="10" t="n">
        <x:f>IF(K1215&gt;0,R1215/K1215,"")</x:f>
        <x:v>0.011428571428571439</x:v>
      </x:c>
    </x:row>
    <x:row r="1216">
      <x:c r="A1216" s="7" t="n">
        <x:v>1212</x:v>
      </x:c>
      <x:c r="B1216" s="7" t="str">
        <x:v>Tata</x:v>
      </x:c>
      <x:c r="C1216" s="7" t="str">
        <x:v>Altroz</x:v>
      </x:c>
      <x:c r="D1216" s="7" t="str">
        <x:v>XE</x:v>
      </x:c>
      <x:c r="E1216" s="7" t="str">
        <x:v>Petrol</x:v>
      </x:c>
      <x:c r="F1216" s="7" t="str">
        <x:v>Manual</x:v>
      </x:c>
      <x:c r="G1216" s="7" t="str">
        <x:v>Hatchback</x:v>
      </x:c>
      <x:c r="H1216" s="7" t="n">
        <x:v>1199</x:v>
      </x:c>
      <x:c r="I1216" s="7" t="n">
        <x:v>87</x:v>
      </x:c>
      <x:c r="J1216" s="9" t="n">
        <x:v>19.3</x:v>
      </x:c>
      <x:c r="K1216" s="9" t="n">
        <x:v>7</x:v>
      </x:c>
      <x:c r="L1216" s="7" t="n">
        <x:v>2023</x:v>
      </x:c>
      <x:c r="M1216" s="11" t="n">
        <x:v>60208</x:v>
      </x:c>
      <x:c r="N1216" s="7" t="n">
        <x:v>2</x:v>
      </x:c>
      <x:c r="O1216" s="7" t="n">
        <x:v>0</x:v>
      </x:c>
      <x:c r="P1216" s="9" t="n">
        <x:v>4.15</x:v>
      </x:c>
      <x:c r="Q1216" s="7" t="n">
        <x:f>'Guide'!$B$5-L1216</x:f>
        <x:v>3</x:v>
      </x:c>
      <x:c r="R1216" s="9" t="n">
        <x:f>K1216-P1216</x:f>
        <x:v>2.8499999999999996</x:v>
      </x:c>
      <x:c r="S1216" s="10" t="n">
        <x:f>IF(K1216&gt;0,R1216/K1216,"")</x:f>
        <x:v>0.4071428571428571</x:v>
      </x:c>
    </x:row>
    <x:row r="1217">
      <x:c r="A1217" s="7" t="n">
        <x:v>1213</x:v>
      </x:c>
      <x:c r="B1217" s="7" t="str">
        <x:v>Tata</x:v>
      </x:c>
      <x:c r="C1217" s="7" t="str">
        <x:v>Altroz</x:v>
      </x:c>
      <x:c r="D1217" s="7" t="str">
        <x:v>XE</x:v>
      </x:c>
      <x:c r="E1217" s="7" t="str">
        <x:v>Petrol</x:v>
      </x:c>
      <x:c r="F1217" s="7" t="str">
        <x:v>Manual</x:v>
      </x:c>
      <x:c r="G1217" s="7" t="str">
        <x:v>Hatchback</x:v>
      </x:c>
      <x:c r="H1217" s="7" t="n">
        <x:v>1199</x:v>
      </x:c>
      <x:c r="I1217" s="7" t="n">
        <x:v>87</x:v>
      </x:c>
      <x:c r="J1217" s="9" t="n">
        <x:v>19.3</x:v>
      </x:c>
      <x:c r="K1217" s="9" t="n">
        <x:v>7</x:v>
      </x:c>
      <x:c r="L1217" s="7" t="n">
        <x:v>2026</x:v>
      </x:c>
      <x:c r="M1217" s="11" t="n">
        <x:v>8281</x:v>
      </x:c>
      <x:c r="N1217" s="7" t="n">
        <x:v>1</x:v>
      </x:c>
      <x:c r="O1217" s="7" t="n">
        <x:v>0</x:v>
      </x:c>
      <x:c r="P1217" s="9" t="n">
        <x:v>6.59</x:v>
      </x:c>
      <x:c r="Q1217" s="7" t="n">
        <x:f>'Guide'!$B$5-L1217</x:f>
        <x:v>0</x:v>
      </x:c>
      <x:c r="R1217" s="9" t="n">
        <x:f>K1217-P1217</x:f>
        <x:v>0.41000000000000014</x:v>
      </x:c>
      <x:c r="S1217" s="10" t="n">
        <x:f>IF(K1217&gt;0,R1217/K1217,"")</x:f>
        <x:v>0.058571428571428594</x:v>
      </x:c>
    </x:row>
    <x:row r="1218">
      <x:c r="A1218" s="7" t="n">
        <x:v>1214</x:v>
      </x:c>
      <x:c r="B1218" s="7" t="str">
        <x:v>Tata</x:v>
      </x:c>
      <x:c r="C1218" s="7" t="str">
        <x:v>Altroz</x:v>
      </x:c>
      <x:c r="D1218" s="7" t="str">
        <x:v>XE</x:v>
      </x:c>
      <x:c r="E1218" s="7" t="str">
        <x:v>Petrol</x:v>
      </x:c>
      <x:c r="F1218" s="7" t="str">
        <x:v>Manual</x:v>
      </x:c>
      <x:c r="G1218" s="7" t="str">
        <x:v>Hatchback</x:v>
      </x:c>
      <x:c r="H1218" s="7" t="n">
        <x:v>1199</x:v>
      </x:c>
      <x:c r="I1218" s="7" t="n">
        <x:v>87</x:v>
      </x:c>
      <x:c r="J1218" s="9" t="n">
        <x:v>19.3</x:v>
      </x:c>
      <x:c r="K1218" s="9" t="n">
        <x:v>7</x:v>
      </x:c>
      <x:c r="L1218" s="7" t="n">
        <x:v>2022</x:v>
      </x:c>
      <x:c r="M1218" s="11" t="n">
        <x:v>43349</x:v>
      </x:c>
      <x:c r="N1218" s="7" t="n">
        <x:v>2</x:v>
      </x:c>
      <x:c r="O1218" s="7" t="n">
        <x:v>0</x:v>
      </x:c>
      <x:c r="P1218" s="9" t="n">
        <x:v>3.82</x:v>
      </x:c>
      <x:c r="Q1218" s="7" t="n">
        <x:f>'Guide'!$B$5-L1218</x:f>
        <x:v>4</x:v>
      </x:c>
      <x:c r="R1218" s="9" t="n">
        <x:f>K1218-P1218</x:f>
        <x:v>3.18</x:v>
      </x:c>
      <x:c r="S1218" s="10" t="n">
        <x:f>IF(K1218&gt;0,R1218/K1218,"")</x:f>
        <x:v>0.4542857142857143</x:v>
      </x:c>
    </x:row>
    <x:row r="1219">
      <x:c r="A1219" s="7" t="n">
        <x:v>1215</x:v>
      </x:c>
      <x:c r="B1219" s="7" t="str">
        <x:v>Tata</x:v>
      </x:c>
      <x:c r="C1219" s="7" t="str">
        <x:v>Altroz</x:v>
      </x:c>
      <x:c r="D1219" s="7" t="str">
        <x:v>XE</x:v>
      </x:c>
      <x:c r="E1219" s="7" t="str">
        <x:v>Petrol</x:v>
      </x:c>
      <x:c r="F1219" s="7" t="str">
        <x:v>Manual</x:v>
      </x:c>
      <x:c r="G1219" s="7" t="str">
        <x:v>Hatchback</x:v>
      </x:c>
      <x:c r="H1219" s="7" t="n">
        <x:v>1199</x:v>
      </x:c>
      <x:c r="I1219" s="7" t="n">
        <x:v>87</x:v>
      </x:c>
      <x:c r="J1219" s="9" t="n">
        <x:v>19.3</x:v>
      </x:c>
      <x:c r="K1219" s="9" t="n">
        <x:v>7</x:v>
      </x:c>
      <x:c r="L1219" s="7" t="n">
        <x:v>2025</x:v>
      </x:c>
      <x:c r="M1219" s="11" t="n">
        <x:v>15151</x:v>
      </x:c>
      <x:c r="N1219" s="7" t="n">
        <x:v>1</x:v>
      </x:c>
      <x:c r="O1219" s="7" t="n">
        <x:v>0</x:v>
      </x:c>
      <x:c r="P1219" s="9" t="n">
        <x:v>5.94</x:v>
      </x:c>
      <x:c r="Q1219" s="7" t="n">
        <x:f>'Guide'!$B$5-L1219</x:f>
        <x:v>1</x:v>
      </x:c>
      <x:c r="R1219" s="9" t="n">
        <x:f>K1219-P1219</x:f>
        <x:v>1.0599999999999996</x:v>
      </x:c>
      <x:c r="S1219" s="10" t="n">
        <x:f>IF(K1219&gt;0,R1219/K1219,"")</x:f>
        <x:v>0.15142857142857138</x:v>
      </x:c>
    </x:row>
    <x:row r="1220">
      <x:c r="A1220" s="7" t="n">
        <x:v>1216</x:v>
      </x:c>
      <x:c r="B1220" s="7" t="str">
        <x:v>Tata</x:v>
      </x:c>
      <x:c r="C1220" s="7" t="str">
        <x:v>Altroz</x:v>
      </x:c>
      <x:c r="D1220" s="7" t="str">
        <x:v>XE</x:v>
      </x:c>
      <x:c r="E1220" s="7" t="str">
        <x:v>Petrol</x:v>
      </x:c>
      <x:c r="F1220" s="7" t="str">
        <x:v>Manual</x:v>
      </x:c>
      <x:c r="G1220" s="7" t="str">
        <x:v>Hatchback</x:v>
      </x:c>
      <x:c r="H1220" s="7" t="n">
        <x:v>1199</x:v>
      </x:c>
      <x:c r="I1220" s="7" t="n">
        <x:v>87</x:v>
      </x:c>
      <x:c r="J1220" s="9" t="n">
        <x:v>19.3</x:v>
      </x:c>
      <x:c r="K1220" s="9" t="n">
        <x:v>7</x:v>
      </x:c>
      <x:c r="L1220" s="7" t="n">
        <x:v>2024</x:v>
      </x:c>
      <x:c r="M1220" s="11" t="n">
        <x:v>37646</x:v>
      </x:c>
      <x:c r="N1220" s="7" t="n">
        <x:v>1</x:v>
      </x:c>
      <x:c r="O1220" s="7" t="n">
        <x:v>0</x:v>
      </x:c>
      <x:c r="P1220" s="9" t="n">
        <x:v>5.45</x:v>
      </x:c>
      <x:c r="Q1220" s="7" t="n">
        <x:f>'Guide'!$B$5-L1220</x:f>
        <x:v>2</x:v>
      </x:c>
      <x:c r="R1220" s="9" t="n">
        <x:f>K1220-P1220</x:f>
        <x:v>1.5499999999999998</x:v>
      </x:c>
      <x:c r="S1220" s="10" t="n">
        <x:f>IF(K1220&gt;0,R1220/K1220,"")</x:f>
        <x:v>0.2214285714285714</x:v>
      </x:c>
    </x:row>
    <x:row r="1221">
      <x:c r="A1221" s="7" t="n">
        <x:v>1217</x:v>
      </x:c>
      <x:c r="B1221" s="7" t="str">
        <x:v>Tata</x:v>
      </x:c>
      <x:c r="C1221" s="7" t="str">
        <x:v>Altroz</x:v>
      </x:c>
      <x:c r="D1221" s="7" t="str">
        <x:v>XE</x:v>
      </x:c>
      <x:c r="E1221" s="7" t="str">
        <x:v>Petrol</x:v>
      </x:c>
      <x:c r="F1221" s="7" t="str">
        <x:v>Manual</x:v>
      </x:c>
      <x:c r="G1221" s="7" t="str">
        <x:v>Hatchback</x:v>
      </x:c>
      <x:c r="H1221" s="7" t="n">
        <x:v>1199</x:v>
      </x:c>
      <x:c r="I1221" s="7" t="n">
        <x:v>87</x:v>
      </x:c>
      <x:c r="J1221" s="9" t="n">
        <x:v>19.3</x:v>
      </x:c>
      <x:c r="K1221" s="9" t="n">
        <x:v>7</x:v>
      </x:c>
      <x:c r="L1221" s="7" t="n">
        <x:v>2026</x:v>
      </x:c>
      <x:c r="M1221" s="11" t="n">
        <x:v>9478</x:v>
      </x:c>
      <x:c r="N1221" s="7" t="n">
        <x:v>2</x:v>
      </x:c>
      <x:c r="O1221" s="7" t="n">
        <x:v>0</x:v>
      </x:c>
      <x:c r="P1221" s="9" t="n">
        <x:v>6.56</x:v>
      </x:c>
      <x:c r="Q1221" s="7" t="n">
        <x:f>'Guide'!$B$5-L1221</x:f>
        <x:v>0</x:v>
      </x:c>
      <x:c r="R1221" s="9" t="n">
        <x:f>K1221-P1221</x:f>
        <x:v>0.4400000000000004</x:v>
      </x:c>
      <x:c r="S1221" s="10" t="n">
        <x:f>IF(K1221&gt;0,R1221/K1221,"")</x:f>
        <x:v>0.06285714285714292</x:v>
      </x:c>
    </x:row>
    <x:row r="1222">
      <x:c r="A1222" s="7" t="n">
        <x:v>1218</x:v>
      </x:c>
      <x:c r="B1222" s="7" t="str">
        <x:v>Tata</x:v>
      </x:c>
      <x:c r="C1222" s="7" t="str">
        <x:v>Altroz</x:v>
      </x:c>
      <x:c r="D1222" s="7" t="str">
        <x:v>XE</x:v>
      </x:c>
      <x:c r="E1222" s="7" t="str">
        <x:v>Petrol</x:v>
      </x:c>
      <x:c r="F1222" s="7" t="str">
        <x:v>Manual</x:v>
      </x:c>
      <x:c r="G1222" s="7" t="str">
        <x:v>Hatchback</x:v>
      </x:c>
      <x:c r="H1222" s="7" t="n">
        <x:v>1199</x:v>
      </x:c>
      <x:c r="I1222" s="7" t="n">
        <x:v>87</x:v>
      </x:c>
      <x:c r="J1222" s="9" t="n">
        <x:v>19.3</x:v>
      </x:c>
      <x:c r="K1222" s="9" t="n">
        <x:v>7</x:v>
      </x:c>
      <x:c r="L1222" s="7" t="n">
        <x:v>2025</x:v>
      </x:c>
      <x:c r="M1222" s="11" t="n">
        <x:v>26393</x:v>
      </x:c>
      <x:c r="N1222" s="7" t="n">
        <x:v>1</x:v>
      </x:c>
      <x:c r="O1222" s="7" t="n">
        <x:v>0</x:v>
      </x:c>
      <x:c r="P1222" s="9" t="n">
        <x:v>6.37</x:v>
      </x:c>
      <x:c r="Q1222" s="7" t="n">
        <x:f>'Guide'!$B$5-L1222</x:f>
        <x:v>1</x:v>
      </x:c>
      <x:c r="R1222" s="9" t="n">
        <x:f>K1222-P1222</x:f>
        <x:v>0.6299999999999999</x:v>
      </x:c>
      <x:c r="S1222" s="10" t="n">
        <x:f>IF(K1222&gt;0,R1222/K1222,"")</x:f>
        <x:v>0.08999999999999998</x:v>
      </x:c>
    </x:row>
    <x:row r="1223">
      <x:c r="A1223" s="7" t="n">
        <x:v>1219</x:v>
      </x:c>
      <x:c r="B1223" s="7" t="str">
        <x:v>Tata</x:v>
      </x:c>
      <x:c r="C1223" s="7" t="str">
        <x:v>Altroz</x:v>
      </x:c>
      <x:c r="D1223" s="7" t="str">
        <x:v>XE</x:v>
      </x:c>
      <x:c r="E1223" s="7" t="str">
        <x:v>Petrol</x:v>
      </x:c>
      <x:c r="F1223" s="7" t="str">
        <x:v>Manual</x:v>
      </x:c>
      <x:c r="G1223" s="7" t="str">
        <x:v>Hatchback</x:v>
      </x:c>
      <x:c r="H1223" s="7" t="n">
        <x:v>1199</x:v>
      </x:c>
      <x:c r="I1223" s="7" t="n">
        <x:v>87</x:v>
      </x:c>
      <x:c r="J1223" s="9" t="n">
        <x:v>19.3</x:v>
      </x:c>
      <x:c r="K1223" s="9" t="n">
        <x:v>7</x:v>
      </x:c>
      <x:c r="L1223" s="7" t="n">
        <x:v>2026</x:v>
      </x:c>
      <x:c r="M1223" s="11" t="n">
        <x:v>9328</x:v>
      </x:c>
      <x:c r="N1223" s="7" t="n">
        <x:v>2</x:v>
      </x:c>
      <x:c r="O1223" s="7" t="n">
        <x:v>0</x:v>
      </x:c>
      <x:c r="P1223" s="9" t="n">
        <x:v>6.13</x:v>
      </x:c>
      <x:c r="Q1223" s="7" t="n">
        <x:f>'Guide'!$B$5-L1223</x:f>
        <x:v>0</x:v>
      </x:c>
      <x:c r="R1223" s="9" t="n">
        <x:f>K1223-P1223</x:f>
        <x:v>0.8700000000000001</x:v>
      </x:c>
      <x:c r="S1223" s="10" t="n">
        <x:f>IF(K1223&gt;0,R1223/K1223,"")</x:f>
        <x:v>0.1242857142857143</x:v>
      </x:c>
    </x:row>
    <x:row r="1224">
      <x:c r="A1224" s="7" t="n">
        <x:v>1220</x:v>
      </x:c>
      <x:c r="B1224" s="7" t="str">
        <x:v>Tata</x:v>
      </x:c>
      <x:c r="C1224" s="7" t="str">
        <x:v>Altroz</x:v>
      </x:c>
      <x:c r="D1224" s="7" t="str">
        <x:v>XE</x:v>
      </x:c>
      <x:c r="E1224" s="7" t="str">
        <x:v>Petrol</x:v>
      </x:c>
      <x:c r="F1224" s="7" t="str">
        <x:v>Manual</x:v>
      </x:c>
      <x:c r="G1224" s="7" t="str">
        <x:v>Hatchback</x:v>
      </x:c>
      <x:c r="H1224" s="7" t="n">
        <x:v>1199</x:v>
      </x:c>
      <x:c r="I1224" s="7" t="n">
        <x:v>87</x:v>
      </x:c>
      <x:c r="J1224" s="9" t="n">
        <x:v>19.3</x:v>
      </x:c>
      <x:c r="K1224" s="9" t="n">
        <x:v>7</x:v>
      </x:c>
      <x:c r="L1224" s="7" t="n">
        <x:v>2025</x:v>
      </x:c>
      <x:c r="M1224" s="11" t="n">
        <x:v>14965</x:v>
      </x:c>
      <x:c r="N1224" s="7" t="n">
        <x:v>1</x:v>
      </x:c>
      <x:c r="O1224" s="7" t="n">
        <x:v>0</x:v>
      </x:c>
      <x:c r="P1224" s="9" t="n">
        <x:v>6.53</x:v>
      </x:c>
      <x:c r="Q1224" s="7" t="n">
        <x:f>'Guide'!$B$5-L1224</x:f>
        <x:v>1</x:v>
      </x:c>
      <x:c r="R1224" s="9" t="n">
        <x:f>K1224-P1224</x:f>
        <x:v>0.46999999999999975</x:v>
      </x:c>
      <x:c r="S1224" s="10" t="n">
        <x:f>IF(K1224&gt;0,R1224/K1224,"")</x:f>
        <x:v>0.0671428571428571</x:v>
      </x:c>
    </x:row>
    <x:row r="1225">
      <x:c r="A1225" s="7" t="n">
        <x:v>1221</x:v>
      </x:c>
      <x:c r="B1225" s="7" t="str">
        <x:v>Tata</x:v>
      </x:c>
      <x:c r="C1225" s="7" t="str">
        <x:v>Altroz</x:v>
      </x:c>
      <x:c r="D1225" s="7" t="str">
        <x:v>XE</x:v>
      </x:c>
      <x:c r="E1225" s="7" t="str">
        <x:v>Petrol</x:v>
      </x:c>
      <x:c r="F1225" s="7" t="str">
        <x:v>Manual</x:v>
      </x:c>
      <x:c r="G1225" s="7" t="str">
        <x:v>Hatchback</x:v>
      </x:c>
      <x:c r="H1225" s="7" t="n">
        <x:v>1199</x:v>
      </x:c>
      <x:c r="I1225" s="7" t="n">
        <x:v>87</x:v>
      </x:c>
      <x:c r="J1225" s="9" t="n">
        <x:v>19.3</x:v>
      </x:c>
      <x:c r="K1225" s="9" t="n">
        <x:v>7</x:v>
      </x:c>
      <x:c r="L1225" s="7" t="n">
        <x:v>2022</x:v>
      </x:c>
      <x:c r="M1225" s="11" t="n">
        <x:v>62478</x:v>
      </x:c>
      <x:c r="N1225" s="7" t="n">
        <x:v>1</x:v>
      </x:c>
      <x:c r="O1225" s="7" t="n">
        <x:v>0</x:v>
      </x:c>
      <x:c r="P1225" s="9" t="n">
        <x:v>4.62</x:v>
      </x:c>
      <x:c r="Q1225" s="7" t="n">
        <x:f>'Guide'!$B$5-L1225</x:f>
        <x:v>4</x:v>
      </x:c>
      <x:c r="R1225" s="9" t="n">
        <x:f>K1225-P1225</x:f>
        <x:v>2.38</x:v>
      </x:c>
      <x:c r="S1225" s="10" t="n">
        <x:f>IF(K1225&gt;0,R1225/K1225,"")</x:f>
        <x:v>0.33999999999999997</x:v>
      </x:c>
    </x:row>
    <x:row r="1226">
      <x:c r="A1226" s="7" t="n">
        <x:v>1222</x:v>
      </x:c>
      <x:c r="B1226" s="7" t="str">
        <x:v>Tata</x:v>
      </x:c>
      <x:c r="C1226" s="7" t="str">
        <x:v>Altroz</x:v>
      </x:c>
      <x:c r="D1226" s="7" t="str">
        <x:v>XE</x:v>
      </x:c>
      <x:c r="E1226" s="7" t="str">
        <x:v>Petrol</x:v>
      </x:c>
      <x:c r="F1226" s="7" t="str">
        <x:v>Manual</x:v>
      </x:c>
      <x:c r="G1226" s="7" t="str">
        <x:v>Hatchback</x:v>
      </x:c>
      <x:c r="H1226" s="7" t="n">
        <x:v>1199</x:v>
      </x:c>
      <x:c r="I1226" s="7" t="n">
        <x:v>87</x:v>
      </x:c>
      <x:c r="J1226" s="9" t="n">
        <x:v>19.3</x:v>
      </x:c>
      <x:c r="K1226" s="9" t="n">
        <x:v>7</x:v>
      </x:c>
      <x:c r="L1226" s="7" t="n">
        <x:v>2023</x:v>
      </x:c>
      <x:c r="M1226" s="11" t="n">
        <x:v>32287</x:v>
      </x:c>
      <x:c r="N1226" s="7" t="n">
        <x:v>1</x:v>
      </x:c>
      <x:c r="O1226" s="7" t="n">
        <x:v>0</x:v>
      </x:c>
      <x:c r="P1226" s="9" t="n">
        <x:v>5.39</x:v>
      </x:c>
      <x:c r="Q1226" s="7" t="n">
        <x:f>'Guide'!$B$5-L1226</x:f>
        <x:v>3</x:v>
      </x:c>
      <x:c r="R1226" s="9" t="n">
        <x:f>K1226-P1226</x:f>
        <x:v>1.6100000000000003</x:v>
      </x:c>
      <x:c r="S1226" s="10" t="n">
        <x:f>IF(K1226&gt;0,R1226/K1226,"")</x:f>
        <x:v>0.23000000000000004</x:v>
      </x:c>
    </x:row>
    <x:row r="1227">
      <x:c r="A1227" s="7" t="n">
        <x:v>1223</x:v>
      </x:c>
      <x:c r="B1227" s="7" t="str">
        <x:v>Tata</x:v>
      </x:c>
      <x:c r="C1227" s="7" t="str">
        <x:v>Altroz</x:v>
      </x:c>
      <x:c r="D1227" s="7" t="str">
        <x:v>XE</x:v>
      </x:c>
      <x:c r="E1227" s="7" t="str">
        <x:v>Petrol</x:v>
      </x:c>
      <x:c r="F1227" s="7" t="str">
        <x:v>Manual</x:v>
      </x:c>
      <x:c r="G1227" s="7" t="str">
        <x:v>Hatchback</x:v>
      </x:c>
      <x:c r="H1227" s="7" t="n">
        <x:v>1199</x:v>
      </x:c>
      <x:c r="I1227" s="7" t="n">
        <x:v>87</x:v>
      </x:c>
      <x:c r="J1227" s="9" t="n">
        <x:v>19.3</x:v>
      </x:c>
      <x:c r="K1227" s="9" t="n">
        <x:v>7</x:v>
      </x:c>
      <x:c r="L1227" s="7" t="n">
        <x:v>2023</x:v>
      </x:c>
      <x:c r="M1227" s="11" t="n">
        <x:v>67475</x:v>
      </x:c>
      <x:c r="N1227" s="7" t="n">
        <x:v>1</x:v>
      </x:c>
      <x:c r="O1227" s="7" t="n">
        <x:v>0</x:v>
      </x:c>
      <x:c r="P1227" s="9" t="n">
        <x:v>5.15</x:v>
      </x:c>
      <x:c r="Q1227" s="7" t="n">
        <x:f>'Guide'!$B$5-L1227</x:f>
        <x:v>3</x:v>
      </x:c>
      <x:c r="R1227" s="9" t="n">
        <x:f>K1227-P1227</x:f>
        <x:v>1.8499999999999996</x:v>
      </x:c>
      <x:c r="S1227" s="10" t="n">
        <x:f>IF(K1227&gt;0,R1227/K1227,"")</x:f>
        <x:v>0.26428571428571423</x:v>
      </x:c>
    </x:row>
    <x:row r="1228">
      <x:c r="A1228" s="7" t="n">
        <x:v>1224</x:v>
      </x:c>
      <x:c r="B1228" s="7" t="str">
        <x:v>Tata</x:v>
      </x:c>
      <x:c r="C1228" s="7" t="str">
        <x:v>Altroz</x:v>
      </x:c>
      <x:c r="D1228" s="7" t="str">
        <x:v>XE</x:v>
      </x:c>
      <x:c r="E1228" s="7" t="str">
        <x:v>Petrol</x:v>
      </x:c>
      <x:c r="F1228" s="7" t="str">
        <x:v>Manual</x:v>
      </x:c>
      <x:c r="G1228" s="7" t="str">
        <x:v>Hatchback</x:v>
      </x:c>
      <x:c r="H1228" s="7" t="n">
        <x:v>1199</x:v>
      </x:c>
      <x:c r="I1228" s="7" t="n">
        <x:v>87</x:v>
      </x:c>
      <x:c r="J1228" s="9" t="n">
        <x:v>19.3</x:v>
      </x:c>
      <x:c r="K1228" s="9" t="n">
        <x:v>7</x:v>
      </x:c>
      <x:c r="L1228" s="7" t="n">
        <x:v>2025</x:v>
      </x:c>
      <x:c r="M1228" s="11" t="n">
        <x:v>25272</x:v>
      </x:c>
      <x:c r="N1228" s="7" t="n">
        <x:v>2</x:v>
      </x:c>
      <x:c r="O1228" s="7" t="n">
        <x:v>1</x:v>
      </x:c>
      <x:c r="P1228" s="9" t="n">
        <x:v>4.73</x:v>
      </x:c>
      <x:c r="Q1228" s="7" t="n">
        <x:f>'Guide'!$B$5-L1228</x:f>
        <x:v>1</x:v>
      </x:c>
      <x:c r="R1228" s="9" t="n">
        <x:f>K1228-P1228</x:f>
        <x:v>2.2699999999999996</x:v>
      </x:c>
      <x:c r="S1228" s="10" t="n">
        <x:f>IF(K1228&gt;0,R1228/K1228,"")</x:f>
        <x:v>0.32428571428571423</x:v>
      </x:c>
    </x:row>
    <x:row r="1229">
      <x:c r="A1229" s="7" t="n">
        <x:v>1225</x:v>
      </x:c>
      <x:c r="B1229" s="7" t="str">
        <x:v>Tata</x:v>
      </x:c>
      <x:c r="C1229" s="7" t="str">
        <x:v>Altroz</x:v>
      </x:c>
      <x:c r="D1229" s="7" t="str">
        <x:v>XE</x:v>
      </x:c>
      <x:c r="E1229" s="7" t="str">
        <x:v>Petrol</x:v>
      </x:c>
      <x:c r="F1229" s="7" t="str">
        <x:v>Manual</x:v>
      </x:c>
      <x:c r="G1229" s="7" t="str">
        <x:v>Hatchback</x:v>
      </x:c>
      <x:c r="H1229" s="7" t="n">
        <x:v>1199</x:v>
      </x:c>
      <x:c r="I1229" s="7" t="n">
        <x:v>87</x:v>
      </x:c>
      <x:c r="J1229" s="9" t="n">
        <x:v>19.3</x:v>
      </x:c>
      <x:c r="K1229" s="9" t="n">
        <x:v>7</x:v>
      </x:c>
      <x:c r="L1229" s="7" t="n">
        <x:v>2021</x:v>
      </x:c>
      <x:c r="M1229" s="11" t="n">
        <x:v>71061</x:v>
      </x:c>
      <x:c r="N1229" s="7" t="n">
        <x:v>1</x:v>
      </x:c>
      <x:c r="O1229" s="7" t="n">
        <x:v>0</x:v>
      </x:c>
      <x:c r="P1229" s="9" t="n">
        <x:v>3.81</x:v>
      </x:c>
      <x:c r="Q1229" s="7" t="n">
        <x:f>'Guide'!$B$5-L1229</x:f>
        <x:v>5</x:v>
      </x:c>
      <x:c r="R1229" s="9" t="n">
        <x:f>K1229-P1229</x:f>
        <x:v>3.19</x:v>
      </x:c>
      <x:c r="S1229" s="10" t="n">
        <x:f>IF(K1229&gt;0,R1229/K1229,"")</x:f>
        <x:v>0.4557142857142857</x:v>
      </x:c>
    </x:row>
    <x:row r="1230">
      <x:c r="A1230" s="7" t="n">
        <x:v>1226</x:v>
      </x:c>
      <x:c r="B1230" s="7" t="str">
        <x:v>Tata</x:v>
      </x:c>
      <x:c r="C1230" s="7" t="str">
        <x:v>Altroz</x:v>
      </x:c>
      <x:c r="D1230" s="7" t="str">
        <x:v>XE</x:v>
      </x:c>
      <x:c r="E1230" s="7" t="str">
        <x:v>Petrol</x:v>
      </x:c>
      <x:c r="F1230" s="7" t="str">
        <x:v>Manual</x:v>
      </x:c>
      <x:c r="G1230" s="7" t="str">
        <x:v>Hatchback</x:v>
      </x:c>
      <x:c r="H1230" s="7" t="n">
        <x:v>1199</x:v>
      </x:c>
      <x:c r="I1230" s="7" t="n">
        <x:v>87</x:v>
      </x:c>
      <x:c r="J1230" s="9" t="n">
        <x:v>19.3</x:v>
      </x:c>
      <x:c r="K1230" s="9" t="n">
        <x:v>7</x:v>
      </x:c>
      <x:c r="L1230" s="7" t="n">
        <x:v>2023</x:v>
      </x:c>
      <x:c r="M1230" s="11" t="n">
        <x:v>58558</x:v>
      </x:c>
      <x:c r="N1230" s="7" t="n">
        <x:v>1</x:v>
      </x:c>
      <x:c r="O1230" s="7" t="n">
        <x:v>0</x:v>
      </x:c>
      <x:c r="P1230" s="9" t="n">
        <x:v>4.72</x:v>
      </x:c>
      <x:c r="Q1230" s="7" t="n">
        <x:f>'Guide'!$B$5-L1230</x:f>
        <x:v>3</x:v>
      </x:c>
      <x:c r="R1230" s="9" t="n">
        <x:f>K1230-P1230</x:f>
        <x:v>2.2800000000000002</x:v>
      </x:c>
      <x:c r="S1230" s="10" t="n">
        <x:f>IF(K1230&gt;0,R1230/K1230,"")</x:f>
        <x:v>0.32571428571428573</x:v>
      </x:c>
    </x:row>
    <x:row r="1231">
      <x:c r="A1231" s="7" t="n">
        <x:v>1227</x:v>
      </x:c>
      <x:c r="B1231" s="7" t="str">
        <x:v>Tata</x:v>
      </x:c>
      <x:c r="C1231" s="7" t="str">
        <x:v>Altroz</x:v>
      </x:c>
      <x:c r="D1231" s="7" t="str">
        <x:v>XE</x:v>
      </x:c>
      <x:c r="E1231" s="7" t="str">
        <x:v>Petrol</x:v>
      </x:c>
      <x:c r="F1231" s="7" t="str">
        <x:v>Manual</x:v>
      </x:c>
      <x:c r="G1231" s="7" t="str">
        <x:v>Hatchback</x:v>
      </x:c>
      <x:c r="H1231" s="7" t="n">
        <x:v>1199</x:v>
      </x:c>
      <x:c r="I1231" s="7" t="n">
        <x:v>87</x:v>
      </x:c>
      <x:c r="J1231" s="9" t="n">
        <x:v>19.3</x:v>
      </x:c>
      <x:c r="K1231" s="9" t="n">
        <x:v>7</x:v>
      </x:c>
      <x:c r="L1231" s="7" t="n">
        <x:v>2023</x:v>
      </x:c>
      <x:c r="M1231" s="11" t="n">
        <x:v>65706</x:v>
      </x:c>
      <x:c r="N1231" s="7" t="n">
        <x:v>2</x:v>
      </x:c>
      <x:c r="O1231" s="7" t="n">
        <x:v>0</x:v>
      </x:c>
      <x:c r="P1231" s="9" t="n">
        <x:v>4.54</x:v>
      </x:c>
      <x:c r="Q1231" s="7" t="n">
        <x:f>'Guide'!$B$5-L1231</x:f>
        <x:v>3</x:v>
      </x:c>
      <x:c r="R1231" s="9" t="n">
        <x:f>K1231-P1231</x:f>
        <x:v>2.46</x:v>
      </x:c>
      <x:c r="S1231" s="10" t="n">
        <x:f>IF(K1231&gt;0,R1231/K1231,"")</x:f>
        <x:v>0.3514285714285714</x:v>
      </x:c>
    </x:row>
    <x:row r="1232">
      <x:c r="A1232" s="7" t="n">
        <x:v>1228</x:v>
      </x:c>
      <x:c r="B1232" s="7" t="str">
        <x:v>Tata</x:v>
      </x:c>
      <x:c r="C1232" s="7" t="str">
        <x:v>Altroz</x:v>
      </x:c>
      <x:c r="D1232" s="7" t="str">
        <x:v>XE</x:v>
      </x:c>
      <x:c r="E1232" s="7" t="str">
        <x:v>Petrol</x:v>
      </x:c>
      <x:c r="F1232" s="7" t="str">
        <x:v>Manual</x:v>
      </x:c>
      <x:c r="G1232" s="7" t="str">
        <x:v>Hatchback</x:v>
      </x:c>
      <x:c r="H1232" s="7" t="n">
        <x:v>1199</x:v>
      </x:c>
      <x:c r="I1232" s="7" t="n">
        <x:v>87</x:v>
      </x:c>
      <x:c r="J1232" s="9" t="n">
        <x:v>19.3</x:v>
      </x:c>
      <x:c r="K1232" s="9" t="n">
        <x:v>7</x:v>
      </x:c>
      <x:c r="L1232" s="7" t="n">
        <x:v>2020</x:v>
      </x:c>
      <x:c r="M1232" s="11" t="n">
        <x:v>105690</x:v>
      </x:c>
      <x:c r="N1232" s="7" t="n">
        <x:v>1</x:v>
      </x:c>
      <x:c r="O1232" s="7" t="n">
        <x:v>0</x:v>
      </x:c>
      <x:c r="P1232" s="9" t="n">
        <x:v>2.92</x:v>
      </x:c>
      <x:c r="Q1232" s="7" t="n">
        <x:f>'Guide'!$B$5-L1232</x:f>
        <x:v>6</x:v>
      </x:c>
      <x:c r="R1232" s="9" t="n">
        <x:f>K1232-P1232</x:f>
        <x:v>4.08</x:v>
      </x:c>
      <x:c r="S1232" s="10" t="n">
        <x:f>IF(K1232&gt;0,R1232/K1232,"")</x:f>
        <x:v>0.5828571428571429</x:v>
      </x:c>
    </x:row>
    <x:row r="1233">
      <x:c r="A1233" s="7" t="n">
        <x:v>1229</x:v>
      </x:c>
      <x:c r="B1233" s="7" t="str">
        <x:v>Tata</x:v>
      </x:c>
      <x:c r="C1233" s="7" t="str">
        <x:v>Altroz</x:v>
      </x:c>
      <x:c r="D1233" s="7" t="str">
        <x:v>XE</x:v>
      </x:c>
      <x:c r="E1233" s="7" t="str">
        <x:v>Petrol</x:v>
      </x:c>
      <x:c r="F1233" s="7" t="str">
        <x:v>Manual</x:v>
      </x:c>
      <x:c r="G1233" s="7" t="str">
        <x:v>Hatchback</x:v>
      </x:c>
      <x:c r="H1233" s="7" t="n">
        <x:v>1199</x:v>
      </x:c>
      <x:c r="I1233" s="7" t="n">
        <x:v>87</x:v>
      </x:c>
      <x:c r="J1233" s="9" t="n">
        <x:v>19.3</x:v>
      </x:c>
      <x:c r="K1233" s="9" t="n">
        <x:v>7</x:v>
      </x:c>
      <x:c r="L1233" s="7" t="n">
        <x:v>2025</x:v>
      </x:c>
      <x:c r="M1233" s="11" t="n">
        <x:v>20192</x:v>
      </x:c>
      <x:c r="N1233" s="7" t="n">
        <x:v>1</x:v>
      </x:c>
      <x:c r="O1233" s="7" t="n">
        <x:v>0</x:v>
      </x:c>
      <x:c r="P1233" s="9" t="n">
        <x:v>6.67</x:v>
      </x:c>
      <x:c r="Q1233" s="7" t="n">
        <x:f>'Guide'!$B$5-L1233</x:f>
        <x:v>1</x:v>
      </x:c>
      <x:c r="R1233" s="9" t="n">
        <x:f>K1233-P1233</x:f>
        <x:v>0.33000000000000007</x:v>
      </x:c>
      <x:c r="S1233" s="10" t="n">
        <x:f>IF(K1233&gt;0,R1233/K1233,"")</x:f>
        <x:v>0.04714285714285715</x:v>
      </x:c>
    </x:row>
    <x:row r="1234">
      <x:c r="A1234" s="7" t="n">
        <x:v>1230</x:v>
      </x:c>
      <x:c r="B1234" s="7" t="str">
        <x:v>Tata</x:v>
      </x:c>
      <x:c r="C1234" s="7" t="str">
        <x:v>Altroz</x:v>
      </x:c>
      <x:c r="D1234" s="7" t="str">
        <x:v>XE</x:v>
      </x:c>
      <x:c r="E1234" s="7" t="str">
        <x:v>Petrol</x:v>
      </x:c>
      <x:c r="F1234" s="7" t="str">
        <x:v>Manual</x:v>
      </x:c>
      <x:c r="G1234" s="7" t="str">
        <x:v>Hatchback</x:v>
      </x:c>
      <x:c r="H1234" s="7" t="n">
        <x:v>1199</x:v>
      </x:c>
      <x:c r="I1234" s="7" t="n">
        <x:v>87</x:v>
      </x:c>
      <x:c r="J1234" s="9" t="n">
        <x:v>19.3</x:v>
      </x:c>
      <x:c r="K1234" s="9" t="n">
        <x:v>7</x:v>
      </x:c>
      <x:c r="L1234" s="7" t="n">
        <x:v>2022</x:v>
      </x:c>
      <x:c r="M1234" s="11" t="n">
        <x:v>60680</x:v>
      </x:c>
      <x:c r="N1234" s="7" t="n">
        <x:v>1</x:v>
      </x:c>
      <x:c r="O1234" s="7" t="n">
        <x:v>0</x:v>
      </x:c>
      <x:c r="P1234" s="9" t="n">
        <x:v>4.56</x:v>
      </x:c>
      <x:c r="Q1234" s="7" t="n">
        <x:f>'Guide'!$B$5-L1234</x:f>
        <x:v>4</x:v>
      </x:c>
      <x:c r="R1234" s="9" t="n">
        <x:f>K1234-P1234</x:f>
        <x:v>2.4400000000000004</x:v>
      </x:c>
      <x:c r="S1234" s="10" t="n">
        <x:f>IF(K1234&gt;0,R1234/K1234,"")</x:f>
        <x:v>0.34857142857142864</x:v>
      </x:c>
    </x:row>
    <x:row r="1235">
      <x:c r="A1235" s="7" t="n">
        <x:v>1231</x:v>
      </x:c>
      <x:c r="B1235" s="7" t="str">
        <x:v>Tata</x:v>
      </x:c>
      <x:c r="C1235" s="7" t="str">
        <x:v>Altroz</x:v>
      </x:c>
      <x:c r="D1235" s="7" t="str">
        <x:v>XE</x:v>
      </x:c>
      <x:c r="E1235" s="7" t="str">
        <x:v>Petrol</x:v>
      </x:c>
      <x:c r="F1235" s="7" t="str">
        <x:v>Manual</x:v>
      </x:c>
      <x:c r="G1235" s="7" t="str">
        <x:v>Hatchback</x:v>
      </x:c>
      <x:c r="H1235" s="7" t="n">
        <x:v>1199</x:v>
      </x:c>
      <x:c r="I1235" s="7" t="n">
        <x:v>87</x:v>
      </x:c>
      <x:c r="J1235" s="9" t="n">
        <x:v>19.3</x:v>
      </x:c>
      <x:c r="K1235" s="9" t="n">
        <x:v>7</x:v>
      </x:c>
      <x:c r="L1235" s="7" t="n">
        <x:v>2020</x:v>
      </x:c>
      <x:c r="M1235" s="11" t="n">
        <x:v>110730</x:v>
      </x:c>
      <x:c r="N1235" s="7" t="n">
        <x:v>1</x:v>
      </x:c>
      <x:c r="O1235" s="7" t="n">
        <x:v>0</x:v>
      </x:c>
      <x:c r="P1235" s="9" t="n">
        <x:v>2.39</x:v>
      </x:c>
      <x:c r="Q1235" s="7" t="n">
        <x:f>'Guide'!$B$5-L1235</x:f>
        <x:v>6</x:v>
      </x:c>
      <x:c r="R1235" s="9" t="n">
        <x:f>K1235-P1235</x:f>
        <x:v>4.609999999999999</x:v>
      </x:c>
      <x:c r="S1235" s="10" t="n">
        <x:f>IF(K1235&gt;0,R1235/K1235,"")</x:f>
        <x:v>0.6585714285714285</x:v>
      </x:c>
    </x:row>
    <x:row r="1236">
      <x:c r="A1236" s="7" t="n">
        <x:v>1232</x:v>
      </x:c>
      <x:c r="B1236" s="7" t="str">
        <x:v>Tata</x:v>
      </x:c>
      <x:c r="C1236" s="7" t="str">
        <x:v>Altroz</x:v>
      </x:c>
      <x:c r="D1236" s="7" t="str">
        <x:v>XE</x:v>
      </x:c>
      <x:c r="E1236" s="7" t="str">
        <x:v>Petrol</x:v>
      </x:c>
      <x:c r="F1236" s="7" t="str">
        <x:v>Manual</x:v>
      </x:c>
      <x:c r="G1236" s="7" t="str">
        <x:v>Hatchback</x:v>
      </x:c>
      <x:c r="H1236" s="7" t="n">
        <x:v>1199</x:v>
      </x:c>
      <x:c r="I1236" s="7" t="n">
        <x:v>87</x:v>
      </x:c>
      <x:c r="J1236" s="9" t="n">
        <x:v>19.3</x:v>
      </x:c>
      <x:c r="K1236" s="9" t="n">
        <x:v>7</x:v>
      </x:c>
      <x:c r="L1236" s="7" t="n">
        <x:v>2026</x:v>
      </x:c>
      <x:c r="M1236" s="11" t="n">
        <x:v>9285</x:v>
      </x:c>
      <x:c r="N1236" s="7" t="n">
        <x:v>2</x:v>
      </x:c>
      <x:c r="O1236" s="7" t="n">
        <x:v>0</x:v>
      </x:c>
      <x:c r="P1236" s="9" t="n">
        <x:v>6.33</x:v>
      </x:c>
      <x:c r="Q1236" s="7" t="n">
        <x:f>'Guide'!$B$5-L1236</x:f>
        <x:v>0</x:v>
      </x:c>
      <x:c r="R1236" s="9" t="n">
        <x:f>K1236-P1236</x:f>
        <x:v>0.6699999999999999</x:v>
      </x:c>
      <x:c r="S1236" s="10" t="n">
        <x:f>IF(K1236&gt;0,R1236/K1236,"")</x:f>
        <x:v>0.09571428571428571</x:v>
      </x:c>
    </x:row>
    <x:row r="1237">
      <x:c r="A1237" s="7" t="n">
        <x:v>1233</x:v>
      </x:c>
      <x:c r="B1237" s="7" t="str">
        <x:v>Tata</x:v>
      </x:c>
      <x:c r="C1237" s="7" t="str">
        <x:v>Altroz</x:v>
      </x:c>
      <x:c r="D1237" s="7" t="str">
        <x:v>XE</x:v>
      </x:c>
      <x:c r="E1237" s="7" t="str">
        <x:v>Petrol</x:v>
      </x:c>
      <x:c r="F1237" s="7" t="str">
        <x:v>Manual</x:v>
      </x:c>
      <x:c r="G1237" s="7" t="str">
        <x:v>Hatchback</x:v>
      </x:c>
      <x:c r="H1237" s="7" t="n">
        <x:v>1199</x:v>
      </x:c>
      <x:c r="I1237" s="7" t="n">
        <x:v>87</x:v>
      </x:c>
      <x:c r="J1237" s="9" t="n">
        <x:v>19.3</x:v>
      </x:c>
      <x:c r="K1237" s="9" t="n">
        <x:v>7</x:v>
      </x:c>
      <x:c r="L1237" s="7" t="n">
        <x:v>2024</x:v>
      </x:c>
      <x:c r="M1237" s="11" t="n">
        <x:v>23251</x:v>
      </x:c>
      <x:c r="N1237" s="7" t="n">
        <x:v>1</x:v>
      </x:c>
      <x:c r="O1237" s="7" t="n">
        <x:v>0</x:v>
      </x:c>
      <x:c r="P1237" s="9" t="n">
        <x:v>5.4</x:v>
      </x:c>
      <x:c r="Q1237" s="7" t="n">
        <x:f>'Guide'!$B$5-L1237</x:f>
        <x:v>2</x:v>
      </x:c>
      <x:c r="R1237" s="9" t="n">
        <x:f>K1237-P1237</x:f>
        <x:v>1.5999999999999996</x:v>
      </x:c>
      <x:c r="S1237" s="10" t="n">
        <x:f>IF(K1237&gt;0,R1237/K1237,"")</x:f>
        <x:v>0.2285714285714285</x:v>
      </x:c>
    </x:row>
    <x:row r="1238">
      <x:c r="A1238" s="7" t="n">
        <x:v>1234</x:v>
      </x:c>
      <x:c r="B1238" s="7" t="str">
        <x:v>Tata</x:v>
      </x:c>
      <x:c r="C1238" s="7" t="str">
        <x:v>Altroz</x:v>
      </x:c>
      <x:c r="D1238" s="7" t="str">
        <x:v>XE</x:v>
      </x:c>
      <x:c r="E1238" s="7" t="str">
        <x:v>Petrol</x:v>
      </x:c>
      <x:c r="F1238" s="7" t="str">
        <x:v>Manual</x:v>
      </x:c>
      <x:c r="G1238" s="7" t="str">
        <x:v>Hatchback</x:v>
      </x:c>
      <x:c r="H1238" s="7" t="n">
        <x:v>1199</x:v>
      </x:c>
      <x:c r="I1238" s="7" t="n">
        <x:v>87</x:v>
      </x:c>
      <x:c r="J1238" s="9" t="n">
        <x:v>19.3</x:v>
      </x:c>
      <x:c r="K1238" s="9" t="n">
        <x:v>7</x:v>
      </x:c>
      <x:c r="L1238" s="7" t="n">
        <x:v>2024</x:v>
      </x:c>
      <x:c r="M1238" s="11" t="n">
        <x:v>45388</x:v>
      </x:c>
      <x:c r="N1238" s="7" t="n">
        <x:v>1</x:v>
      </x:c>
      <x:c r="O1238" s="7" t="n">
        <x:v>0</x:v>
      </x:c>
      <x:c r="P1238" s="9" t="n">
        <x:v>5.85</x:v>
      </x:c>
      <x:c r="Q1238" s="7" t="n">
        <x:f>'Guide'!$B$5-L1238</x:f>
        <x:v>2</x:v>
      </x:c>
      <x:c r="R1238" s="9" t="n">
        <x:f>K1238-P1238</x:f>
        <x:v>1.1500000000000004</x:v>
      </x:c>
      <x:c r="S1238" s="10" t="n">
        <x:f>IF(K1238&gt;0,R1238/K1238,"")</x:f>
        <x:v>0.16428571428571434</x:v>
      </x:c>
    </x:row>
    <x:row r="1239">
      <x:c r="A1239" s="7" t="n">
        <x:v>1235</x:v>
      </x:c>
      <x:c r="B1239" s="7" t="str">
        <x:v>Tata</x:v>
      </x:c>
      <x:c r="C1239" s="7" t="str">
        <x:v>Altroz</x:v>
      </x:c>
      <x:c r="D1239" s="7" t="str">
        <x:v>XE</x:v>
      </x:c>
      <x:c r="E1239" s="7" t="str">
        <x:v>Petrol</x:v>
      </x:c>
      <x:c r="F1239" s="7" t="str">
        <x:v>Manual</x:v>
      </x:c>
      <x:c r="G1239" s="7" t="str">
        <x:v>Hatchback</x:v>
      </x:c>
      <x:c r="H1239" s="7" t="n">
        <x:v>1199</x:v>
      </x:c>
      <x:c r="I1239" s="7" t="n">
        <x:v>87</x:v>
      </x:c>
      <x:c r="J1239" s="9" t="n">
        <x:v>19.3</x:v>
      </x:c>
      <x:c r="K1239" s="9" t="n">
        <x:v>7</x:v>
      </x:c>
      <x:c r="L1239" s="7" t="n">
        <x:v>2022</x:v>
      </x:c>
      <x:c r="M1239" s="11" t="n">
        <x:v>61138</x:v>
      </x:c>
      <x:c r="N1239" s="7" t="n">
        <x:v>1</x:v>
      </x:c>
      <x:c r="O1239" s="7" t="n">
        <x:v>0</x:v>
      </x:c>
      <x:c r="P1239" s="9" t="n">
        <x:v>4.33</x:v>
      </x:c>
      <x:c r="Q1239" s="7" t="n">
        <x:f>'Guide'!$B$5-L1239</x:f>
        <x:v>4</x:v>
      </x:c>
      <x:c r="R1239" s="9" t="n">
        <x:f>K1239-P1239</x:f>
        <x:v>2.67</x:v>
      </x:c>
      <x:c r="S1239" s="10" t="n">
        <x:f>IF(K1239&gt;0,R1239/K1239,"")</x:f>
        <x:v>0.3814285714285714</x:v>
      </x:c>
    </x:row>
    <x:row r="1240">
      <x:c r="A1240" s="7" t="n">
        <x:v>1236</x:v>
      </x:c>
      <x:c r="B1240" s="7" t="str">
        <x:v>Tata</x:v>
      </x:c>
      <x:c r="C1240" s="7" t="str">
        <x:v>Altroz</x:v>
      </x:c>
      <x:c r="D1240" s="7" t="str">
        <x:v>XE</x:v>
      </x:c>
      <x:c r="E1240" s="7" t="str">
        <x:v>Petrol</x:v>
      </x:c>
      <x:c r="F1240" s="7" t="str">
        <x:v>Manual</x:v>
      </x:c>
      <x:c r="G1240" s="7" t="str">
        <x:v>Hatchback</x:v>
      </x:c>
      <x:c r="H1240" s="7" t="n">
        <x:v>1199</x:v>
      </x:c>
      <x:c r="I1240" s="7" t="n">
        <x:v>87</x:v>
      </x:c>
      <x:c r="J1240" s="9" t="n">
        <x:v>19.3</x:v>
      </x:c>
      <x:c r="K1240" s="9" t="n">
        <x:v>7</x:v>
      </x:c>
      <x:c r="L1240" s="7" t="n">
        <x:v>2025</x:v>
      </x:c>
      <x:c r="M1240" s="11" t="n">
        <x:v>18166</x:v>
      </x:c>
      <x:c r="N1240" s="7" t="n">
        <x:v>1</x:v>
      </x:c>
      <x:c r="O1240" s="7" t="n">
        <x:v>0</x:v>
      </x:c>
      <x:c r="P1240" s="9" t="n">
        <x:v>6.62</x:v>
      </x:c>
      <x:c r="Q1240" s="7" t="n">
        <x:f>'Guide'!$B$5-L1240</x:f>
        <x:v>1</x:v>
      </x:c>
      <x:c r="R1240" s="9" t="n">
        <x:f>K1240-P1240</x:f>
        <x:v>0.3799999999999999</x:v>
      </x:c>
      <x:c r="S1240" s="10" t="n">
        <x:f>IF(K1240&gt;0,R1240/K1240,"")</x:f>
        <x:v>0.05428571428571427</x:v>
      </x:c>
    </x:row>
    <x:row r="1241">
      <x:c r="A1241" s="7" t="n">
        <x:v>1237</x:v>
      </x:c>
      <x:c r="B1241" s="7" t="str">
        <x:v>Tata</x:v>
      </x:c>
      <x:c r="C1241" s="7" t="str">
        <x:v>Altroz</x:v>
      </x:c>
      <x:c r="D1241" s="7" t="str">
        <x:v>XE</x:v>
      </x:c>
      <x:c r="E1241" s="7" t="str">
        <x:v>Petrol</x:v>
      </x:c>
      <x:c r="F1241" s="7" t="str">
        <x:v>Manual</x:v>
      </x:c>
      <x:c r="G1241" s="7" t="str">
        <x:v>Hatchback</x:v>
      </x:c>
      <x:c r="H1241" s="7" t="n">
        <x:v>1199</x:v>
      </x:c>
      <x:c r="I1241" s="7" t="n">
        <x:v>87</x:v>
      </x:c>
      <x:c r="J1241" s="9" t="n">
        <x:v>19.3</x:v>
      </x:c>
      <x:c r="K1241" s="9" t="n">
        <x:v>7</x:v>
      </x:c>
      <x:c r="L1241" s="7" t="n">
        <x:v>2020</x:v>
      </x:c>
      <x:c r="M1241" s="11" t="n">
        <x:v>65857</x:v>
      </x:c>
      <x:c r="N1241" s="7" t="n">
        <x:v>2</x:v>
      </x:c>
      <x:c r="O1241" s="7" t="n">
        <x:v>0</x:v>
      </x:c>
      <x:c r="P1241" s="9" t="n">
        <x:v>2.98</x:v>
      </x:c>
      <x:c r="Q1241" s="7" t="n">
        <x:f>'Guide'!$B$5-L1241</x:f>
        <x:v>6</x:v>
      </x:c>
      <x:c r="R1241" s="9" t="n">
        <x:f>K1241-P1241</x:f>
        <x:v>4.02</x:v>
      </x:c>
      <x:c r="S1241" s="10" t="n">
        <x:f>IF(K1241&gt;0,R1241/K1241,"")</x:f>
        <x:v>0.5742857142857142</x:v>
      </x:c>
    </x:row>
    <x:row r="1242">
      <x:c r="A1242" s="7" t="n">
        <x:v>1238</x:v>
      </x:c>
      <x:c r="B1242" s="7" t="str">
        <x:v>Tata</x:v>
      </x:c>
      <x:c r="C1242" s="7" t="str">
        <x:v>Altroz</x:v>
      </x:c>
      <x:c r="D1242" s="7" t="str">
        <x:v>XE</x:v>
      </x:c>
      <x:c r="E1242" s="7" t="str">
        <x:v>Petrol</x:v>
      </x:c>
      <x:c r="F1242" s="7" t="str">
        <x:v>Manual</x:v>
      </x:c>
      <x:c r="G1242" s="7" t="str">
        <x:v>Hatchback</x:v>
      </x:c>
      <x:c r="H1242" s="7" t="n">
        <x:v>1199</x:v>
      </x:c>
      <x:c r="I1242" s="7" t="n">
        <x:v>87</x:v>
      </x:c>
      <x:c r="J1242" s="9" t="n">
        <x:v>19.3</x:v>
      </x:c>
      <x:c r="K1242" s="9" t="n">
        <x:v>7</x:v>
      </x:c>
      <x:c r="L1242" s="7" t="n">
        <x:v>2026</x:v>
      </x:c>
      <x:c r="M1242" s="11" t="n">
        <x:v>5393</x:v>
      </x:c>
      <x:c r="N1242" s="7" t="n">
        <x:v>1</x:v>
      </x:c>
      <x:c r="O1242" s="7" t="n">
        <x:v>0</x:v>
      </x:c>
      <x:c r="P1242" s="9" t="n">
        <x:v>6.73</x:v>
      </x:c>
      <x:c r="Q1242" s="7" t="n">
        <x:f>'Guide'!$B$5-L1242</x:f>
        <x:v>0</x:v>
      </x:c>
      <x:c r="R1242" s="9" t="n">
        <x:f>K1242-P1242</x:f>
        <x:v>0.2699999999999996</x:v>
      </x:c>
      <x:c r="S1242" s="10" t="n">
        <x:f>IF(K1242&gt;0,R1242/K1242,"")</x:f>
        <x:v>0.038571428571428513</x:v>
      </x:c>
    </x:row>
    <x:row r="1243">
      <x:c r="A1243" s="7" t="n">
        <x:v>1239</x:v>
      </x:c>
      <x:c r="B1243" s="7" t="str">
        <x:v>Tata</x:v>
      </x:c>
      <x:c r="C1243" s="7" t="str">
        <x:v>Altroz</x:v>
      </x:c>
      <x:c r="D1243" s="7" t="str">
        <x:v>XE</x:v>
      </x:c>
      <x:c r="E1243" s="7" t="str">
        <x:v>Petrol</x:v>
      </x:c>
      <x:c r="F1243" s="7" t="str">
        <x:v>Manual</x:v>
      </x:c>
      <x:c r="G1243" s="7" t="str">
        <x:v>Hatchback</x:v>
      </x:c>
      <x:c r="H1243" s="7" t="n">
        <x:v>1199</x:v>
      </x:c>
      <x:c r="I1243" s="7" t="n">
        <x:v>87</x:v>
      </x:c>
      <x:c r="J1243" s="9" t="n">
        <x:v>19.3</x:v>
      </x:c>
      <x:c r="K1243" s="9" t="n">
        <x:v>7</x:v>
      </x:c>
      <x:c r="L1243" s="7" t="n">
        <x:v>2025</x:v>
      </x:c>
      <x:c r="M1243" s="11" t="n">
        <x:v>12152</x:v>
      </x:c>
      <x:c r="N1243" s="7" t="n">
        <x:v>1</x:v>
      </x:c>
      <x:c r="O1243" s="7" t="n">
        <x:v>0</x:v>
      </x:c>
      <x:c r="P1243" s="9" t="n">
        <x:v>6.73</x:v>
      </x:c>
      <x:c r="Q1243" s="7" t="n">
        <x:f>'Guide'!$B$5-L1243</x:f>
        <x:v>1</x:v>
      </x:c>
      <x:c r="R1243" s="9" t="n">
        <x:f>K1243-P1243</x:f>
        <x:v>0.2699999999999996</x:v>
      </x:c>
      <x:c r="S1243" s="10" t="n">
        <x:f>IF(K1243&gt;0,R1243/K1243,"")</x:f>
        <x:v>0.038571428571428513</x:v>
      </x:c>
    </x:row>
    <x:row r="1244">
      <x:c r="A1244" s="7" t="n">
        <x:v>1240</x:v>
      </x:c>
      <x:c r="B1244" s="7" t="str">
        <x:v>Tata</x:v>
      </x:c>
      <x:c r="C1244" s="7" t="str">
        <x:v>Altroz</x:v>
      </x:c>
      <x:c r="D1244" s="7" t="str">
        <x:v>XE</x:v>
      </x:c>
      <x:c r="E1244" s="7" t="str">
        <x:v>Petrol</x:v>
      </x:c>
      <x:c r="F1244" s="7" t="str">
        <x:v>Manual</x:v>
      </x:c>
      <x:c r="G1244" s="7" t="str">
        <x:v>Hatchback</x:v>
      </x:c>
      <x:c r="H1244" s="7" t="n">
        <x:v>1199</x:v>
      </x:c>
      <x:c r="I1244" s="7" t="n">
        <x:v>87</x:v>
      </x:c>
      <x:c r="J1244" s="9" t="n">
        <x:v>19.3</x:v>
      </x:c>
      <x:c r="K1244" s="9" t="n">
        <x:v>7</x:v>
      </x:c>
      <x:c r="L1244" s="7" t="n">
        <x:v>2023</x:v>
      </x:c>
      <x:c r="M1244" s="11" t="n">
        <x:v>34395</x:v>
      </x:c>
      <x:c r="N1244" s="7" t="n">
        <x:v>1</x:v>
      </x:c>
      <x:c r="O1244" s="7" t="n">
        <x:v>0</x:v>
      </x:c>
      <x:c r="P1244" s="9" t="n">
        <x:v>4.77</x:v>
      </x:c>
      <x:c r="Q1244" s="7" t="n">
        <x:f>'Guide'!$B$5-L1244</x:f>
        <x:v>3</x:v>
      </x:c>
      <x:c r="R1244" s="9" t="n">
        <x:f>K1244-P1244</x:f>
        <x:v>2.2300000000000004</x:v>
      </x:c>
      <x:c r="S1244" s="10" t="n">
        <x:f>IF(K1244&gt;0,R1244/K1244,"")</x:f>
        <x:v>0.3185714285714286</x:v>
      </x:c>
    </x:row>
    <x:row r="1245">
      <x:c r="A1245" s="7" t="n">
        <x:v>1241</x:v>
      </x:c>
      <x:c r="B1245" s="7" t="str">
        <x:v>Tata</x:v>
      </x:c>
      <x:c r="C1245" s="7" t="str">
        <x:v>Altroz</x:v>
      </x:c>
      <x:c r="D1245" s="7" t="str">
        <x:v>XE</x:v>
      </x:c>
      <x:c r="E1245" s="7" t="str">
        <x:v>Petrol</x:v>
      </x:c>
      <x:c r="F1245" s="7" t="str">
        <x:v>Manual</x:v>
      </x:c>
      <x:c r="G1245" s="7" t="str">
        <x:v>Hatchback</x:v>
      </x:c>
      <x:c r="H1245" s="7" t="n">
        <x:v>1199</x:v>
      </x:c>
      <x:c r="I1245" s="7" t="n">
        <x:v>87</x:v>
      </x:c>
      <x:c r="J1245" s="9" t="n">
        <x:v>19.3</x:v>
      </x:c>
      <x:c r="K1245" s="9" t="n">
        <x:v>7</x:v>
      </x:c>
      <x:c r="L1245" s="7" t="n">
        <x:v>2020</x:v>
      </x:c>
      <x:c r="M1245" s="11" t="n">
        <x:v>97817</x:v>
      </x:c>
      <x:c r="N1245" s="7" t="n">
        <x:v>1</x:v>
      </x:c>
      <x:c r="O1245" s="7" t="n">
        <x:v>0</x:v>
      </x:c>
      <x:c r="P1245" s="9" t="n">
        <x:v>2.71</x:v>
      </x:c>
      <x:c r="Q1245" s="7" t="n">
        <x:f>'Guide'!$B$5-L1245</x:f>
        <x:v>6</x:v>
      </x:c>
      <x:c r="R1245" s="9" t="n">
        <x:f>K1245-P1245</x:f>
        <x:v>4.29</x:v>
      </x:c>
      <x:c r="S1245" s="10" t="n">
        <x:f>IF(K1245&gt;0,R1245/K1245,"")</x:f>
        <x:v>0.6128571428571429</x:v>
      </x:c>
    </x:row>
    <x:row r="1246">
      <x:c r="A1246" s="7" t="n">
        <x:v>1242</x:v>
      </x:c>
      <x:c r="B1246" s="7" t="str">
        <x:v>Tata</x:v>
      </x:c>
      <x:c r="C1246" s="7" t="str">
        <x:v>Altroz</x:v>
      </x:c>
      <x:c r="D1246" s="7" t="str">
        <x:v>XE</x:v>
      </x:c>
      <x:c r="E1246" s="7" t="str">
        <x:v>Petrol</x:v>
      </x:c>
      <x:c r="F1246" s="7" t="str">
        <x:v>Manual</x:v>
      </x:c>
      <x:c r="G1246" s="7" t="str">
        <x:v>Hatchback</x:v>
      </x:c>
      <x:c r="H1246" s="7" t="n">
        <x:v>1199</x:v>
      </x:c>
      <x:c r="I1246" s="7" t="n">
        <x:v>87</x:v>
      </x:c>
      <x:c r="J1246" s="9" t="n">
        <x:v>19.3</x:v>
      </x:c>
      <x:c r="K1246" s="9" t="n">
        <x:v>7</x:v>
      </x:c>
      <x:c r="L1246" s="7" t="n">
        <x:v>2021</x:v>
      </x:c>
      <x:c r="M1246" s="11" t="n">
        <x:v>75488</x:v>
      </x:c>
      <x:c r="N1246" s="7" t="n">
        <x:v>1</x:v>
      </x:c>
      <x:c r="O1246" s="7" t="n">
        <x:v>0</x:v>
      </x:c>
      <x:c r="P1246" s="9" t="n">
        <x:v>3.54</x:v>
      </x:c>
      <x:c r="Q1246" s="7" t="n">
        <x:f>'Guide'!$B$5-L1246</x:f>
        <x:v>5</x:v>
      </x:c>
      <x:c r="R1246" s="9" t="n">
        <x:f>K1246-P1246</x:f>
        <x:v>3.46</x:v>
      </x:c>
      <x:c r="S1246" s="10" t="n">
        <x:f>IF(K1246&gt;0,R1246/K1246,"")</x:f>
        <x:v>0.4942857142857143</x:v>
      </x:c>
    </x:row>
    <x:row r="1247">
      <x:c r="A1247" s="7" t="n">
        <x:v>1243</x:v>
      </x:c>
      <x:c r="B1247" s="7" t="str">
        <x:v>Tata</x:v>
      </x:c>
      <x:c r="C1247" s="7" t="str">
        <x:v>Altroz</x:v>
      </x:c>
      <x:c r="D1247" s="7" t="str">
        <x:v>XE</x:v>
      </x:c>
      <x:c r="E1247" s="7" t="str">
        <x:v>Petrol</x:v>
      </x:c>
      <x:c r="F1247" s="7" t="str">
        <x:v>Manual</x:v>
      </x:c>
      <x:c r="G1247" s="7" t="str">
        <x:v>Hatchback</x:v>
      </x:c>
      <x:c r="H1247" s="7" t="n">
        <x:v>1199</x:v>
      </x:c>
      <x:c r="I1247" s="7" t="n">
        <x:v>87</x:v>
      </x:c>
      <x:c r="J1247" s="9" t="n">
        <x:v>19.3</x:v>
      </x:c>
      <x:c r="K1247" s="9" t="n">
        <x:v>7</x:v>
      </x:c>
      <x:c r="L1247" s="7" t="n">
        <x:v>2022</x:v>
      </x:c>
      <x:c r="M1247" s="11" t="n">
        <x:v>60341</x:v>
      </x:c>
      <x:c r="N1247" s="7" t="n">
        <x:v>2</x:v>
      </x:c>
      <x:c r="O1247" s="7" t="n">
        <x:v>1</x:v>
      </x:c>
      <x:c r="P1247" s="9" t="n">
        <x:v>3.07</x:v>
      </x:c>
      <x:c r="Q1247" s="7" t="n">
        <x:f>'Guide'!$B$5-L1247</x:f>
        <x:v>4</x:v>
      </x:c>
      <x:c r="R1247" s="9" t="n">
        <x:f>K1247-P1247</x:f>
        <x:v>3.93</x:v>
      </x:c>
      <x:c r="S1247" s="10" t="n">
        <x:f>IF(K1247&gt;0,R1247/K1247,"")</x:f>
        <x:v>0.5614285714285715</x:v>
      </x:c>
    </x:row>
    <x:row r="1248">
      <x:c r="A1248" s="7" t="n">
        <x:v>1244</x:v>
      </x:c>
      <x:c r="B1248" s="7" t="str">
        <x:v>Tata</x:v>
      </x:c>
      <x:c r="C1248" s="7" t="str">
        <x:v>Altroz</x:v>
      </x:c>
      <x:c r="D1248" s="7" t="str">
        <x:v>XE</x:v>
      </x:c>
      <x:c r="E1248" s="7" t="str">
        <x:v>Petrol</x:v>
      </x:c>
      <x:c r="F1248" s="7" t="str">
        <x:v>Manual</x:v>
      </x:c>
      <x:c r="G1248" s="7" t="str">
        <x:v>Hatchback</x:v>
      </x:c>
      <x:c r="H1248" s="7" t="n">
        <x:v>1199</x:v>
      </x:c>
      <x:c r="I1248" s="7" t="n">
        <x:v>87</x:v>
      </x:c>
      <x:c r="J1248" s="9" t="n">
        <x:v>19.3</x:v>
      </x:c>
      <x:c r="K1248" s="9" t="n">
        <x:v>7</x:v>
      </x:c>
      <x:c r="L1248" s="7" t="n">
        <x:v>2023</x:v>
      </x:c>
      <x:c r="M1248" s="11" t="n">
        <x:v>54719</x:v>
      </x:c>
      <x:c r="N1248" s="7" t="n">
        <x:v>1</x:v>
      </x:c>
      <x:c r="O1248" s="7" t="n">
        <x:v>0</x:v>
      </x:c>
      <x:c r="P1248" s="9" t="n">
        <x:v>4.67</x:v>
      </x:c>
      <x:c r="Q1248" s="7" t="n">
        <x:f>'Guide'!$B$5-L1248</x:f>
        <x:v>3</x:v>
      </x:c>
      <x:c r="R1248" s="9" t="n">
        <x:f>K1248-P1248</x:f>
        <x:v>2.33</x:v>
      </x:c>
      <x:c r="S1248" s="10" t="n">
        <x:f>IF(K1248&gt;0,R1248/K1248,"")</x:f>
        <x:v>0.33285714285714285</x:v>
      </x:c>
    </x:row>
    <x:row r="1249">
      <x:c r="A1249" s="7" t="n">
        <x:v>1245</x:v>
      </x:c>
      <x:c r="B1249" s="7" t="str">
        <x:v>Tata</x:v>
      </x:c>
      <x:c r="C1249" s="7" t="str">
        <x:v>Altroz</x:v>
      </x:c>
      <x:c r="D1249" s="7" t="str">
        <x:v>XE</x:v>
      </x:c>
      <x:c r="E1249" s="7" t="str">
        <x:v>Petrol</x:v>
      </x:c>
      <x:c r="F1249" s="7" t="str">
        <x:v>Manual</x:v>
      </x:c>
      <x:c r="G1249" s="7" t="str">
        <x:v>Hatchback</x:v>
      </x:c>
      <x:c r="H1249" s="7" t="n">
        <x:v>1199</x:v>
      </x:c>
      <x:c r="I1249" s="7" t="n">
        <x:v>87</x:v>
      </x:c>
      <x:c r="J1249" s="9" t="n">
        <x:v>19.3</x:v>
      </x:c>
      <x:c r="K1249" s="9" t="n">
        <x:v>7</x:v>
      </x:c>
      <x:c r="L1249" s="7" t="n">
        <x:v>2022</x:v>
      </x:c>
      <x:c r="M1249" s="11" t="n">
        <x:v>54986</x:v>
      </x:c>
      <x:c r="N1249" s="7" t="n">
        <x:v>1</x:v>
      </x:c>
      <x:c r="O1249" s="7" t="n">
        <x:v>1</x:v>
      </x:c>
      <x:c r="P1249" s="9" t="n">
        <x:v>3.89</x:v>
      </x:c>
      <x:c r="Q1249" s="7" t="n">
        <x:f>'Guide'!$B$5-L1249</x:f>
        <x:v>4</x:v>
      </x:c>
      <x:c r="R1249" s="9" t="n">
        <x:f>K1249-P1249</x:f>
        <x:v>3.11</x:v>
      </x:c>
      <x:c r="S1249" s="10" t="n">
        <x:f>IF(K1249&gt;0,R1249/K1249,"")</x:f>
        <x:v>0.4442857142857143</x:v>
      </x:c>
    </x:row>
    <x:row r="1250">
      <x:c r="A1250" s="7" t="n">
        <x:v>1246</x:v>
      </x:c>
      <x:c r="B1250" s="7" t="str">
        <x:v>Tata</x:v>
      </x:c>
      <x:c r="C1250" s="7" t="str">
        <x:v>Altroz</x:v>
      </x:c>
      <x:c r="D1250" s="7" t="str">
        <x:v>XE</x:v>
      </x:c>
      <x:c r="E1250" s="7" t="str">
        <x:v>Petrol</x:v>
      </x:c>
      <x:c r="F1250" s="7" t="str">
        <x:v>Manual</x:v>
      </x:c>
      <x:c r="G1250" s="7" t="str">
        <x:v>Hatchback</x:v>
      </x:c>
      <x:c r="H1250" s="7" t="n">
        <x:v>1199</x:v>
      </x:c>
      <x:c r="I1250" s="7" t="n">
        <x:v>87</x:v>
      </x:c>
      <x:c r="J1250" s="9" t="n">
        <x:v>19.3</x:v>
      </x:c>
      <x:c r="K1250" s="9" t="n">
        <x:v>7</x:v>
      </x:c>
      <x:c r="L1250" s="7" t="n">
        <x:v>2026</x:v>
      </x:c>
      <x:c r="M1250" s="11" t="n">
        <x:v>4332</x:v>
      </x:c>
      <x:c r="N1250" s="7" t="n">
        <x:v>2</x:v>
      </x:c>
      <x:c r="O1250" s="7" t="n">
        <x:v>0</x:v>
      </x:c>
      <x:c r="P1250" s="9" t="n">
        <x:v>6.71</x:v>
      </x:c>
      <x:c r="Q1250" s="7" t="n">
        <x:f>'Guide'!$B$5-L1250</x:f>
        <x:v>0</x:v>
      </x:c>
      <x:c r="R1250" s="9" t="n">
        <x:f>K1250-P1250</x:f>
        <x:v>0.29000000000000004</x:v>
      </x:c>
      <x:c r="S1250" s="10" t="n">
        <x:f>IF(K1250&gt;0,R1250/K1250,"")</x:f>
        <x:v>0.04142857142857143</x:v>
      </x:c>
    </x:row>
    <x:row r="1251">
      <x:c r="A1251" s="7" t="n">
        <x:v>1247</x:v>
      </x:c>
      <x:c r="B1251" s="7" t="str">
        <x:v>Tata</x:v>
      </x:c>
      <x:c r="C1251" s="7" t="str">
        <x:v>Altroz</x:v>
      </x:c>
      <x:c r="D1251" s="7" t="str">
        <x:v>XE</x:v>
      </x:c>
      <x:c r="E1251" s="7" t="str">
        <x:v>Petrol</x:v>
      </x:c>
      <x:c r="F1251" s="7" t="str">
        <x:v>Manual</x:v>
      </x:c>
      <x:c r="G1251" s="7" t="str">
        <x:v>Hatchback</x:v>
      </x:c>
      <x:c r="H1251" s="7" t="n">
        <x:v>1199</x:v>
      </x:c>
      <x:c r="I1251" s="7" t="n">
        <x:v>87</x:v>
      </x:c>
      <x:c r="J1251" s="9" t="n">
        <x:v>19.3</x:v>
      </x:c>
      <x:c r="K1251" s="9" t="n">
        <x:v>7</x:v>
      </x:c>
      <x:c r="L1251" s="7" t="n">
        <x:v>2026</x:v>
      </x:c>
      <x:c r="M1251" s="11" t="n">
        <x:v>8810</x:v>
      </x:c>
      <x:c r="N1251" s="7" t="n">
        <x:v>1</x:v>
      </x:c>
      <x:c r="O1251" s="7" t="n">
        <x:v>0</x:v>
      </x:c>
      <x:c r="P1251" s="9" t="n">
        <x:v>7</x:v>
      </x:c>
      <x:c r="Q1251" s="7" t="n">
        <x:f>'Guide'!$B$5-L1251</x:f>
        <x:v>0</x:v>
      </x:c>
      <x:c r="R1251" s="9" t="n">
        <x:f>K1251-P1251</x:f>
        <x:v>0</x:v>
      </x:c>
      <x:c r="S1251" s="10" t="n">
        <x:f>IF(K1251&gt;0,R1251/K1251,"")</x:f>
        <x:v>0</x:v>
      </x:c>
    </x:row>
    <x:row r="1252">
      <x:c r="A1252" s="7" t="n">
        <x:v>1248</x:v>
      </x:c>
      <x:c r="B1252" s="7" t="str">
        <x:v>Tata</x:v>
      </x:c>
      <x:c r="C1252" s="7" t="str">
        <x:v>Altroz</x:v>
      </x:c>
      <x:c r="D1252" s="7" t="str">
        <x:v>XE</x:v>
      </x:c>
      <x:c r="E1252" s="7" t="str">
        <x:v>Petrol</x:v>
      </x:c>
      <x:c r="F1252" s="7" t="str">
        <x:v>Manual</x:v>
      </x:c>
      <x:c r="G1252" s="7" t="str">
        <x:v>Hatchback</x:v>
      </x:c>
      <x:c r="H1252" s="7" t="n">
        <x:v>1199</x:v>
      </x:c>
      <x:c r="I1252" s="7" t="n">
        <x:v>87</x:v>
      </x:c>
      <x:c r="J1252" s="9" t="n">
        <x:v>19.3</x:v>
      </x:c>
      <x:c r="K1252" s="9" t="n">
        <x:v>7</x:v>
      </x:c>
      <x:c r="L1252" s="7" t="n">
        <x:v>2024</x:v>
      </x:c>
      <x:c r="M1252" s="11" t="n">
        <x:v>20812</x:v>
      </x:c>
      <x:c r="N1252" s="7" t="n">
        <x:v>1</x:v>
      </x:c>
      <x:c r="O1252" s="7" t="n">
        <x:v>0</x:v>
      </x:c>
      <x:c r="P1252" s="9" t="n">
        <x:v>5.37</x:v>
      </x:c>
      <x:c r="Q1252" s="7" t="n">
        <x:f>'Guide'!$B$5-L1252</x:f>
        <x:v>2</x:v>
      </x:c>
      <x:c r="R1252" s="9" t="n">
        <x:f>K1252-P1252</x:f>
        <x:v>1.63</x:v>
      </x:c>
      <x:c r="S1252" s="10" t="n">
        <x:f>IF(K1252&gt;0,R1252/K1252,"")</x:f>
        <x:v>0.23285714285714285</x:v>
      </x:c>
    </x:row>
    <x:row r="1253">
      <x:c r="A1253" s="7" t="n">
        <x:v>1249</x:v>
      </x:c>
      <x:c r="B1253" s="7" t="str">
        <x:v>Tata</x:v>
      </x:c>
      <x:c r="C1253" s="7" t="str">
        <x:v>Altroz</x:v>
      </x:c>
      <x:c r="D1253" s="7" t="str">
        <x:v>XE</x:v>
      </x:c>
      <x:c r="E1253" s="7" t="str">
        <x:v>Petrol</x:v>
      </x:c>
      <x:c r="F1253" s="7" t="str">
        <x:v>Manual</x:v>
      </x:c>
      <x:c r="G1253" s="7" t="str">
        <x:v>Hatchback</x:v>
      </x:c>
      <x:c r="H1253" s="7" t="n">
        <x:v>1199</x:v>
      </x:c>
      <x:c r="I1253" s="7" t="n">
        <x:v>87</x:v>
      </x:c>
      <x:c r="J1253" s="9" t="n">
        <x:v>19.3</x:v>
      </x:c>
      <x:c r="K1253" s="9" t="n">
        <x:v>7</x:v>
      </x:c>
      <x:c r="L1253" s="7" t="n">
        <x:v>2025</x:v>
      </x:c>
      <x:c r="M1253" s="11" t="n">
        <x:v>22018</x:v>
      </x:c>
      <x:c r="N1253" s="7" t="n">
        <x:v>2</x:v>
      </x:c>
      <x:c r="O1253" s="7" t="n">
        <x:v>0</x:v>
      </x:c>
      <x:c r="P1253" s="9" t="n">
        <x:v>5.71</x:v>
      </x:c>
      <x:c r="Q1253" s="7" t="n">
        <x:f>'Guide'!$B$5-L1253</x:f>
        <x:v>1</x:v>
      </x:c>
      <x:c r="R1253" s="9" t="n">
        <x:f>K1253-P1253</x:f>
        <x:v>1.29</x:v>
      </x:c>
      <x:c r="S1253" s="10" t="n">
        <x:f>IF(K1253&gt;0,R1253/K1253,"")</x:f>
        <x:v>0.1842857142857143</x:v>
      </x:c>
    </x:row>
    <x:row r="1254">
      <x:c r="A1254" s="7" t="n">
        <x:v>1250</x:v>
      </x:c>
      <x:c r="B1254" s="7" t="str">
        <x:v>Tata</x:v>
      </x:c>
      <x:c r="C1254" s="7" t="str">
        <x:v>Altroz</x:v>
      </x:c>
      <x:c r="D1254" s="7" t="str">
        <x:v>XE</x:v>
      </x:c>
      <x:c r="E1254" s="7" t="str">
        <x:v>Petrol</x:v>
      </x:c>
      <x:c r="F1254" s="7" t="str">
        <x:v>Manual</x:v>
      </x:c>
      <x:c r="G1254" s="7" t="str">
        <x:v>Hatchback</x:v>
      </x:c>
      <x:c r="H1254" s="7" t="n">
        <x:v>1199</x:v>
      </x:c>
      <x:c r="I1254" s="7" t="n">
        <x:v>87</x:v>
      </x:c>
      <x:c r="J1254" s="9" t="n">
        <x:v>19.3</x:v>
      </x:c>
      <x:c r="K1254" s="9" t="n">
        <x:v>7</x:v>
      </x:c>
      <x:c r="L1254" s="7" t="n">
        <x:v>2021</x:v>
      </x:c>
      <x:c r="M1254" s="11" t="n">
        <x:v>70356</x:v>
      </x:c>
      <x:c r="N1254" s="7" t="n">
        <x:v>2</x:v>
      </x:c>
      <x:c r="O1254" s="7" t="n">
        <x:v>0</x:v>
      </x:c>
      <x:c r="P1254" s="9" t="n">
        <x:v>3.18</x:v>
      </x:c>
      <x:c r="Q1254" s="7" t="n">
        <x:f>'Guide'!$B$5-L1254</x:f>
        <x:v>5</x:v>
      </x:c>
      <x:c r="R1254" s="9" t="n">
        <x:f>K1254-P1254</x:f>
        <x:v>3.82</x:v>
      </x:c>
      <x:c r="S1254" s="10" t="n">
        <x:f>IF(K1254&gt;0,R1254/K1254,"")</x:f>
        <x:v>0.5457142857142857</x:v>
      </x:c>
    </x:row>
    <x:row r="1255">
      <x:c r="A1255" s="7" t="n">
        <x:v>1251</x:v>
      </x:c>
      <x:c r="B1255" s="7" t="str">
        <x:v>Tata</x:v>
      </x:c>
      <x:c r="C1255" s="7" t="str">
        <x:v>Altroz</x:v>
      </x:c>
      <x:c r="D1255" s="7" t="str">
        <x:v>XE</x:v>
      </x:c>
      <x:c r="E1255" s="7" t="str">
        <x:v>Petrol</x:v>
      </x:c>
      <x:c r="F1255" s="7" t="str">
        <x:v>Manual</x:v>
      </x:c>
      <x:c r="G1255" s="7" t="str">
        <x:v>Hatchback</x:v>
      </x:c>
      <x:c r="H1255" s="7" t="n">
        <x:v>1199</x:v>
      </x:c>
      <x:c r="I1255" s="7" t="n">
        <x:v>87</x:v>
      </x:c>
      <x:c r="J1255" s="9" t="n">
        <x:v>19.3</x:v>
      </x:c>
      <x:c r="K1255" s="9" t="n">
        <x:v>7</x:v>
      </x:c>
      <x:c r="L1255" s="7" t="n">
        <x:v>2025</x:v>
      </x:c>
      <x:c r="M1255" s="11" t="n">
        <x:v>17569</x:v>
      </x:c>
      <x:c r="N1255" s="7" t="n">
        <x:v>1</x:v>
      </x:c>
      <x:c r="O1255" s="7" t="n">
        <x:v>0</x:v>
      </x:c>
      <x:c r="P1255" s="9" t="n">
        <x:v>6.37</x:v>
      </x:c>
      <x:c r="Q1255" s="7" t="n">
        <x:f>'Guide'!$B$5-L1255</x:f>
        <x:v>1</x:v>
      </x:c>
      <x:c r="R1255" s="9" t="n">
        <x:f>K1255-P1255</x:f>
        <x:v>0.6299999999999999</x:v>
      </x:c>
      <x:c r="S1255" s="10" t="n">
        <x:f>IF(K1255&gt;0,R1255/K1255,"")</x:f>
        <x:v>0.08999999999999998</x:v>
      </x:c>
    </x:row>
    <x:row r="1256">
      <x:c r="A1256" s="7" t="n">
        <x:v>1252</x:v>
      </x:c>
      <x:c r="B1256" s="7" t="str">
        <x:v>Tata</x:v>
      </x:c>
      <x:c r="C1256" s="7" t="str">
        <x:v>Altroz</x:v>
      </x:c>
      <x:c r="D1256" s="7" t="str">
        <x:v>XE</x:v>
      </x:c>
      <x:c r="E1256" s="7" t="str">
        <x:v>Petrol</x:v>
      </x:c>
      <x:c r="F1256" s="7" t="str">
        <x:v>Manual</x:v>
      </x:c>
      <x:c r="G1256" s="7" t="str">
        <x:v>Hatchback</x:v>
      </x:c>
      <x:c r="H1256" s="7" t="n">
        <x:v>1199</x:v>
      </x:c>
      <x:c r="I1256" s="7" t="n">
        <x:v>87</x:v>
      </x:c>
      <x:c r="J1256" s="9" t="n">
        <x:v>19.3</x:v>
      </x:c>
      <x:c r="K1256" s="9" t="n">
        <x:v>7</x:v>
      </x:c>
      <x:c r="L1256" s="7" t="n">
        <x:v>2021</x:v>
      </x:c>
      <x:c r="M1256" s="11" t="n">
        <x:v>77972</x:v>
      </x:c>
      <x:c r="N1256" s="7" t="n">
        <x:v>1</x:v>
      </x:c>
      <x:c r="O1256" s="7" t="n">
        <x:v>0</x:v>
      </x:c>
      <x:c r="P1256" s="9" t="n">
        <x:v>3.49</x:v>
      </x:c>
      <x:c r="Q1256" s="7" t="n">
        <x:f>'Guide'!$B$5-L1256</x:f>
        <x:v>5</x:v>
      </x:c>
      <x:c r="R1256" s="9" t="n">
        <x:f>K1256-P1256</x:f>
        <x:v>3.51</x:v>
      </x:c>
      <x:c r="S1256" s="10" t="n">
        <x:f>IF(K1256&gt;0,R1256/K1256,"")</x:f>
        <x:v>0.5014285714285714</x:v>
      </x:c>
    </x:row>
    <x:row r="1257">
      <x:c r="A1257" s="7" t="n">
        <x:v>1253</x:v>
      </x:c>
      <x:c r="B1257" s="7" t="str">
        <x:v>Tata</x:v>
      </x:c>
      <x:c r="C1257" s="7" t="str">
        <x:v>Altroz</x:v>
      </x:c>
      <x:c r="D1257" s="7" t="str">
        <x:v>XE</x:v>
      </x:c>
      <x:c r="E1257" s="7" t="str">
        <x:v>Petrol</x:v>
      </x:c>
      <x:c r="F1257" s="7" t="str">
        <x:v>Manual</x:v>
      </x:c>
      <x:c r="G1257" s="7" t="str">
        <x:v>Hatchback</x:v>
      </x:c>
      <x:c r="H1257" s="7" t="n">
        <x:v>1199</x:v>
      </x:c>
      <x:c r="I1257" s="7" t="n">
        <x:v>87</x:v>
      </x:c>
      <x:c r="J1257" s="9" t="n">
        <x:v>19.3</x:v>
      </x:c>
      <x:c r="K1257" s="9" t="n">
        <x:v>7</x:v>
      </x:c>
      <x:c r="L1257" s="7" t="n">
        <x:v>2024</x:v>
      </x:c>
      <x:c r="M1257" s="11" t="n">
        <x:v>29819</x:v>
      </x:c>
      <x:c r="N1257" s="7" t="n">
        <x:v>1</x:v>
      </x:c>
      <x:c r="O1257" s="7" t="n">
        <x:v>0</x:v>
      </x:c>
      <x:c r="P1257" s="9" t="n">
        <x:v>5.63</x:v>
      </x:c>
      <x:c r="Q1257" s="7" t="n">
        <x:f>'Guide'!$B$5-L1257</x:f>
        <x:v>2</x:v>
      </x:c>
      <x:c r="R1257" s="9" t="n">
        <x:f>K1257-P1257</x:f>
        <x:v>1.37</x:v>
      </x:c>
      <x:c r="S1257" s="10" t="n">
        <x:f>IF(K1257&gt;0,R1257/K1257,"")</x:f>
        <x:v>0.19571428571428573</x:v>
      </x:c>
    </x:row>
    <x:row r="1258">
      <x:c r="A1258" s="7" t="n">
        <x:v>1254</x:v>
      </x:c>
      <x:c r="B1258" s="7" t="str">
        <x:v>Tata</x:v>
      </x:c>
      <x:c r="C1258" s="7" t="str">
        <x:v>Altroz</x:v>
      </x:c>
      <x:c r="D1258" s="7" t="str">
        <x:v>XE</x:v>
      </x:c>
      <x:c r="E1258" s="7" t="str">
        <x:v>Petrol</x:v>
      </x:c>
      <x:c r="F1258" s="7" t="str">
        <x:v>Manual</x:v>
      </x:c>
      <x:c r="G1258" s="7" t="str">
        <x:v>Hatchback</x:v>
      </x:c>
      <x:c r="H1258" s="7" t="n">
        <x:v>1199</x:v>
      </x:c>
      <x:c r="I1258" s="7" t="n">
        <x:v>87</x:v>
      </x:c>
      <x:c r="J1258" s="9" t="n">
        <x:v>19.3</x:v>
      </x:c>
      <x:c r="K1258" s="9" t="n">
        <x:v>7</x:v>
      </x:c>
      <x:c r="L1258" s="7" t="n">
        <x:v>2023</x:v>
      </x:c>
      <x:c r="M1258" s="11" t="n">
        <x:v>53240</x:v>
      </x:c>
      <x:c r="N1258" s="7" t="n">
        <x:v>2</x:v>
      </x:c>
      <x:c r="O1258" s="7" t="n">
        <x:v>0</x:v>
      </x:c>
      <x:c r="P1258" s="9" t="n">
        <x:v>4.21</x:v>
      </x:c>
      <x:c r="Q1258" s="7" t="n">
        <x:f>'Guide'!$B$5-L1258</x:f>
        <x:v>3</x:v>
      </x:c>
      <x:c r="R1258" s="9" t="n">
        <x:f>K1258-P1258</x:f>
        <x:v>2.79</x:v>
      </x:c>
      <x:c r="S1258" s="10" t="n">
        <x:f>IF(K1258&gt;0,R1258/K1258,"")</x:f>
        <x:v>0.3985714285714286</x:v>
      </x:c>
    </x:row>
    <x:row r="1259">
      <x:c r="A1259" s="7" t="n">
        <x:v>1255</x:v>
      </x:c>
      <x:c r="B1259" s="7" t="str">
        <x:v>Tata</x:v>
      </x:c>
      <x:c r="C1259" s="7" t="str">
        <x:v>Altroz</x:v>
      </x:c>
      <x:c r="D1259" s="7" t="str">
        <x:v>XE</x:v>
      </x:c>
      <x:c r="E1259" s="7" t="str">
        <x:v>Petrol</x:v>
      </x:c>
      <x:c r="F1259" s="7" t="str">
        <x:v>Manual</x:v>
      </x:c>
      <x:c r="G1259" s="7" t="str">
        <x:v>Hatchback</x:v>
      </x:c>
      <x:c r="H1259" s="7" t="n">
        <x:v>1199</x:v>
      </x:c>
      <x:c r="I1259" s="7" t="n">
        <x:v>87</x:v>
      </x:c>
      <x:c r="J1259" s="9" t="n">
        <x:v>19.3</x:v>
      </x:c>
      <x:c r="K1259" s="9" t="n">
        <x:v>7</x:v>
      </x:c>
      <x:c r="L1259" s="7" t="n">
        <x:v>2023</x:v>
      </x:c>
      <x:c r="M1259" s="11" t="n">
        <x:v>48295</x:v>
      </x:c>
      <x:c r="N1259" s="7" t="n">
        <x:v>1</x:v>
      </x:c>
      <x:c r="O1259" s="7" t="n">
        <x:v>0</x:v>
      </x:c>
      <x:c r="P1259" s="9" t="n">
        <x:v>4.92</x:v>
      </x:c>
      <x:c r="Q1259" s="7" t="n">
        <x:f>'Guide'!$B$5-L1259</x:f>
        <x:v>3</x:v>
      </x:c>
      <x:c r="R1259" s="9" t="n">
        <x:f>K1259-P1259</x:f>
        <x:v>2.08</x:v>
      </x:c>
      <x:c r="S1259" s="10" t="n">
        <x:f>IF(K1259&gt;0,R1259/K1259,"")</x:f>
        <x:v>0.29714285714285715</x:v>
      </x:c>
    </x:row>
    <x:row r="1260">
      <x:c r="A1260" s="7" t="n">
        <x:v>1256</x:v>
      </x:c>
      <x:c r="B1260" s="7" t="str">
        <x:v>Tata</x:v>
      </x:c>
      <x:c r="C1260" s="7" t="str">
        <x:v>Altroz</x:v>
      </x:c>
      <x:c r="D1260" s="7" t="str">
        <x:v>XE</x:v>
      </x:c>
      <x:c r="E1260" s="7" t="str">
        <x:v>Petrol</x:v>
      </x:c>
      <x:c r="F1260" s="7" t="str">
        <x:v>Manual</x:v>
      </x:c>
      <x:c r="G1260" s="7" t="str">
        <x:v>Hatchback</x:v>
      </x:c>
      <x:c r="H1260" s="7" t="n">
        <x:v>1199</x:v>
      </x:c>
      <x:c r="I1260" s="7" t="n">
        <x:v>87</x:v>
      </x:c>
      <x:c r="J1260" s="9" t="n">
        <x:v>19.3</x:v>
      </x:c>
      <x:c r="K1260" s="9" t="n">
        <x:v>7</x:v>
      </x:c>
      <x:c r="L1260" s="7" t="n">
        <x:v>2025</x:v>
      </x:c>
      <x:c r="M1260" s="11" t="n">
        <x:v>27536</x:v>
      </x:c>
      <x:c r="N1260" s="7" t="n">
        <x:v>1</x:v>
      </x:c>
      <x:c r="O1260" s="7" t="n">
        <x:v>0</x:v>
      </x:c>
      <x:c r="P1260" s="9" t="n">
        <x:v>6.39</x:v>
      </x:c>
      <x:c r="Q1260" s="7" t="n">
        <x:f>'Guide'!$B$5-L1260</x:f>
        <x:v>1</x:v>
      </x:c>
      <x:c r="R1260" s="9" t="n">
        <x:f>K1260-P1260</x:f>
        <x:v>0.6100000000000003</x:v>
      </x:c>
      <x:c r="S1260" s="10" t="n">
        <x:f>IF(K1260&gt;0,R1260/K1260,"")</x:f>
        <x:v>0.08714285714285719</x:v>
      </x:c>
    </x:row>
    <x:row r="1261">
      <x:c r="A1261" s="7" t="n">
        <x:v>1257</x:v>
      </x:c>
      <x:c r="B1261" s="7" t="str">
        <x:v>Tata</x:v>
      </x:c>
      <x:c r="C1261" s="7" t="str">
        <x:v>Altroz</x:v>
      </x:c>
      <x:c r="D1261" s="7" t="str">
        <x:v>XE</x:v>
      </x:c>
      <x:c r="E1261" s="7" t="str">
        <x:v>Petrol</x:v>
      </x:c>
      <x:c r="F1261" s="7" t="str">
        <x:v>Manual</x:v>
      </x:c>
      <x:c r="G1261" s="7" t="str">
        <x:v>Hatchback</x:v>
      </x:c>
      <x:c r="H1261" s="7" t="n">
        <x:v>1199</x:v>
      </x:c>
      <x:c r="I1261" s="7" t="n">
        <x:v>87</x:v>
      </x:c>
      <x:c r="J1261" s="9" t="n">
        <x:v>19.3</x:v>
      </x:c>
      <x:c r="K1261" s="9" t="n">
        <x:v>7</x:v>
      </x:c>
      <x:c r="L1261" s="7" t="n">
        <x:v>2021</x:v>
      </x:c>
      <x:c r="M1261" s="11" t="n">
        <x:v>53791</x:v>
      </x:c>
      <x:c r="N1261" s="7" t="n">
        <x:v>1</x:v>
      </x:c>
      <x:c r="O1261" s="7" t="n">
        <x:v>0</x:v>
      </x:c>
      <x:c r="P1261" s="9" t="n">
        <x:v>4.1</x:v>
      </x:c>
      <x:c r="Q1261" s="7" t="n">
        <x:f>'Guide'!$B$5-L1261</x:f>
        <x:v>5</x:v>
      </x:c>
      <x:c r="R1261" s="9" t="n">
        <x:f>K1261-P1261</x:f>
        <x:v>2.9000000000000004</x:v>
      </x:c>
      <x:c r="S1261" s="10" t="n">
        <x:f>IF(K1261&gt;0,R1261/K1261,"")</x:f>
        <x:v>0.4142857142857143</x:v>
      </x:c>
    </x:row>
    <x:row r="1262">
      <x:c r="A1262" s="7" t="n">
        <x:v>1258</x:v>
      </x:c>
      <x:c r="B1262" s="7" t="str">
        <x:v>Tata</x:v>
      </x:c>
      <x:c r="C1262" s="7" t="str">
        <x:v>Altroz</x:v>
      </x:c>
      <x:c r="D1262" s="7" t="str">
        <x:v>XE</x:v>
      </x:c>
      <x:c r="E1262" s="7" t="str">
        <x:v>Petrol</x:v>
      </x:c>
      <x:c r="F1262" s="7" t="str">
        <x:v>Manual</x:v>
      </x:c>
      <x:c r="G1262" s="7" t="str">
        <x:v>Hatchback</x:v>
      </x:c>
      <x:c r="H1262" s="7" t="n">
        <x:v>1199</x:v>
      </x:c>
      <x:c r="I1262" s="7" t="n">
        <x:v>87</x:v>
      </x:c>
      <x:c r="J1262" s="9" t="n">
        <x:v>19.3</x:v>
      </x:c>
      <x:c r="K1262" s="9" t="n">
        <x:v>7</x:v>
      </x:c>
      <x:c r="L1262" s="7" t="n">
        <x:v>2021</x:v>
      </x:c>
      <x:c r="M1262" s="11" t="n">
        <x:v>97511</x:v>
      </x:c>
      <x:c r="N1262" s="7" t="n">
        <x:v>1</x:v>
      </x:c>
      <x:c r="O1262" s="7" t="n">
        <x:v>0</x:v>
      </x:c>
      <x:c r="P1262" s="9" t="n">
        <x:v>3.3</x:v>
      </x:c>
      <x:c r="Q1262" s="7" t="n">
        <x:f>'Guide'!$B$5-L1262</x:f>
        <x:v>5</x:v>
      </x:c>
      <x:c r="R1262" s="9" t="n">
        <x:f>K1262-P1262</x:f>
        <x:v>3.7</x:v>
      </x:c>
      <x:c r="S1262" s="10" t="n">
        <x:f>IF(K1262&gt;0,R1262/K1262,"")</x:f>
        <x:v>0.5285714285714286</x:v>
      </x:c>
    </x:row>
    <x:row r="1263">
      <x:c r="A1263" s="7" t="n">
        <x:v>1259</x:v>
      </x:c>
      <x:c r="B1263" s="7" t="str">
        <x:v>Tata</x:v>
      </x:c>
      <x:c r="C1263" s="7" t="str">
        <x:v>Altroz</x:v>
      </x:c>
      <x:c r="D1263" s="7" t="str">
        <x:v>XE</x:v>
      </x:c>
      <x:c r="E1263" s="7" t="str">
        <x:v>Petrol</x:v>
      </x:c>
      <x:c r="F1263" s="7" t="str">
        <x:v>Manual</x:v>
      </x:c>
      <x:c r="G1263" s="7" t="str">
        <x:v>Hatchback</x:v>
      </x:c>
      <x:c r="H1263" s="7" t="n">
        <x:v>1199</x:v>
      </x:c>
      <x:c r="I1263" s="7" t="n">
        <x:v>87</x:v>
      </x:c>
      <x:c r="J1263" s="9" t="n">
        <x:v>19.3</x:v>
      </x:c>
      <x:c r="K1263" s="9" t="n">
        <x:v>7</x:v>
      </x:c>
      <x:c r="L1263" s="7" t="n">
        <x:v>2026</x:v>
      </x:c>
      <x:c r="M1263" s="11" t="n">
        <x:v>6608</x:v>
      </x:c>
      <x:c r="N1263" s="7" t="n">
        <x:v>2</x:v>
      </x:c>
      <x:c r="O1263" s="7" t="n">
        <x:v>1</x:v>
      </x:c>
      <x:c r="P1263" s="9" t="n">
        <x:v>5.36</x:v>
      </x:c>
      <x:c r="Q1263" s="7" t="n">
        <x:f>'Guide'!$B$5-L1263</x:f>
        <x:v>0</x:v>
      </x:c>
      <x:c r="R1263" s="9" t="n">
        <x:f>K1263-P1263</x:f>
        <x:v>1.6399999999999997</x:v>
      </x:c>
      <x:c r="S1263" s="10" t="n">
        <x:f>IF(K1263&gt;0,R1263/K1263,"")</x:f>
        <x:v>0.23428571428571424</x:v>
      </x:c>
    </x:row>
    <x:row r="1264">
      <x:c r="A1264" s="7" t="n">
        <x:v>1260</x:v>
      </x:c>
      <x:c r="B1264" s="7" t="str">
        <x:v>Tata</x:v>
      </x:c>
      <x:c r="C1264" s="7" t="str">
        <x:v>Altroz</x:v>
      </x:c>
      <x:c r="D1264" s="7" t="str">
        <x:v>XE</x:v>
      </x:c>
      <x:c r="E1264" s="7" t="str">
        <x:v>Petrol</x:v>
      </x:c>
      <x:c r="F1264" s="7" t="str">
        <x:v>Manual</x:v>
      </x:c>
      <x:c r="G1264" s="7" t="str">
        <x:v>Hatchback</x:v>
      </x:c>
      <x:c r="H1264" s="7" t="n">
        <x:v>1199</x:v>
      </x:c>
      <x:c r="I1264" s="7" t="n">
        <x:v>87</x:v>
      </x:c>
      <x:c r="J1264" s="9" t="n">
        <x:v>19.3</x:v>
      </x:c>
      <x:c r="K1264" s="9" t="n">
        <x:v>7</x:v>
      </x:c>
      <x:c r="L1264" s="7" t="n">
        <x:v>2021</x:v>
      </x:c>
      <x:c r="M1264" s="11" t="n">
        <x:v>93988</x:v>
      </x:c>
      <x:c r="N1264" s="7" t="n">
        <x:v>1</x:v>
      </x:c>
      <x:c r="O1264" s="7" t="n">
        <x:v>0</x:v>
      </x:c>
      <x:c r="P1264" s="9" t="n">
        <x:v>3.2</x:v>
      </x:c>
      <x:c r="Q1264" s="7" t="n">
        <x:f>'Guide'!$B$5-L1264</x:f>
        <x:v>5</x:v>
      </x:c>
      <x:c r="R1264" s="9" t="n">
        <x:f>K1264-P1264</x:f>
        <x:v>3.8</x:v>
      </x:c>
      <x:c r="S1264" s="10" t="n">
        <x:f>IF(K1264&gt;0,R1264/K1264,"")</x:f>
        <x:v>0.5428571428571428</x:v>
      </x:c>
    </x:row>
    <x:row r="1265">
      <x:c r="A1265" s="7" t="n">
        <x:v>1261</x:v>
      </x:c>
      <x:c r="B1265" s="7" t="str">
        <x:v>Tata</x:v>
      </x:c>
      <x:c r="C1265" s="7" t="str">
        <x:v>Altroz</x:v>
      </x:c>
      <x:c r="D1265" s="7" t="str">
        <x:v>XE</x:v>
      </x:c>
      <x:c r="E1265" s="7" t="str">
        <x:v>Petrol</x:v>
      </x:c>
      <x:c r="F1265" s="7" t="str">
        <x:v>Manual</x:v>
      </x:c>
      <x:c r="G1265" s="7" t="str">
        <x:v>Hatchback</x:v>
      </x:c>
      <x:c r="H1265" s="7" t="n">
        <x:v>1199</x:v>
      </x:c>
      <x:c r="I1265" s="7" t="n">
        <x:v>87</x:v>
      </x:c>
      <x:c r="J1265" s="9" t="n">
        <x:v>19.3</x:v>
      </x:c>
      <x:c r="K1265" s="9" t="n">
        <x:v>7</x:v>
      </x:c>
      <x:c r="L1265" s="7" t="n">
        <x:v>2024</x:v>
      </x:c>
      <x:c r="M1265" s="11" t="n">
        <x:v>42148</x:v>
      </x:c>
      <x:c r="N1265" s="7" t="n">
        <x:v>1</x:v>
      </x:c>
      <x:c r="O1265" s="7" t="n">
        <x:v>0</x:v>
      </x:c>
      <x:c r="P1265" s="9" t="n">
        <x:v>5.18</x:v>
      </x:c>
      <x:c r="Q1265" s="7" t="n">
        <x:f>'Guide'!$B$5-L1265</x:f>
        <x:v>2</x:v>
      </x:c>
      <x:c r="R1265" s="9" t="n">
        <x:f>K1265-P1265</x:f>
        <x:v>1.8200000000000003</x:v>
      </x:c>
      <x:c r="S1265" s="10" t="n">
        <x:f>IF(K1265&gt;0,R1265/K1265,"")</x:f>
        <x:v>0.26000000000000006</x:v>
      </x:c>
    </x:row>
    <x:row r="1266">
      <x:c r="A1266" s="7" t="n">
        <x:v>1262</x:v>
      </x:c>
      <x:c r="B1266" s="7" t="str">
        <x:v>Tata</x:v>
      </x:c>
      <x:c r="C1266" s="7" t="str">
        <x:v>Altroz</x:v>
      </x:c>
      <x:c r="D1266" s="7" t="str">
        <x:v>XE</x:v>
      </x:c>
      <x:c r="E1266" s="7" t="str">
        <x:v>Petrol</x:v>
      </x:c>
      <x:c r="F1266" s="7" t="str">
        <x:v>Manual</x:v>
      </x:c>
      <x:c r="G1266" s="7" t="str">
        <x:v>Hatchback</x:v>
      </x:c>
      <x:c r="H1266" s="7" t="n">
        <x:v>1199</x:v>
      </x:c>
      <x:c r="I1266" s="7" t="n">
        <x:v>87</x:v>
      </x:c>
      <x:c r="J1266" s="9" t="n">
        <x:v>19.3</x:v>
      </x:c>
      <x:c r="K1266" s="9" t="n">
        <x:v>7</x:v>
      </x:c>
      <x:c r="L1266" s="7" t="n">
        <x:v>2026</x:v>
      </x:c>
      <x:c r="M1266" s="11" t="n">
        <x:v>9024</x:v>
      </x:c>
      <x:c r="N1266" s="7" t="n">
        <x:v>1</x:v>
      </x:c>
      <x:c r="O1266" s="7" t="n">
        <x:v>0</x:v>
      </x:c>
      <x:c r="P1266" s="9" t="n">
        <x:v>7.01</x:v>
      </x:c>
      <x:c r="Q1266" s="7" t="n">
        <x:f>'Guide'!$B$5-L1266</x:f>
        <x:v>0</x:v>
      </x:c>
      <x:c r="R1266" s="9" t="n">
        <x:f>K1266-P1266</x:f>
        <x:v>-0.009999999999999787</x:v>
      </x:c>
      <x:c r="S1266" s="10" t="n">
        <x:f>IF(K1266&gt;0,R1266/K1266,"")</x:f>
        <x:v>-0.0014285714285713982</x:v>
      </x:c>
    </x:row>
    <x:row r="1267">
      <x:c r="A1267" s="7" t="n">
        <x:v>1263</x:v>
      </x:c>
      <x:c r="B1267" s="7" t="str">
        <x:v>Tata</x:v>
      </x:c>
      <x:c r="C1267" s="7" t="str">
        <x:v>Altroz</x:v>
      </x:c>
      <x:c r="D1267" s="7" t="str">
        <x:v>XE</x:v>
      </x:c>
      <x:c r="E1267" s="7" t="str">
        <x:v>Petrol</x:v>
      </x:c>
      <x:c r="F1267" s="7" t="str">
        <x:v>Manual</x:v>
      </x:c>
      <x:c r="G1267" s="7" t="str">
        <x:v>Hatchback</x:v>
      </x:c>
      <x:c r="H1267" s="7" t="n">
        <x:v>1199</x:v>
      </x:c>
      <x:c r="I1267" s="7" t="n">
        <x:v>87</x:v>
      </x:c>
      <x:c r="J1267" s="9" t="n">
        <x:v>19.3</x:v>
      </x:c>
      <x:c r="K1267" s="9" t="n">
        <x:v>7</x:v>
      </x:c>
      <x:c r="L1267" s="7" t="n">
        <x:v>2024</x:v>
      </x:c>
      <x:c r="M1267" s="11" t="n">
        <x:v>49760</x:v>
      </x:c>
      <x:c r="N1267" s="7" t="n">
        <x:v>1</x:v>
      </x:c>
      <x:c r="O1267" s="7" t="n">
        <x:v>0</x:v>
      </x:c>
      <x:c r="P1267" s="9" t="n">
        <x:v>5.15</x:v>
      </x:c>
      <x:c r="Q1267" s="7" t="n">
        <x:f>'Guide'!$B$5-L1267</x:f>
        <x:v>2</x:v>
      </x:c>
      <x:c r="R1267" s="9" t="n">
        <x:f>K1267-P1267</x:f>
        <x:v>1.8499999999999996</x:v>
      </x:c>
      <x:c r="S1267" s="10" t="n">
        <x:f>IF(K1267&gt;0,R1267/K1267,"")</x:f>
        <x:v>0.26428571428571423</x:v>
      </x:c>
    </x:row>
    <x:row r="1268">
      <x:c r="A1268" s="7" t="n">
        <x:v>1264</x:v>
      </x:c>
      <x:c r="B1268" s="7" t="str">
        <x:v>Tata</x:v>
      </x:c>
      <x:c r="C1268" s="7" t="str">
        <x:v>Altroz</x:v>
      </x:c>
      <x:c r="D1268" s="7" t="str">
        <x:v>XE</x:v>
      </x:c>
      <x:c r="E1268" s="7" t="str">
        <x:v>Petrol</x:v>
      </x:c>
      <x:c r="F1268" s="7" t="str">
        <x:v>Manual</x:v>
      </x:c>
      <x:c r="G1268" s="7" t="str">
        <x:v>Hatchback</x:v>
      </x:c>
      <x:c r="H1268" s="7" t="n">
        <x:v>1199</x:v>
      </x:c>
      <x:c r="I1268" s="7" t="n">
        <x:v>87</x:v>
      </x:c>
      <x:c r="J1268" s="9" t="n">
        <x:v>19.3</x:v>
      </x:c>
      <x:c r="K1268" s="9" t="n">
        <x:v>7</x:v>
      </x:c>
      <x:c r="L1268" s="7" t="n">
        <x:v>2023</x:v>
      </x:c>
      <x:c r="M1268" s="11" t="n">
        <x:v>31616</x:v>
      </x:c>
      <x:c r="N1268" s="7" t="n">
        <x:v>1</x:v>
      </x:c>
      <x:c r="O1268" s="7" t="n">
        <x:v>0</x:v>
      </x:c>
      <x:c r="P1268" s="9" t="n">
        <x:v>4.74</x:v>
      </x:c>
      <x:c r="Q1268" s="7" t="n">
        <x:f>'Guide'!$B$5-L1268</x:f>
        <x:v>3</x:v>
      </x:c>
      <x:c r="R1268" s="9" t="n">
        <x:f>K1268-P1268</x:f>
        <x:v>2.26</x:v>
      </x:c>
      <x:c r="S1268" s="10" t="n">
        <x:f>IF(K1268&gt;0,R1268/K1268,"")</x:f>
        <x:v>0.32285714285714284</x:v>
      </x:c>
    </x:row>
    <x:row r="1269">
      <x:c r="A1269" s="7" t="n">
        <x:v>1265</x:v>
      </x:c>
      <x:c r="B1269" s="7" t="str">
        <x:v>Tata</x:v>
      </x:c>
      <x:c r="C1269" s="7" t="str">
        <x:v>Altroz</x:v>
      </x:c>
      <x:c r="D1269" s="7" t="str">
        <x:v>XE</x:v>
      </x:c>
      <x:c r="E1269" s="7" t="str">
        <x:v>Petrol</x:v>
      </x:c>
      <x:c r="F1269" s="7" t="str">
        <x:v>Manual</x:v>
      </x:c>
      <x:c r="G1269" s="7" t="str">
        <x:v>Hatchback</x:v>
      </x:c>
      <x:c r="H1269" s="7" t="n">
        <x:v>1199</x:v>
      </x:c>
      <x:c r="I1269" s="7" t="n">
        <x:v>87</x:v>
      </x:c>
      <x:c r="J1269" s="9" t="n">
        <x:v>19.3</x:v>
      </x:c>
      <x:c r="K1269" s="9" t="n">
        <x:v>7</x:v>
      </x:c>
      <x:c r="L1269" s="7" t="n">
        <x:v>2021</x:v>
      </x:c>
      <x:c r="M1269" s="11" t="n">
        <x:v>57475</x:v>
      </x:c>
      <x:c r="N1269" s="7" t="n">
        <x:v>2</x:v>
      </x:c>
      <x:c r="O1269" s="7" t="n">
        <x:v>0</x:v>
      </x:c>
      <x:c r="P1269" s="9" t="n">
        <x:v>3.02</x:v>
      </x:c>
      <x:c r="Q1269" s="7" t="n">
        <x:f>'Guide'!$B$5-L1269</x:f>
        <x:v>5</x:v>
      </x:c>
      <x:c r="R1269" s="9" t="n">
        <x:f>K1269-P1269</x:f>
        <x:v>3.98</x:v>
      </x:c>
      <x:c r="S1269" s="10" t="n">
        <x:f>IF(K1269&gt;0,R1269/K1269,"")</x:f>
        <x:v>0.5685714285714286</x:v>
      </x:c>
    </x:row>
    <x:row r="1270">
      <x:c r="A1270" s="7" t="n">
        <x:v>1266</x:v>
      </x:c>
      <x:c r="B1270" s="7" t="str">
        <x:v>Tata</x:v>
      </x:c>
      <x:c r="C1270" s="7" t="str">
        <x:v>Altroz</x:v>
      </x:c>
      <x:c r="D1270" s="7" t="str">
        <x:v>XE</x:v>
      </x:c>
      <x:c r="E1270" s="7" t="str">
        <x:v>Petrol</x:v>
      </x:c>
      <x:c r="F1270" s="7" t="str">
        <x:v>Manual</x:v>
      </x:c>
      <x:c r="G1270" s="7" t="str">
        <x:v>Hatchback</x:v>
      </x:c>
      <x:c r="H1270" s="7" t="n">
        <x:v>1199</x:v>
      </x:c>
      <x:c r="I1270" s="7" t="n">
        <x:v>87</x:v>
      </x:c>
      <x:c r="J1270" s="9" t="n">
        <x:v>19.3</x:v>
      </x:c>
      <x:c r="K1270" s="9" t="n">
        <x:v>7</x:v>
      </x:c>
      <x:c r="L1270" s="7" t="n">
        <x:v>2020</x:v>
      </x:c>
      <x:c r="M1270" s="11" t="n">
        <x:v>62273</x:v>
      </x:c>
      <x:c r="N1270" s="7" t="n">
        <x:v>1</x:v>
      </x:c>
      <x:c r="O1270" s="7" t="n">
        <x:v>0</x:v>
      </x:c>
      <x:c r="P1270" s="9" t="n">
        <x:v>2.94</x:v>
      </x:c>
      <x:c r="Q1270" s="7" t="n">
        <x:f>'Guide'!$B$5-L1270</x:f>
        <x:v>6</x:v>
      </x:c>
      <x:c r="R1270" s="9" t="n">
        <x:f>K1270-P1270</x:f>
        <x:v>4.0600000000000005</x:v>
      </x:c>
      <x:c r="S1270" s="10" t="n">
        <x:f>IF(K1270&gt;0,R1270/K1270,"")</x:f>
        <x:v>0.5800000000000001</x:v>
      </x:c>
    </x:row>
    <x:row r="1271">
      <x:c r="A1271" s="7" t="n">
        <x:v>1267</x:v>
      </x:c>
      <x:c r="B1271" s="7" t="str">
        <x:v>Tata</x:v>
      </x:c>
      <x:c r="C1271" s="7" t="str">
        <x:v>Altroz</x:v>
      </x:c>
      <x:c r="D1271" s="7" t="str">
        <x:v>XE</x:v>
      </x:c>
      <x:c r="E1271" s="7" t="str">
        <x:v>Petrol</x:v>
      </x:c>
      <x:c r="F1271" s="7" t="str">
        <x:v>Manual</x:v>
      </x:c>
      <x:c r="G1271" s="7" t="str">
        <x:v>Hatchback</x:v>
      </x:c>
      <x:c r="H1271" s="7" t="n">
        <x:v>1199</x:v>
      </x:c>
      <x:c r="I1271" s="7" t="n">
        <x:v>87</x:v>
      </x:c>
      <x:c r="J1271" s="9" t="n">
        <x:v>19.3</x:v>
      </x:c>
      <x:c r="K1271" s="9" t="n">
        <x:v>7</x:v>
      </x:c>
      <x:c r="L1271" s="7" t="n">
        <x:v>2025</x:v>
      </x:c>
      <x:c r="M1271" s="11" t="n">
        <x:v>17949</x:v>
      </x:c>
      <x:c r="N1271" s="7" t="n">
        <x:v>1</x:v>
      </x:c>
      <x:c r="O1271" s="7" t="n">
        <x:v>0</x:v>
      </x:c>
      <x:c r="P1271" s="9" t="n">
        <x:v>6.23</x:v>
      </x:c>
      <x:c r="Q1271" s="7" t="n">
        <x:f>'Guide'!$B$5-L1271</x:f>
        <x:v>1</x:v>
      </x:c>
      <x:c r="R1271" s="9" t="n">
        <x:f>K1271-P1271</x:f>
        <x:v>0.7699999999999996</x:v>
      </x:c>
      <x:c r="S1271" s="10" t="n">
        <x:f>IF(K1271&gt;0,R1271/K1271,"")</x:f>
        <x:v>0.10999999999999995</x:v>
      </x:c>
    </x:row>
    <x:row r="1272">
      <x:c r="A1272" s="7" t="n">
        <x:v>1268</x:v>
      </x:c>
      <x:c r="B1272" s="7" t="str">
        <x:v>Tata</x:v>
      </x:c>
      <x:c r="C1272" s="7" t="str">
        <x:v>Altroz</x:v>
      </x:c>
      <x:c r="D1272" s="7" t="str">
        <x:v>XE</x:v>
      </x:c>
      <x:c r="E1272" s="7" t="str">
        <x:v>Petrol</x:v>
      </x:c>
      <x:c r="F1272" s="7" t="str">
        <x:v>Manual</x:v>
      </x:c>
      <x:c r="G1272" s="7" t="str">
        <x:v>Hatchback</x:v>
      </x:c>
      <x:c r="H1272" s="7" t="n">
        <x:v>1199</x:v>
      </x:c>
      <x:c r="I1272" s="7" t="n">
        <x:v>87</x:v>
      </x:c>
      <x:c r="J1272" s="9" t="n">
        <x:v>19.3</x:v>
      </x:c>
      <x:c r="K1272" s="9" t="n">
        <x:v>7</x:v>
      </x:c>
      <x:c r="L1272" s="7" t="n">
        <x:v>2021</x:v>
      </x:c>
      <x:c r="M1272" s="11" t="n">
        <x:v>65775</x:v>
      </x:c>
      <x:c r="N1272" s="7" t="n">
        <x:v>2</x:v>
      </x:c>
      <x:c r="O1272" s="7" t="n">
        <x:v>1</x:v>
      </x:c>
      <x:c r="P1272" s="9" t="n">
        <x:v>2.41</x:v>
      </x:c>
      <x:c r="Q1272" s="7" t="n">
        <x:f>'Guide'!$B$5-L1272</x:f>
        <x:v>5</x:v>
      </x:c>
      <x:c r="R1272" s="9" t="n">
        <x:f>K1272-P1272</x:f>
        <x:v>4.59</x:v>
      </x:c>
      <x:c r="S1272" s="10" t="n">
        <x:f>IF(K1272&gt;0,R1272/K1272,"")</x:f>
        <x:v>0.6557142857142857</x:v>
      </x:c>
    </x:row>
    <x:row r="1273">
      <x:c r="A1273" s="7" t="n">
        <x:v>1269</x:v>
      </x:c>
      <x:c r="B1273" s="7" t="str">
        <x:v>Tata</x:v>
      </x:c>
      <x:c r="C1273" s="7" t="str">
        <x:v>Altroz</x:v>
      </x:c>
      <x:c r="D1273" s="7" t="str">
        <x:v>XE</x:v>
      </x:c>
      <x:c r="E1273" s="7" t="str">
        <x:v>Petrol</x:v>
      </x:c>
      <x:c r="F1273" s="7" t="str">
        <x:v>Manual</x:v>
      </x:c>
      <x:c r="G1273" s="7" t="str">
        <x:v>Hatchback</x:v>
      </x:c>
      <x:c r="H1273" s="7" t="n">
        <x:v>1199</x:v>
      </x:c>
      <x:c r="I1273" s="7" t="n">
        <x:v>87</x:v>
      </x:c>
      <x:c r="J1273" s="9" t="n">
        <x:v>19.3</x:v>
      </x:c>
      <x:c r="K1273" s="9" t="n">
        <x:v>7</x:v>
      </x:c>
      <x:c r="L1273" s="7" t="n">
        <x:v>2020</x:v>
      </x:c>
      <x:c r="M1273" s="11" t="n">
        <x:v>89900</x:v>
      </x:c>
      <x:c r="N1273" s="7" t="n">
        <x:v>1</x:v>
      </x:c>
      <x:c r="O1273" s="7" t="n">
        <x:v>0</x:v>
      </x:c>
      <x:c r="P1273" s="9" t="n">
        <x:v>2.98</x:v>
      </x:c>
      <x:c r="Q1273" s="7" t="n">
        <x:f>'Guide'!$B$5-L1273</x:f>
        <x:v>6</x:v>
      </x:c>
      <x:c r="R1273" s="9" t="n">
        <x:f>K1273-P1273</x:f>
        <x:v>4.02</x:v>
      </x:c>
      <x:c r="S1273" s="10" t="n">
        <x:f>IF(K1273&gt;0,R1273/K1273,"")</x:f>
        <x:v>0.5742857142857142</x:v>
      </x:c>
    </x:row>
    <x:row r="1274">
      <x:c r="A1274" s="7" t="n">
        <x:v>1270</x:v>
      </x:c>
      <x:c r="B1274" s="7" t="str">
        <x:v>Tata</x:v>
      </x:c>
      <x:c r="C1274" s="7" t="str">
        <x:v>Altroz</x:v>
      </x:c>
      <x:c r="D1274" s="7" t="str">
        <x:v>XE</x:v>
      </x:c>
      <x:c r="E1274" s="7" t="str">
        <x:v>Petrol</x:v>
      </x:c>
      <x:c r="F1274" s="7" t="str">
        <x:v>Manual</x:v>
      </x:c>
      <x:c r="G1274" s="7" t="str">
        <x:v>Hatchback</x:v>
      </x:c>
      <x:c r="H1274" s="7" t="n">
        <x:v>1199</x:v>
      </x:c>
      <x:c r="I1274" s="7" t="n">
        <x:v>87</x:v>
      </x:c>
      <x:c r="J1274" s="9" t="n">
        <x:v>19.3</x:v>
      </x:c>
      <x:c r="K1274" s="9" t="n">
        <x:v>7</x:v>
      </x:c>
      <x:c r="L1274" s="7" t="n">
        <x:v>2022</x:v>
      </x:c>
      <x:c r="M1274" s="11" t="n">
        <x:v>87370</x:v>
      </x:c>
      <x:c r="N1274" s="7" t="n">
        <x:v>2</x:v>
      </x:c>
      <x:c r="O1274" s="7" t="n">
        <x:v>0</x:v>
      </x:c>
      <x:c r="P1274" s="9" t="n">
        <x:v>3.47</x:v>
      </x:c>
      <x:c r="Q1274" s="7" t="n">
        <x:f>'Guide'!$B$5-L1274</x:f>
        <x:v>4</x:v>
      </x:c>
      <x:c r="R1274" s="9" t="n">
        <x:f>K1274-P1274</x:f>
        <x:v>3.53</x:v>
      </x:c>
      <x:c r="S1274" s="10" t="n">
        <x:f>IF(K1274&gt;0,R1274/K1274,"")</x:f>
        <x:v>0.5042857142857142</x:v>
      </x:c>
    </x:row>
    <x:row r="1275">
      <x:c r="A1275" s="7" t="n">
        <x:v>1271</x:v>
      </x:c>
      <x:c r="B1275" s="7" t="str">
        <x:v>Tata</x:v>
      </x:c>
      <x:c r="C1275" s="7" t="str">
        <x:v>Altroz</x:v>
      </x:c>
      <x:c r="D1275" s="7" t="str">
        <x:v>XE</x:v>
      </x:c>
      <x:c r="E1275" s="7" t="str">
        <x:v>Petrol</x:v>
      </x:c>
      <x:c r="F1275" s="7" t="str">
        <x:v>Manual</x:v>
      </x:c>
      <x:c r="G1275" s="7" t="str">
        <x:v>Hatchback</x:v>
      </x:c>
      <x:c r="H1275" s="7" t="n">
        <x:v>1199</x:v>
      </x:c>
      <x:c r="I1275" s="7" t="n">
        <x:v>87</x:v>
      </x:c>
      <x:c r="J1275" s="9" t="n">
        <x:v>19.3</x:v>
      </x:c>
      <x:c r="K1275" s="9" t="n">
        <x:v>7</x:v>
      </x:c>
      <x:c r="L1275" s="7" t="n">
        <x:v>2022</x:v>
      </x:c>
      <x:c r="M1275" s="11" t="n">
        <x:v>63974</x:v>
      </x:c>
      <x:c r="N1275" s="7" t="n">
        <x:v>2</x:v>
      </x:c>
      <x:c r="O1275" s="7" t="n">
        <x:v>1</x:v>
      </x:c>
      <x:c r="P1275" s="9" t="n">
        <x:v>2.93</x:v>
      </x:c>
      <x:c r="Q1275" s="7" t="n">
        <x:f>'Guide'!$B$5-L1275</x:f>
        <x:v>4</x:v>
      </x:c>
      <x:c r="R1275" s="9" t="n">
        <x:f>K1275-P1275</x:f>
        <x:v>4.07</x:v>
      </x:c>
      <x:c r="S1275" s="10" t="n">
        <x:f>IF(K1275&gt;0,R1275/K1275,"")</x:f>
        <x:v>0.5814285714285715</x:v>
      </x:c>
    </x:row>
    <x:row r="1276">
      <x:c r="A1276" s="7" t="n">
        <x:v>1272</x:v>
      </x:c>
      <x:c r="B1276" s="7" t="str">
        <x:v>Tata</x:v>
      </x:c>
      <x:c r="C1276" s="7" t="str">
        <x:v>Altroz</x:v>
      </x:c>
      <x:c r="D1276" s="7" t="str">
        <x:v>XE</x:v>
      </x:c>
      <x:c r="E1276" s="7" t="str">
        <x:v>Petrol</x:v>
      </x:c>
      <x:c r="F1276" s="7" t="str">
        <x:v>Manual</x:v>
      </x:c>
      <x:c r="G1276" s="7" t="str">
        <x:v>Hatchback</x:v>
      </x:c>
      <x:c r="H1276" s="7" t="n">
        <x:v>1199</x:v>
      </x:c>
      <x:c r="I1276" s="7" t="n">
        <x:v>87</x:v>
      </x:c>
      <x:c r="J1276" s="9" t="n">
        <x:v>19.3</x:v>
      </x:c>
      <x:c r="K1276" s="9" t="n">
        <x:v>7</x:v>
      </x:c>
      <x:c r="L1276" s="7" t="n">
        <x:v>2021</x:v>
      </x:c>
      <x:c r="M1276" s="11" t="n">
        <x:v>44526</x:v>
      </x:c>
      <x:c r="N1276" s="7" t="n">
        <x:v>1</x:v>
      </x:c>
      <x:c r="O1276" s="7" t="n">
        <x:v>0</x:v>
      </x:c>
      <x:c r="P1276" s="9" t="n">
        <x:v>3.79</x:v>
      </x:c>
      <x:c r="Q1276" s="7" t="n">
        <x:f>'Guide'!$B$5-L1276</x:f>
        <x:v>5</x:v>
      </x:c>
      <x:c r="R1276" s="9" t="n">
        <x:f>K1276-P1276</x:f>
        <x:v>3.21</x:v>
      </x:c>
      <x:c r="S1276" s="10" t="n">
        <x:f>IF(K1276&gt;0,R1276/K1276,"")</x:f>
        <x:v>0.4585714285714286</x:v>
      </x:c>
    </x:row>
    <x:row r="1277">
      <x:c r="A1277" s="7" t="n">
        <x:v>1273</x:v>
      </x:c>
      <x:c r="B1277" s="7" t="str">
        <x:v>Tata</x:v>
      </x:c>
      <x:c r="C1277" s="7" t="str">
        <x:v>Altroz</x:v>
      </x:c>
      <x:c r="D1277" s="7" t="str">
        <x:v>XE</x:v>
      </x:c>
      <x:c r="E1277" s="7" t="str">
        <x:v>Petrol</x:v>
      </x:c>
      <x:c r="F1277" s="7" t="str">
        <x:v>Manual</x:v>
      </x:c>
      <x:c r="G1277" s="7" t="str">
        <x:v>Hatchback</x:v>
      </x:c>
      <x:c r="H1277" s="7" t="n">
        <x:v>1199</x:v>
      </x:c>
      <x:c r="I1277" s="7" t="n">
        <x:v>87</x:v>
      </x:c>
      <x:c r="J1277" s="9" t="n">
        <x:v>19.3</x:v>
      </x:c>
      <x:c r="K1277" s="9" t="n">
        <x:v>7</x:v>
      </x:c>
      <x:c r="L1277" s="7" t="n">
        <x:v>2026</x:v>
      </x:c>
      <x:c r="M1277" s="11" t="n">
        <x:v>5515</x:v>
      </x:c>
      <x:c r="N1277" s="7" t="n">
        <x:v>2</x:v>
      </x:c>
      <x:c r="O1277" s="7" t="n">
        <x:v>0</x:v>
      </x:c>
      <x:c r="P1277" s="9" t="n">
        <x:v>6.92</x:v>
      </x:c>
      <x:c r="Q1277" s="7" t="n">
        <x:f>'Guide'!$B$5-L1277</x:f>
        <x:v>0</x:v>
      </x:c>
      <x:c r="R1277" s="9" t="n">
        <x:f>K1277-P1277</x:f>
        <x:v>0.08000000000000007</x:v>
      </x:c>
      <x:c r="S1277" s="10" t="n">
        <x:f>IF(K1277&gt;0,R1277/K1277,"")</x:f>
        <x:v>0.011428571428571439</x:v>
      </x:c>
    </x:row>
    <x:row r="1278">
      <x:c r="A1278" s="7" t="n">
        <x:v>1274</x:v>
      </x:c>
      <x:c r="B1278" s="7" t="str">
        <x:v>Tata</x:v>
      </x:c>
      <x:c r="C1278" s="7" t="str">
        <x:v>Altroz</x:v>
      </x:c>
      <x:c r="D1278" s="7" t="str">
        <x:v>XE</x:v>
      </x:c>
      <x:c r="E1278" s="7" t="str">
        <x:v>Petrol</x:v>
      </x:c>
      <x:c r="F1278" s="7" t="str">
        <x:v>Manual</x:v>
      </x:c>
      <x:c r="G1278" s="7" t="str">
        <x:v>Hatchback</x:v>
      </x:c>
      <x:c r="H1278" s="7" t="n">
        <x:v>1199</x:v>
      </x:c>
      <x:c r="I1278" s="7" t="n">
        <x:v>87</x:v>
      </x:c>
      <x:c r="J1278" s="9" t="n">
        <x:v>19.3</x:v>
      </x:c>
      <x:c r="K1278" s="9" t="n">
        <x:v>7</x:v>
      </x:c>
      <x:c r="L1278" s="7" t="n">
        <x:v>2025</x:v>
      </x:c>
      <x:c r="M1278" s="11" t="n">
        <x:v>13433</x:v>
      </x:c>
      <x:c r="N1278" s="7" t="n">
        <x:v>1</x:v>
      </x:c>
      <x:c r="O1278" s="7" t="n">
        <x:v>0</x:v>
      </x:c>
      <x:c r="P1278" s="9" t="n">
        <x:v>6.71</x:v>
      </x:c>
      <x:c r="Q1278" s="7" t="n">
        <x:f>'Guide'!$B$5-L1278</x:f>
        <x:v>1</x:v>
      </x:c>
      <x:c r="R1278" s="9" t="n">
        <x:f>K1278-P1278</x:f>
        <x:v>0.29000000000000004</x:v>
      </x:c>
      <x:c r="S1278" s="10" t="n">
        <x:f>IF(K1278&gt;0,R1278/K1278,"")</x:f>
        <x:v>0.04142857142857143</x:v>
      </x:c>
    </x:row>
    <x:row r="1279">
      <x:c r="A1279" s="7" t="n">
        <x:v>1275</x:v>
      </x:c>
      <x:c r="B1279" s="7" t="str">
        <x:v>Tata</x:v>
      </x:c>
      <x:c r="C1279" s="7" t="str">
        <x:v>Altroz</x:v>
      </x:c>
      <x:c r="D1279" s="7" t="str">
        <x:v>XE</x:v>
      </x:c>
      <x:c r="E1279" s="7" t="str">
        <x:v>Petrol</x:v>
      </x:c>
      <x:c r="F1279" s="7" t="str">
        <x:v>Manual</x:v>
      </x:c>
      <x:c r="G1279" s="7" t="str">
        <x:v>Hatchback</x:v>
      </x:c>
      <x:c r="H1279" s="7" t="n">
        <x:v>1199</x:v>
      </x:c>
      <x:c r="I1279" s="7" t="n">
        <x:v>87</x:v>
      </x:c>
      <x:c r="J1279" s="9" t="n">
        <x:v>19.3</x:v>
      </x:c>
      <x:c r="K1279" s="9" t="n">
        <x:v>7</x:v>
      </x:c>
      <x:c r="L1279" s="7" t="n">
        <x:v>2021</x:v>
      </x:c>
      <x:c r="M1279" s="11" t="n">
        <x:v>76576</x:v>
      </x:c>
      <x:c r="N1279" s="7" t="n">
        <x:v>2</x:v>
      </x:c>
      <x:c r="O1279" s="7" t="n">
        <x:v>0</x:v>
      </x:c>
      <x:c r="P1279" s="9" t="n">
        <x:v>3.25</x:v>
      </x:c>
      <x:c r="Q1279" s="7" t="n">
        <x:f>'Guide'!$B$5-L1279</x:f>
        <x:v>5</x:v>
      </x:c>
      <x:c r="R1279" s="9" t="n">
        <x:f>K1279-P1279</x:f>
        <x:v>3.75</x:v>
      </x:c>
      <x:c r="S1279" s="10" t="n">
        <x:f>IF(K1279&gt;0,R1279/K1279,"")</x:f>
        <x:v>0.5357142857142857</x:v>
      </x:c>
    </x:row>
    <x:row r="1280">
      <x:c r="A1280" s="7" t="n">
        <x:v>1276</x:v>
      </x:c>
      <x:c r="B1280" s="7" t="str">
        <x:v>Tata</x:v>
      </x:c>
      <x:c r="C1280" s="7" t="str">
        <x:v>Altroz</x:v>
      </x:c>
      <x:c r="D1280" s="7" t="str">
        <x:v>XE</x:v>
      </x:c>
      <x:c r="E1280" s="7" t="str">
        <x:v>Petrol</x:v>
      </x:c>
      <x:c r="F1280" s="7" t="str">
        <x:v>Manual</x:v>
      </x:c>
      <x:c r="G1280" s="7" t="str">
        <x:v>Hatchback</x:v>
      </x:c>
      <x:c r="H1280" s="7" t="n">
        <x:v>1199</x:v>
      </x:c>
      <x:c r="I1280" s="7" t="n">
        <x:v>87</x:v>
      </x:c>
      <x:c r="J1280" s="9" t="n">
        <x:v>19.3</x:v>
      </x:c>
      <x:c r="K1280" s="9" t="n">
        <x:v>7</x:v>
      </x:c>
      <x:c r="L1280" s="7" t="n">
        <x:v>2021</x:v>
      </x:c>
      <x:c r="M1280" s="11" t="n">
        <x:v>64359</x:v>
      </x:c>
      <x:c r="N1280" s="7" t="n">
        <x:v>1</x:v>
      </x:c>
      <x:c r="O1280" s="7" t="n">
        <x:v>0</x:v>
      </x:c>
      <x:c r="P1280" s="9" t="n">
        <x:v>3.72</x:v>
      </x:c>
      <x:c r="Q1280" s="7" t="n">
        <x:f>'Guide'!$B$5-L1280</x:f>
        <x:v>5</x:v>
      </x:c>
      <x:c r="R1280" s="9" t="n">
        <x:f>K1280-P1280</x:f>
        <x:v>3.28</x:v>
      </x:c>
      <x:c r="S1280" s="10" t="n">
        <x:f>IF(K1280&gt;0,R1280/K1280,"")</x:f>
        <x:v>0.4685714285714285</x:v>
      </x:c>
    </x:row>
    <x:row r="1281">
      <x:c r="A1281" s="7" t="n">
        <x:v>1277</x:v>
      </x:c>
      <x:c r="B1281" s="7" t="str">
        <x:v>Tata</x:v>
      </x:c>
      <x:c r="C1281" s="7" t="str">
        <x:v>Altroz</x:v>
      </x:c>
      <x:c r="D1281" s="7" t="str">
        <x:v>XE</x:v>
      </x:c>
      <x:c r="E1281" s="7" t="str">
        <x:v>Petrol</x:v>
      </x:c>
      <x:c r="F1281" s="7" t="str">
        <x:v>Manual</x:v>
      </x:c>
      <x:c r="G1281" s="7" t="str">
        <x:v>Hatchback</x:v>
      </x:c>
      <x:c r="H1281" s="7" t="n">
        <x:v>1199</x:v>
      </x:c>
      <x:c r="I1281" s="7" t="n">
        <x:v>87</x:v>
      </x:c>
      <x:c r="J1281" s="9" t="n">
        <x:v>19.3</x:v>
      </x:c>
      <x:c r="K1281" s="9" t="n">
        <x:v>7</x:v>
      </x:c>
      <x:c r="L1281" s="7" t="n">
        <x:v>2024</x:v>
      </x:c>
      <x:c r="M1281" s="11" t="n">
        <x:v>20146</x:v>
      </x:c>
      <x:c r="N1281" s="7" t="n">
        <x:v>2</x:v>
      </x:c>
      <x:c r="O1281" s="7" t="n">
        <x:v>0</x:v>
      </x:c>
      <x:c r="P1281" s="9" t="n">
        <x:v>5.09</x:v>
      </x:c>
      <x:c r="Q1281" s="7" t="n">
        <x:f>'Guide'!$B$5-L1281</x:f>
        <x:v>2</x:v>
      </x:c>
      <x:c r="R1281" s="9" t="n">
        <x:f>K1281-P1281</x:f>
        <x:v>1.9100000000000001</x:v>
      </x:c>
      <x:c r="S1281" s="10" t="n">
        <x:f>IF(K1281&gt;0,R1281/K1281,"")</x:f>
        <x:v>0.27285714285714285</x:v>
      </x:c>
    </x:row>
    <x:row r="1282">
      <x:c r="A1282" s="7" t="n">
        <x:v>1278</x:v>
      </x:c>
      <x:c r="B1282" s="7" t="str">
        <x:v>Tata</x:v>
      </x:c>
      <x:c r="C1282" s="7" t="str">
        <x:v>Altroz</x:v>
      </x:c>
      <x:c r="D1282" s="7" t="str">
        <x:v>XE</x:v>
      </x:c>
      <x:c r="E1282" s="7" t="str">
        <x:v>Petrol</x:v>
      </x:c>
      <x:c r="F1282" s="7" t="str">
        <x:v>Manual</x:v>
      </x:c>
      <x:c r="G1282" s="7" t="str">
        <x:v>Hatchback</x:v>
      </x:c>
      <x:c r="H1282" s="7" t="n">
        <x:v>1199</x:v>
      </x:c>
      <x:c r="I1282" s="7" t="n">
        <x:v>87</x:v>
      </x:c>
      <x:c r="J1282" s="9" t="n">
        <x:v>19.3</x:v>
      </x:c>
      <x:c r="K1282" s="9" t="n">
        <x:v>7</x:v>
      </x:c>
      <x:c r="L1282" s="7" t="n">
        <x:v>2026</x:v>
      </x:c>
      <x:c r="M1282" s="11" t="n">
        <x:v>4199</x:v>
      </x:c>
      <x:c r="N1282" s="7" t="n">
        <x:v>3</x:v>
      </x:c>
      <x:c r="O1282" s="7" t="n">
        <x:v>0</x:v>
      </x:c>
      <x:c r="P1282" s="9" t="n">
        <x:v>5.94</x:v>
      </x:c>
      <x:c r="Q1282" s="7" t="n">
        <x:f>'Guide'!$B$5-L1282</x:f>
        <x:v>0</x:v>
      </x:c>
      <x:c r="R1282" s="9" t="n">
        <x:f>K1282-P1282</x:f>
        <x:v>1.0599999999999996</x:v>
      </x:c>
      <x:c r="S1282" s="10" t="n">
        <x:f>IF(K1282&gt;0,R1282/K1282,"")</x:f>
        <x:v>0.15142857142857138</x:v>
      </x:c>
    </x:row>
    <x:row r="1283">
      <x:c r="A1283" s="7" t="n">
        <x:v>1279</x:v>
      </x:c>
      <x:c r="B1283" s="7" t="str">
        <x:v>Tata</x:v>
      </x:c>
      <x:c r="C1283" s="7" t="str">
        <x:v>Altroz</x:v>
      </x:c>
      <x:c r="D1283" s="7" t="str">
        <x:v>XE</x:v>
      </x:c>
      <x:c r="E1283" s="7" t="str">
        <x:v>Petrol</x:v>
      </x:c>
      <x:c r="F1283" s="7" t="str">
        <x:v>Manual</x:v>
      </x:c>
      <x:c r="G1283" s="7" t="str">
        <x:v>Hatchback</x:v>
      </x:c>
      <x:c r="H1283" s="7" t="n">
        <x:v>1199</x:v>
      </x:c>
      <x:c r="I1283" s="7" t="n">
        <x:v>87</x:v>
      </x:c>
      <x:c r="J1283" s="9" t="n">
        <x:v>19.3</x:v>
      </x:c>
      <x:c r="K1283" s="9" t="n">
        <x:v>7</x:v>
      </x:c>
      <x:c r="L1283" s="7" t="n">
        <x:v>2025</x:v>
      </x:c>
      <x:c r="M1283" s="11" t="n">
        <x:v>22112</x:v>
      </x:c>
      <x:c r="N1283" s="7" t="n">
        <x:v>1</x:v>
      </x:c>
      <x:c r="O1283" s="7" t="n">
        <x:v>0</x:v>
      </x:c>
      <x:c r="P1283" s="9" t="n">
        <x:v>6.35</x:v>
      </x:c>
      <x:c r="Q1283" s="7" t="n">
        <x:f>'Guide'!$B$5-L1283</x:f>
        <x:v>1</x:v>
      </x:c>
      <x:c r="R1283" s="9" t="n">
        <x:f>K1283-P1283</x:f>
        <x:v>0.6500000000000004</x:v>
      </x:c>
      <x:c r="S1283" s="10" t="n">
        <x:f>IF(K1283&gt;0,R1283/K1283,"")</x:f>
        <x:v>0.0928571428571429</x:v>
      </x:c>
    </x:row>
    <x:row r="1284">
      <x:c r="A1284" s="7" t="n">
        <x:v>1280</x:v>
      </x:c>
      <x:c r="B1284" s="7" t="str">
        <x:v>Tata</x:v>
      </x:c>
      <x:c r="C1284" s="7" t="str">
        <x:v>Altroz</x:v>
      </x:c>
      <x:c r="D1284" s="7" t="str">
        <x:v>XE</x:v>
      </x:c>
      <x:c r="E1284" s="7" t="str">
        <x:v>Petrol</x:v>
      </x:c>
      <x:c r="F1284" s="7" t="str">
        <x:v>Manual</x:v>
      </x:c>
      <x:c r="G1284" s="7" t="str">
        <x:v>Hatchback</x:v>
      </x:c>
      <x:c r="H1284" s="7" t="n">
        <x:v>1199</x:v>
      </x:c>
      <x:c r="I1284" s="7" t="n">
        <x:v>87</x:v>
      </x:c>
      <x:c r="J1284" s="9" t="n">
        <x:v>19.3</x:v>
      </x:c>
      <x:c r="K1284" s="9" t="n">
        <x:v>7</x:v>
      </x:c>
      <x:c r="L1284" s="7" t="n">
        <x:v>2026</x:v>
      </x:c>
      <x:c r="M1284" s="11" t="n">
        <x:v>7843</x:v>
      </x:c>
      <x:c r="N1284" s="7" t="n">
        <x:v>1</x:v>
      </x:c>
      <x:c r="O1284" s="7" t="n">
        <x:v>0</x:v>
      </x:c>
      <x:c r="P1284" s="9" t="n">
        <x:v>6.57</x:v>
      </x:c>
      <x:c r="Q1284" s="7" t="n">
        <x:f>'Guide'!$B$5-L1284</x:f>
        <x:v>0</x:v>
      </x:c>
      <x:c r="R1284" s="9" t="n">
        <x:f>K1284-P1284</x:f>
        <x:v>0.4299999999999997</x:v>
      </x:c>
      <x:c r="S1284" s="10" t="n">
        <x:f>IF(K1284&gt;0,R1284/K1284,"")</x:f>
        <x:v>0.06142857142857139</x:v>
      </x:c>
    </x:row>
    <x:row r="1285">
      <x:c r="A1285" s="7" t="n">
        <x:v>1281</x:v>
      </x:c>
      <x:c r="B1285" s="7" t="str">
        <x:v>Tata</x:v>
      </x:c>
      <x:c r="C1285" s="7" t="str">
        <x:v>Altroz</x:v>
      </x:c>
      <x:c r="D1285" s="7" t="str">
        <x:v>XE</x:v>
      </x:c>
      <x:c r="E1285" s="7" t="str">
        <x:v>Petrol</x:v>
      </x:c>
      <x:c r="F1285" s="7" t="str">
        <x:v>Manual</x:v>
      </x:c>
      <x:c r="G1285" s="7" t="str">
        <x:v>Hatchback</x:v>
      </x:c>
      <x:c r="H1285" s="7" t="n">
        <x:v>1199</x:v>
      </x:c>
      <x:c r="I1285" s="7" t="n">
        <x:v>87</x:v>
      </x:c>
      <x:c r="J1285" s="9" t="n">
        <x:v>19.3</x:v>
      </x:c>
      <x:c r="K1285" s="9" t="n">
        <x:v>7</x:v>
      </x:c>
      <x:c r="L1285" s="7" t="n">
        <x:v>2026</x:v>
      </x:c>
      <x:c r="M1285" s="11" t="n">
        <x:v>4724</x:v>
      </x:c>
      <x:c r="N1285" s="7" t="n">
        <x:v>2</x:v>
      </x:c>
      <x:c r="O1285" s="7" t="n">
        <x:v>0</x:v>
      </x:c>
      <x:c r="P1285" s="9" t="n">
        <x:v>6.9</x:v>
      </x:c>
      <x:c r="Q1285" s="7" t="n">
        <x:f>'Guide'!$B$5-L1285</x:f>
        <x:v>0</x:v>
      </x:c>
      <x:c r="R1285" s="9" t="n">
        <x:f>K1285-P1285</x:f>
        <x:v>0.09999999999999964</x:v>
      </x:c>
      <x:c r="S1285" s="10" t="n">
        <x:f>IF(K1285&gt;0,R1285/K1285,"")</x:f>
        <x:v>0.014285714285714235</x:v>
      </x:c>
    </x:row>
    <x:row r="1286">
      <x:c r="A1286" s="7" t="n">
        <x:v>1282</x:v>
      </x:c>
      <x:c r="B1286" s="7" t="str">
        <x:v>Tata</x:v>
      </x:c>
      <x:c r="C1286" s="7" t="str">
        <x:v>Altroz</x:v>
      </x:c>
      <x:c r="D1286" s="7" t="str">
        <x:v>XE</x:v>
      </x:c>
      <x:c r="E1286" s="7" t="str">
        <x:v>Petrol</x:v>
      </x:c>
      <x:c r="F1286" s="7" t="str">
        <x:v>Manual</x:v>
      </x:c>
      <x:c r="G1286" s="7" t="str">
        <x:v>Hatchback</x:v>
      </x:c>
      <x:c r="H1286" s="7" t="n">
        <x:v>1199</x:v>
      </x:c>
      <x:c r="I1286" s="7" t="n">
        <x:v>87</x:v>
      </x:c>
      <x:c r="J1286" s="9" t="n">
        <x:v>19.3</x:v>
      </x:c>
      <x:c r="K1286" s="9" t="n">
        <x:v>7</x:v>
      </x:c>
      <x:c r="L1286" s="7" t="n">
        <x:v>2020</x:v>
      </x:c>
      <x:c r="M1286" s="11" t="n">
        <x:v>126734</x:v>
      </x:c>
      <x:c r="N1286" s="7" t="n">
        <x:v>1</x:v>
      </x:c>
      <x:c r="O1286" s="7" t="n">
        <x:v>0</x:v>
      </x:c>
      <x:c r="P1286" s="9" t="n">
        <x:v>2.97</x:v>
      </x:c>
      <x:c r="Q1286" s="7" t="n">
        <x:f>'Guide'!$B$5-L1286</x:f>
        <x:v>6</x:v>
      </x:c>
      <x:c r="R1286" s="9" t="n">
        <x:f>K1286-P1286</x:f>
        <x:v>4.029999999999999</x:v>
      </x:c>
      <x:c r="S1286" s="10" t="n">
        <x:f>IF(K1286&gt;0,R1286/K1286,"")</x:f>
        <x:v>0.5757142857142856</x:v>
      </x:c>
    </x:row>
    <x:row r="1287">
      <x:c r="A1287" s="7" t="n">
        <x:v>1283</x:v>
      </x:c>
      <x:c r="B1287" s="7" t="str">
        <x:v>Tata</x:v>
      </x:c>
      <x:c r="C1287" s="7" t="str">
        <x:v>Altroz</x:v>
      </x:c>
      <x:c r="D1287" s="7" t="str">
        <x:v>XE</x:v>
      </x:c>
      <x:c r="E1287" s="7" t="str">
        <x:v>Petrol</x:v>
      </x:c>
      <x:c r="F1287" s="7" t="str">
        <x:v>Manual</x:v>
      </x:c>
      <x:c r="G1287" s="7" t="str">
        <x:v>Hatchback</x:v>
      </x:c>
      <x:c r="H1287" s="7" t="n">
        <x:v>1199</x:v>
      </x:c>
      <x:c r="I1287" s="7" t="n">
        <x:v>87</x:v>
      </x:c>
      <x:c r="J1287" s="9" t="n">
        <x:v>19.3</x:v>
      </x:c>
      <x:c r="K1287" s="9" t="n">
        <x:v>7</x:v>
      </x:c>
      <x:c r="L1287" s="7" t="n">
        <x:v>2025</x:v>
      </x:c>
      <x:c r="M1287" s="11" t="n">
        <x:v>12519</x:v>
      </x:c>
      <x:c r="N1287" s="7" t="n">
        <x:v>1</x:v>
      </x:c>
      <x:c r="O1287" s="7" t="n">
        <x:v>0</x:v>
      </x:c>
      <x:c r="P1287" s="9" t="n">
        <x:v>6.36</x:v>
      </x:c>
      <x:c r="Q1287" s="7" t="n">
        <x:f>'Guide'!$B$5-L1287</x:f>
        <x:v>1</x:v>
      </x:c>
      <x:c r="R1287" s="9" t="n">
        <x:f>K1287-P1287</x:f>
        <x:v>0.6399999999999997</x:v>
      </x:c>
      <x:c r="S1287" s="10" t="n">
        <x:f>IF(K1287&gt;0,R1287/K1287,"")</x:f>
        <x:v>0.09142857142857139</x:v>
      </x:c>
    </x:row>
    <x:row r="1288">
      <x:c r="A1288" s="7" t="n">
        <x:v>1284</x:v>
      </x:c>
      <x:c r="B1288" s="7" t="str">
        <x:v>Tata</x:v>
      </x:c>
      <x:c r="C1288" s="7" t="str">
        <x:v>Altroz</x:v>
      </x:c>
      <x:c r="D1288" s="7" t="str">
        <x:v>XE</x:v>
      </x:c>
      <x:c r="E1288" s="7" t="str">
        <x:v>Petrol</x:v>
      </x:c>
      <x:c r="F1288" s="7" t="str">
        <x:v>Manual</x:v>
      </x:c>
      <x:c r="G1288" s="7" t="str">
        <x:v>Hatchback</x:v>
      </x:c>
      <x:c r="H1288" s="7" t="n">
        <x:v>1199</x:v>
      </x:c>
      <x:c r="I1288" s="7" t="n">
        <x:v>87</x:v>
      </x:c>
      <x:c r="J1288" s="9" t="n">
        <x:v>19.3</x:v>
      </x:c>
      <x:c r="K1288" s="9" t="n">
        <x:v>7</x:v>
      </x:c>
      <x:c r="L1288" s="7" t="n">
        <x:v>2023</x:v>
      </x:c>
      <x:c r="M1288" s="11" t="n">
        <x:v>50427</x:v>
      </x:c>
      <x:c r="N1288" s="7" t="n">
        <x:v>2</x:v>
      </x:c>
      <x:c r="O1288" s="7" t="n">
        <x:v>0</x:v>
      </x:c>
      <x:c r="P1288" s="9" t="n">
        <x:v>4.45</x:v>
      </x:c>
      <x:c r="Q1288" s="7" t="n">
        <x:f>'Guide'!$B$5-L1288</x:f>
        <x:v>3</x:v>
      </x:c>
      <x:c r="R1288" s="9" t="n">
        <x:f>K1288-P1288</x:f>
        <x:v>2.55</x:v>
      </x:c>
      <x:c r="S1288" s="10" t="n">
        <x:f>IF(K1288&gt;0,R1288/K1288,"")</x:f>
        <x:v>0.36428571428571427</x:v>
      </x:c>
    </x:row>
    <x:row r="1289">
      <x:c r="A1289" s="7" t="n">
        <x:v>1285</x:v>
      </x:c>
      <x:c r="B1289" s="7" t="str">
        <x:v>Tata</x:v>
      </x:c>
      <x:c r="C1289" s="7" t="str">
        <x:v>Altroz</x:v>
      </x:c>
      <x:c r="D1289" s="7" t="str">
        <x:v>XE</x:v>
      </x:c>
      <x:c r="E1289" s="7" t="str">
        <x:v>Petrol</x:v>
      </x:c>
      <x:c r="F1289" s="7" t="str">
        <x:v>Manual</x:v>
      </x:c>
      <x:c r="G1289" s="7" t="str">
        <x:v>Hatchback</x:v>
      </x:c>
      <x:c r="H1289" s="7" t="n">
        <x:v>1199</x:v>
      </x:c>
      <x:c r="I1289" s="7" t="n">
        <x:v>87</x:v>
      </x:c>
      <x:c r="J1289" s="9" t="n">
        <x:v>19.3</x:v>
      </x:c>
      <x:c r="K1289" s="9" t="n">
        <x:v>7</x:v>
      </x:c>
      <x:c r="L1289" s="7" t="n">
        <x:v>2023</x:v>
      </x:c>
      <x:c r="M1289" s="11" t="n">
        <x:v>30025</x:v>
      </x:c>
      <x:c r="N1289" s="7" t="n">
        <x:v>1</x:v>
      </x:c>
      <x:c r="O1289" s="7" t="n">
        <x:v>1</x:v>
      </x:c>
      <x:c r="P1289" s="9" t="n">
        <x:v>4.42</x:v>
      </x:c>
      <x:c r="Q1289" s="7" t="n">
        <x:f>'Guide'!$B$5-L1289</x:f>
        <x:v>3</x:v>
      </x:c>
      <x:c r="R1289" s="9" t="n">
        <x:f>K1289-P1289</x:f>
        <x:v>2.58</x:v>
      </x:c>
      <x:c r="S1289" s="10" t="n">
        <x:f>IF(K1289&gt;0,R1289/K1289,"")</x:f>
        <x:v>0.3685714285714286</x:v>
      </x:c>
    </x:row>
    <x:row r="1290">
      <x:c r="A1290" s="7" t="n">
        <x:v>1286</x:v>
      </x:c>
      <x:c r="B1290" s="7" t="str">
        <x:v>Tata</x:v>
      </x:c>
      <x:c r="C1290" s="7" t="str">
        <x:v>Altroz</x:v>
      </x:c>
      <x:c r="D1290" s="7" t="str">
        <x:v>XE</x:v>
      </x:c>
      <x:c r="E1290" s="7" t="str">
        <x:v>Petrol</x:v>
      </x:c>
      <x:c r="F1290" s="7" t="str">
        <x:v>Manual</x:v>
      </x:c>
      <x:c r="G1290" s="7" t="str">
        <x:v>Hatchback</x:v>
      </x:c>
      <x:c r="H1290" s="7" t="n">
        <x:v>1199</x:v>
      </x:c>
      <x:c r="I1290" s="7" t="n">
        <x:v>87</x:v>
      </x:c>
      <x:c r="J1290" s="9" t="n">
        <x:v>19.3</x:v>
      </x:c>
      <x:c r="K1290" s="9" t="n">
        <x:v>7</x:v>
      </x:c>
      <x:c r="L1290" s="7" t="n">
        <x:v>2024</x:v>
      </x:c>
      <x:c r="M1290" s="11" t="n">
        <x:v>45612</x:v>
      </x:c>
      <x:c r="N1290" s="7" t="n">
        <x:v>1</x:v>
      </x:c>
      <x:c r="O1290" s="7" t="n">
        <x:v>0</x:v>
      </x:c>
      <x:c r="P1290" s="9" t="n">
        <x:v>5.53</x:v>
      </x:c>
      <x:c r="Q1290" s="7" t="n">
        <x:f>'Guide'!$B$5-L1290</x:f>
        <x:v>2</x:v>
      </x:c>
      <x:c r="R1290" s="9" t="n">
        <x:f>K1290-P1290</x:f>
        <x:v>1.4699999999999998</x:v>
      </x:c>
      <x:c r="S1290" s="10" t="n">
        <x:f>IF(K1290&gt;0,R1290/K1290,"")</x:f>
        <x:v>0.20999999999999996</x:v>
      </x:c>
    </x:row>
    <x:row r="1291">
      <x:c r="A1291" s="7" t="n">
        <x:v>1287</x:v>
      </x:c>
      <x:c r="B1291" s="7" t="str">
        <x:v>Tata</x:v>
      </x:c>
      <x:c r="C1291" s="7" t="str">
        <x:v>Altroz</x:v>
      </x:c>
      <x:c r="D1291" s="7" t="str">
        <x:v>XE</x:v>
      </x:c>
      <x:c r="E1291" s="7" t="str">
        <x:v>Petrol</x:v>
      </x:c>
      <x:c r="F1291" s="7" t="str">
        <x:v>Manual</x:v>
      </x:c>
      <x:c r="G1291" s="7" t="str">
        <x:v>Hatchback</x:v>
      </x:c>
      <x:c r="H1291" s="7" t="n">
        <x:v>1199</x:v>
      </x:c>
      <x:c r="I1291" s="7" t="n">
        <x:v>87</x:v>
      </x:c>
      <x:c r="J1291" s="9" t="n">
        <x:v>19.3</x:v>
      </x:c>
      <x:c r="K1291" s="9" t="n">
        <x:v>7</x:v>
      </x:c>
      <x:c r="L1291" s="7" t="n">
        <x:v>2023</x:v>
      </x:c>
      <x:c r="M1291" s="11" t="n">
        <x:v>61106</x:v>
      </x:c>
      <x:c r="N1291" s="7" t="n">
        <x:v>1</x:v>
      </x:c>
      <x:c r="O1291" s="7" t="n">
        <x:v>0</x:v>
      </x:c>
      <x:c r="P1291" s="9" t="n">
        <x:v>4.58</x:v>
      </x:c>
      <x:c r="Q1291" s="7" t="n">
        <x:f>'Guide'!$B$5-L1291</x:f>
        <x:v>3</x:v>
      </x:c>
      <x:c r="R1291" s="9" t="n">
        <x:f>K1291-P1291</x:f>
        <x:v>2.42</x:v>
      </x:c>
      <x:c r="S1291" s="10" t="n">
        <x:f>IF(K1291&gt;0,R1291/K1291,"")</x:f>
        <x:v>0.3457142857142857</x:v>
      </x:c>
    </x:row>
    <x:row r="1292">
      <x:c r="A1292" s="7" t="n">
        <x:v>1288</x:v>
      </x:c>
      <x:c r="B1292" s="7" t="str">
        <x:v>Tata</x:v>
      </x:c>
      <x:c r="C1292" s="7" t="str">
        <x:v>Altroz</x:v>
      </x:c>
      <x:c r="D1292" s="7" t="str">
        <x:v>XE</x:v>
      </x:c>
      <x:c r="E1292" s="7" t="str">
        <x:v>Petrol</x:v>
      </x:c>
      <x:c r="F1292" s="7" t="str">
        <x:v>Manual</x:v>
      </x:c>
      <x:c r="G1292" s="7" t="str">
        <x:v>Hatchback</x:v>
      </x:c>
      <x:c r="H1292" s="7" t="n">
        <x:v>1199</x:v>
      </x:c>
      <x:c r="I1292" s="7" t="n">
        <x:v>87</x:v>
      </x:c>
      <x:c r="J1292" s="9" t="n">
        <x:v>19.3</x:v>
      </x:c>
      <x:c r="K1292" s="9" t="n">
        <x:v>7</x:v>
      </x:c>
      <x:c r="L1292" s="7" t="n">
        <x:v>2026</x:v>
      </x:c>
      <x:c r="M1292" s="11" t="n">
        <x:v>9151</x:v>
      </x:c>
      <x:c r="N1292" s="7" t="n">
        <x:v>1</x:v>
      </x:c>
      <x:c r="O1292" s="7" t="n">
        <x:v>0</x:v>
      </x:c>
      <x:c r="P1292" s="9" t="n">
        <x:v>6.87</x:v>
      </x:c>
      <x:c r="Q1292" s="7" t="n">
        <x:f>'Guide'!$B$5-L1292</x:f>
        <x:v>0</x:v>
      </x:c>
      <x:c r="R1292" s="9" t="n">
        <x:f>K1292-P1292</x:f>
        <x:v>0.1299999999999999</x:v>
      </x:c>
      <x:c r="S1292" s="10" t="n">
        <x:f>IF(K1292&gt;0,R1292/K1292,"")</x:f>
        <x:v>0.018571428571428555</x:v>
      </x:c>
    </x:row>
    <x:row r="1293">
      <x:c r="A1293" s="7" t="n">
        <x:v>1289</x:v>
      </x:c>
      <x:c r="B1293" s="7" t="str">
        <x:v>Tata</x:v>
      </x:c>
      <x:c r="C1293" s="7" t="str">
        <x:v>Altroz</x:v>
      </x:c>
      <x:c r="D1293" s="7" t="str">
        <x:v>XE</x:v>
      </x:c>
      <x:c r="E1293" s="7" t="str">
        <x:v>Petrol</x:v>
      </x:c>
      <x:c r="F1293" s="7" t="str">
        <x:v>Manual</x:v>
      </x:c>
      <x:c r="G1293" s="7" t="str">
        <x:v>Hatchback</x:v>
      </x:c>
      <x:c r="H1293" s="7" t="n">
        <x:v>1199</x:v>
      </x:c>
      <x:c r="I1293" s="7" t="n">
        <x:v>87</x:v>
      </x:c>
      <x:c r="J1293" s="9" t="n">
        <x:v>19.3</x:v>
      </x:c>
      <x:c r="K1293" s="9" t="n">
        <x:v>7</x:v>
      </x:c>
      <x:c r="L1293" s="7" t="n">
        <x:v>2022</x:v>
      </x:c>
      <x:c r="M1293" s="11" t="n">
        <x:v>50159</x:v>
      </x:c>
      <x:c r="N1293" s="7" t="n">
        <x:v>1</x:v>
      </x:c>
      <x:c r="O1293" s="7" t="n">
        <x:v>0</x:v>
      </x:c>
      <x:c r="P1293" s="9" t="n">
        <x:v>4.24</x:v>
      </x:c>
      <x:c r="Q1293" s="7" t="n">
        <x:f>'Guide'!$B$5-L1293</x:f>
        <x:v>4</x:v>
      </x:c>
      <x:c r="R1293" s="9" t="n">
        <x:f>K1293-P1293</x:f>
        <x:v>2.76</x:v>
      </x:c>
      <x:c r="S1293" s="10" t="n">
        <x:f>IF(K1293&gt;0,R1293/K1293,"")</x:f>
        <x:v>0.39428571428571424</x:v>
      </x:c>
    </x:row>
    <x:row r="1294">
      <x:c r="A1294" s="7" t="n">
        <x:v>1290</x:v>
      </x:c>
      <x:c r="B1294" s="7" t="str">
        <x:v>Tata</x:v>
      </x:c>
      <x:c r="C1294" s="7" t="str">
        <x:v>Altroz</x:v>
      </x:c>
      <x:c r="D1294" s="7" t="str">
        <x:v>XE</x:v>
      </x:c>
      <x:c r="E1294" s="7" t="str">
        <x:v>Petrol</x:v>
      </x:c>
      <x:c r="F1294" s="7" t="str">
        <x:v>Manual</x:v>
      </x:c>
      <x:c r="G1294" s="7" t="str">
        <x:v>Hatchback</x:v>
      </x:c>
      <x:c r="H1294" s="7" t="n">
        <x:v>1199</x:v>
      </x:c>
      <x:c r="I1294" s="7" t="n">
        <x:v>87</x:v>
      </x:c>
      <x:c r="J1294" s="9" t="n">
        <x:v>19.3</x:v>
      </x:c>
      <x:c r="K1294" s="9" t="n">
        <x:v>7</x:v>
      </x:c>
      <x:c r="L1294" s="7" t="n">
        <x:v>2026</x:v>
      </x:c>
      <x:c r="M1294" s="11" t="n">
        <x:v>8851</x:v>
      </x:c>
      <x:c r="N1294" s="7" t="n">
        <x:v>1</x:v>
      </x:c>
      <x:c r="O1294" s="7" t="n">
        <x:v>0</x:v>
      </x:c>
      <x:c r="P1294" s="9" t="n">
        <x:v>6.99</x:v>
      </x:c>
      <x:c r="Q1294" s="7" t="n">
        <x:f>'Guide'!$B$5-L1294</x:f>
        <x:v>0</x:v>
      </x:c>
      <x:c r="R1294" s="9" t="n">
        <x:f>K1294-P1294</x:f>
        <x:v>0.009999999999999787</x:v>
      </x:c>
      <x:c r="S1294" s="10" t="n">
        <x:f>IF(K1294&gt;0,R1294/K1294,"")</x:f>
        <x:v>0.0014285714285713982</x:v>
      </x:c>
    </x:row>
    <x:row r="1295">
      <x:c r="A1295" s="7" t="n">
        <x:v>1291</x:v>
      </x:c>
      <x:c r="B1295" s="7" t="str">
        <x:v>Tata</x:v>
      </x:c>
      <x:c r="C1295" s="7" t="str">
        <x:v>Altroz</x:v>
      </x:c>
      <x:c r="D1295" s="7" t="str">
        <x:v>XE</x:v>
      </x:c>
      <x:c r="E1295" s="7" t="str">
        <x:v>Petrol</x:v>
      </x:c>
      <x:c r="F1295" s="7" t="str">
        <x:v>Manual</x:v>
      </x:c>
      <x:c r="G1295" s="7" t="str">
        <x:v>Hatchback</x:v>
      </x:c>
      <x:c r="H1295" s="7" t="n">
        <x:v>1199</x:v>
      </x:c>
      <x:c r="I1295" s="7" t="n">
        <x:v>87</x:v>
      </x:c>
      <x:c r="J1295" s="9" t="n">
        <x:v>19.3</x:v>
      </x:c>
      <x:c r="K1295" s="9" t="n">
        <x:v>7</x:v>
      </x:c>
      <x:c r="L1295" s="7" t="n">
        <x:v>2024</x:v>
      </x:c>
      <x:c r="M1295" s="11" t="n">
        <x:v>22803</x:v>
      </x:c>
      <x:c r="N1295" s="7" t="n">
        <x:v>1</x:v>
      </x:c>
      <x:c r="O1295" s="7" t="n">
        <x:v>1</x:v>
      </x:c>
      <x:c r="P1295" s="9" t="n">
        <x:v>4.75</x:v>
      </x:c>
      <x:c r="Q1295" s="7" t="n">
        <x:f>'Guide'!$B$5-L1295</x:f>
        <x:v>2</x:v>
      </x:c>
      <x:c r="R1295" s="9" t="n">
        <x:f>K1295-P1295</x:f>
        <x:v>2.25</x:v>
      </x:c>
      <x:c r="S1295" s="10" t="n">
        <x:f>IF(K1295&gt;0,R1295/K1295,"")</x:f>
        <x:v>0.32142857142857145</x:v>
      </x:c>
    </x:row>
    <x:row r="1296">
      <x:c r="A1296" s="7" t="n">
        <x:v>1292</x:v>
      </x:c>
      <x:c r="B1296" s="7" t="str">
        <x:v>Tata</x:v>
      </x:c>
      <x:c r="C1296" s="7" t="str">
        <x:v>Altroz</x:v>
      </x:c>
      <x:c r="D1296" s="7" t="str">
        <x:v>XE</x:v>
      </x:c>
      <x:c r="E1296" s="7" t="str">
        <x:v>Petrol</x:v>
      </x:c>
      <x:c r="F1296" s="7" t="str">
        <x:v>Manual</x:v>
      </x:c>
      <x:c r="G1296" s="7" t="str">
        <x:v>Hatchback</x:v>
      </x:c>
      <x:c r="H1296" s="7" t="n">
        <x:v>1199</x:v>
      </x:c>
      <x:c r="I1296" s="7" t="n">
        <x:v>87</x:v>
      </x:c>
      <x:c r="J1296" s="9" t="n">
        <x:v>19.3</x:v>
      </x:c>
      <x:c r="K1296" s="9" t="n">
        <x:v>7</x:v>
      </x:c>
      <x:c r="L1296" s="7" t="n">
        <x:v>2023</x:v>
      </x:c>
      <x:c r="M1296" s="11" t="n">
        <x:v>68689</x:v>
      </x:c>
      <x:c r="N1296" s="7" t="n">
        <x:v>2</x:v>
      </x:c>
      <x:c r="O1296" s="7" t="n">
        <x:v>0</x:v>
      </x:c>
      <x:c r="P1296" s="9" t="n">
        <x:v>4.6</x:v>
      </x:c>
      <x:c r="Q1296" s="7" t="n">
        <x:f>'Guide'!$B$5-L1296</x:f>
        <x:v>3</x:v>
      </x:c>
      <x:c r="R1296" s="9" t="n">
        <x:f>K1296-P1296</x:f>
        <x:v>2.4000000000000004</x:v>
      </x:c>
      <x:c r="S1296" s="10" t="n">
        <x:f>IF(K1296&gt;0,R1296/K1296,"")</x:f>
        <x:v>0.3428571428571429</x:v>
      </x:c>
    </x:row>
    <x:row r="1297">
      <x:c r="A1297" s="7" t="n">
        <x:v>1293</x:v>
      </x:c>
      <x:c r="B1297" s="7" t="str">
        <x:v>Tata</x:v>
      </x:c>
      <x:c r="C1297" s="7" t="str">
        <x:v>Altroz</x:v>
      </x:c>
      <x:c r="D1297" s="7" t="str">
        <x:v>XE</x:v>
      </x:c>
      <x:c r="E1297" s="7" t="str">
        <x:v>Petrol</x:v>
      </x:c>
      <x:c r="F1297" s="7" t="str">
        <x:v>Manual</x:v>
      </x:c>
      <x:c r="G1297" s="7" t="str">
        <x:v>Hatchback</x:v>
      </x:c>
      <x:c r="H1297" s="7" t="n">
        <x:v>1199</x:v>
      </x:c>
      <x:c r="I1297" s="7" t="n">
        <x:v>87</x:v>
      </x:c>
      <x:c r="J1297" s="9" t="n">
        <x:v>19.3</x:v>
      </x:c>
      <x:c r="K1297" s="9" t="n">
        <x:v>7</x:v>
      </x:c>
      <x:c r="L1297" s="7" t="n">
        <x:v>2022</x:v>
      </x:c>
      <x:c r="M1297" s="11" t="n">
        <x:v>51746</x:v>
      </x:c>
      <x:c r="N1297" s="7" t="n">
        <x:v>2</x:v>
      </x:c>
      <x:c r="O1297" s="7" t="n">
        <x:v>0</x:v>
      </x:c>
      <x:c r="P1297" s="9" t="n">
        <x:v>4.1</x:v>
      </x:c>
      <x:c r="Q1297" s="7" t="n">
        <x:f>'Guide'!$B$5-L1297</x:f>
        <x:v>4</x:v>
      </x:c>
      <x:c r="R1297" s="9" t="n">
        <x:f>K1297-P1297</x:f>
        <x:v>2.9000000000000004</x:v>
      </x:c>
      <x:c r="S1297" s="10" t="n">
        <x:f>IF(K1297&gt;0,R1297/K1297,"")</x:f>
        <x:v>0.4142857142857143</x:v>
      </x:c>
    </x:row>
    <x:row r="1298">
      <x:c r="A1298" s="7" t="n">
        <x:v>1294</x:v>
      </x:c>
      <x:c r="B1298" s="7" t="str">
        <x:v>Tata</x:v>
      </x:c>
      <x:c r="C1298" s="7" t="str">
        <x:v>Altroz</x:v>
      </x:c>
      <x:c r="D1298" s="7" t="str">
        <x:v>XE</x:v>
      </x:c>
      <x:c r="E1298" s="7" t="str">
        <x:v>Petrol</x:v>
      </x:c>
      <x:c r="F1298" s="7" t="str">
        <x:v>Manual</x:v>
      </x:c>
      <x:c r="G1298" s="7" t="str">
        <x:v>Hatchback</x:v>
      </x:c>
      <x:c r="H1298" s="7" t="n">
        <x:v>1199</x:v>
      </x:c>
      <x:c r="I1298" s="7" t="n">
        <x:v>87</x:v>
      </x:c>
      <x:c r="J1298" s="9" t="n">
        <x:v>19.3</x:v>
      </x:c>
      <x:c r="K1298" s="9" t="n">
        <x:v>7</x:v>
      </x:c>
      <x:c r="L1298" s="7" t="n">
        <x:v>2024</x:v>
      </x:c>
      <x:c r="M1298" s="11" t="n">
        <x:v>27375</x:v>
      </x:c>
      <x:c r="N1298" s="7" t="n">
        <x:v>1</x:v>
      </x:c>
      <x:c r="O1298" s="7" t="n">
        <x:v>0</x:v>
      </x:c>
      <x:c r="P1298" s="9" t="n">
        <x:v>5.8</x:v>
      </x:c>
      <x:c r="Q1298" s="7" t="n">
        <x:f>'Guide'!$B$5-L1298</x:f>
        <x:v>2</x:v>
      </x:c>
      <x:c r="R1298" s="9" t="n">
        <x:f>K1298-P1298</x:f>
        <x:v>1.2000000000000002</x:v>
      </x:c>
      <x:c r="S1298" s="10" t="n">
        <x:f>IF(K1298&gt;0,R1298/K1298,"")</x:f>
        <x:v>0.17142857142857146</x:v>
      </x:c>
    </x:row>
    <x:row r="1299">
      <x:c r="A1299" s="7" t="n">
        <x:v>1295</x:v>
      </x:c>
      <x:c r="B1299" s="7" t="str">
        <x:v>Tata</x:v>
      </x:c>
      <x:c r="C1299" s="7" t="str">
        <x:v>Altroz</x:v>
      </x:c>
      <x:c r="D1299" s="7" t="str">
        <x:v>XE</x:v>
      </x:c>
      <x:c r="E1299" s="7" t="str">
        <x:v>Petrol</x:v>
      </x:c>
      <x:c r="F1299" s="7" t="str">
        <x:v>Manual</x:v>
      </x:c>
      <x:c r="G1299" s="7" t="str">
        <x:v>Hatchback</x:v>
      </x:c>
      <x:c r="H1299" s="7" t="n">
        <x:v>1199</x:v>
      </x:c>
      <x:c r="I1299" s="7" t="n">
        <x:v>87</x:v>
      </x:c>
      <x:c r="J1299" s="9" t="n">
        <x:v>19.3</x:v>
      </x:c>
      <x:c r="K1299" s="9" t="n">
        <x:v>7</x:v>
      </x:c>
      <x:c r="L1299" s="7" t="n">
        <x:v>2023</x:v>
      </x:c>
      <x:c r="M1299" s="11" t="n">
        <x:v>66438</x:v>
      </x:c>
      <x:c r="N1299" s="7" t="n">
        <x:v>1</x:v>
      </x:c>
      <x:c r="O1299" s="7" t="n">
        <x:v>0</x:v>
      </x:c>
      <x:c r="P1299" s="9" t="n">
        <x:v>4.71</x:v>
      </x:c>
      <x:c r="Q1299" s="7" t="n">
        <x:f>'Guide'!$B$5-L1299</x:f>
        <x:v>3</x:v>
      </x:c>
      <x:c r="R1299" s="9" t="n">
        <x:f>K1299-P1299</x:f>
        <x:v>2.29</x:v>
      </x:c>
      <x:c r="S1299" s="10" t="n">
        <x:f>IF(K1299&gt;0,R1299/K1299,"")</x:f>
        <x:v>0.3271428571428571</x:v>
      </x:c>
    </x:row>
    <x:row r="1300">
      <x:c r="A1300" s="7" t="n">
        <x:v>1296</x:v>
      </x:c>
      <x:c r="B1300" s="7" t="str">
        <x:v>Tata</x:v>
      </x:c>
      <x:c r="C1300" s="7" t="str">
        <x:v>Altroz</x:v>
      </x:c>
      <x:c r="D1300" s="7" t="str">
        <x:v>XE</x:v>
      </x:c>
      <x:c r="E1300" s="7" t="str">
        <x:v>Petrol</x:v>
      </x:c>
      <x:c r="F1300" s="7" t="str">
        <x:v>Manual</x:v>
      </x:c>
      <x:c r="G1300" s="7" t="str">
        <x:v>Hatchback</x:v>
      </x:c>
      <x:c r="H1300" s="7" t="n">
        <x:v>1199</x:v>
      </x:c>
      <x:c r="I1300" s="7" t="n">
        <x:v>87</x:v>
      </x:c>
      <x:c r="J1300" s="9" t="n">
        <x:v>19.3</x:v>
      </x:c>
      <x:c r="K1300" s="9" t="n">
        <x:v>7</x:v>
      </x:c>
      <x:c r="L1300" s="7" t="n">
        <x:v>2021</x:v>
      </x:c>
      <x:c r="M1300" s="11" t="n">
        <x:v>107038</x:v>
      </x:c>
      <x:c r="N1300" s="7" t="n">
        <x:v>1</x:v>
      </x:c>
      <x:c r="O1300" s="7" t="n">
        <x:v>0</x:v>
      </x:c>
      <x:c r="P1300" s="9" t="n">
        <x:v>2.98</x:v>
      </x:c>
      <x:c r="Q1300" s="7" t="n">
        <x:f>'Guide'!$B$5-L1300</x:f>
        <x:v>5</x:v>
      </x:c>
      <x:c r="R1300" s="9" t="n">
        <x:f>K1300-P1300</x:f>
        <x:v>4.02</x:v>
      </x:c>
      <x:c r="S1300" s="10" t="n">
        <x:f>IF(K1300&gt;0,R1300/K1300,"")</x:f>
        <x:v>0.5742857142857142</x:v>
      </x:c>
    </x:row>
    <x:row r="1301">
      <x:c r="A1301" s="7" t="n">
        <x:v>1297</x:v>
      </x:c>
      <x:c r="B1301" s="7" t="str">
        <x:v>Tata</x:v>
      </x:c>
      <x:c r="C1301" s="7" t="str">
        <x:v>Altroz</x:v>
      </x:c>
      <x:c r="D1301" s="7" t="str">
        <x:v>XE</x:v>
      </x:c>
      <x:c r="E1301" s="7" t="str">
        <x:v>Petrol</x:v>
      </x:c>
      <x:c r="F1301" s="7" t="str">
        <x:v>Manual</x:v>
      </x:c>
      <x:c r="G1301" s="7" t="str">
        <x:v>Hatchback</x:v>
      </x:c>
      <x:c r="H1301" s="7" t="n">
        <x:v>1199</x:v>
      </x:c>
      <x:c r="I1301" s="7" t="n">
        <x:v>87</x:v>
      </x:c>
      <x:c r="J1301" s="9" t="n">
        <x:v>19.3</x:v>
      </x:c>
      <x:c r="K1301" s="9" t="n">
        <x:v>7</x:v>
      </x:c>
      <x:c r="L1301" s="7" t="n">
        <x:v>2022</x:v>
      </x:c>
      <x:c r="M1301" s="11" t="n">
        <x:v>58352</x:v>
      </x:c>
      <x:c r="N1301" s="7" t="n">
        <x:v>1</x:v>
      </x:c>
      <x:c r="O1301" s="7" t="n">
        <x:v>0</x:v>
      </x:c>
      <x:c r="P1301" s="9" t="n">
        <x:v>4.34</x:v>
      </x:c>
      <x:c r="Q1301" s="7" t="n">
        <x:f>'Guide'!$B$5-L1301</x:f>
        <x:v>4</x:v>
      </x:c>
      <x:c r="R1301" s="9" t="n">
        <x:f>K1301-P1301</x:f>
        <x:v>2.66</x:v>
      </x:c>
      <x:c r="S1301" s="10" t="n">
        <x:f>IF(K1301&gt;0,R1301/K1301,"")</x:f>
        <x:v>0.38</x:v>
      </x:c>
    </x:row>
    <x:row r="1302">
      <x:c r="A1302" s="7" t="n">
        <x:v>1298</x:v>
      </x:c>
      <x:c r="B1302" s="7" t="str">
        <x:v>Tata</x:v>
      </x:c>
      <x:c r="C1302" s="7" t="str">
        <x:v>Altroz</x:v>
      </x:c>
      <x:c r="D1302" s="7" t="str">
        <x:v>XE</x:v>
      </x:c>
      <x:c r="E1302" s="7" t="str">
        <x:v>Petrol</x:v>
      </x:c>
      <x:c r="F1302" s="7" t="str">
        <x:v>Manual</x:v>
      </x:c>
      <x:c r="G1302" s="7" t="str">
        <x:v>Hatchback</x:v>
      </x:c>
      <x:c r="H1302" s="7" t="n">
        <x:v>1199</x:v>
      </x:c>
      <x:c r="I1302" s="7" t="n">
        <x:v>87</x:v>
      </x:c>
      <x:c r="J1302" s="9" t="n">
        <x:v>19.3</x:v>
      </x:c>
      <x:c r="K1302" s="9" t="n">
        <x:v>7</x:v>
      </x:c>
      <x:c r="L1302" s="7" t="n">
        <x:v>2020</x:v>
      </x:c>
      <x:c r="M1302" s="11" t="n">
        <x:v>63314</x:v>
      </x:c>
      <x:c r="N1302" s="7" t="n">
        <x:v>1</x:v>
      </x:c>
      <x:c r="O1302" s="7" t="n">
        <x:v>0</x:v>
      </x:c>
      <x:c r="P1302" s="9" t="n">
        <x:v>3.11</x:v>
      </x:c>
      <x:c r="Q1302" s="7" t="n">
        <x:f>'Guide'!$B$5-L1302</x:f>
        <x:v>6</x:v>
      </x:c>
      <x:c r="R1302" s="9" t="n">
        <x:f>K1302-P1302</x:f>
        <x:v>3.89</x:v>
      </x:c>
      <x:c r="S1302" s="10" t="n">
        <x:f>IF(K1302&gt;0,R1302/K1302,"")</x:f>
        <x:v>0.5557142857142857</x:v>
      </x:c>
    </x:row>
    <x:row r="1303">
      <x:c r="A1303" s="7" t="n">
        <x:v>1299</x:v>
      </x:c>
      <x:c r="B1303" s="7" t="str">
        <x:v>Tata</x:v>
      </x:c>
      <x:c r="C1303" s="7" t="str">
        <x:v>Altroz</x:v>
      </x:c>
      <x:c r="D1303" s="7" t="str">
        <x:v>XE</x:v>
      </x:c>
      <x:c r="E1303" s="7" t="str">
        <x:v>Petrol</x:v>
      </x:c>
      <x:c r="F1303" s="7" t="str">
        <x:v>Manual</x:v>
      </x:c>
      <x:c r="G1303" s="7" t="str">
        <x:v>Hatchback</x:v>
      </x:c>
      <x:c r="H1303" s="7" t="n">
        <x:v>1199</x:v>
      </x:c>
      <x:c r="I1303" s="7" t="n">
        <x:v>87</x:v>
      </x:c>
      <x:c r="J1303" s="9" t="n">
        <x:v>19.3</x:v>
      </x:c>
      <x:c r="K1303" s="9" t="n">
        <x:v>7</x:v>
      </x:c>
      <x:c r="L1303" s="7" t="n">
        <x:v>2023</x:v>
      </x:c>
      <x:c r="M1303" s="11" t="n">
        <x:v>59983</x:v>
      </x:c>
      <x:c r="N1303" s="7" t="n">
        <x:v>1</x:v>
      </x:c>
      <x:c r="O1303" s="7" t="n">
        <x:v>0</x:v>
      </x:c>
      <x:c r="P1303" s="9" t="n">
        <x:v>4.74</x:v>
      </x:c>
      <x:c r="Q1303" s="7" t="n">
        <x:f>'Guide'!$B$5-L1303</x:f>
        <x:v>3</x:v>
      </x:c>
      <x:c r="R1303" s="9" t="n">
        <x:f>K1303-P1303</x:f>
        <x:v>2.26</x:v>
      </x:c>
      <x:c r="S1303" s="10" t="n">
        <x:f>IF(K1303&gt;0,R1303/K1303,"")</x:f>
        <x:v>0.32285714285714284</x:v>
      </x:c>
    </x:row>
    <x:row r="1304">
      <x:c r="A1304" s="7" t="n">
        <x:v>1300</x:v>
      </x:c>
      <x:c r="B1304" s="7" t="str">
        <x:v>Tata</x:v>
      </x:c>
      <x:c r="C1304" s="7" t="str">
        <x:v>Altroz</x:v>
      </x:c>
      <x:c r="D1304" s="7" t="str">
        <x:v>XE</x:v>
      </x:c>
      <x:c r="E1304" s="7" t="str">
        <x:v>Petrol</x:v>
      </x:c>
      <x:c r="F1304" s="7" t="str">
        <x:v>Manual</x:v>
      </x:c>
      <x:c r="G1304" s="7" t="str">
        <x:v>Hatchback</x:v>
      </x:c>
      <x:c r="H1304" s="7" t="n">
        <x:v>1199</x:v>
      </x:c>
      <x:c r="I1304" s="7" t="n">
        <x:v>87</x:v>
      </x:c>
      <x:c r="J1304" s="9" t="n">
        <x:v>19.3</x:v>
      </x:c>
      <x:c r="K1304" s="9" t="n">
        <x:v>7</x:v>
      </x:c>
      <x:c r="L1304" s="7" t="n">
        <x:v>2022</x:v>
      </x:c>
      <x:c r="M1304" s="11" t="n">
        <x:v>54276</x:v>
      </x:c>
      <x:c r="N1304" s="7" t="n">
        <x:v>2</x:v>
      </x:c>
      <x:c r="O1304" s="7" t="n">
        <x:v>0</x:v>
      </x:c>
      <x:c r="P1304" s="9" t="n">
        <x:v>4.09</x:v>
      </x:c>
      <x:c r="Q1304" s="7" t="n">
        <x:f>'Guide'!$B$5-L1304</x:f>
        <x:v>4</x:v>
      </x:c>
      <x:c r="R1304" s="9" t="n">
        <x:f>K1304-P1304</x:f>
        <x:v>2.91</x:v>
      </x:c>
      <x:c r="S1304" s="10" t="n">
        <x:f>IF(K1304&gt;0,R1304/K1304,"")</x:f>
        <x:v>0.41571428571428576</x:v>
      </x:c>
    </x:row>
    <x:row r="1305">
      <x:c r="A1305" s="7" t="n">
        <x:v>1301</x:v>
      </x:c>
      <x:c r="B1305" s="7" t="str">
        <x:v>Tata</x:v>
      </x:c>
      <x:c r="C1305" s="7" t="str">
        <x:v>Altroz</x:v>
      </x:c>
      <x:c r="D1305" s="7" t="str">
        <x:v>XE</x:v>
      </x:c>
      <x:c r="E1305" s="7" t="str">
        <x:v>Petrol</x:v>
      </x:c>
      <x:c r="F1305" s="7" t="str">
        <x:v>Manual</x:v>
      </x:c>
      <x:c r="G1305" s="7" t="str">
        <x:v>Hatchback</x:v>
      </x:c>
      <x:c r="H1305" s="7" t="n">
        <x:v>1199</x:v>
      </x:c>
      <x:c r="I1305" s="7" t="n">
        <x:v>87</x:v>
      </x:c>
      <x:c r="J1305" s="9" t="n">
        <x:v>19.3</x:v>
      </x:c>
      <x:c r="K1305" s="9" t="n">
        <x:v>7</x:v>
      </x:c>
      <x:c r="L1305" s="7" t="n">
        <x:v>2021</x:v>
      </x:c>
      <x:c r="M1305" s="11" t="n">
        <x:v>84646</x:v>
      </x:c>
      <x:c r="N1305" s="7" t="n">
        <x:v>2</x:v>
      </x:c>
      <x:c r="O1305" s="7" t="n">
        <x:v>0</x:v>
      </x:c>
      <x:c r="P1305" s="9" t="n">
        <x:v>2.83</x:v>
      </x:c>
      <x:c r="Q1305" s="7" t="n">
        <x:f>'Guide'!$B$5-L1305</x:f>
        <x:v>5</x:v>
      </x:c>
      <x:c r="R1305" s="9" t="n">
        <x:f>K1305-P1305</x:f>
        <x:v>4.17</x:v>
      </x:c>
      <x:c r="S1305" s="10" t="n">
        <x:f>IF(K1305&gt;0,R1305/K1305,"")</x:f>
        <x:v>0.5957142857142858</x:v>
      </x:c>
    </x:row>
    <x:row r="1306">
      <x:c r="A1306" s="7" t="n">
        <x:v>1302</x:v>
      </x:c>
      <x:c r="B1306" s="7" t="str">
        <x:v>Tata</x:v>
      </x:c>
      <x:c r="C1306" s="7" t="str">
        <x:v>Altroz</x:v>
      </x:c>
      <x:c r="D1306" s="7" t="str">
        <x:v>XE</x:v>
      </x:c>
      <x:c r="E1306" s="7" t="str">
        <x:v>Petrol</x:v>
      </x:c>
      <x:c r="F1306" s="7" t="str">
        <x:v>Manual</x:v>
      </x:c>
      <x:c r="G1306" s="7" t="str">
        <x:v>Hatchback</x:v>
      </x:c>
      <x:c r="H1306" s="7" t="n">
        <x:v>1199</x:v>
      </x:c>
      <x:c r="I1306" s="7" t="n">
        <x:v>87</x:v>
      </x:c>
      <x:c r="J1306" s="9" t="n">
        <x:v>19.3</x:v>
      </x:c>
      <x:c r="K1306" s="9" t="n">
        <x:v>7</x:v>
      </x:c>
      <x:c r="L1306" s="7" t="n">
        <x:v>2025</x:v>
      </x:c>
      <x:c r="M1306" s="11" t="n">
        <x:v>13698</x:v>
      </x:c>
      <x:c r="N1306" s="7" t="n">
        <x:v>1</x:v>
      </x:c>
      <x:c r="O1306" s="7" t="n">
        <x:v>0</x:v>
      </x:c>
      <x:c r="P1306" s="9" t="n">
        <x:v>6.3</x:v>
      </x:c>
      <x:c r="Q1306" s="7" t="n">
        <x:f>'Guide'!$B$5-L1306</x:f>
        <x:v>1</x:v>
      </x:c>
      <x:c r="R1306" s="9" t="n">
        <x:f>K1306-P1306</x:f>
        <x:v>0.7000000000000002</x:v>
      </x:c>
      <x:c r="S1306" s="10" t="n">
        <x:f>IF(K1306&gt;0,R1306/K1306,"")</x:f>
        <x:v>0.10000000000000002</x:v>
      </x:c>
    </x:row>
    <x:row r="1307">
      <x:c r="A1307" s="7" t="n">
        <x:v>1303</x:v>
      </x:c>
      <x:c r="B1307" s="7" t="str">
        <x:v>Tata</x:v>
      </x:c>
      <x:c r="C1307" s="7" t="str">
        <x:v>Altroz</x:v>
      </x:c>
      <x:c r="D1307" s="7" t="str">
        <x:v>XE</x:v>
      </x:c>
      <x:c r="E1307" s="7" t="str">
        <x:v>Petrol</x:v>
      </x:c>
      <x:c r="F1307" s="7" t="str">
        <x:v>Manual</x:v>
      </x:c>
      <x:c r="G1307" s="7" t="str">
        <x:v>Hatchback</x:v>
      </x:c>
      <x:c r="H1307" s="7" t="n">
        <x:v>1199</x:v>
      </x:c>
      <x:c r="I1307" s="7" t="n">
        <x:v>87</x:v>
      </x:c>
      <x:c r="J1307" s="9" t="n">
        <x:v>19.3</x:v>
      </x:c>
      <x:c r="K1307" s="9" t="n">
        <x:v>7</x:v>
      </x:c>
      <x:c r="L1307" s="7" t="n">
        <x:v>2021</x:v>
      </x:c>
      <x:c r="M1307" s="11" t="n">
        <x:v>64413</x:v>
      </x:c>
      <x:c r="N1307" s="7" t="n">
        <x:v>1</x:v>
      </x:c>
      <x:c r="O1307" s="7" t="n">
        <x:v>0</x:v>
      </x:c>
      <x:c r="P1307" s="9" t="n">
        <x:v>3.36</x:v>
      </x:c>
      <x:c r="Q1307" s="7" t="n">
        <x:f>'Guide'!$B$5-L1307</x:f>
        <x:v>5</x:v>
      </x:c>
      <x:c r="R1307" s="9" t="n">
        <x:f>K1307-P1307</x:f>
        <x:v>3.64</x:v>
      </x:c>
      <x:c r="S1307" s="10" t="n">
        <x:f>IF(K1307&gt;0,R1307/K1307,"")</x:f>
        <x:v>0.52</x:v>
      </x:c>
    </x:row>
    <x:row r="1308">
      <x:c r="A1308" s="7" t="n">
        <x:v>1304</x:v>
      </x:c>
      <x:c r="B1308" s="7" t="str">
        <x:v>Tata</x:v>
      </x:c>
      <x:c r="C1308" s="7" t="str">
        <x:v>Altroz</x:v>
      </x:c>
      <x:c r="D1308" s="7" t="str">
        <x:v>XE</x:v>
      </x:c>
      <x:c r="E1308" s="7" t="str">
        <x:v>Petrol</x:v>
      </x:c>
      <x:c r="F1308" s="7" t="str">
        <x:v>Manual</x:v>
      </x:c>
      <x:c r="G1308" s="7" t="str">
        <x:v>Hatchback</x:v>
      </x:c>
      <x:c r="H1308" s="7" t="n">
        <x:v>1199</x:v>
      </x:c>
      <x:c r="I1308" s="7" t="n">
        <x:v>87</x:v>
      </x:c>
      <x:c r="J1308" s="9" t="n">
        <x:v>19.3</x:v>
      </x:c>
      <x:c r="K1308" s="9" t="n">
        <x:v>7</x:v>
      </x:c>
      <x:c r="L1308" s="7" t="n">
        <x:v>2022</x:v>
      </x:c>
      <x:c r="M1308" s="11" t="n">
        <x:v>65547</x:v>
      </x:c>
      <x:c r="N1308" s="7" t="n">
        <x:v>1</x:v>
      </x:c>
      <x:c r="O1308" s="7" t="n">
        <x:v>0</x:v>
      </x:c>
      <x:c r="P1308" s="9" t="n">
        <x:v>4.29</x:v>
      </x:c>
      <x:c r="Q1308" s="7" t="n">
        <x:f>'Guide'!$B$5-L1308</x:f>
        <x:v>4</x:v>
      </x:c>
      <x:c r="R1308" s="9" t="n">
        <x:f>K1308-P1308</x:f>
        <x:v>2.71</x:v>
      </x:c>
      <x:c r="S1308" s="10" t="n">
        <x:f>IF(K1308&gt;0,R1308/K1308,"")</x:f>
        <x:v>0.3871428571428571</x:v>
      </x:c>
    </x:row>
    <x:row r="1309">
      <x:c r="A1309" s="7" t="n">
        <x:v>1305</x:v>
      </x:c>
      <x:c r="B1309" s="7" t="str">
        <x:v>Tata</x:v>
      </x:c>
      <x:c r="C1309" s="7" t="str">
        <x:v>Altroz</x:v>
      </x:c>
      <x:c r="D1309" s="7" t="str">
        <x:v>XE</x:v>
      </x:c>
      <x:c r="E1309" s="7" t="str">
        <x:v>Petrol</x:v>
      </x:c>
      <x:c r="F1309" s="7" t="str">
        <x:v>Manual</x:v>
      </x:c>
      <x:c r="G1309" s="7" t="str">
        <x:v>Hatchback</x:v>
      </x:c>
      <x:c r="H1309" s="7" t="n">
        <x:v>1199</x:v>
      </x:c>
      <x:c r="I1309" s="7" t="n">
        <x:v>87</x:v>
      </x:c>
      <x:c r="J1309" s="9" t="n">
        <x:v>19.3</x:v>
      </x:c>
      <x:c r="K1309" s="9" t="n">
        <x:v>7</x:v>
      </x:c>
      <x:c r="L1309" s="7" t="n">
        <x:v>2025</x:v>
      </x:c>
      <x:c r="M1309" s="11" t="n">
        <x:v>22863</x:v>
      </x:c>
      <x:c r="N1309" s="7" t="n">
        <x:v>2</x:v>
      </x:c>
      <x:c r="O1309" s="7" t="n">
        <x:v>1</x:v>
      </x:c>
      <x:c r="P1309" s="9" t="n">
        <x:v>4.77</x:v>
      </x:c>
      <x:c r="Q1309" s="7" t="n">
        <x:f>'Guide'!$B$5-L1309</x:f>
        <x:v>1</x:v>
      </x:c>
      <x:c r="R1309" s="9" t="n">
        <x:f>K1309-P1309</x:f>
        <x:v>2.2300000000000004</x:v>
      </x:c>
      <x:c r="S1309" s="10" t="n">
        <x:f>IF(K1309&gt;0,R1309/K1309,"")</x:f>
        <x:v>0.3185714285714286</x:v>
      </x:c>
    </x:row>
    <x:row r="1310">
      <x:c r="A1310" s="7" t="n">
        <x:v>1306</x:v>
      </x:c>
      <x:c r="B1310" s="7" t="str">
        <x:v>Tata</x:v>
      </x:c>
      <x:c r="C1310" s="7" t="str">
        <x:v>Altroz</x:v>
      </x:c>
      <x:c r="D1310" s="7" t="str">
        <x:v>XE</x:v>
      </x:c>
      <x:c r="E1310" s="7" t="str">
        <x:v>Petrol</x:v>
      </x:c>
      <x:c r="F1310" s="7" t="str">
        <x:v>Manual</x:v>
      </x:c>
      <x:c r="G1310" s="7" t="str">
        <x:v>Hatchback</x:v>
      </x:c>
      <x:c r="H1310" s="7" t="n">
        <x:v>1199</x:v>
      </x:c>
      <x:c r="I1310" s="7" t="n">
        <x:v>87</x:v>
      </x:c>
      <x:c r="J1310" s="9" t="n">
        <x:v>19.3</x:v>
      </x:c>
      <x:c r="K1310" s="9" t="n">
        <x:v>7</x:v>
      </x:c>
      <x:c r="L1310" s="7" t="n">
        <x:v>2025</x:v>
      </x:c>
      <x:c r="M1310" s="11" t="n">
        <x:v>14839</x:v>
      </x:c>
      <x:c r="N1310" s="7" t="n">
        <x:v>2</x:v>
      </x:c>
      <x:c r="O1310" s="7" t="n">
        <x:v>0</x:v>
      </x:c>
      <x:c r="P1310" s="9" t="n">
        <x:v>5.52</x:v>
      </x:c>
      <x:c r="Q1310" s="7" t="n">
        <x:f>'Guide'!$B$5-L1310</x:f>
        <x:v>1</x:v>
      </x:c>
      <x:c r="R1310" s="9" t="n">
        <x:f>K1310-P1310</x:f>
        <x:v>1.4800000000000004</x:v>
      </x:c>
      <x:c r="S1310" s="10" t="n">
        <x:f>IF(K1310&gt;0,R1310/K1310,"")</x:f>
        <x:v>0.2114285714285715</x:v>
      </x:c>
    </x:row>
    <x:row r="1311">
      <x:c r="A1311" s="7" t="n">
        <x:v>1307</x:v>
      </x:c>
      <x:c r="B1311" s="7" t="str">
        <x:v>Tata</x:v>
      </x:c>
      <x:c r="C1311" s="7" t="str">
        <x:v>Altroz</x:v>
      </x:c>
      <x:c r="D1311" s="7" t="str">
        <x:v>XE</x:v>
      </x:c>
      <x:c r="E1311" s="7" t="str">
        <x:v>Petrol</x:v>
      </x:c>
      <x:c r="F1311" s="7" t="str">
        <x:v>Manual</x:v>
      </x:c>
      <x:c r="G1311" s="7" t="str">
        <x:v>Hatchback</x:v>
      </x:c>
      <x:c r="H1311" s="7" t="n">
        <x:v>1199</x:v>
      </x:c>
      <x:c r="I1311" s="7" t="n">
        <x:v>87</x:v>
      </x:c>
      <x:c r="J1311" s="9" t="n">
        <x:v>19.3</x:v>
      </x:c>
      <x:c r="K1311" s="9" t="n">
        <x:v>7</x:v>
      </x:c>
      <x:c r="L1311" s="7" t="n">
        <x:v>2023</x:v>
      </x:c>
      <x:c r="M1311" s="11" t="n">
        <x:v>33839</x:v>
      </x:c>
      <x:c r="N1311" s="7" t="n">
        <x:v>2</x:v>
      </x:c>
      <x:c r="O1311" s="7" t="n">
        <x:v>0</x:v>
      </x:c>
      <x:c r="P1311" s="9" t="n">
        <x:v>4.46</x:v>
      </x:c>
      <x:c r="Q1311" s="7" t="n">
        <x:f>'Guide'!$B$5-L1311</x:f>
        <x:v>3</x:v>
      </x:c>
      <x:c r="R1311" s="9" t="n">
        <x:f>K1311-P1311</x:f>
        <x:v>2.54</x:v>
      </x:c>
      <x:c r="S1311" s="10" t="n">
        <x:f>IF(K1311&gt;0,R1311/K1311,"")</x:f>
        <x:v>0.3628571428571429</x:v>
      </x:c>
    </x:row>
    <x:row r="1312">
      <x:c r="A1312" s="7" t="n">
        <x:v>1308</x:v>
      </x:c>
      <x:c r="B1312" s="7" t="str">
        <x:v>Tata</x:v>
      </x:c>
      <x:c r="C1312" s="7" t="str">
        <x:v>Altroz</x:v>
      </x:c>
      <x:c r="D1312" s="7" t="str">
        <x:v>XE</x:v>
      </x:c>
      <x:c r="E1312" s="7" t="str">
        <x:v>Petrol</x:v>
      </x:c>
      <x:c r="F1312" s="7" t="str">
        <x:v>Manual</x:v>
      </x:c>
      <x:c r="G1312" s="7" t="str">
        <x:v>Hatchback</x:v>
      </x:c>
      <x:c r="H1312" s="7" t="n">
        <x:v>1199</x:v>
      </x:c>
      <x:c r="I1312" s="7" t="n">
        <x:v>87</x:v>
      </x:c>
      <x:c r="J1312" s="9" t="n">
        <x:v>19.3</x:v>
      </x:c>
      <x:c r="K1312" s="9" t="n">
        <x:v>7</x:v>
      </x:c>
      <x:c r="L1312" s="7" t="n">
        <x:v>2021</x:v>
      </x:c>
      <x:c r="M1312" s="11" t="n">
        <x:v>46946</x:v>
      </x:c>
      <x:c r="N1312" s="7" t="n">
        <x:v>1</x:v>
      </x:c>
      <x:c r="O1312" s="7" t="n">
        <x:v>0</x:v>
      </x:c>
      <x:c r="P1312" s="9" t="n">
        <x:v>3.62</x:v>
      </x:c>
      <x:c r="Q1312" s="7" t="n">
        <x:f>'Guide'!$B$5-L1312</x:f>
        <x:v>5</x:v>
      </x:c>
      <x:c r="R1312" s="9" t="n">
        <x:f>K1312-P1312</x:f>
        <x:v>3.38</x:v>
      </x:c>
      <x:c r="S1312" s="10" t="n">
        <x:f>IF(K1312&gt;0,R1312/K1312,"")</x:f>
        <x:v>0.4828571428571428</x:v>
      </x:c>
    </x:row>
    <x:row r="1313">
      <x:c r="A1313" s="7" t="n">
        <x:v>1309</x:v>
      </x:c>
      <x:c r="B1313" s="7" t="str">
        <x:v>Tata</x:v>
      </x:c>
      <x:c r="C1313" s="7" t="str">
        <x:v>Altroz</x:v>
      </x:c>
      <x:c r="D1313" s="7" t="str">
        <x:v>XE</x:v>
      </x:c>
      <x:c r="E1313" s="7" t="str">
        <x:v>Petrol</x:v>
      </x:c>
      <x:c r="F1313" s="7" t="str">
        <x:v>Manual</x:v>
      </x:c>
      <x:c r="G1313" s="7" t="str">
        <x:v>Hatchback</x:v>
      </x:c>
      <x:c r="H1313" s="7" t="n">
        <x:v>1199</x:v>
      </x:c>
      <x:c r="I1313" s="7" t="n">
        <x:v>87</x:v>
      </x:c>
      <x:c r="J1313" s="9" t="n">
        <x:v>19.3</x:v>
      </x:c>
      <x:c r="K1313" s="9" t="n">
        <x:v>7</x:v>
      </x:c>
      <x:c r="L1313" s="7" t="n">
        <x:v>2024</x:v>
      </x:c>
      <x:c r="M1313" s="11" t="n">
        <x:v>29754</x:v>
      </x:c>
      <x:c r="N1313" s="7" t="n">
        <x:v>1</x:v>
      </x:c>
      <x:c r="O1313" s="7" t="n">
        <x:v>0</x:v>
      </x:c>
      <x:c r="P1313" s="9" t="n">
        <x:v>5.4</x:v>
      </x:c>
      <x:c r="Q1313" s="7" t="n">
        <x:f>'Guide'!$B$5-L1313</x:f>
        <x:v>2</x:v>
      </x:c>
      <x:c r="R1313" s="9" t="n">
        <x:f>K1313-P1313</x:f>
        <x:v>1.5999999999999996</x:v>
      </x:c>
      <x:c r="S1313" s="10" t="n">
        <x:f>IF(K1313&gt;0,R1313/K1313,"")</x:f>
        <x:v>0.2285714285714285</x:v>
      </x:c>
    </x:row>
    <x:row r="1314">
      <x:c r="A1314" s="7" t="n">
        <x:v>1310</x:v>
      </x:c>
      <x:c r="B1314" s="7" t="str">
        <x:v>Tata</x:v>
      </x:c>
      <x:c r="C1314" s="7" t="str">
        <x:v>Altroz</x:v>
      </x:c>
      <x:c r="D1314" s="7" t="str">
        <x:v>XE</x:v>
      </x:c>
      <x:c r="E1314" s="7" t="str">
        <x:v>Petrol</x:v>
      </x:c>
      <x:c r="F1314" s="7" t="str">
        <x:v>Manual</x:v>
      </x:c>
      <x:c r="G1314" s="7" t="str">
        <x:v>Hatchback</x:v>
      </x:c>
      <x:c r="H1314" s="7" t="n">
        <x:v>1199</x:v>
      </x:c>
      <x:c r="I1314" s="7" t="n">
        <x:v>87</x:v>
      </x:c>
      <x:c r="J1314" s="9" t="n">
        <x:v>19.3</x:v>
      </x:c>
      <x:c r="K1314" s="9" t="n">
        <x:v>7</x:v>
      </x:c>
      <x:c r="L1314" s="7" t="n">
        <x:v>2021</x:v>
      </x:c>
      <x:c r="M1314" s="11" t="n">
        <x:v>91227</x:v>
      </x:c>
      <x:c r="N1314" s="7" t="n">
        <x:v>1</x:v>
      </x:c>
      <x:c r="O1314" s="7" t="n">
        <x:v>0</x:v>
      </x:c>
      <x:c r="P1314" s="9" t="n">
        <x:v>3.23</x:v>
      </x:c>
      <x:c r="Q1314" s="7" t="n">
        <x:f>'Guide'!$B$5-L1314</x:f>
        <x:v>5</x:v>
      </x:c>
      <x:c r="R1314" s="9" t="n">
        <x:f>K1314-P1314</x:f>
        <x:v>3.77</x:v>
      </x:c>
      <x:c r="S1314" s="10" t="n">
        <x:f>IF(K1314&gt;0,R1314/K1314,"")</x:f>
        <x:v>0.5385714285714286</x:v>
      </x:c>
    </x:row>
    <x:row r="1315">
      <x:c r="A1315" s="7" t="n">
        <x:v>1311</x:v>
      </x:c>
      <x:c r="B1315" s="7" t="str">
        <x:v>Tata</x:v>
      </x:c>
      <x:c r="C1315" s="7" t="str">
        <x:v>Altroz</x:v>
      </x:c>
      <x:c r="D1315" s="7" t="str">
        <x:v>XE</x:v>
      </x:c>
      <x:c r="E1315" s="7" t="str">
        <x:v>Petrol</x:v>
      </x:c>
      <x:c r="F1315" s="7" t="str">
        <x:v>Manual</x:v>
      </x:c>
      <x:c r="G1315" s="7" t="str">
        <x:v>Hatchback</x:v>
      </x:c>
      <x:c r="H1315" s="7" t="n">
        <x:v>1199</x:v>
      </x:c>
      <x:c r="I1315" s="7" t="n">
        <x:v>87</x:v>
      </x:c>
      <x:c r="J1315" s="9" t="n">
        <x:v>19.3</x:v>
      </x:c>
      <x:c r="K1315" s="9" t="n">
        <x:v>7</x:v>
      </x:c>
      <x:c r="L1315" s="7" t="n">
        <x:v>2022</x:v>
      </x:c>
      <x:c r="M1315" s="11" t="n">
        <x:v>47392</x:v>
      </x:c>
      <x:c r="N1315" s="7" t="n">
        <x:v>1</x:v>
      </x:c>
      <x:c r="O1315" s="7" t="n">
        <x:v>0</x:v>
      </x:c>
      <x:c r="P1315" s="9" t="n">
        <x:v>4.26</x:v>
      </x:c>
      <x:c r="Q1315" s="7" t="n">
        <x:f>'Guide'!$B$5-L1315</x:f>
        <x:v>4</x:v>
      </x:c>
      <x:c r="R1315" s="9" t="n">
        <x:f>K1315-P1315</x:f>
        <x:v>2.74</x:v>
      </x:c>
      <x:c r="S1315" s="10" t="n">
        <x:f>IF(K1315&gt;0,R1315/K1315,"")</x:f>
        <x:v>0.39142857142857146</x:v>
      </x:c>
    </x:row>
    <x:row r="1316">
      <x:c r="A1316" s="7" t="n">
        <x:v>1312</x:v>
      </x:c>
      <x:c r="B1316" s="7" t="str">
        <x:v>Tata</x:v>
      </x:c>
      <x:c r="C1316" s="7" t="str">
        <x:v>Altroz</x:v>
      </x:c>
      <x:c r="D1316" s="7" t="str">
        <x:v>XE</x:v>
      </x:c>
      <x:c r="E1316" s="7" t="str">
        <x:v>Petrol</x:v>
      </x:c>
      <x:c r="F1316" s="7" t="str">
        <x:v>Manual</x:v>
      </x:c>
      <x:c r="G1316" s="7" t="str">
        <x:v>Hatchback</x:v>
      </x:c>
      <x:c r="H1316" s="7" t="n">
        <x:v>1199</x:v>
      </x:c>
      <x:c r="I1316" s="7" t="n">
        <x:v>87</x:v>
      </x:c>
      <x:c r="J1316" s="9" t="n">
        <x:v>19.3</x:v>
      </x:c>
      <x:c r="K1316" s="9" t="n">
        <x:v>7</x:v>
      </x:c>
      <x:c r="L1316" s="7" t="n">
        <x:v>2023</x:v>
      </x:c>
      <x:c r="M1316" s="11" t="n">
        <x:v>65314</x:v>
      </x:c>
      <x:c r="N1316" s="7" t="n">
        <x:v>1</x:v>
      </x:c>
      <x:c r="O1316" s="7" t="n">
        <x:v>0</x:v>
      </x:c>
      <x:c r="P1316" s="9" t="n">
        <x:v>4.82</x:v>
      </x:c>
      <x:c r="Q1316" s="7" t="n">
        <x:f>'Guide'!$B$5-L1316</x:f>
        <x:v>3</x:v>
      </x:c>
      <x:c r="R1316" s="9" t="n">
        <x:f>K1316-P1316</x:f>
        <x:v>2.1799999999999997</x:v>
      </x:c>
      <x:c r="S1316" s="10" t="n">
        <x:f>IF(K1316&gt;0,R1316/K1316,"")</x:f>
        <x:v>0.3114285714285714</x:v>
      </x:c>
    </x:row>
    <x:row r="1317">
      <x:c r="A1317" s="7" t="n">
        <x:v>1313</x:v>
      </x:c>
      <x:c r="B1317" s="7" t="str">
        <x:v>Tata</x:v>
      </x:c>
      <x:c r="C1317" s="7" t="str">
        <x:v>Altroz</x:v>
      </x:c>
      <x:c r="D1317" s="7" t="str">
        <x:v>XE</x:v>
      </x:c>
      <x:c r="E1317" s="7" t="str">
        <x:v>Petrol</x:v>
      </x:c>
      <x:c r="F1317" s="7" t="str">
        <x:v>Manual</x:v>
      </x:c>
      <x:c r="G1317" s="7" t="str">
        <x:v>Hatchback</x:v>
      </x:c>
      <x:c r="H1317" s="7" t="n">
        <x:v>1199</x:v>
      </x:c>
      <x:c r="I1317" s="7" t="n">
        <x:v>87</x:v>
      </x:c>
      <x:c r="J1317" s="9" t="n">
        <x:v>19.3</x:v>
      </x:c>
      <x:c r="K1317" s="9" t="n">
        <x:v>7</x:v>
      </x:c>
      <x:c r="L1317" s="7" t="n">
        <x:v>2022</x:v>
      </x:c>
      <x:c r="M1317" s="11" t="n">
        <x:v>49321</x:v>
      </x:c>
      <x:c r="N1317" s="7" t="n">
        <x:v>1</x:v>
      </x:c>
      <x:c r="O1317" s="7" t="n">
        <x:v>1</x:v>
      </x:c>
      <x:c r="P1317" s="9" t="n">
        <x:v>3.69</x:v>
      </x:c>
      <x:c r="Q1317" s="7" t="n">
        <x:f>'Guide'!$B$5-L1317</x:f>
        <x:v>4</x:v>
      </x:c>
      <x:c r="R1317" s="9" t="n">
        <x:f>K1317-P1317</x:f>
        <x:v>3.31</x:v>
      </x:c>
      <x:c r="S1317" s="10" t="n">
        <x:f>IF(K1317&gt;0,R1317/K1317,"")</x:f>
        <x:v>0.47285714285714286</x:v>
      </x:c>
    </x:row>
    <x:row r="1318">
      <x:c r="A1318" s="7" t="n">
        <x:v>1314</x:v>
      </x:c>
      <x:c r="B1318" s="7" t="str">
        <x:v>Tata</x:v>
      </x:c>
      <x:c r="C1318" s="7" t="str">
        <x:v>Altroz</x:v>
      </x:c>
      <x:c r="D1318" s="7" t="str">
        <x:v>XE</x:v>
      </x:c>
      <x:c r="E1318" s="7" t="str">
        <x:v>Petrol</x:v>
      </x:c>
      <x:c r="F1318" s="7" t="str">
        <x:v>Manual</x:v>
      </x:c>
      <x:c r="G1318" s="7" t="str">
        <x:v>Hatchback</x:v>
      </x:c>
      <x:c r="H1318" s="7" t="n">
        <x:v>1199</x:v>
      </x:c>
      <x:c r="I1318" s="7" t="n">
        <x:v>87</x:v>
      </x:c>
      <x:c r="J1318" s="9" t="n">
        <x:v>19.3</x:v>
      </x:c>
      <x:c r="K1318" s="9" t="n">
        <x:v>7</x:v>
      </x:c>
      <x:c r="L1318" s="7" t="n">
        <x:v>2021</x:v>
      </x:c>
      <x:c r="M1318" s="11" t="n">
        <x:v>78334</x:v>
      </x:c>
      <x:c r="N1318" s="7" t="n">
        <x:v>2</x:v>
      </x:c>
      <x:c r="O1318" s="7" t="n">
        <x:v>0</x:v>
      </x:c>
      <x:c r="P1318" s="9" t="n">
        <x:v>3.02</x:v>
      </x:c>
      <x:c r="Q1318" s="7" t="n">
        <x:f>'Guide'!$B$5-L1318</x:f>
        <x:v>5</x:v>
      </x:c>
      <x:c r="R1318" s="9" t="n">
        <x:f>K1318-P1318</x:f>
        <x:v>3.98</x:v>
      </x:c>
      <x:c r="S1318" s="10" t="n">
        <x:f>IF(K1318&gt;0,R1318/K1318,"")</x:f>
        <x:v>0.5685714285714286</x:v>
      </x:c>
    </x:row>
    <x:row r="1319">
      <x:c r="A1319" s="7" t="n">
        <x:v>1315</x:v>
      </x:c>
      <x:c r="B1319" s="7" t="str">
        <x:v>Tata</x:v>
      </x:c>
      <x:c r="C1319" s="7" t="str">
        <x:v>Altroz</x:v>
      </x:c>
      <x:c r="D1319" s="7" t="str">
        <x:v>XE</x:v>
      </x:c>
      <x:c r="E1319" s="7" t="str">
        <x:v>Petrol</x:v>
      </x:c>
      <x:c r="F1319" s="7" t="str">
        <x:v>Manual</x:v>
      </x:c>
      <x:c r="G1319" s="7" t="str">
        <x:v>Hatchback</x:v>
      </x:c>
      <x:c r="H1319" s="7" t="n">
        <x:v>1199</x:v>
      </x:c>
      <x:c r="I1319" s="7" t="n">
        <x:v>87</x:v>
      </x:c>
      <x:c r="J1319" s="9" t="n">
        <x:v>19.3</x:v>
      </x:c>
      <x:c r="K1319" s="9" t="n">
        <x:v>7</x:v>
      </x:c>
      <x:c r="L1319" s="7" t="n">
        <x:v>2021</x:v>
      </x:c>
      <x:c r="M1319" s="11" t="n">
        <x:v>60889</x:v>
      </x:c>
      <x:c r="N1319" s="7" t="n">
        <x:v>1</x:v>
      </x:c>
      <x:c r="O1319" s="7" t="n">
        <x:v>0</x:v>
      </x:c>
      <x:c r="P1319" s="9" t="n">
        <x:v>3.32</x:v>
      </x:c>
      <x:c r="Q1319" s="7" t="n">
        <x:f>'Guide'!$B$5-L1319</x:f>
        <x:v>5</x:v>
      </x:c>
      <x:c r="R1319" s="9" t="n">
        <x:f>K1319-P1319</x:f>
        <x:v>3.68</x:v>
      </x:c>
      <x:c r="S1319" s="10" t="n">
        <x:f>IF(K1319&gt;0,R1319/K1319,"")</x:f>
        <x:v>0.5257142857142857</x:v>
      </x:c>
    </x:row>
    <x:row r="1320">
      <x:c r="A1320" s="7" t="n">
        <x:v>1316</x:v>
      </x:c>
      <x:c r="B1320" s="7" t="str">
        <x:v>Tata</x:v>
      </x:c>
      <x:c r="C1320" s="7" t="str">
        <x:v>Altroz</x:v>
      </x:c>
      <x:c r="D1320" s="7" t="str">
        <x:v>XE</x:v>
      </x:c>
      <x:c r="E1320" s="7" t="str">
        <x:v>Petrol</x:v>
      </x:c>
      <x:c r="F1320" s="7" t="str">
        <x:v>Manual</x:v>
      </x:c>
      <x:c r="G1320" s="7" t="str">
        <x:v>Hatchback</x:v>
      </x:c>
      <x:c r="H1320" s="7" t="n">
        <x:v>1199</x:v>
      </x:c>
      <x:c r="I1320" s="7" t="n">
        <x:v>87</x:v>
      </x:c>
      <x:c r="J1320" s="9" t="n">
        <x:v>19.3</x:v>
      </x:c>
      <x:c r="K1320" s="9" t="n">
        <x:v>7</x:v>
      </x:c>
      <x:c r="L1320" s="7" t="n">
        <x:v>2026</x:v>
      </x:c>
      <x:c r="M1320" s="11" t="n">
        <x:v>7636</x:v>
      </x:c>
      <x:c r="N1320" s="7" t="n">
        <x:v>1</x:v>
      </x:c>
      <x:c r="O1320" s="7" t="n">
        <x:v>1</x:v>
      </x:c>
      <x:c r="P1320" s="9" t="n">
        <x:v>6.26</x:v>
      </x:c>
      <x:c r="Q1320" s="7" t="n">
        <x:f>'Guide'!$B$5-L1320</x:f>
        <x:v>0</x:v>
      </x:c>
      <x:c r="R1320" s="9" t="n">
        <x:f>K1320-P1320</x:f>
        <x:v>0.7400000000000002</x:v>
      </x:c>
      <x:c r="S1320" s="10" t="n">
        <x:f>IF(K1320&gt;0,R1320/K1320,"")</x:f>
        <x:v>0.10571428571428575</x:v>
      </x:c>
    </x:row>
    <x:row r="1321">
      <x:c r="A1321" s="7" t="n">
        <x:v>1317</x:v>
      </x:c>
      <x:c r="B1321" s="7" t="str">
        <x:v>Tata</x:v>
      </x:c>
      <x:c r="C1321" s="7" t="str">
        <x:v>Altroz</x:v>
      </x:c>
      <x:c r="D1321" s="7" t="str">
        <x:v>XE</x:v>
      </x:c>
      <x:c r="E1321" s="7" t="str">
        <x:v>Petrol</x:v>
      </x:c>
      <x:c r="F1321" s="7" t="str">
        <x:v>Manual</x:v>
      </x:c>
      <x:c r="G1321" s="7" t="str">
        <x:v>Hatchback</x:v>
      </x:c>
      <x:c r="H1321" s="7" t="n">
        <x:v>1199</x:v>
      </x:c>
      <x:c r="I1321" s="7" t="n">
        <x:v>87</x:v>
      </x:c>
      <x:c r="J1321" s="9" t="n">
        <x:v>19.3</x:v>
      </x:c>
      <x:c r="K1321" s="9" t="n">
        <x:v>7</x:v>
      </x:c>
      <x:c r="L1321" s="7" t="n">
        <x:v>2022</x:v>
      </x:c>
      <x:c r="M1321" s="11" t="n">
        <x:v>73769</x:v>
      </x:c>
      <x:c r="N1321" s="7" t="n">
        <x:v>1</x:v>
      </x:c>
      <x:c r="O1321" s="7" t="n">
        <x:v>0</x:v>
      </x:c>
      <x:c r="P1321" s="9" t="n">
        <x:v>4.33</x:v>
      </x:c>
      <x:c r="Q1321" s="7" t="n">
        <x:f>'Guide'!$B$5-L1321</x:f>
        <x:v>4</x:v>
      </x:c>
      <x:c r="R1321" s="9" t="n">
        <x:f>K1321-P1321</x:f>
        <x:v>2.67</x:v>
      </x:c>
      <x:c r="S1321" s="10" t="n">
        <x:f>IF(K1321&gt;0,R1321/K1321,"")</x:f>
        <x:v>0.3814285714285714</x:v>
      </x:c>
    </x:row>
    <x:row r="1322">
      <x:c r="A1322" s="7" t="n">
        <x:v>1318</x:v>
      </x:c>
      <x:c r="B1322" s="7" t="str">
        <x:v>Tata</x:v>
      </x:c>
      <x:c r="C1322" s="7" t="str">
        <x:v>Altroz</x:v>
      </x:c>
      <x:c r="D1322" s="7" t="str">
        <x:v>XE</x:v>
      </x:c>
      <x:c r="E1322" s="7" t="str">
        <x:v>Petrol</x:v>
      </x:c>
      <x:c r="F1322" s="7" t="str">
        <x:v>Manual</x:v>
      </x:c>
      <x:c r="G1322" s="7" t="str">
        <x:v>Hatchback</x:v>
      </x:c>
      <x:c r="H1322" s="7" t="n">
        <x:v>1199</x:v>
      </x:c>
      <x:c r="I1322" s="7" t="n">
        <x:v>87</x:v>
      </x:c>
      <x:c r="J1322" s="9" t="n">
        <x:v>19.3</x:v>
      </x:c>
      <x:c r="K1322" s="9" t="n">
        <x:v>7</x:v>
      </x:c>
      <x:c r="L1322" s="7" t="n">
        <x:v>2022</x:v>
      </x:c>
      <x:c r="M1322" s="11" t="n">
        <x:v>86923</x:v>
      </x:c>
      <x:c r="N1322" s="7" t="n">
        <x:v>1</x:v>
      </x:c>
      <x:c r="O1322" s="7" t="n">
        <x:v>0</x:v>
      </x:c>
      <x:c r="P1322" s="9" t="n">
        <x:v>4.41</x:v>
      </x:c>
      <x:c r="Q1322" s="7" t="n">
        <x:f>'Guide'!$B$5-L1322</x:f>
        <x:v>4</x:v>
      </x:c>
      <x:c r="R1322" s="9" t="n">
        <x:f>K1322-P1322</x:f>
        <x:v>2.59</x:v>
      </x:c>
      <x:c r="S1322" s="10" t="n">
        <x:f>IF(K1322&gt;0,R1322/K1322,"")</x:f>
        <x:v>0.37</x:v>
      </x:c>
    </x:row>
    <x:row r="1323">
      <x:c r="A1323" s="7" t="n">
        <x:v>1319</x:v>
      </x:c>
      <x:c r="B1323" s="7" t="str">
        <x:v>Tata</x:v>
      </x:c>
      <x:c r="C1323" s="7" t="str">
        <x:v>Altroz</x:v>
      </x:c>
      <x:c r="D1323" s="7" t="str">
        <x:v>XE</x:v>
      </x:c>
      <x:c r="E1323" s="7" t="str">
        <x:v>Petrol</x:v>
      </x:c>
      <x:c r="F1323" s="7" t="str">
        <x:v>Manual</x:v>
      </x:c>
      <x:c r="G1323" s="7" t="str">
        <x:v>Hatchback</x:v>
      </x:c>
      <x:c r="H1323" s="7" t="n">
        <x:v>1199</x:v>
      </x:c>
      <x:c r="I1323" s="7" t="n">
        <x:v>87</x:v>
      </x:c>
      <x:c r="J1323" s="9" t="n">
        <x:v>19.3</x:v>
      </x:c>
      <x:c r="K1323" s="9" t="n">
        <x:v>7</x:v>
      </x:c>
      <x:c r="L1323" s="7" t="n">
        <x:v>2024</x:v>
      </x:c>
      <x:c r="M1323" s="11" t="n">
        <x:v>35371</x:v>
      </x:c>
      <x:c r="N1323" s="7" t="n">
        <x:v>2</x:v>
      </x:c>
      <x:c r="O1323" s="7" t="n">
        <x:v>0</x:v>
      </x:c>
      <x:c r="P1323" s="9" t="n">
        <x:v>5.27</x:v>
      </x:c>
      <x:c r="Q1323" s="7" t="n">
        <x:f>'Guide'!$B$5-L1323</x:f>
        <x:v>2</x:v>
      </x:c>
      <x:c r="R1323" s="9" t="n">
        <x:f>K1323-P1323</x:f>
        <x:v>1.7300000000000004</x:v>
      </x:c>
      <x:c r="S1323" s="10" t="n">
        <x:f>IF(K1323&gt;0,R1323/K1323,"")</x:f>
        <x:v>0.2471428571428572</x:v>
      </x:c>
    </x:row>
    <x:row r="1324">
      <x:c r="A1324" s="7" t="n">
        <x:v>1320</x:v>
      </x:c>
      <x:c r="B1324" s="7" t="str">
        <x:v>Tata</x:v>
      </x:c>
      <x:c r="C1324" s="7" t="str">
        <x:v>Altroz</x:v>
      </x:c>
      <x:c r="D1324" s="7" t="str">
        <x:v>XE</x:v>
      </x:c>
      <x:c r="E1324" s="7" t="str">
        <x:v>Petrol</x:v>
      </x:c>
      <x:c r="F1324" s="7" t="str">
        <x:v>Manual</x:v>
      </x:c>
      <x:c r="G1324" s="7" t="str">
        <x:v>Hatchback</x:v>
      </x:c>
      <x:c r="H1324" s="7" t="n">
        <x:v>1199</x:v>
      </x:c>
      <x:c r="I1324" s="7" t="n">
        <x:v>87</x:v>
      </x:c>
      <x:c r="J1324" s="9" t="n">
        <x:v>19.3</x:v>
      </x:c>
      <x:c r="K1324" s="9" t="n">
        <x:v>7</x:v>
      </x:c>
      <x:c r="L1324" s="7" t="n">
        <x:v>2023</x:v>
      </x:c>
      <x:c r="M1324" s="11" t="n">
        <x:v>29311</x:v>
      </x:c>
      <x:c r="N1324" s="7" t="n">
        <x:v>2</x:v>
      </x:c>
      <x:c r="O1324" s="7" t="n">
        <x:v>0</x:v>
      </x:c>
      <x:c r="P1324" s="9" t="n">
        <x:v>4.85</x:v>
      </x:c>
      <x:c r="Q1324" s="7" t="n">
        <x:f>'Guide'!$B$5-L1324</x:f>
        <x:v>3</x:v>
      </x:c>
      <x:c r="R1324" s="9" t="n">
        <x:f>K1324-P1324</x:f>
        <x:v>2.1500000000000004</x:v>
      </x:c>
      <x:c r="S1324" s="10" t="n">
        <x:f>IF(K1324&gt;0,R1324/K1324,"")</x:f>
        <x:v>0.3071428571428572</x:v>
      </x:c>
    </x:row>
    <x:row r="1325">
      <x:c r="A1325" s="7" t="n">
        <x:v>1321</x:v>
      </x:c>
      <x:c r="B1325" s="7" t="str">
        <x:v>Tata</x:v>
      </x:c>
      <x:c r="C1325" s="7" t="str">
        <x:v>Altroz</x:v>
      </x:c>
      <x:c r="D1325" s="7" t="str">
        <x:v>XE</x:v>
      </x:c>
      <x:c r="E1325" s="7" t="str">
        <x:v>Petrol</x:v>
      </x:c>
      <x:c r="F1325" s="7" t="str">
        <x:v>Manual</x:v>
      </x:c>
      <x:c r="G1325" s="7" t="str">
        <x:v>Hatchback</x:v>
      </x:c>
      <x:c r="H1325" s="7" t="n">
        <x:v>1199</x:v>
      </x:c>
      <x:c r="I1325" s="7" t="n">
        <x:v>87</x:v>
      </x:c>
      <x:c r="J1325" s="9" t="n">
        <x:v>19.3</x:v>
      </x:c>
      <x:c r="K1325" s="9" t="n">
        <x:v>7</x:v>
      </x:c>
      <x:c r="L1325" s="7" t="n">
        <x:v>2020</x:v>
      </x:c>
      <x:c r="M1325" s="11" t="n">
        <x:v>104764</x:v>
      </x:c>
      <x:c r="N1325" s="7" t="n">
        <x:v>1</x:v>
      </x:c>
      <x:c r="O1325" s="7" t="n">
        <x:v>0</x:v>
      </x:c>
      <x:c r="P1325" s="9" t="n">
        <x:v>3.12</x:v>
      </x:c>
      <x:c r="Q1325" s="7" t="n">
        <x:f>'Guide'!$B$5-L1325</x:f>
        <x:v>6</x:v>
      </x:c>
      <x:c r="R1325" s="9" t="n">
        <x:f>K1325-P1325</x:f>
        <x:v>3.88</x:v>
      </x:c>
      <x:c r="S1325" s="10" t="n">
        <x:f>IF(K1325&gt;0,R1325/K1325,"")</x:f>
        <x:v>0.5542857142857143</x:v>
      </x:c>
    </x:row>
    <x:row r="1326">
      <x:c r="A1326" s="7" t="n">
        <x:v>1322</x:v>
      </x:c>
      <x:c r="B1326" s="7" t="str">
        <x:v>Tata</x:v>
      </x:c>
      <x:c r="C1326" s="7" t="str">
        <x:v>Altroz</x:v>
      </x:c>
      <x:c r="D1326" s="7" t="str">
        <x:v>XE</x:v>
      </x:c>
      <x:c r="E1326" s="7" t="str">
        <x:v>Petrol</x:v>
      </x:c>
      <x:c r="F1326" s="7" t="str">
        <x:v>Manual</x:v>
      </x:c>
      <x:c r="G1326" s="7" t="str">
        <x:v>Hatchback</x:v>
      </x:c>
      <x:c r="H1326" s="7" t="n">
        <x:v>1199</x:v>
      </x:c>
      <x:c r="I1326" s="7" t="n">
        <x:v>87</x:v>
      </x:c>
      <x:c r="J1326" s="9" t="n">
        <x:v>19.3</x:v>
      </x:c>
      <x:c r="K1326" s="9" t="n">
        <x:v>7</x:v>
      </x:c>
      <x:c r="L1326" s="7" t="n">
        <x:v>2023</x:v>
      </x:c>
      <x:c r="M1326" s="11" t="n">
        <x:v>55416</x:v>
      </x:c>
      <x:c r="N1326" s="7" t="n">
        <x:v>1</x:v>
      </x:c>
      <x:c r="O1326" s="7" t="n">
        <x:v>0</x:v>
      </x:c>
      <x:c r="P1326" s="9" t="n">
        <x:v>5.19</x:v>
      </x:c>
      <x:c r="Q1326" s="7" t="n">
        <x:f>'Guide'!$B$5-L1326</x:f>
        <x:v>3</x:v>
      </x:c>
      <x:c r="R1326" s="9" t="n">
        <x:f>K1326-P1326</x:f>
        <x:v>1.8099999999999996</x:v>
      </x:c>
      <x:c r="S1326" s="10" t="n">
        <x:f>IF(K1326&gt;0,R1326/K1326,"")</x:f>
        <x:v>0.2585714285714285</x:v>
      </x:c>
    </x:row>
    <x:row r="1327">
      <x:c r="A1327" s="7" t="n">
        <x:v>1323</x:v>
      </x:c>
      <x:c r="B1327" s="7" t="str">
        <x:v>Tata</x:v>
      </x:c>
      <x:c r="C1327" s="7" t="str">
        <x:v>Altroz</x:v>
      </x:c>
      <x:c r="D1327" s="7" t="str">
        <x:v>XE</x:v>
      </x:c>
      <x:c r="E1327" s="7" t="str">
        <x:v>Petrol</x:v>
      </x:c>
      <x:c r="F1327" s="7" t="str">
        <x:v>Manual</x:v>
      </x:c>
      <x:c r="G1327" s="7" t="str">
        <x:v>Hatchback</x:v>
      </x:c>
      <x:c r="H1327" s="7" t="n">
        <x:v>1199</x:v>
      </x:c>
      <x:c r="I1327" s="7" t="n">
        <x:v>87</x:v>
      </x:c>
      <x:c r="J1327" s="9" t="n">
        <x:v>19.3</x:v>
      </x:c>
      <x:c r="K1327" s="9" t="n">
        <x:v>7</x:v>
      </x:c>
      <x:c r="L1327" s="7" t="n">
        <x:v>2021</x:v>
      </x:c>
      <x:c r="M1327" s="11" t="n">
        <x:v>102959</x:v>
      </x:c>
      <x:c r="N1327" s="7" t="n">
        <x:v>1</x:v>
      </x:c>
      <x:c r="O1327" s="7" t="n">
        <x:v>0</x:v>
      </x:c>
      <x:c r="P1327" s="9" t="n">
        <x:v>3.05</x:v>
      </x:c>
      <x:c r="Q1327" s="7" t="n">
        <x:f>'Guide'!$B$5-L1327</x:f>
        <x:v>5</x:v>
      </x:c>
      <x:c r="R1327" s="9" t="n">
        <x:f>K1327-P1327</x:f>
        <x:v>3.95</x:v>
      </x:c>
      <x:c r="S1327" s="10" t="n">
        <x:f>IF(K1327&gt;0,R1327/K1327,"")</x:f>
        <x:v>0.5642857142857143</x:v>
      </x:c>
    </x:row>
    <x:row r="1328">
      <x:c r="A1328" s="7" t="n">
        <x:v>1324</x:v>
      </x:c>
      <x:c r="B1328" s="7" t="str">
        <x:v>Tata</x:v>
      </x:c>
      <x:c r="C1328" s="7" t="str">
        <x:v>Altroz</x:v>
      </x:c>
      <x:c r="D1328" s="7" t="str">
        <x:v>XE</x:v>
      </x:c>
      <x:c r="E1328" s="7" t="str">
        <x:v>Petrol</x:v>
      </x:c>
      <x:c r="F1328" s="7" t="str">
        <x:v>Manual</x:v>
      </x:c>
      <x:c r="G1328" s="7" t="str">
        <x:v>Hatchback</x:v>
      </x:c>
      <x:c r="H1328" s="7" t="n">
        <x:v>1199</x:v>
      </x:c>
      <x:c r="I1328" s="7" t="n">
        <x:v>87</x:v>
      </x:c>
      <x:c r="J1328" s="9" t="n">
        <x:v>19.3</x:v>
      </x:c>
      <x:c r="K1328" s="9" t="n">
        <x:v>7</x:v>
      </x:c>
      <x:c r="L1328" s="7" t="n">
        <x:v>2023</x:v>
      </x:c>
      <x:c r="M1328" s="11" t="n">
        <x:v>44732</x:v>
      </x:c>
      <x:c r="N1328" s="7" t="n">
        <x:v>1</x:v>
      </x:c>
      <x:c r="O1328" s="7" t="n">
        <x:v>0</x:v>
      </x:c>
      <x:c r="P1328" s="9" t="n">
        <x:v>5.17</x:v>
      </x:c>
      <x:c r="Q1328" s="7" t="n">
        <x:f>'Guide'!$B$5-L1328</x:f>
        <x:v>3</x:v>
      </x:c>
      <x:c r="R1328" s="9" t="n">
        <x:f>K1328-P1328</x:f>
        <x:v>1.83</x:v>
      </x:c>
      <x:c r="S1328" s="10" t="n">
        <x:f>IF(K1328&gt;0,R1328/K1328,"")</x:f>
        <x:v>0.26142857142857145</x:v>
      </x:c>
    </x:row>
    <x:row r="1329">
      <x:c r="A1329" s="7" t="n">
        <x:v>1325</x:v>
      </x:c>
      <x:c r="B1329" s="7" t="str">
        <x:v>Tata</x:v>
      </x:c>
      <x:c r="C1329" s="7" t="str">
        <x:v>Altroz</x:v>
      </x:c>
      <x:c r="D1329" s="7" t="str">
        <x:v>XE</x:v>
      </x:c>
      <x:c r="E1329" s="7" t="str">
        <x:v>Petrol</x:v>
      </x:c>
      <x:c r="F1329" s="7" t="str">
        <x:v>Manual</x:v>
      </x:c>
      <x:c r="G1329" s="7" t="str">
        <x:v>Hatchback</x:v>
      </x:c>
      <x:c r="H1329" s="7" t="n">
        <x:v>1199</x:v>
      </x:c>
      <x:c r="I1329" s="7" t="n">
        <x:v>87</x:v>
      </x:c>
      <x:c r="J1329" s="9" t="n">
        <x:v>19.3</x:v>
      </x:c>
      <x:c r="K1329" s="9" t="n">
        <x:v>7</x:v>
      </x:c>
      <x:c r="L1329" s="7" t="n">
        <x:v>2026</x:v>
      </x:c>
      <x:c r="M1329" s="11" t="n">
        <x:v>7721</x:v>
      </x:c>
      <x:c r="N1329" s="7" t="n">
        <x:v>1</x:v>
      </x:c>
      <x:c r="O1329" s="7" t="n">
        <x:v>0</x:v>
      </x:c>
      <x:c r="P1329" s="9" t="n">
        <x:v>6.72</x:v>
      </x:c>
      <x:c r="Q1329" s="7" t="n">
        <x:f>'Guide'!$B$5-L1329</x:f>
        <x:v>0</x:v>
      </x:c>
      <x:c r="R1329" s="9" t="n">
        <x:f>K1329-P1329</x:f>
        <x:v>0.28000000000000025</x:v>
      </x:c>
      <x:c r="S1329" s="10" t="n">
        <x:f>IF(K1329&gt;0,R1329/K1329,"")</x:f>
        <x:v>0.040000000000000036</x:v>
      </x:c>
    </x:row>
    <x:row r="1330">
      <x:c r="A1330" s="7" t="n">
        <x:v>1326</x:v>
      </x:c>
      <x:c r="B1330" s="7" t="str">
        <x:v>Tata</x:v>
      </x:c>
      <x:c r="C1330" s="7" t="str">
        <x:v>Altroz</x:v>
      </x:c>
      <x:c r="D1330" s="7" t="str">
        <x:v>XE</x:v>
      </x:c>
      <x:c r="E1330" s="7" t="str">
        <x:v>Petrol</x:v>
      </x:c>
      <x:c r="F1330" s="7" t="str">
        <x:v>Manual</x:v>
      </x:c>
      <x:c r="G1330" s="7" t="str">
        <x:v>Hatchback</x:v>
      </x:c>
      <x:c r="H1330" s="7" t="n">
        <x:v>1199</x:v>
      </x:c>
      <x:c r="I1330" s="7" t="n">
        <x:v>87</x:v>
      </x:c>
      <x:c r="J1330" s="9" t="n">
        <x:v>19.3</x:v>
      </x:c>
      <x:c r="K1330" s="9" t="n">
        <x:v>7</x:v>
      </x:c>
      <x:c r="L1330" s="7" t="n">
        <x:v>2026</x:v>
      </x:c>
      <x:c r="M1330" s="11" t="n">
        <x:v>4581</x:v>
      </x:c>
      <x:c r="N1330" s="7" t="n">
        <x:v>2</x:v>
      </x:c>
      <x:c r="O1330" s="7" t="n">
        <x:v>0</x:v>
      </x:c>
      <x:c r="P1330" s="9" t="n">
        <x:v>6.54</x:v>
      </x:c>
      <x:c r="Q1330" s="7" t="n">
        <x:f>'Guide'!$B$5-L1330</x:f>
        <x:v>0</x:v>
      </x:c>
      <x:c r="R1330" s="9" t="n">
        <x:f>K1330-P1330</x:f>
        <x:v>0.45999999999999996</x:v>
      </x:c>
      <x:c r="S1330" s="10" t="n">
        <x:f>IF(K1330&gt;0,R1330/K1330,"")</x:f>
        <x:v>0.06571428571428571</x:v>
      </x:c>
    </x:row>
    <x:row r="1331">
      <x:c r="A1331" s="7" t="n">
        <x:v>1327</x:v>
      </x:c>
      <x:c r="B1331" s="7" t="str">
        <x:v>Tata</x:v>
      </x:c>
      <x:c r="C1331" s="7" t="str">
        <x:v>Altroz</x:v>
      </x:c>
      <x:c r="D1331" s="7" t="str">
        <x:v>XE</x:v>
      </x:c>
      <x:c r="E1331" s="7" t="str">
        <x:v>Petrol</x:v>
      </x:c>
      <x:c r="F1331" s="7" t="str">
        <x:v>Manual</x:v>
      </x:c>
      <x:c r="G1331" s="7" t="str">
        <x:v>Hatchback</x:v>
      </x:c>
      <x:c r="H1331" s="7" t="n">
        <x:v>1199</x:v>
      </x:c>
      <x:c r="I1331" s="7" t="n">
        <x:v>87</x:v>
      </x:c>
      <x:c r="J1331" s="9" t="n">
        <x:v>19.3</x:v>
      </x:c>
      <x:c r="K1331" s="9" t="n">
        <x:v>7</x:v>
      </x:c>
      <x:c r="L1331" s="7" t="n">
        <x:v>2021</x:v>
      </x:c>
      <x:c r="M1331" s="11" t="n">
        <x:v>63671</x:v>
      </x:c>
      <x:c r="N1331" s="7" t="n">
        <x:v>2</x:v>
      </x:c>
      <x:c r="O1331" s="7" t="n">
        <x:v>0</x:v>
      </x:c>
      <x:c r="P1331" s="9" t="n">
        <x:v>2.94</x:v>
      </x:c>
      <x:c r="Q1331" s="7" t="n">
        <x:f>'Guide'!$B$5-L1331</x:f>
        <x:v>5</x:v>
      </x:c>
      <x:c r="R1331" s="9" t="n">
        <x:f>K1331-P1331</x:f>
        <x:v>4.0600000000000005</x:v>
      </x:c>
      <x:c r="S1331" s="10" t="n">
        <x:f>IF(K1331&gt;0,R1331/K1331,"")</x:f>
        <x:v>0.5800000000000001</x:v>
      </x:c>
    </x:row>
    <x:row r="1332">
      <x:c r="A1332" s="7" t="n">
        <x:v>1328</x:v>
      </x:c>
      <x:c r="B1332" s="7" t="str">
        <x:v>Tata</x:v>
      </x:c>
      <x:c r="C1332" s="7" t="str">
        <x:v>Altroz</x:v>
      </x:c>
      <x:c r="D1332" s="7" t="str">
        <x:v>XE</x:v>
      </x:c>
      <x:c r="E1332" s="7" t="str">
        <x:v>Petrol</x:v>
      </x:c>
      <x:c r="F1332" s="7" t="str">
        <x:v>Manual</x:v>
      </x:c>
      <x:c r="G1332" s="7" t="str">
        <x:v>Hatchback</x:v>
      </x:c>
      <x:c r="H1332" s="7" t="n">
        <x:v>1199</x:v>
      </x:c>
      <x:c r="I1332" s="7" t="n">
        <x:v>87</x:v>
      </x:c>
      <x:c r="J1332" s="9" t="n">
        <x:v>19.3</x:v>
      </x:c>
      <x:c r="K1332" s="9" t="n">
        <x:v>7</x:v>
      </x:c>
      <x:c r="L1332" s="7" t="n">
        <x:v>2025</x:v>
      </x:c>
      <x:c r="M1332" s="11" t="n">
        <x:v>17541</x:v>
      </x:c>
      <x:c r="N1332" s="7" t="n">
        <x:v>1</x:v>
      </x:c>
      <x:c r="O1332" s="7" t="n">
        <x:v>1</x:v>
      </x:c>
      <x:c r="P1332" s="9" t="n">
        <x:v>5.42</x:v>
      </x:c>
      <x:c r="Q1332" s="7" t="n">
        <x:f>'Guide'!$B$5-L1332</x:f>
        <x:v>1</x:v>
      </x:c>
      <x:c r="R1332" s="9" t="n">
        <x:f>K1332-P1332</x:f>
        <x:v>1.58</x:v>
      </x:c>
      <x:c r="S1332" s="10" t="n">
        <x:f>IF(K1332&gt;0,R1332/K1332,"")</x:f>
        <x:v>0.22571428571428573</x:v>
      </x:c>
    </x:row>
    <x:row r="1333">
      <x:c r="A1333" s="7" t="n">
        <x:v>1329</x:v>
      </x:c>
      <x:c r="B1333" s="7" t="str">
        <x:v>Tata</x:v>
      </x:c>
      <x:c r="C1333" s="7" t="str">
        <x:v>Altroz</x:v>
      </x:c>
      <x:c r="D1333" s="7" t="str">
        <x:v>XE</x:v>
      </x:c>
      <x:c r="E1333" s="7" t="str">
        <x:v>Petrol</x:v>
      </x:c>
      <x:c r="F1333" s="7" t="str">
        <x:v>Manual</x:v>
      </x:c>
      <x:c r="G1333" s="7" t="str">
        <x:v>Hatchback</x:v>
      </x:c>
      <x:c r="H1333" s="7" t="n">
        <x:v>1199</x:v>
      </x:c>
      <x:c r="I1333" s="7" t="n">
        <x:v>87</x:v>
      </x:c>
      <x:c r="J1333" s="9" t="n">
        <x:v>19.3</x:v>
      </x:c>
      <x:c r="K1333" s="9" t="n">
        <x:v>7</x:v>
      </x:c>
      <x:c r="L1333" s="7" t="n">
        <x:v>2025</x:v>
      </x:c>
      <x:c r="M1333" s="11" t="n">
        <x:v>17192</x:v>
      </x:c>
      <x:c r="N1333" s="7" t="n">
        <x:v>1</x:v>
      </x:c>
      <x:c r="O1333" s="7" t="n">
        <x:v>0</x:v>
      </x:c>
      <x:c r="P1333" s="9" t="n">
        <x:v>6.35</x:v>
      </x:c>
      <x:c r="Q1333" s="7" t="n">
        <x:f>'Guide'!$B$5-L1333</x:f>
        <x:v>1</x:v>
      </x:c>
      <x:c r="R1333" s="9" t="n">
        <x:f>K1333-P1333</x:f>
        <x:v>0.6500000000000004</x:v>
      </x:c>
      <x:c r="S1333" s="10" t="n">
        <x:f>IF(K1333&gt;0,R1333/K1333,"")</x:f>
        <x:v>0.0928571428571429</x:v>
      </x:c>
    </x:row>
    <x:row r="1334">
      <x:c r="A1334" s="7" t="n">
        <x:v>1330</x:v>
      </x:c>
      <x:c r="B1334" s="7" t="str">
        <x:v>Tata</x:v>
      </x:c>
      <x:c r="C1334" s="7" t="str">
        <x:v>Altroz</x:v>
      </x:c>
      <x:c r="D1334" s="7" t="str">
        <x:v>XE</x:v>
      </x:c>
      <x:c r="E1334" s="7" t="str">
        <x:v>Petrol</x:v>
      </x:c>
      <x:c r="F1334" s="7" t="str">
        <x:v>Manual</x:v>
      </x:c>
      <x:c r="G1334" s="7" t="str">
        <x:v>Hatchback</x:v>
      </x:c>
      <x:c r="H1334" s="7" t="n">
        <x:v>1199</x:v>
      </x:c>
      <x:c r="I1334" s="7" t="n">
        <x:v>87</x:v>
      </x:c>
      <x:c r="J1334" s="9" t="n">
        <x:v>19.3</x:v>
      </x:c>
      <x:c r="K1334" s="9" t="n">
        <x:v>7</x:v>
      </x:c>
      <x:c r="L1334" s="7" t="n">
        <x:v>2022</x:v>
      </x:c>
      <x:c r="M1334" s="11" t="n">
        <x:v>86502</x:v>
      </x:c>
      <x:c r="N1334" s="7" t="n">
        <x:v>1</x:v>
      </x:c>
      <x:c r="O1334" s="7" t="n">
        <x:v>1</x:v>
      </x:c>
      <x:c r="P1334" s="9" t="n">
        <x:v>3.59</x:v>
      </x:c>
      <x:c r="Q1334" s="7" t="n">
        <x:f>'Guide'!$B$5-L1334</x:f>
        <x:v>4</x:v>
      </x:c>
      <x:c r="R1334" s="9" t="n">
        <x:f>K1334-P1334</x:f>
        <x:v>3.41</x:v>
      </x:c>
      <x:c r="S1334" s="10" t="n">
        <x:f>IF(K1334&gt;0,R1334/K1334,"")</x:f>
        <x:v>0.48714285714285716</x:v>
      </x:c>
    </x:row>
    <x:row r="1335">
      <x:c r="A1335" s="7" t="n">
        <x:v>1331</x:v>
      </x:c>
      <x:c r="B1335" s="7" t="str">
        <x:v>Tata</x:v>
      </x:c>
      <x:c r="C1335" s="7" t="str">
        <x:v>Altroz</x:v>
      </x:c>
      <x:c r="D1335" s="7" t="str">
        <x:v>XE</x:v>
      </x:c>
      <x:c r="E1335" s="7" t="str">
        <x:v>Petrol</x:v>
      </x:c>
      <x:c r="F1335" s="7" t="str">
        <x:v>Manual</x:v>
      </x:c>
      <x:c r="G1335" s="7" t="str">
        <x:v>Hatchback</x:v>
      </x:c>
      <x:c r="H1335" s="7" t="n">
        <x:v>1199</x:v>
      </x:c>
      <x:c r="I1335" s="7" t="n">
        <x:v>87</x:v>
      </x:c>
      <x:c r="J1335" s="9" t="n">
        <x:v>19.3</x:v>
      </x:c>
      <x:c r="K1335" s="9" t="n">
        <x:v>7</x:v>
      </x:c>
      <x:c r="L1335" s="7" t="n">
        <x:v>2021</x:v>
      </x:c>
      <x:c r="M1335" s="11" t="n">
        <x:v>73185</x:v>
      </x:c>
      <x:c r="N1335" s="7" t="n">
        <x:v>1</x:v>
      </x:c>
      <x:c r="O1335" s="7" t="n">
        <x:v>0</x:v>
      </x:c>
      <x:c r="P1335" s="9" t="n">
        <x:v>3.8</x:v>
      </x:c>
      <x:c r="Q1335" s="7" t="n">
        <x:f>'Guide'!$B$5-L1335</x:f>
        <x:v>5</x:v>
      </x:c>
      <x:c r="R1335" s="9" t="n">
        <x:f>K1335-P1335</x:f>
        <x:v>3.2</x:v>
      </x:c>
      <x:c r="S1335" s="10" t="n">
        <x:f>IF(K1335&gt;0,R1335/K1335,"")</x:f>
        <x:v>0.4571428571428572</x:v>
      </x:c>
    </x:row>
    <x:row r="1336">
      <x:c r="A1336" s="7" t="n">
        <x:v>1332</x:v>
      </x:c>
      <x:c r="B1336" s="7" t="str">
        <x:v>Tata</x:v>
      </x:c>
      <x:c r="C1336" s="7" t="str">
        <x:v>Altroz</x:v>
      </x:c>
      <x:c r="D1336" s="7" t="str">
        <x:v>XE</x:v>
      </x:c>
      <x:c r="E1336" s="7" t="str">
        <x:v>Petrol</x:v>
      </x:c>
      <x:c r="F1336" s="7" t="str">
        <x:v>Manual</x:v>
      </x:c>
      <x:c r="G1336" s="7" t="str">
        <x:v>Hatchback</x:v>
      </x:c>
      <x:c r="H1336" s="7" t="n">
        <x:v>1199</x:v>
      </x:c>
      <x:c r="I1336" s="7" t="n">
        <x:v>87</x:v>
      </x:c>
      <x:c r="J1336" s="9" t="n">
        <x:v>19.3</x:v>
      </x:c>
      <x:c r="K1336" s="9" t="n">
        <x:v>7</x:v>
      </x:c>
      <x:c r="L1336" s="7" t="n">
        <x:v>2021</x:v>
      </x:c>
      <x:c r="M1336" s="11" t="n">
        <x:v>89950</x:v>
      </x:c>
      <x:c r="N1336" s="7" t="n">
        <x:v>3</x:v>
      </x:c>
      <x:c r="O1336" s="7" t="n">
        <x:v>0</x:v>
      </x:c>
      <x:c r="P1336" s="9" t="n">
        <x:v>2.33</x:v>
      </x:c>
      <x:c r="Q1336" s="7" t="n">
        <x:f>'Guide'!$B$5-L1336</x:f>
        <x:v>5</x:v>
      </x:c>
      <x:c r="R1336" s="9" t="n">
        <x:f>K1336-P1336</x:f>
        <x:v>4.67</x:v>
      </x:c>
      <x:c r="S1336" s="10" t="n">
        <x:f>IF(K1336&gt;0,R1336/K1336,"")</x:f>
        <x:v>0.6671428571428571</x:v>
      </x:c>
    </x:row>
    <x:row r="1337">
      <x:c r="A1337" s="7" t="n">
        <x:v>1333</x:v>
      </x:c>
      <x:c r="B1337" s="7" t="str">
        <x:v>Tata</x:v>
      </x:c>
      <x:c r="C1337" s="7" t="str">
        <x:v>Altroz</x:v>
      </x:c>
      <x:c r="D1337" s="7" t="str">
        <x:v>XE</x:v>
      </x:c>
      <x:c r="E1337" s="7" t="str">
        <x:v>Petrol</x:v>
      </x:c>
      <x:c r="F1337" s="7" t="str">
        <x:v>Manual</x:v>
      </x:c>
      <x:c r="G1337" s="7" t="str">
        <x:v>Hatchback</x:v>
      </x:c>
      <x:c r="H1337" s="7" t="n">
        <x:v>1199</x:v>
      </x:c>
      <x:c r="I1337" s="7" t="n">
        <x:v>87</x:v>
      </x:c>
      <x:c r="J1337" s="9" t="n">
        <x:v>19.3</x:v>
      </x:c>
      <x:c r="K1337" s="9" t="n">
        <x:v>7</x:v>
      </x:c>
      <x:c r="L1337" s="7" t="n">
        <x:v>2026</x:v>
      </x:c>
      <x:c r="M1337" s="11" t="n">
        <x:v>5930</x:v>
      </x:c>
      <x:c r="N1337" s="7" t="n">
        <x:v>1</x:v>
      </x:c>
      <x:c r="O1337" s="7" t="n">
        <x:v>0</x:v>
      </x:c>
      <x:c r="P1337" s="9" t="n">
        <x:v>6.7</x:v>
      </x:c>
      <x:c r="Q1337" s="7" t="n">
        <x:f>'Guide'!$B$5-L1337</x:f>
        <x:v>0</x:v>
      </x:c>
      <x:c r="R1337" s="9" t="n">
        <x:f>K1337-P1337</x:f>
        <x:v>0.2999999999999998</x:v>
      </x:c>
      <x:c r="S1337" s="10" t="n">
        <x:f>IF(K1337&gt;0,R1337/K1337,"")</x:f>
        <x:v>0.04285714285714283</x:v>
      </x:c>
    </x:row>
    <x:row r="1338">
      <x:c r="A1338" s="7" t="n">
        <x:v>1334</x:v>
      </x:c>
      <x:c r="B1338" s="7" t="str">
        <x:v>Tata</x:v>
      </x:c>
      <x:c r="C1338" s="7" t="str">
        <x:v>Altroz</x:v>
      </x:c>
      <x:c r="D1338" s="7" t="str">
        <x:v>XE</x:v>
      </x:c>
      <x:c r="E1338" s="7" t="str">
        <x:v>Petrol</x:v>
      </x:c>
      <x:c r="F1338" s="7" t="str">
        <x:v>Manual</x:v>
      </x:c>
      <x:c r="G1338" s="7" t="str">
        <x:v>Hatchback</x:v>
      </x:c>
      <x:c r="H1338" s="7" t="n">
        <x:v>1199</x:v>
      </x:c>
      <x:c r="I1338" s="7" t="n">
        <x:v>87</x:v>
      </x:c>
      <x:c r="J1338" s="9" t="n">
        <x:v>19.3</x:v>
      </x:c>
      <x:c r="K1338" s="9" t="n">
        <x:v>7</x:v>
      </x:c>
      <x:c r="L1338" s="7" t="n">
        <x:v>2025</x:v>
      </x:c>
      <x:c r="M1338" s="11" t="n">
        <x:v>18276</x:v>
      </x:c>
      <x:c r="N1338" s="7" t="n">
        <x:v>1</x:v>
      </x:c>
      <x:c r="O1338" s="7" t="n">
        <x:v>0</x:v>
      </x:c>
      <x:c r="P1338" s="9" t="n">
        <x:v>6.5</x:v>
      </x:c>
      <x:c r="Q1338" s="7" t="n">
        <x:f>'Guide'!$B$5-L1338</x:f>
        <x:v>1</x:v>
      </x:c>
      <x:c r="R1338" s="9" t="n">
        <x:f>K1338-P1338</x:f>
        <x:v>0.5</x:v>
      </x:c>
      <x:c r="S1338" s="10" t="n">
        <x:f>IF(K1338&gt;0,R1338/K1338,"")</x:f>
        <x:v>0.07142857142857142</x:v>
      </x:c>
    </x:row>
    <x:row r="1339">
      <x:c r="A1339" s="7" t="n">
        <x:v>1335</x:v>
      </x:c>
      <x:c r="B1339" s="7" t="str">
        <x:v>Tata</x:v>
      </x:c>
      <x:c r="C1339" s="7" t="str">
        <x:v>Altroz</x:v>
      </x:c>
      <x:c r="D1339" s="7" t="str">
        <x:v>XE</x:v>
      </x:c>
      <x:c r="E1339" s="7" t="str">
        <x:v>Petrol</x:v>
      </x:c>
      <x:c r="F1339" s="7" t="str">
        <x:v>Manual</x:v>
      </x:c>
      <x:c r="G1339" s="7" t="str">
        <x:v>Hatchback</x:v>
      </x:c>
      <x:c r="H1339" s="7" t="n">
        <x:v>1199</x:v>
      </x:c>
      <x:c r="I1339" s="7" t="n">
        <x:v>87</x:v>
      </x:c>
      <x:c r="J1339" s="9" t="n">
        <x:v>19.3</x:v>
      </x:c>
      <x:c r="K1339" s="9" t="n">
        <x:v>7</x:v>
      </x:c>
      <x:c r="L1339" s="7" t="n">
        <x:v>2022</x:v>
      </x:c>
      <x:c r="M1339" s="11" t="n">
        <x:v>86753</x:v>
      </x:c>
      <x:c r="N1339" s="7" t="n">
        <x:v>1</x:v>
      </x:c>
      <x:c r="O1339" s="7" t="n">
        <x:v>0</x:v>
      </x:c>
      <x:c r="P1339" s="9" t="n">
        <x:v>3.8</x:v>
      </x:c>
      <x:c r="Q1339" s="7" t="n">
        <x:f>'Guide'!$B$5-L1339</x:f>
        <x:v>4</x:v>
      </x:c>
      <x:c r="R1339" s="9" t="n">
        <x:f>K1339-P1339</x:f>
        <x:v>3.2</x:v>
      </x:c>
      <x:c r="S1339" s="10" t="n">
        <x:f>IF(K1339&gt;0,R1339/K1339,"")</x:f>
        <x:v>0.4571428571428572</x:v>
      </x:c>
    </x:row>
    <x:row r="1340">
      <x:c r="A1340" s="7" t="n">
        <x:v>1336</x:v>
      </x:c>
      <x:c r="B1340" s="7" t="str">
        <x:v>Tata</x:v>
      </x:c>
      <x:c r="C1340" s="7" t="str">
        <x:v>Altroz</x:v>
      </x:c>
      <x:c r="D1340" s="7" t="str">
        <x:v>XE</x:v>
      </x:c>
      <x:c r="E1340" s="7" t="str">
        <x:v>Petrol</x:v>
      </x:c>
      <x:c r="F1340" s="7" t="str">
        <x:v>Manual</x:v>
      </x:c>
      <x:c r="G1340" s="7" t="str">
        <x:v>Hatchback</x:v>
      </x:c>
      <x:c r="H1340" s="7" t="n">
        <x:v>1199</x:v>
      </x:c>
      <x:c r="I1340" s="7" t="n">
        <x:v>87</x:v>
      </x:c>
      <x:c r="J1340" s="9" t="n">
        <x:v>19.3</x:v>
      </x:c>
      <x:c r="K1340" s="9" t="n">
        <x:v>7</x:v>
      </x:c>
      <x:c r="L1340" s="7" t="n">
        <x:v>2020</x:v>
      </x:c>
      <x:c r="M1340" s="11" t="n">
        <x:v>91717</x:v>
      </x:c>
      <x:c r="N1340" s="7" t="n">
        <x:v>1</x:v>
      </x:c>
      <x:c r="O1340" s="7" t="n">
        <x:v>0</x:v>
      </x:c>
      <x:c r="P1340" s="9" t="n">
        <x:v>2.63</x:v>
      </x:c>
      <x:c r="Q1340" s="7" t="n">
        <x:f>'Guide'!$B$5-L1340</x:f>
        <x:v>6</x:v>
      </x:c>
      <x:c r="R1340" s="9" t="n">
        <x:f>K1340-P1340</x:f>
        <x:v>4.37</x:v>
      </x:c>
      <x:c r="S1340" s="10" t="n">
        <x:f>IF(K1340&gt;0,R1340/K1340,"")</x:f>
        <x:v>0.6242857142857143</x:v>
      </x:c>
    </x:row>
    <x:row r="1341">
      <x:c r="A1341" s="7" t="n">
        <x:v>1337</x:v>
      </x:c>
      <x:c r="B1341" s="7" t="str">
        <x:v>Tata</x:v>
      </x:c>
      <x:c r="C1341" s="7" t="str">
        <x:v>Altroz</x:v>
      </x:c>
      <x:c r="D1341" s="7" t="str">
        <x:v>XE</x:v>
      </x:c>
      <x:c r="E1341" s="7" t="str">
        <x:v>Petrol</x:v>
      </x:c>
      <x:c r="F1341" s="7" t="str">
        <x:v>Manual</x:v>
      </x:c>
      <x:c r="G1341" s="7" t="str">
        <x:v>Hatchback</x:v>
      </x:c>
      <x:c r="H1341" s="7" t="n">
        <x:v>1199</x:v>
      </x:c>
      <x:c r="I1341" s="7" t="n">
        <x:v>87</x:v>
      </x:c>
      <x:c r="J1341" s="9" t="n">
        <x:v>19.3</x:v>
      </x:c>
      <x:c r="K1341" s="9" t="n">
        <x:v>7</x:v>
      </x:c>
      <x:c r="L1341" s="7" t="n">
        <x:v>2024</x:v>
      </x:c>
      <x:c r="M1341" s="11" t="n">
        <x:v>21557</x:v>
      </x:c>
      <x:c r="N1341" s="7" t="n">
        <x:v>1</x:v>
      </x:c>
      <x:c r="O1341" s="7" t="n">
        <x:v>0</x:v>
      </x:c>
      <x:c r="P1341" s="9" t="n">
        <x:v>5.72</x:v>
      </x:c>
      <x:c r="Q1341" s="7" t="n">
        <x:f>'Guide'!$B$5-L1341</x:f>
        <x:v>2</x:v>
      </x:c>
      <x:c r="R1341" s="9" t="n">
        <x:f>K1341-P1341</x:f>
        <x:v>1.2800000000000002</x:v>
      </x:c>
      <x:c r="S1341" s="10" t="n">
        <x:f>IF(K1341&gt;0,R1341/K1341,"")</x:f>
        <x:v>0.18285714285714288</x:v>
      </x:c>
    </x:row>
    <x:row r="1342">
      <x:c r="A1342" s="7" t="n">
        <x:v>1338</x:v>
      </x:c>
      <x:c r="B1342" s="7" t="str">
        <x:v>Tata</x:v>
      </x:c>
      <x:c r="C1342" s="7" t="str">
        <x:v>Altroz</x:v>
      </x:c>
      <x:c r="D1342" s="7" t="str">
        <x:v>XE</x:v>
      </x:c>
      <x:c r="E1342" s="7" t="str">
        <x:v>Petrol</x:v>
      </x:c>
      <x:c r="F1342" s="7" t="str">
        <x:v>Manual</x:v>
      </x:c>
      <x:c r="G1342" s="7" t="str">
        <x:v>Hatchback</x:v>
      </x:c>
      <x:c r="H1342" s="7" t="n">
        <x:v>1199</x:v>
      </x:c>
      <x:c r="I1342" s="7" t="n">
        <x:v>87</x:v>
      </x:c>
      <x:c r="J1342" s="9" t="n">
        <x:v>19.3</x:v>
      </x:c>
      <x:c r="K1342" s="9" t="n">
        <x:v>7</x:v>
      </x:c>
      <x:c r="L1342" s="7" t="n">
        <x:v>2021</x:v>
      </x:c>
      <x:c r="M1342" s="11" t="n">
        <x:v>102763</x:v>
      </x:c>
      <x:c r="N1342" s="7" t="n">
        <x:v>1</x:v>
      </x:c>
      <x:c r="O1342" s="7" t="n">
        <x:v>1</x:v>
      </x:c>
      <x:c r="P1342" s="9" t="n">
        <x:v>2.57</x:v>
      </x:c>
      <x:c r="Q1342" s="7" t="n">
        <x:f>'Guide'!$B$5-L1342</x:f>
        <x:v>5</x:v>
      </x:c>
      <x:c r="R1342" s="9" t="n">
        <x:f>K1342-P1342</x:f>
        <x:v>4.43</x:v>
      </x:c>
      <x:c r="S1342" s="10" t="n">
        <x:f>IF(K1342&gt;0,R1342/K1342,"")</x:f>
        <x:v>0.6328571428571428</x:v>
      </x:c>
    </x:row>
    <x:row r="1343">
      <x:c r="A1343" s="7" t="n">
        <x:v>1339</x:v>
      </x:c>
      <x:c r="B1343" s="7" t="str">
        <x:v>Tata</x:v>
      </x:c>
      <x:c r="C1343" s="7" t="str">
        <x:v>Altroz</x:v>
      </x:c>
      <x:c r="D1343" s="7" t="str">
        <x:v>XE</x:v>
      </x:c>
      <x:c r="E1343" s="7" t="str">
        <x:v>Petrol</x:v>
      </x:c>
      <x:c r="F1343" s="7" t="str">
        <x:v>Manual</x:v>
      </x:c>
      <x:c r="G1343" s="7" t="str">
        <x:v>Hatchback</x:v>
      </x:c>
      <x:c r="H1343" s="7" t="n">
        <x:v>1199</x:v>
      </x:c>
      <x:c r="I1343" s="7" t="n">
        <x:v>87</x:v>
      </x:c>
      <x:c r="J1343" s="9" t="n">
        <x:v>19.3</x:v>
      </x:c>
      <x:c r="K1343" s="9" t="n">
        <x:v>7</x:v>
      </x:c>
      <x:c r="L1343" s="7" t="n">
        <x:v>2022</x:v>
      </x:c>
      <x:c r="M1343" s="11" t="n">
        <x:v>88646</x:v>
      </x:c>
      <x:c r="N1343" s="7" t="n">
        <x:v>2</x:v>
      </x:c>
      <x:c r="O1343" s="7" t="n">
        <x:v>0</x:v>
      </x:c>
      <x:c r="P1343" s="9" t="n">
        <x:v>3.59</x:v>
      </x:c>
      <x:c r="Q1343" s="7" t="n">
        <x:f>'Guide'!$B$5-L1343</x:f>
        <x:v>4</x:v>
      </x:c>
      <x:c r="R1343" s="9" t="n">
        <x:f>K1343-P1343</x:f>
        <x:v>3.41</x:v>
      </x:c>
      <x:c r="S1343" s="10" t="n">
        <x:f>IF(K1343&gt;0,R1343/K1343,"")</x:f>
        <x:v>0.48714285714285716</x:v>
      </x:c>
    </x:row>
    <x:row r="1344">
      <x:c r="A1344" s="7" t="n">
        <x:v>1340</x:v>
      </x:c>
      <x:c r="B1344" s="7" t="str">
        <x:v>Tata</x:v>
      </x:c>
      <x:c r="C1344" s="7" t="str">
        <x:v>Altroz</x:v>
      </x:c>
      <x:c r="D1344" s="7" t="str">
        <x:v>XE</x:v>
      </x:c>
      <x:c r="E1344" s="7" t="str">
        <x:v>Petrol</x:v>
      </x:c>
      <x:c r="F1344" s="7" t="str">
        <x:v>Manual</x:v>
      </x:c>
      <x:c r="G1344" s="7" t="str">
        <x:v>Hatchback</x:v>
      </x:c>
      <x:c r="H1344" s="7" t="n">
        <x:v>1199</x:v>
      </x:c>
      <x:c r="I1344" s="7" t="n">
        <x:v>87</x:v>
      </x:c>
      <x:c r="J1344" s="9" t="n">
        <x:v>19.3</x:v>
      </x:c>
      <x:c r="K1344" s="9" t="n">
        <x:v>7</x:v>
      </x:c>
      <x:c r="L1344" s="7" t="n">
        <x:v>2020</x:v>
      </x:c>
      <x:c r="M1344" s="11" t="n">
        <x:v>126285</x:v>
      </x:c>
      <x:c r="N1344" s="7" t="n">
        <x:v>1</x:v>
      </x:c>
      <x:c r="O1344" s="7" t="n">
        <x:v>0</x:v>
      </x:c>
      <x:c r="P1344" s="9" t="n">
        <x:v>2.86</x:v>
      </x:c>
      <x:c r="Q1344" s="7" t="n">
        <x:f>'Guide'!$B$5-L1344</x:f>
        <x:v>6</x:v>
      </x:c>
      <x:c r="R1344" s="9" t="n">
        <x:f>K1344-P1344</x:f>
        <x:v>4.140000000000001</x:v>
      </x:c>
      <x:c r="S1344" s="10" t="n">
        <x:f>IF(K1344&gt;0,R1344/K1344,"")</x:f>
        <x:v>0.5914285714285715</x:v>
      </x:c>
    </x:row>
    <x:row r="1345">
      <x:c r="A1345" s="7" t="n">
        <x:v>1341</x:v>
      </x:c>
      <x:c r="B1345" s="7" t="str">
        <x:v>Tata</x:v>
      </x:c>
      <x:c r="C1345" s="7" t="str">
        <x:v>Altroz</x:v>
      </x:c>
      <x:c r="D1345" s="7" t="str">
        <x:v>XE</x:v>
      </x:c>
      <x:c r="E1345" s="7" t="str">
        <x:v>Petrol</x:v>
      </x:c>
      <x:c r="F1345" s="7" t="str">
        <x:v>Manual</x:v>
      </x:c>
      <x:c r="G1345" s="7" t="str">
        <x:v>Hatchback</x:v>
      </x:c>
      <x:c r="H1345" s="7" t="n">
        <x:v>1199</x:v>
      </x:c>
      <x:c r="I1345" s="7" t="n">
        <x:v>87</x:v>
      </x:c>
      <x:c r="J1345" s="9" t="n">
        <x:v>19.3</x:v>
      </x:c>
      <x:c r="K1345" s="9" t="n">
        <x:v>7</x:v>
      </x:c>
      <x:c r="L1345" s="7" t="n">
        <x:v>2021</x:v>
      </x:c>
      <x:c r="M1345" s="11" t="n">
        <x:v>64414</x:v>
      </x:c>
      <x:c r="N1345" s="7" t="n">
        <x:v>1</x:v>
      </x:c>
      <x:c r="O1345" s="7" t="n">
        <x:v>0</x:v>
      </x:c>
      <x:c r="P1345" s="9" t="n">
        <x:v>3.63</x:v>
      </x:c>
      <x:c r="Q1345" s="7" t="n">
        <x:f>'Guide'!$B$5-L1345</x:f>
        <x:v>5</x:v>
      </x:c>
      <x:c r="R1345" s="9" t="n">
        <x:f>K1345-P1345</x:f>
        <x:v>3.37</x:v>
      </x:c>
      <x:c r="S1345" s="10" t="n">
        <x:f>IF(K1345&gt;0,R1345/K1345,"")</x:f>
        <x:v>0.48142857142857143</x:v>
      </x:c>
    </x:row>
    <x:row r="1346">
      <x:c r="A1346" s="7" t="n">
        <x:v>1342</x:v>
      </x:c>
      <x:c r="B1346" s="7" t="str">
        <x:v>Tata</x:v>
      </x:c>
      <x:c r="C1346" s="7" t="str">
        <x:v>Altroz</x:v>
      </x:c>
      <x:c r="D1346" s="7" t="str">
        <x:v>XE</x:v>
      </x:c>
      <x:c r="E1346" s="7" t="str">
        <x:v>Petrol</x:v>
      </x:c>
      <x:c r="F1346" s="7" t="str">
        <x:v>Manual</x:v>
      </x:c>
      <x:c r="G1346" s="7" t="str">
        <x:v>Hatchback</x:v>
      </x:c>
      <x:c r="H1346" s="7" t="n">
        <x:v>1199</x:v>
      </x:c>
      <x:c r="I1346" s="7" t="n">
        <x:v>87</x:v>
      </x:c>
      <x:c r="J1346" s="9" t="n">
        <x:v>19.3</x:v>
      </x:c>
      <x:c r="K1346" s="9" t="n">
        <x:v>7</x:v>
      </x:c>
      <x:c r="L1346" s="7" t="n">
        <x:v>2024</x:v>
      </x:c>
      <x:c r="M1346" s="11" t="n">
        <x:v>29061</x:v>
      </x:c>
      <x:c r="N1346" s="7" t="n">
        <x:v>2</x:v>
      </x:c>
      <x:c r="O1346" s="7" t="n">
        <x:v>0</x:v>
      </x:c>
      <x:c r="P1346" s="9" t="n">
        <x:v>4.87</x:v>
      </x:c>
      <x:c r="Q1346" s="7" t="n">
        <x:f>'Guide'!$B$5-L1346</x:f>
        <x:v>2</x:v>
      </x:c>
      <x:c r="R1346" s="9" t="n">
        <x:f>K1346-P1346</x:f>
        <x:v>2.13</x:v>
      </x:c>
      <x:c r="S1346" s="10" t="n">
        <x:f>IF(K1346&gt;0,R1346/K1346,"")</x:f>
        <x:v>0.30428571428571427</x:v>
      </x:c>
    </x:row>
    <x:row r="1347">
      <x:c r="A1347" s="7" t="n">
        <x:v>1343</x:v>
      </x:c>
      <x:c r="B1347" s="7" t="str">
        <x:v>Tata</x:v>
      </x:c>
      <x:c r="C1347" s="7" t="str">
        <x:v>Altroz</x:v>
      </x:c>
      <x:c r="D1347" s="7" t="str">
        <x:v>XE</x:v>
      </x:c>
      <x:c r="E1347" s="7" t="str">
        <x:v>Petrol</x:v>
      </x:c>
      <x:c r="F1347" s="7" t="str">
        <x:v>Manual</x:v>
      </x:c>
      <x:c r="G1347" s="7" t="str">
        <x:v>Hatchback</x:v>
      </x:c>
      <x:c r="H1347" s="7" t="n">
        <x:v>1199</x:v>
      </x:c>
      <x:c r="I1347" s="7" t="n">
        <x:v>87</x:v>
      </x:c>
      <x:c r="J1347" s="9" t="n">
        <x:v>19.3</x:v>
      </x:c>
      <x:c r="K1347" s="9" t="n">
        <x:v>7</x:v>
      </x:c>
      <x:c r="L1347" s="7" t="n">
        <x:v>2021</x:v>
      </x:c>
      <x:c r="M1347" s="11" t="n">
        <x:v>48328</x:v>
      </x:c>
      <x:c r="N1347" s="7" t="n">
        <x:v>1</x:v>
      </x:c>
      <x:c r="O1347" s="7" t="n">
        <x:v>0</x:v>
      </x:c>
      <x:c r="P1347" s="9" t="n">
        <x:v>3.92</x:v>
      </x:c>
      <x:c r="Q1347" s="7" t="n">
        <x:f>'Guide'!$B$5-L1347</x:f>
        <x:v>5</x:v>
      </x:c>
      <x:c r="R1347" s="9" t="n">
        <x:f>K1347-P1347</x:f>
        <x:v>3.08</x:v>
      </x:c>
      <x:c r="S1347" s="10" t="n">
        <x:f>IF(K1347&gt;0,R1347/K1347,"")</x:f>
        <x:v>0.44</x:v>
      </x:c>
    </x:row>
    <x:row r="1348">
      <x:c r="A1348" s="7" t="n">
        <x:v>1344</x:v>
      </x:c>
      <x:c r="B1348" s="7" t="str">
        <x:v>Tata</x:v>
      </x:c>
      <x:c r="C1348" s="7" t="str">
        <x:v>Altroz</x:v>
      </x:c>
      <x:c r="D1348" s="7" t="str">
        <x:v>XE</x:v>
      </x:c>
      <x:c r="E1348" s="7" t="str">
        <x:v>Petrol</x:v>
      </x:c>
      <x:c r="F1348" s="7" t="str">
        <x:v>Manual</x:v>
      </x:c>
      <x:c r="G1348" s="7" t="str">
        <x:v>Hatchback</x:v>
      </x:c>
      <x:c r="H1348" s="7" t="n">
        <x:v>1199</x:v>
      </x:c>
      <x:c r="I1348" s="7" t="n">
        <x:v>87</x:v>
      </x:c>
      <x:c r="J1348" s="9" t="n">
        <x:v>19.3</x:v>
      </x:c>
      <x:c r="K1348" s="9" t="n">
        <x:v>7</x:v>
      </x:c>
      <x:c r="L1348" s="7" t="n">
        <x:v>2026</x:v>
      </x:c>
      <x:c r="M1348" s="11" t="n">
        <x:v>4410</x:v>
      </x:c>
      <x:c r="N1348" s="7" t="n">
        <x:v>1</x:v>
      </x:c>
      <x:c r="O1348" s="7" t="n">
        <x:v>0</x:v>
      </x:c>
      <x:c r="P1348" s="9" t="n">
        <x:v>6.68</x:v>
      </x:c>
      <x:c r="Q1348" s="7" t="n">
        <x:f>'Guide'!$B$5-L1348</x:f>
        <x:v>0</x:v>
      </x:c>
      <x:c r="R1348" s="9" t="n">
        <x:f>K1348-P1348</x:f>
        <x:v>0.3200000000000003</x:v>
      </x:c>
      <x:c r="S1348" s="10" t="n">
        <x:f>IF(K1348&gt;0,R1348/K1348,"")</x:f>
        <x:v>0.045714285714285756</x:v>
      </x:c>
    </x:row>
    <x:row r="1349">
      <x:c r="A1349" s="7" t="n">
        <x:v>1345</x:v>
      </x:c>
      <x:c r="B1349" s="7" t="str">
        <x:v>Tata</x:v>
      </x:c>
      <x:c r="C1349" s="7" t="str">
        <x:v>Altroz</x:v>
      </x:c>
      <x:c r="D1349" s="7" t="str">
        <x:v>XE</x:v>
      </x:c>
      <x:c r="E1349" s="7" t="str">
        <x:v>Petrol</x:v>
      </x:c>
      <x:c r="F1349" s="7" t="str">
        <x:v>Manual</x:v>
      </x:c>
      <x:c r="G1349" s="7" t="str">
        <x:v>Hatchback</x:v>
      </x:c>
      <x:c r="H1349" s="7" t="n">
        <x:v>1199</x:v>
      </x:c>
      <x:c r="I1349" s="7" t="n">
        <x:v>87</x:v>
      </x:c>
      <x:c r="J1349" s="9" t="n">
        <x:v>19.3</x:v>
      </x:c>
      <x:c r="K1349" s="9" t="n">
        <x:v>7</x:v>
      </x:c>
      <x:c r="L1349" s="7" t="n">
        <x:v>2024</x:v>
      </x:c>
      <x:c r="M1349" s="11" t="n">
        <x:v>30729</x:v>
      </x:c>
      <x:c r="N1349" s="7" t="n">
        <x:v>1</x:v>
      </x:c>
      <x:c r="O1349" s="7" t="n">
        <x:v>0</x:v>
      </x:c>
      <x:c r="P1349" s="9" t="n">
        <x:v>5.69</x:v>
      </x:c>
      <x:c r="Q1349" s="7" t="n">
        <x:f>'Guide'!$B$5-L1349</x:f>
        <x:v>2</x:v>
      </x:c>
      <x:c r="R1349" s="9" t="n">
        <x:f>K1349-P1349</x:f>
        <x:v>1.3099999999999996</x:v>
      </x:c>
      <x:c r="S1349" s="10" t="n">
        <x:f>IF(K1349&gt;0,R1349/K1349,"")</x:f>
        <x:v>0.18714285714285708</x:v>
      </x:c>
    </x:row>
    <x:row r="1350">
      <x:c r="A1350" s="7" t="n">
        <x:v>1346</x:v>
      </x:c>
      <x:c r="B1350" s="7" t="str">
        <x:v>Tata</x:v>
      </x:c>
      <x:c r="C1350" s="7" t="str">
        <x:v>Altroz</x:v>
      </x:c>
      <x:c r="D1350" s="7" t="str">
        <x:v>XE</x:v>
      </x:c>
      <x:c r="E1350" s="7" t="str">
        <x:v>Petrol</x:v>
      </x:c>
      <x:c r="F1350" s="7" t="str">
        <x:v>Manual</x:v>
      </x:c>
      <x:c r="G1350" s="7" t="str">
        <x:v>Hatchback</x:v>
      </x:c>
      <x:c r="H1350" s="7" t="n">
        <x:v>1199</x:v>
      </x:c>
      <x:c r="I1350" s="7" t="n">
        <x:v>87</x:v>
      </x:c>
      <x:c r="J1350" s="9" t="n">
        <x:v>19.3</x:v>
      </x:c>
      <x:c r="K1350" s="9" t="n">
        <x:v>7</x:v>
      </x:c>
      <x:c r="L1350" s="7" t="n">
        <x:v>2024</x:v>
      </x:c>
      <x:c r="M1350" s="11" t="n">
        <x:v>33449</x:v>
      </x:c>
      <x:c r="N1350" s="7" t="n">
        <x:v>1</x:v>
      </x:c>
      <x:c r="O1350" s="7" t="n">
        <x:v>0</x:v>
      </x:c>
      <x:c r="P1350" s="9" t="n">
        <x:v>5.9</x:v>
      </x:c>
      <x:c r="Q1350" s="7" t="n">
        <x:f>'Guide'!$B$5-L1350</x:f>
        <x:v>2</x:v>
      </x:c>
      <x:c r="R1350" s="9" t="n">
        <x:f>K1350-P1350</x:f>
        <x:v>1.0999999999999996</x:v>
      </x:c>
      <x:c r="S1350" s="10" t="n">
        <x:f>IF(K1350&gt;0,R1350/K1350,"")</x:f>
        <x:v>0.15714285714285708</x:v>
      </x:c>
    </x:row>
    <x:row r="1351">
      <x:c r="A1351" s="7" t="n">
        <x:v>1347</x:v>
      </x:c>
      <x:c r="B1351" s="7" t="str">
        <x:v>Tata</x:v>
      </x:c>
      <x:c r="C1351" s="7" t="str">
        <x:v>Altroz</x:v>
      </x:c>
      <x:c r="D1351" s="7" t="str">
        <x:v>XE</x:v>
      </x:c>
      <x:c r="E1351" s="7" t="str">
        <x:v>Petrol</x:v>
      </x:c>
      <x:c r="F1351" s="7" t="str">
        <x:v>Manual</x:v>
      </x:c>
      <x:c r="G1351" s="7" t="str">
        <x:v>Hatchback</x:v>
      </x:c>
      <x:c r="H1351" s="7" t="n">
        <x:v>1199</x:v>
      </x:c>
      <x:c r="I1351" s="7" t="n">
        <x:v>87</x:v>
      </x:c>
      <x:c r="J1351" s="9" t="n">
        <x:v>19.3</x:v>
      </x:c>
      <x:c r="K1351" s="9" t="n">
        <x:v>7</x:v>
      </x:c>
      <x:c r="L1351" s="7" t="n">
        <x:v>2020</x:v>
      </x:c>
      <x:c r="M1351" s="11" t="n">
        <x:v>86937</x:v>
      </x:c>
      <x:c r="N1351" s="7" t="n">
        <x:v>1</x:v>
      </x:c>
      <x:c r="O1351" s="7" t="n">
        <x:v>0</x:v>
      </x:c>
      <x:c r="P1351" s="9" t="n">
        <x:v>2.98</x:v>
      </x:c>
      <x:c r="Q1351" s="7" t="n">
        <x:f>'Guide'!$B$5-L1351</x:f>
        <x:v>6</x:v>
      </x:c>
      <x:c r="R1351" s="9" t="n">
        <x:f>K1351-P1351</x:f>
        <x:v>4.02</x:v>
      </x:c>
      <x:c r="S1351" s="10" t="n">
        <x:f>IF(K1351&gt;0,R1351/K1351,"")</x:f>
        <x:v>0.5742857142857142</x:v>
      </x:c>
    </x:row>
    <x:row r="1352">
      <x:c r="A1352" s="7" t="n">
        <x:v>1348</x:v>
      </x:c>
      <x:c r="B1352" s="7" t="str">
        <x:v>Tata</x:v>
      </x:c>
      <x:c r="C1352" s="7" t="str">
        <x:v>Altroz</x:v>
      </x:c>
      <x:c r="D1352" s="7" t="str">
        <x:v>XE</x:v>
      </x:c>
      <x:c r="E1352" s="7" t="str">
        <x:v>Petrol</x:v>
      </x:c>
      <x:c r="F1352" s="7" t="str">
        <x:v>Manual</x:v>
      </x:c>
      <x:c r="G1352" s="7" t="str">
        <x:v>Hatchback</x:v>
      </x:c>
      <x:c r="H1352" s="7" t="n">
        <x:v>1199</x:v>
      </x:c>
      <x:c r="I1352" s="7" t="n">
        <x:v>87</x:v>
      </x:c>
      <x:c r="J1352" s="9" t="n">
        <x:v>19.3</x:v>
      </x:c>
      <x:c r="K1352" s="9" t="n">
        <x:v>7</x:v>
      </x:c>
      <x:c r="L1352" s="7" t="n">
        <x:v>2025</x:v>
      </x:c>
      <x:c r="M1352" s="11" t="n">
        <x:v>17507</x:v>
      </x:c>
      <x:c r="N1352" s="7" t="n">
        <x:v>1</x:v>
      </x:c>
      <x:c r="O1352" s="7" t="n">
        <x:v>0</x:v>
      </x:c>
      <x:c r="P1352" s="9" t="n">
        <x:v>6.08</x:v>
      </x:c>
      <x:c r="Q1352" s="7" t="n">
        <x:f>'Guide'!$B$5-L1352</x:f>
        <x:v>1</x:v>
      </x:c>
      <x:c r="R1352" s="9" t="n">
        <x:f>K1352-P1352</x:f>
        <x:v>0.9199999999999999</x:v>
      </x:c>
      <x:c r="S1352" s="10" t="n">
        <x:f>IF(K1352&gt;0,R1352/K1352,"")</x:f>
        <x:v>0.13142857142857142</x:v>
      </x:c>
    </x:row>
    <x:row r="1353">
      <x:c r="A1353" s="7" t="n">
        <x:v>1349</x:v>
      </x:c>
      <x:c r="B1353" s="7" t="str">
        <x:v>Tata</x:v>
      </x:c>
      <x:c r="C1353" s="7" t="str">
        <x:v>Altroz</x:v>
      </x:c>
      <x:c r="D1353" s="7" t="str">
        <x:v>XE</x:v>
      </x:c>
      <x:c r="E1353" s="7" t="str">
        <x:v>Petrol</x:v>
      </x:c>
      <x:c r="F1353" s="7" t="str">
        <x:v>Manual</x:v>
      </x:c>
      <x:c r="G1353" s="7" t="str">
        <x:v>Hatchback</x:v>
      </x:c>
      <x:c r="H1353" s="7" t="n">
        <x:v>1199</x:v>
      </x:c>
      <x:c r="I1353" s="7" t="n">
        <x:v>87</x:v>
      </x:c>
      <x:c r="J1353" s="9" t="n">
        <x:v>19.3</x:v>
      </x:c>
      <x:c r="K1353" s="9" t="n">
        <x:v>7</x:v>
      </x:c>
      <x:c r="L1353" s="7" t="n">
        <x:v>2020</x:v>
      </x:c>
      <x:c r="M1353" s="11" t="n">
        <x:v>125721</x:v>
      </x:c>
      <x:c r="N1353" s="7" t="n">
        <x:v>2</x:v>
      </x:c>
      <x:c r="O1353" s="7" t="n">
        <x:v>0</x:v>
      </x:c>
      <x:c r="P1353" s="9" t="n">
        <x:v>2.12</x:v>
      </x:c>
      <x:c r="Q1353" s="7" t="n">
        <x:f>'Guide'!$B$5-L1353</x:f>
        <x:v>6</x:v>
      </x:c>
      <x:c r="R1353" s="9" t="n">
        <x:f>K1353-P1353</x:f>
        <x:v>4.88</x:v>
      </x:c>
      <x:c r="S1353" s="10" t="n">
        <x:f>IF(K1353&gt;0,R1353/K1353,"")</x:f>
        <x:v>0.6971428571428572</x:v>
      </x:c>
    </x:row>
    <x:row r="1354">
      <x:c r="A1354" s="7" t="n">
        <x:v>1350</x:v>
      </x:c>
      <x:c r="B1354" s="7" t="str">
        <x:v>Tata</x:v>
      </x:c>
      <x:c r="C1354" s="7" t="str">
        <x:v>Altroz</x:v>
      </x:c>
      <x:c r="D1354" s="7" t="str">
        <x:v>XE</x:v>
      </x:c>
      <x:c r="E1354" s="7" t="str">
        <x:v>Petrol</x:v>
      </x:c>
      <x:c r="F1354" s="7" t="str">
        <x:v>Manual</x:v>
      </x:c>
      <x:c r="G1354" s="7" t="str">
        <x:v>Hatchback</x:v>
      </x:c>
      <x:c r="H1354" s="7" t="n">
        <x:v>1199</x:v>
      </x:c>
      <x:c r="I1354" s="7" t="n">
        <x:v>87</x:v>
      </x:c>
      <x:c r="J1354" s="9" t="n">
        <x:v>19.3</x:v>
      </x:c>
      <x:c r="K1354" s="9" t="n">
        <x:v>7</x:v>
      </x:c>
      <x:c r="L1354" s="7" t="n">
        <x:v>2025</x:v>
      </x:c>
      <x:c r="M1354" s="11" t="n">
        <x:v>27664</x:v>
      </x:c>
      <x:c r="N1354" s="7" t="n">
        <x:v>1</x:v>
      </x:c>
      <x:c r="O1354" s="7" t="n">
        <x:v>0</x:v>
      </x:c>
      <x:c r="P1354" s="9" t="n">
        <x:v>6.03</x:v>
      </x:c>
      <x:c r="Q1354" s="7" t="n">
        <x:f>'Guide'!$B$5-L1354</x:f>
        <x:v>1</x:v>
      </x:c>
      <x:c r="R1354" s="9" t="n">
        <x:f>K1354-P1354</x:f>
        <x:v>0.9699999999999998</x:v>
      </x:c>
      <x:c r="S1354" s="10" t="n">
        <x:f>IF(K1354&gt;0,R1354/K1354,"")</x:f>
        <x:v>0.13857142857142854</x:v>
      </x:c>
    </x:row>
    <x:row r="1355">
      <x:c r="A1355" s="7" t="n">
        <x:v>1351</x:v>
      </x:c>
      <x:c r="B1355" s="7" t="str">
        <x:v>Tata</x:v>
      </x:c>
      <x:c r="C1355" s="7" t="str">
        <x:v>Altroz</x:v>
      </x:c>
      <x:c r="D1355" s="7" t="str">
        <x:v>XE</x:v>
      </x:c>
      <x:c r="E1355" s="7" t="str">
        <x:v>Petrol</x:v>
      </x:c>
      <x:c r="F1355" s="7" t="str">
        <x:v>Manual</x:v>
      </x:c>
      <x:c r="G1355" s="7" t="str">
        <x:v>Hatchback</x:v>
      </x:c>
      <x:c r="H1355" s="7" t="n">
        <x:v>1199</x:v>
      </x:c>
      <x:c r="I1355" s="7" t="n">
        <x:v>87</x:v>
      </x:c>
      <x:c r="J1355" s="9" t="n">
        <x:v>19.3</x:v>
      </x:c>
      <x:c r="K1355" s="9" t="n">
        <x:v>7</x:v>
      </x:c>
      <x:c r="L1355" s="7" t="n">
        <x:v>2022</x:v>
      </x:c>
      <x:c r="M1355" s="11" t="n">
        <x:v>45556</x:v>
      </x:c>
      <x:c r="N1355" s="7" t="n">
        <x:v>1</x:v>
      </x:c>
      <x:c r="O1355" s="7" t="n">
        <x:v>0</x:v>
      </x:c>
      <x:c r="P1355" s="9" t="n">
        <x:v>4.41</x:v>
      </x:c>
      <x:c r="Q1355" s="7" t="n">
        <x:f>'Guide'!$B$5-L1355</x:f>
        <x:v>4</x:v>
      </x:c>
      <x:c r="R1355" s="9" t="n">
        <x:f>K1355-P1355</x:f>
        <x:v>2.59</x:v>
      </x:c>
      <x:c r="S1355" s="10" t="n">
        <x:f>IF(K1355&gt;0,R1355/K1355,"")</x:f>
        <x:v>0.37</x:v>
      </x:c>
    </x:row>
    <x:row r="1356">
      <x:c r="A1356" s="7" t="n">
        <x:v>1352</x:v>
      </x:c>
      <x:c r="B1356" s="7" t="str">
        <x:v>Tata</x:v>
      </x:c>
      <x:c r="C1356" s="7" t="str">
        <x:v>Altroz</x:v>
      </x:c>
      <x:c r="D1356" s="7" t="str">
        <x:v>XE</x:v>
      </x:c>
      <x:c r="E1356" s="7" t="str">
        <x:v>Petrol</x:v>
      </x:c>
      <x:c r="F1356" s="7" t="str">
        <x:v>Manual</x:v>
      </x:c>
      <x:c r="G1356" s="7" t="str">
        <x:v>Hatchback</x:v>
      </x:c>
      <x:c r="H1356" s="7" t="n">
        <x:v>1199</x:v>
      </x:c>
      <x:c r="I1356" s="7" t="n">
        <x:v>87</x:v>
      </x:c>
      <x:c r="J1356" s="9" t="n">
        <x:v>19.3</x:v>
      </x:c>
      <x:c r="K1356" s="9" t="n">
        <x:v>7</x:v>
      </x:c>
      <x:c r="L1356" s="7" t="n">
        <x:v>2024</x:v>
      </x:c>
      <x:c r="M1356" s="11" t="n">
        <x:v>42616</x:v>
      </x:c>
      <x:c r="N1356" s="7" t="n">
        <x:v>2</x:v>
      </x:c>
      <x:c r="O1356" s="7" t="n">
        <x:v>0</x:v>
      </x:c>
      <x:c r="P1356" s="9" t="n">
        <x:v>4.85</x:v>
      </x:c>
      <x:c r="Q1356" s="7" t="n">
        <x:f>'Guide'!$B$5-L1356</x:f>
        <x:v>2</x:v>
      </x:c>
      <x:c r="R1356" s="9" t="n">
        <x:f>K1356-P1356</x:f>
        <x:v>2.1500000000000004</x:v>
      </x:c>
      <x:c r="S1356" s="10" t="n">
        <x:f>IF(K1356&gt;0,R1356/K1356,"")</x:f>
        <x:v>0.3071428571428572</x:v>
      </x:c>
    </x:row>
    <x:row r="1357">
      <x:c r="A1357" s="7" t="n">
        <x:v>1353</x:v>
      </x:c>
      <x:c r="B1357" s="7" t="str">
        <x:v>Tata</x:v>
      </x:c>
      <x:c r="C1357" s="7" t="str">
        <x:v>Altroz</x:v>
      </x:c>
      <x:c r="D1357" s="7" t="str">
        <x:v>XE</x:v>
      </x:c>
      <x:c r="E1357" s="7" t="str">
        <x:v>Petrol</x:v>
      </x:c>
      <x:c r="F1357" s="7" t="str">
        <x:v>Manual</x:v>
      </x:c>
      <x:c r="G1357" s="7" t="str">
        <x:v>Hatchback</x:v>
      </x:c>
      <x:c r="H1357" s="7" t="n">
        <x:v>1199</x:v>
      </x:c>
      <x:c r="I1357" s="7" t="n">
        <x:v>87</x:v>
      </x:c>
      <x:c r="J1357" s="9" t="n">
        <x:v>19.3</x:v>
      </x:c>
      <x:c r="K1357" s="9" t="n">
        <x:v>7</x:v>
      </x:c>
      <x:c r="L1357" s="7" t="n">
        <x:v>2023</x:v>
      </x:c>
      <x:c r="M1357" s="11" t="n">
        <x:v>69609</x:v>
      </x:c>
      <x:c r="N1357" s="7" t="n">
        <x:v>1</x:v>
      </x:c>
      <x:c r="O1357" s="7" t="n">
        <x:v>0</x:v>
      </x:c>
      <x:c r="P1357" s="9" t="n">
        <x:v>4.57</x:v>
      </x:c>
      <x:c r="Q1357" s="7" t="n">
        <x:f>'Guide'!$B$5-L1357</x:f>
        <x:v>3</x:v>
      </x:c>
      <x:c r="R1357" s="9" t="n">
        <x:f>K1357-P1357</x:f>
        <x:v>2.4299999999999997</x:v>
      </x:c>
      <x:c r="S1357" s="10" t="n">
        <x:f>IF(K1357&gt;0,R1357/K1357,"")</x:f>
        <x:v>0.3471428571428571</x:v>
      </x:c>
    </x:row>
    <x:row r="1358">
      <x:c r="A1358" s="7" t="n">
        <x:v>1354</x:v>
      </x:c>
      <x:c r="B1358" s="7" t="str">
        <x:v>Tata</x:v>
      </x:c>
      <x:c r="C1358" s="7" t="str">
        <x:v>Altroz</x:v>
      </x:c>
      <x:c r="D1358" s="7" t="str">
        <x:v>XE</x:v>
      </x:c>
      <x:c r="E1358" s="7" t="str">
        <x:v>Petrol</x:v>
      </x:c>
      <x:c r="F1358" s="7" t="str">
        <x:v>Manual</x:v>
      </x:c>
      <x:c r="G1358" s="7" t="str">
        <x:v>Hatchback</x:v>
      </x:c>
      <x:c r="H1358" s="7" t="n">
        <x:v>1199</x:v>
      </x:c>
      <x:c r="I1358" s="7" t="n">
        <x:v>87</x:v>
      </x:c>
      <x:c r="J1358" s="9" t="n">
        <x:v>19.3</x:v>
      </x:c>
      <x:c r="K1358" s="9" t="n">
        <x:v>7</x:v>
      </x:c>
      <x:c r="L1358" s="7" t="n">
        <x:v>2025</x:v>
      </x:c>
      <x:c r="M1358" s="11" t="n">
        <x:v>25249</x:v>
      </x:c>
      <x:c r="N1358" s="7" t="n">
        <x:v>1</x:v>
      </x:c>
      <x:c r="O1358" s="7" t="n">
        <x:v>0</x:v>
      </x:c>
      <x:c r="P1358" s="9" t="n">
        <x:v>6.18</x:v>
      </x:c>
      <x:c r="Q1358" s="7" t="n">
        <x:f>'Guide'!$B$5-L1358</x:f>
        <x:v>1</x:v>
      </x:c>
      <x:c r="R1358" s="9" t="n">
        <x:f>K1358-P1358</x:f>
        <x:v>0.8200000000000003</x:v>
      </x:c>
      <x:c r="S1358" s="10" t="n">
        <x:f>IF(K1358&gt;0,R1358/K1358,"")</x:f>
        <x:v>0.11714285714285719</x:v>
      </x:c>
    </x:row>
    <x:row r="1359">
      <x:c r="A1359" s="7" t="n">
        <x:v>1355</x:v>
      </x:c>
      <x:c r="B1359" s="7" t="str">
        <x:v>Tata</x:v>
      </x:c>
      <x:c r="C1359" s="7" t="str">
        <x:v>Altroz</x:v>
      </x:c>
      <x:c r="D1359" s="7" t="str">
        <x:v>XE</x:v>
      </x:c>
      <x:c r="E1359" s="7" t="str">
        <x:v>Petrol</x:v>
      </x:c>
      <x:c r="F1359" s="7" t="str">
        <x:v>Manual</x:v>
      </x:c>
      <x:c r="G1359" s="7" t="str">
        <x:v>Hatchback</x:v>
      </x:c>
      <x:c r="H1359" s="7" t="n">
        <x:v>1199</x:v>
      </x:c>
      <x:c r="I1359" s="7" t="n">
        <x:v>87</x:v>
      </x:c>
      <x:c r="J1359" s="9" t="n">
        <x:v>19.3</x:v>
      </x:c>
      <x:c r="K1359" s="9" t="n">
        <x:v>7</x:v>
      </x:c>
      <x:c r="L1359" s="7" t="n">
        <x:v>2020</x:v>
      </x:c>
      <x:c r="M1359" s="11" t="n">
        <x:v>63199</x:v>
      </x:c>
      <x:c r="N1359" s="7" t="n">
        <x:v>1</x:v>
      </x:c>
      <x:c r="O1359" s="7" t="n">
        <x:v>0</x:v>
      </x:c>
      <x:c r="P1359" s="9" t="n">
        <x:v>3.2</x:v>
      </x:c>
      <x:c r="Q1359" s="7" t="n">
        <x:f>'Guide'!$B$5-L1359</x:f>
        <x:v>6</x:v>
      </x:c>
      <x:c r="R1359" s="9" t="n">
        <x:f>K1359-P1359</x:f>
        <x:v>3.8</x:v>
      </x:c>
      <x:c r="S1359" s="10" t="n">
        <x:f>IF(K1359&gt;0,R1359/K1359,"")</x:f>
        <x:v>0.5428571428571428</x:v>
      </x:c>
    </x:row>
    <x:row r="1360">
      <x:c r="A1360" s="7" t="n">
        <x:v>1356</x:v>
      </x:c>
      <x:c r="B1360" s="7" t="str">
        <x:v>Tata</x:v>
      </x:c>
      <x:c r="C1360" s="7" t="str">
        <x:v>Altroz</x:v>
      </x:c>
      <x:c r="D1360" s="7" t="str">
        <x:v>XE</x:v>
      </x:c>
      <x:c r="E1360" s="7" t="str">
        <x:v>Petrol</x:v>
      </x:c>
      <x:c r="F1360" s="7" t="str">
        <x:v>Manual</x:v>
      </x:c>
      <x:c r="G1360" s="7" t="str">
        <x:v>Hatchback</x:v>
      </x:c>
      <x:c r="H1360" s="7" t="n">
        <x:v>1199</x:v>
      </x:c>
      <x:c r="I1360" s="7" t="n">
        <x:v>87</x:v>
      </x:c>
      <x:c r="J1360" s="9" t="n">
        <x:v>19.3</x:v>
      </x:c>
      <x:c r="K1360" s="9" t="n">
        <x:v>7</x:v>
      </x:c>
      <x:c r="L1360" s="7" t="n">
        <x:v>2023</x:v>
      </x:c>
      <x:c r="M1360" s="11" t="n">
        <x:v>31915</x:v>
      </x:c>
      <x:c r="N1360" s="7" t="n">
        <x:v>1</x:v>
      </x:c>
      <x:c r="O1360" s="7" t="n">
        <x:v>0</x:v>
      </x:c>
      <x:c r="P1360" s="9" t="n">
        <x:v>5.33</x:v>
      </x:c>
      <x:c r="Q1360" s="7" t="n">
        <x:f>'Guide'!$B$5-L1360</x:f>
        <x:v>3</x:v>
      </x:c>
      <x:c r="R1360" s="9" t="n">
        <x:f>K1360-P1360</x:f>
        <x:v>1.67</x:v>
      </x:c>
      <x:c r="S1360" s="10" t="n">
        <x:f>IF(K1360&gt;0,R1360/K1360,"")</x:f>
        <x:v>0.23857142857142857</x:v>
      </x:c>
    </x:row>
    <x:row r="1361">
      <x:c r="A1361" s="7" t="n">
        <x:v>1357</x:v>
      </x:c>
      <x:c r="B1361" s="7" t="str">
        <x:v>Tata</x:v>
      </x:c>
      <x:c r="C1361" s="7" t="str">
        <x:v>Altroz</x:v>
      </x:c>
      <x:c r="D1361" s="7" t="str">
        <x:v>XE</x:v>
      </x:c>
      <x:c r="E1361" s="7" t="str">
        <x:v>Petrol</x:v>
      </x:c>
      <x:c r="F1361" s="7" t="str">
        <x:v>Manual</x:v>
      </x:c>
      <x:c r="G1361" s="7" t="str">
        <x:v>Hatchback</x:v>
      </x:c>
      <x:c r="H1361" s="7" t="n">
        <x:v>1199</x:v>
      </x:c>
      <x:c r="I1361" s="7" t="n">
        <x:v>87</x:v>
      </x:c>
      <x:c r="J1361" s="9" t="n">
        <x:v>19.3</x:v>
      </x:c>
      <x:c r="K1361" s="9" t="n">
        <x:v>7</x:v>
      </x:c>
      <x:c r="L1361" s="7" t="n">
        <x:v>2023</x:v>
      </x:c>
      <x:c r="M1361" s="11" t="n">
        <x:v>56762</x:v>
      </x:c>
      <x:c r="N1361" s="7" t="n">
        <x:v>1</x:v>
      </x:c>
      <x:c r="O1361" s="7" t="n">
        <x:v>0</x:v>
      </x:c>
      <x:c r="P1361" s="9" t="n">
        <x:v>4.46</x:v>
      </x:c>
      <x:c r="Q1361" s="7" t="n">
        <x:f>'Guide'!$B$5-L1361</x:f>
        <x:v>3</x:v>
      </x:c>
      <x:c r="R1361" s="9" t="n">
        <x:f>K1361-P1361</x:f>
        <x:v>2.54</x:v>
      </x:c>
      <x:c r="S1361" s="10" t="n">
        <x:f>IF(K1361&gt;0,R1361/K1361,"")</x:f>
        <x:v>0.3628571428571429</x:v>
      </x:c>
    </x:row>
    <x:row r="1362">
      <x:c r="A1362" s="7" t="n">
        <x:v>1358</x:v>
      </x:c>
      <x:c r="B1362" s="7" t="str">
        <x:v>Tata</x:v>
      </x:c>
      <x:c r="C1362" s="7" t="str">
        <x:v>Altroz</x:v>
      </x:c>
      <x:c r="D1362" s="7" t="str">
        <x:v>XE</x:v>
      </x:c>
      <x:c r="E1362" s="7" t="str">
        <x:v>Petrol</x:v>
      </x:c>
      <x:c r="F1362" s="7" t="str">
        <x:v>Manual</x:v>
      </x:c>
      <x:c r="G1362" s="7" t="str">
        <x:v>Hatchback</x:v>
      </x:c>
      <x:c r="H1362" s="7" t="n">
        <x:v>1199</x:v>
      </x:c>
      <x:c r="I1362" s="7" t="n">
        <x:v>87</x:v>
      </x:c>
      <x:c r="J1362" s="9" t="n">
        <x:v>19.3</x:v>
      </x:c>
      <x:c r="K1362" s="9" t="n">
        <x:v>7</x:v>
      </x:c>
      <x:c r="L1362" s="7" t="n">
        <x:v>2025</x:v>
      </x:c>
      <x:c r="M1362" s="11" t="n">
        <x:v>19262</x:v>
      </x:c>
      <x:c r="N1362" s="7" t="n">
        <x:v>1</x:v>
      </x:c>
      <x:c r="O1362" s="7" t="n">
        <x:v>0</x:v>
      </x:c>
      <x:c r="P1362" s="9" t="n">
        <x:v>6.21</x:v>
      </x:c>
      <x:c r="Q1362" s="7" t="n">
        <x:f>'Guide'!$B$5-L1362</x:f>
        <x:v>1</x:v>
      </x:c>
      <x:c r="R1362" s="9" t="n">
        <x:f>K1362-P1362</x:f>
        <x:v>0.79</x:v>
      </x:c>
      <x:c r="S1362" s="10" t="n">
        <x:f>IF(K1362&gt;0,R1362/K1362,"")</x:f>
        <x:v>0.11285714285714286</x:v>
      </x:c>
    </x:row>
    <x:row r="1363">
      <x:c r="A1363" s="7" t="n">
        <x:v>1359</x:v>
      </x:c>
      <x:c r="B1363" s="7" t="str">
        <x:v>Tata</x:v>
      </x:c>
      <x:c r="C1363" s="7" t="str">
        <x:v>Altroz</x:v>
      </x:c>
      <x:c r="D1363" s="7" t="str">
        <x:v>XE</x:v>
      </x:c>
      <x:c r="E1363" s="7" t="str">
        <x:v>Petrol</x:v>
      </x:c>
      <x:c r="F1363" s="7" t="str">
        <x:v>Manual</x:v>
      </x:c>
      <x:c r="G1363" s="7" t="str">
        <x:v>Hatchback</x:v>
      </x:c>
      <x:c r="H1363" s="7" t="n">
        <x:v>1199</x:v>
      </x:c>
      <x:c r="I1363" s="7" t="n">
        <x:v>87</x:v>
      </x:c>
      <x:c r="J1363" s="9" t="n">
        <x:v>19.3</x:v>
      </x:c>
      <x:c r="K1363" s="9" t="n">
        <x:v>7</x:v>
      </x:c>
      <x:c r="L1363" s="7" t="n">
        <x:v>2021</x:v>
      </x:c>
      <x:c r="M1363" s="11" t="n">
        <x:v>89665</x:v>
      </x:c>
      <x:c r="N1363" s="7" t="n">
        <x:v>1</x:v>
      </x:c>
      <x:c r="O1363" s="7" t="n">
        <x:v>0</x:v>
      </x:c>
      <x:c r="P1363" s="9" t="n">
        <x:v>3.29</x:v>
      </x:c>
      <x:c r="Q1363" s="7" t="n">
        <x:f>'Guide'!$B$5-L1363</x:f>
        <x:v>5</x:v>
      </x:c>
      <x:c r="R1363" s="9" t="n">
        <x:f>K1363-P1363</x:f>
        <x:v>3.71</x:v>
      </x:c>
      <x:c r="S1363" s="10" t="n">
        <x:f>IF(K1363&gt;0,R1363/K1363,"")</x:f>
        <x:v>0.53</x:v>
      </x:c>
    </x:row>
    <x:row r="1364">
      <x:c r="A1364" s="7" t="n">
        <x:v>1360</x:v>
      </x:c>
      <x:c r="B1364" s="7" t="str">
        <x:v>Tata</x:v>
      </x:c>
      <x:c r="C1364" s="7" t="str">
        <x:v>Altroz</x:v>
      </x:c>
      <x:c r="D1364" s="7" t="str">
        <x:v>XE</x:v>
      </x:c>
      <x:c r="E1364" s="7" t="str">
        <x:v>Petrol</x:v>
      </x:c>
      <x:c r="F1364" s="7" t="str">
        <x:v>Manual</x:v>
      </x:c>
      <x:c r="G1364" s="7" t="str">
        <x:v>Hatchback</x:v>
      </x:c>
      <x:c r="H1364" s="7" t="n">
        <x:v>1199</x:v>
      </x:c>
      <x:c r="I1364" s="7" t="n">
        <x:v>87</x:v>
      </x:c>
      <x:c r="J1364" s="9" t="n">
        <x:v>19.3</x:v>
      </x:c>
      <x:c r="K1364" s="9" t="n">
        <x:v>7</x:v>
      </x:c>
      <x:c r="L1364" s="7" t="n">
        <x:v>2020</x:v>
      </x:c>
      <x:c r="M1364" s="11" t="n">
        <x:v>122986</x:v>
      </x:c>
      <x:c r="N1364" s="7" t="n">
        <x:v>3</x:v>
      </x:c>
      <x:c r="O1364" s="7" t="n">
        <x:v>0</x:v>
      </x:c>
      <x:c r="P1364" s="9" t="n">
        <x:v>2.12</x:v>
      </x:c>
      <x:c r="Q1364" s="7" t="n">
        <x:f>'Guide'!$B$5-L1364</x:f>
        <x:v>6</x:v>
      </x:c>
      <x:c r="R1364" s="9" t="n">
        <x:f>K1364-P1364</x:f>
        <x:v>4.88</x:v>
      </x:c>
      <x:c r="S1364" s="10" t="n">
        <x:f>IF(K1364&gt;0,R1364/K1364,"")</x:f>
        <x:v>0.6971428571428572</x:v>
      </x:c>
    </x:row>
    <x:row r="1365">
      <x:c r="A1365" s="7" t="n">
        <x:v>1361</x:v>
      </x:c>
      <x:c r="B1365" s="7" t="str">
        <x:v>Tata</x:v>
      </x:c>
      <x:c r="C1365" s="7" t="str">
        <x:v>Altroz</x:v>
      </x:c>
      <x:c r="D1365" s="7" t="str">
        <x:v>XE</x:v>
      </x:c>
      <x:c r="E1365" s="7" t="str">
        <x:v>Petrol</x:v>
      </x:c>
      <x:c r="F1365" s="7" t="str">
        <x:v>Manual</x:v>
      </x:c>
      <x:c r="G1365" s="7" t="str">
        <x:v>Hatchback</x:v>
      </x:c>
      <x:c r="H1365" s="7" t="n">
        <x:v>1199</x:v>
      </x:c>
      <x:c r="I1365" s="7" t="n">
        <x:v>87</x:v>
      </x:c>
      <x:c r="J1365" s="9" t="n">
        <x:v>19.3</x:v>
      </x:c>
      <x:c r="K1365" s="9" t="n">
        <x:v>7</x:v>
      </x:c>
      <x:c r="L1365" s="7" t="n">
        <x:v>2024</x:v>
      </x:c>
      <x:c r="M1365" s="11" t="n">
        <x:v>22247</x:v>
      </x:c>
      <x:c r="N1365" s="7" t="n">
        <x:v>1</x:v>
      </x:c>
      <x:c r="O1365" s="7" t="n">
        <x:v>0</x:v>
      </x:c>
      <x:c r="P1365" s="9" t="n">
        <x:v>5.84</x:v>
      </x:c>
      <x:c r="Q1365" s="7" t="n">
        <x:f>'Guide'!$B$5-L1365</x:f>
        <x:v>2</x:v>
      </x:c>
      <x:c r="R1365" s="9" t="n">
        <x:f>K1365-P1365</x:f>
        <x:v>1.1600000000000001</x:v>
      </x:c>
      <x:c r="S1365" s="10" t="n">
        <x:f>IF(K1365&gt;0,R1365/K1365,"")</x:f>
        <x:v>0.16571428571428573</x:v>
      </x:c>
    </x:row>
    <x:row r="1366">
      <x:c r="A1366" s="7" t="n">
        <x:v>1362</x:v>
      </x:c>
      <x:c r="B1366" s="7" t="str">
        <x:v>Tata</x:v>
      </x:c>
      <x:c r="C1366" s="7" t="str">
        <x:v>Altroz</x:v>
      </x:c>
      <x:c r="D1366" s="7" t="str">
        <x:v>XE</x:v>
      </x:c>
      <x:c r="E1366" s="7" t="str">
        <x:v>Petrol</x:v>
      </x:c>
      <x:c r="F1366" s="7" t="str">
        <x:v>Manual</x:v>
      </x:c>
      <x:c r="G1366" s="7" t="str">
        <x:v>Hatchback</x:v>
      </x:c>
      <x:c r="H1366" s="7" t="n">
        <x:v>1199</x:v>
      </x:c>
      <x:c r="I1366" s="7" t="n">
        <x:v>87</x:v>
      </x:c>
      <x:c r="J1366" s="9" t="n">
        <x:v>19.3</x:v>
      </x:c>
      <x:c r="K1366" s="9" t="n">
        <x:v>7</x:v>
      </x:c>
      <x:c r="L1366" s="7" t="n">
        <x:v>2023</x:v>
      </x:c>
      <x:c r="M1366" s="11" t="n">
        <x:v>47107</x:v>
      </x:c>
      <x:c r="N1366" s="7" t="n">
        <x:v>1</x:v>
      </x:c>
      <x:c r="O1366" s="7" t="n">
        <x:v>0</x:v>
      </x:c>
      <x:c r="P1366" s="9" t="n">
        <x:v>4.66</x:v>
      </x:c>
      <x:c r="Q1366" s="7" t="n">
        <x:f>'Guide'!$B$5-L1366</x:f>
        <x:v>3</x:v>
      </x:c>
      <x:c r="R1366" s="9" t="n">
        <x:f>K1366-P1366</x:f>
        <x:v>2.34</x:v>
      </x:c>
      <x:c r="S1366" s="10" t="n">
        <x:f>IF(K1366&gt;0,R1366/K1366,"")</x:f>
        <x:v>0.33428571428571424</x:v>
      </x:c>
    </x:row>
    <x:row r="1367">
      <x:c r="A1367" s="7" t="n">
        <x:v>1363</x:v>
      </x:c>
      <x:c r="B1367" s="7" t="str">
        <x:v>Tata</x:v>
      </x:c>
      <x:c r="C1367" s="7" t="str">
        <x:v>Altroz</x:v>
      </x:c>
      <x:c r="D1367" s="7" t="str">
        <x:v>XE</x:v>
      </x:c>
      <x:c r="E1367" s="7" t="str">
        <x:v>Petrol</x:v>
      </x:c>
      <x:c r="F1367" s="7" t="str">
        <x:v>Manual</x:v>
      </x:c>
      <x:c r="G1367" s="7" t="str">
        <x:v>Hatchback</x:v>
      </x:c>
      <x:c r="H1367" s="7" t="n">
        <x:v>1199</x:v>
      </x:c>
      <x:c r="I1367" s="7" t="n">
        <x:v>87</x:v>
      </x:c>
      <x:c r="J1367" s="9" t="n">
        <x:v>19.3</x:v>
      </x:c>
      <x:c r="K1367" s="9" t="n">
        <x:v>7</x:v>
      </x:c>
      <x:c r="L1367" s="7" t="n">
        <x:v>2024</x:v>
      </x:c>
      <x:c r="M1367" s="11" t="n">
        <x:v>46100</x:v>
      </x:c>
      <x:c r="N1367" s="7" t="n">
        <x:v>2</x:v>
      </x:c>
      <x:c r="O1367" s="7" t="n">
        <x:v>0</x:v>
      </x:c>
      <x:c r="P1367" s="9" t="n">
        <x:v>5.11</x:v>
      </x:c>
      <x:c r="Q1367" s="7" t="n">
        <x:f>'Guide'!$B$5-L1367</x:f>
        <x:v>2</x:v>
      </x:c>
      <x:c r="R1367" s="9" t="n">
        <x:f>K1367-P1367</x:f>
        <x:v>1.8899999999999997</x:v>
      </x:c>
      <x:c r="S1367" s="10" t="n">
        <x:f>IF(K1367&gt;0,R1367/K1367,"")</x:f>
        <x:v>0.26999999999999996</x:v>
      </x:c>
    </x:row>
    <x:row r="1368">
      <x:c r="A1368" s="7" t="n">
        <x:v>1364</x:v>
      </x:c>
      <x:c r="B1368" s="7" t="str">
        <x:v>Tata</x:v>
      </x:c>
      <x:c r="C1368" s="7" t="str">
        <x:v>Altroz</x:v>
      </x:c>
      <x:c r="D1368" s="7" t="str">
        <x:v>XE</x:v>
      </x:c>
      <x:c r="E1368" s="7" t="str">
        <x:v>Petrol</x:v>
      </x:c>
      <x:c r="F1368" s="7" t="str">
        <x:v>Manual</x:v>
      </x:c>
      <x:c r="G1368" s="7" t="str">
        <x:v>Hatchback</x:v>
      </x:c>
      <x:c r="H1368" s="7" t="n">
        <x:v>1199</x:v>
      </x:c>
      <x:c r="I1368" s="7" t="n">
        <x:v>87</x:v>
      </x:c>
      <x:c r="J1368" s="9" t="n">
        <x:v>19.3</x:v>
      </x:c>
      <x:c r="K1368" s="9" t="n">
        <x:v>7</x:v>
      </x:c>
      <x:c r="L1368" s="7" t="n">
        <x:v>2026</x:v>
      </x:c>
      <x:c r="M1368" s="11" t="n">
        <x:v>7625</x:v>
      </x:c>
      <x:c r="N1368" s="7" t="n">
        <x:v>2</x:v>
      </x:c>
      <x:c r="O1368" s="7" t="n">
        <x:v>0</x:v>
      </x:c>
      <x:c r="P1368" s="9" t="n">
        <x:v>6.38</x:v>
      </x:c>
      <x:c r="Q1368" s="7" t="n">
        <x:f>'Guide'!$B$5-L1368</x:f>
        <x:v>0</x:v>
      </x:c>
      <x:c r="R1368" s="9" t="n">
        <x:f>K1368-P1368</x:f>
        <x:v>0.6200000000000001</x:v>
      </x:c>
      <x:c r="S1368" s="10" t="n">
        <x:f>IF(K1368&gt;0,R1368/K1368,"")</x:f>
        <x:v>0.08857142857142859</x:v>
      </x:c>
    </x:row>
    <x:row r="1369">
      <x:c r="A1369" s="7" t="n">
        <x:v>1365</x:v>
      </x:c>
      <x:c r="B1369" s="7" t="str">
        <x:v>Tata</x:v>
      </x:c>
      <x:c r="C1369" s="7" t="str">
        <x:v>Altroz</x:v>
      </x:c>
      <x:c r="D1369" s="7" t="str">
        <x:v>XE</x:v>
      </x:c>
      <x:c r="E1369" s="7" t="str">
        <x:v>Petrol</x:v>
      </x:c>
      <x:c r="F1369" s="7" t="str">
        <x:v>Manual</x:v>
      </x:c>
      <x:c r="G1369" s="7" t="str">
        <x:v>Hatchback</x:v>
      </x:c>
      <x:c r="H1369" s="7" t="n">
        <x:v>1199</x:v>
      </x:c>
      <x:c r="I1369" s="7" t="n">
        <x:v>87</x:v>
      </x:c>
      <x:c r="J1369" s="9" t="n">
        <x:v>19.3</x:v>
      </x:c>
      <x:c r="K1369" s="9" t="n">
        <x:v>7</x:v>
      </x:c>
      <x:c r="L1369" s="7" t="n">
        <x:v>2022</x:v>
      </x:c>
      <x:c r="M1369" s="11" t="n">
        <x:v>46754</x:v>
      </x:c>
      <x:c r="N1369" s="7" t="n">
        <x:v>1</x:v>
      </x:c>
      <x:c r="O1369" s="7" t="n">
        <x:v>0</x:v>
      </x:c>
      <x:c r="P1369" s="9" t="n">
        <x:v>4.41</x:v>
      </x:c>
      <x:c r="Q1369" s="7" t="n">
        <x:f>'Guide'!$B$5-L1369</x:f>
        <x:v>4</x:v>
      </x:c>
      <x:c r="R1369" s="9" t="n">
        <x:f>K1369-P1369</x:f>
        <x:v>2.59</x:v>
      </x:c>
      <x:c r="S1369" s="10" t="n">
        <x:f>IF(K1369&gt;0,R1369/K1369,"")</x:f>
        <x:v>0.37</x:v>
      </x:c>
    </x:row>
    <x:row r="1370">
      <x:c r="A1370" s="7" t="n">
        <x:v>1366</x:v>
      </x:c>
      <x:c r="B1370" s="7" t="str">
        <x:v>Tata</x:v>
      </x:c>
      <x:c r="C1370" s="7" t="str">
        <x:v>Altroz</x:v>
      </x:c>
      <x:c r="D1370" s="7" t="str">
        <x:v>XE</x:v>
      </x:c>
      <x:c r="E1370" s="7" t="str">
        <x:v>Petrol</x:v>
      </x:c>
      <x:c r="F1370" s="7" t="str">
        <x:v>Manual</x:v>
      </x:c>
      <x:c r="G1370" s="7" t="str">
        <x:v>Hatchback</x:v>
      </x:c>
      <x:c r="H1370" s="7" t="n">
        <x:v>1199</x:v>
      </x:c>
      <x:c r="I1370" s="7" t="n">
        <x:v>87</x:v>
      </x:c>
      <x:c r="J1370" s="9" t="n">
        <x:v>19.3</x:v>
      </x:c>
      <x:c r="K1370" s="9" t="n">
        <x:v>7</x:v>
      </x:c>
      <x:c r="L1370" s="7" t="n">
        <x:v>2022</x:v>
      </x:c>
      <x:c r="M1370" s="11" t="n">
        <x:v>46328</x:v>
      </x:c>
      <x:c r="N1370" s="7" t="n">
        <x:v>3</x:v>
      </x:c>
      <x:c r="O1370" s="7" t="n">
        <x:v>0</x:v>
      </x:c>
      <x:c r="P1370" s="9" t="n">
        <x:v>3.61</x:v>
      </x:c>
      <x:c r="Q1370" s="7" t="n">
        <x:f>'Guide'!$B$5-L1370</x:f>
        <x:v>4</x:v>
      </x:c>
      <x:c r="R1370" s="9" t="n">
        <x:f>K1370-P1370</x:f>
        <x:v>3.39</x:v>
      </x:c>
      <x:c r="S1370" s="10" t="n">
        <x:f>IF(K1370&gt;0,R1370/K1370,"")</x:f>
        <x:v>0.4842857142857143</x:v>
      </x:c>
    </x:row>
    <x:row r="1371">
      <x:c r="A1371" s="7" t="n">
        <x:v>1367</x:v>
      </x:c>
      <x:c r="B1371" s="7" t="str">
        <x:v>Tata</x:v>
      </x:c>
      <x:c r="C1371" s="7" t="str">
        <x:v>Altroz</x:v>
      </x:c>
      <x:c r="D1371" s="7" t="str">
        <x:v>XE</x:v>
      </x:c>
      <x:c r="E1371" s="7" t="str">
        <x:v>Petrol</x:v>
      </x:c>
      <x:c r="F1371" s="7" t="str">
        <x:v>Manual</x:v>
      </x:c>
      <x:c r="G1371" s="7" t="str">
        <x:v>Hatchback</x:v>
      </x:c>
      <x:c r="H1371" s="7" t="n">
        <x:v>1199</x:v>
      </x:c>
      <x:c r="I1371" s="7" t="n">
        <x:v>87</x:v>
      </x:c>
      <x:c r="J1371" s="9" t="n">
        <x:v>19.3</x:v>
      </x:c>
      <x:c r="K1371" s="9" t="n">
        <x:v>7</x:v>
      </x:c>
      <x:c r="L1371" s="7" t="n">
        <x:v>2023</x:v>
      </x:c>
      <x:c r="M1371" s="11" t="n">
        <x:v>30336</x:v>
      </x:c>
      <x:c r="N1371" s="7" t="n">
        <x:v>1</x:v>
      </x:c>
      <x:c r="O1371" s="7" t="n">
        <x:v>0</x:v>
      </x:c>
      <x:c r="P1371" s="9" t="n">
        <x:v>5.15</x:v>
      </x:c>
      <x:c r="Q1371" s="7" t="n">
        <x:f>'Guide'!$B$5-L1371</x:f>
        <x:v>3</x:v>
      </x:c>
      <x:c r="R1371" s="9" t="n">
        <x:f>K1371-P1371</x:f>
        <x:v>1.8499999999999996</x:v>
      </x:c>
      <x:c r="S1371" s="10" t="n">
        <x:f>IF(K1371&gt;0,R1371/K1371,"")</x:f>
        <x:v>0.26428571428571423</x:v>
      </x:c>
    </x:row>
    <x:row r="1372">
      <x:c r="A1372" s="7" t="n">
        <x:v>1368</x:v>
      </x:c>
      <x:c r="B1372" s="7" t="str">
        <x:v>Tata</x:v>
      </x:c>
      <x:c r="C1372" s="7" t="str">
        <x:v>Altroz</x:v>
      </x:c>
      <x:c r="D1372" s="7" t="str">
        <x:v>XE</x:v>
      </x:c>
      <x:c r="E1372" s="7" t="str">
        <x:v>Petrol</x:v>
      </x:c>
      <x:c r="F1372" s="7" t="str">
        <x:v>Manual</x:v>
      </x:c>
      <x:c r="G1372" s="7" t="str">
        <x:v>Hatchback</x:v>
      </x:c>
      <x:c r="H1372" s="7" t="n">
        <x:v>1199</x:v>
      </x:c>
      <x:c r="I1372" s="7" t="n">
        <x:v>87</x:v>
      </x:c>
      <x:c r="J1372" s="9" t="n">
        <x:v>19.3</x:v>
      </x:c>
      <x:c r="K1372" s="9" t="n">
        <x:v>7</x:v>
      </x:c>
      <x:c r="L1372" s="7" t="n">
        <x:v>2020</x:v>
      </x:c>
      <x:c r="M1372" s="11" t="n">
        <x:v>91101</x:v>
      </x:c>
      <x:c r="N1372" s="7" t="n">
        <x:v>1</x:v>
      </x:c>
      <x:c r="O1372" s="7" t="n">
        <x:v>0</x:v>
      </x:c>
      <x:c r="P1372" s="9" t="n">
        <x:v>2.87</x:v>
      </x:c>
      <x:c r="Q1372" s="7" t="n">
        <x:f>'Guide'!$B$5-L1372</x:f>
        <x:v>6</x:v>
      </x:c>
      <x:c r="R1372" s="9" t="n">
        <x:f>K1372-P1372</x:f>
        <x:v>4.13</x:v>
      </x:c>
      <x:c r="S1372" s="10" t="n">
        <x:f>IF(K1372&gt;0,R1372/K1372,"")</x:f>
        <x:v>0.59</x:v>
      </x:c>
    </x:row>
    <x:row r="1373">
      <x:c r="A1373" s="7" t="n">
        <x:v>1369</x:v>
      </x:c>
      <x:c r="B1373" s="7" t="str">
        <x:v>Tata</x:v>
      </x:c>
      <x:c r="C1373" s="7" t="str">
        <x:v>Altroz</x:v>
      </x:c>
      <x:c r="D1373" s="7" t="str">
        <x:v>XE</x:v>
      </x:c>
      <x:c r="E1373" s="7" t="str">
        <x:v>Petrol</x:v>
      </x:c>
      <x:c r="F1373" s="7" t="str">
        <x:v>Manual</x:v>
      </x:c>
      <x:c r="G1373" s="7" t="str">
        <x:v>Hatchback</x:v>
      </x:c>
      <x:c r="H1373" s="7" t="n">
        <x:v>1199</x:v>
      </x:c>
      <x:c r="I1373" s="7" t="n">
        <x:v>87</x:v>
      </x:c>
      <x:c r="J1373" s="9" t="n">
        <x:v>19.3</x:v>
      </x:c>
      <x:c r="K1373" s="9" t="n">
        <x:v>7</x:v>
      </x:c>
      <x:c r="L1373" s="7" t="n">
        <x:v>2020</x:v>
      </x:c>
      <x:c r="M1373" s="11" t="n">
        <x:v>94648</x:v>
      </x:c>
      <x:c r="N1373" s="7" t="n">
        <x:v>1</x:v>
      </x:c>
      <x:c r="O1373" s="7" t="n">
        <x:v>0</x:v>
      </x:c>
      <x:c r="P1373" s="9" t="n">
        <x:v>3.2</x:v>
      </x:c>
      <x:c r="Q1373" s="7" t="n">
        <x:f>'Guide'!$B$5-L1373</x:f>
        <x:v>6</x:v>
      </x:c>
      <x:c r="R1373" s="9" t="n">
        <x:f>K1373-P1373</x:f>
        <x:v>3.8</x:v>
      </x:c>
      <x:c r="S1373" s="10" t="n">
        <x:f>IF(K1373&gt;0,R1373/K1373,"")</x:f>
        <x:v>0.5428571428571428</x:v>
      </x:c>
    </x:row>
    <x:row r="1374">
      <x:c r="A1374" s="7" t="n">
        <x:v>1370</x:v>
      </x:c>
      <x:c r="B1374" s="7" t="str">
        <x:v>Tata</x:v>
      </x:c>
      <x:c r="C1374" s="7" t="str">
        <x:v>Altroz</x:v>
      </x:c>
      <x:c r="D1374" s="7" t="str">
        <x:v>XE</x:v>
      </x:c>
      <x:c r="E1374" s="7" t="str">
        <x:v>Petrol</x:v>
      </x:c>
      <x:c r="F1374" s="7" t="str">
        <x:v>Manual</x:v>
      </x:c>
      <x:c r="G1374" s="7" t="str">
        <x:v>Hatchback</x:v>
      </x:c>
      <x:c r="H1374" s="7" t="n">
        <x:v>1199</x:v>
      </x:c>
      <x:c r="I1374" s="7" t="n">
        <x:v>87</x:v>
      </x:c>
      <x:c r="J1374" s="9" t="n">
        <x:v>19.3</x:v>
      </x:c>
      <x:c r="K1374" s="9" t="n">
        <x:v>7</x:v>
      </x:c>
      <x:c r="L1374" s="7" t="n">
        <x:v>2024</x:v>
      </x:c>
      <x:c r="M1374" s="11" t="n">
        <x:v>48147</x:v>
      </x:c>
      <x:c r="N1374" s="7" t="n">
        <x:v>1</x:v>
      </x:c>
      <x:c r="O1374" s="7" t="n">
        <x:v>0</x:v>
      </x:c>
      <x:c r="P1374" s="9" t="n">
        <x:v>5.4</x:v>
      </x:c>
      <x:c r="Q1374" s="7" t="n">
        <x:f>'Guide'!$B$5-L1374</x:f>
        <x:v>2</x:v>
      </x:c>
      <x:c r="R1374" s="9" t="n">
        <x:f>K1374-P1374</x:f>
        <x:v>1.5999999999999996</x:v>
      </x:c>
      <x:c r="S1374" s="10" t="n">
        <x:f>IF(K1374&gt;0,R1374/K1374,"")</x:f>
        <x:v>0.2285714285714285</x:v>
      </x:c>
    </x:row>
    <x:row r="1375">
      <x:c r="A1375" s="7" t="n">
        <x:v>1371</x:v>
      </x:c>
      <x:c r="B1375" s="7" t="str">
        <x:v>Tata</x:v>
      </x:c>
      <x:c r="C1375" s="7" t="str">
        <x:v>Altroz</x:v>
      </x:c>
      <x:c r="D1375" s="7" t="str">
        <x:v>XE</x:v>
      </x:c>
      <x:c r="E1375" s="7" t="str">
        <x:v>Petrol</x:v>
      </x:c>
      <x:c r="F1375" s="7" t="str">
        <x:v>Manual</x:v>
      </x:c>
      <x:c r="G1375" s="7" t="str">
        <x:v>Hatchback</x:v>
      </x:c>
      <x:c r="H1375" s="7" t="n">
        <x:v>1199</x:v>
      </x:c>
      <x:c r="I1375" s="7" t="n">
        <x:v>87</x:v>
      </x:c>
      <x:c r="J1375" s="9" t="n">
        <x:v>19.3</x:v>
      </x:c>
      <x:c r="K1375" s="9" t="n">
        <x:v>7</x:v>
      </x:c>
      <x:c r="L1375" s="7" t="n">
        <x:v>2020</x:v>
      </x:c>
      <x:c r="M1375" s="11" t="n">
        <x:v>126961</x:v>
      </x:c>
      <x:c r="N1375" s="7" t="n">
        <x:v>1</x:v>
      </x:c>
      <x:c r="O1375" s="7" t="n">
        <x:v>0</x:v>
      </x:c>
      <x:c r="P1375" s="9" t="n">
        <x:v>2.34</x:v>
      </x:c>
      <x:c r="Q1375" s="7" t="n">
        <x:f>'Guide'!$B$5-L1375</x:f>
        <x:v>6</x:v>
      </x:c>
      <x:c r="R1375" s="9" t="n">
        <x:f>K1375-P1375</x:f>
        <x:v>4.66</x:v>
      </x:c>
      <x:c r="S1375" s="10" t="n">
        <x:f>IF(K1375&gt;0,R1375/K1375,"")</x:f>
        <x:v>0.6657142857142857</x:v>
      </x:c>
    </x:row>
    <x:row r="1376">
      <x:c r="A1376" s="7" t="n">
        <x:v>1372</x:v>
      </x:c>
      <x:c r="B1376" s="7" t="str">
        <x:v>Tata</x:v>
      </x:c>
      <x:c r="C1376" s="7" t="str">
        <x:v>Altroz</x:v>
      </x:c>
      <x:c r="D1376" s="7" t="str">
        <x:v>XE</x:v>
      </x:c>
      <x:c r="E1376" s="7" t="str">
        <x:v>Petrol</x:v>
      </x:c>
      <x:c r="F1376" s="7" t="str">
        <x:v>Manual</x:v>
      </x:c>
      <x:c r="G1376" s="7" t="str">
        <x:v>Hatchback</x:v>
      </x:c>
      <x:c r="H1376" s="7" t="n">
        <x:v>1199</x:v>
      </x:c>
      <x:c r="I1376" s="7" t="n">
        <x:v>87</x:v>
      </x:c>
      <x:c r="J1376" s="9" t="n">
        <x:v>19.3</x:v>
      </x:c>
      <x:c r="K1376" s="9" t="n">
        <x:v>7</x:v>
      </x:c>
      <x:c r="L1376" s="7" t="n">
        <x:v>2025</x:v>
      </x:c>
      <x:c r="M1376" s="11" t="n">
        <x:v>12245</x:v>
      </x:c>
      <x:c r="N1376" s="7" t="n">
        <x:v>1</x:v>
      </x:c>
      <x:c r="O1376" s="7" t="n">
        <x:v>0</x:v>
      </x:c>
      <x:c r="P1376" s="9" t="n">
        <x:v>6.61</x:v>
      </x:c>
      <x:c r="Q1376" s="7" t="n">
        <x:f>'Guide'!$B$5-L1376</x:f>
        <x:v>1</x:v>
      </x:c>
      <x:c r="R1376" s="9" t="n">
        <x:f>K1376-P1376</x:f>
        <x:v>0.3899999999999997</x:v>
      </x:c>
      <x:c r="S1376" s="10" t="n">
        <x:f>IF(K1376&gt;0,R1376/K1376,"")</x:f>
        <x:v>0.05571428571428567</x:v>
      </x:c>
    </x:row>
    <x:row r="1377">
      <x:c r="A1377" s="7" t="n">
        <x:v>1373</x:v>
      </x:c>
      <x:c r="B1377" s="7" t="str">
        <x:v>Tata</x:v>
      </x:c>
      <x:c r="C1377" s="7" t="str">
        <x:v>Altroz</x:v>
      </x:c>
      <x:c r="D1377" s="7" t="str">
        <x:v>XE</x:v>
      </x:c>
      <x:c r="E1377" s="7" t="str">
        <x:v>Petrol</x:v>
      </x:c>
      <x:c r="F1377" s="7" t="str">
        <x:v>Manual</x:v>
      </x:c>
      <x:c r="G1377" s="7" t="str">
        <x:v>Hatchback</x:v>
      </x:c>
      <x:c r="H1377" s="7" t="n">
        <x:v>1199</x:v>
      </x:c>
      <x:c r="I1377" s="7" t="n">
        <x:v>87</x:v>
      </x:c>
      <x:c r="J1377" s="9" t="n">
        <x:v>19.3</x:v>
      </x:c>
      <x:c r="K1377" s="9" t="n">
        <x:v>7</x:v>
      </x:c>
      <x:c r="L1377" s="7" t="n">
        <x:v>2021</x:v>
      </x:c>
      <x:c r="M1377" s="11" t="n">
        <x:v>106756</x:v>
      </x:c>
      <x:c r="N1377" s="7" t="n">
        <x:v>1</x:v>
      </x:c>
      <x:c r="O1377" s="7" t="n">
        <x:v>0</x:v>
      </x:c>
      <x:c r="P1377" s="9" t="n">
        <x:v>3.68</x:v>
      </x:c>
      <x:c r="Q1377" s="7" t="n">
        <x:f>'Guide'!$B$5-L1377</x:f>
        <x:v>5</x:v>
      </x:c>
      <x:c r="R1377" s="9" t="n">
        <x:f>K1377-P1377</x:f>
        <x:v>3.32</x:v>
      </x:c>
      <x:c r="S1377" s="10" t="n">
        <x:f>IF(K1377&gt;0,R1377/K1377,"")</x:f>
        <x:v>0.47428571428571425</x:v>
      </x:c>
    </x:row>
    <x:row r="1378">
      <x:c r="A1378" s="7" t="n">
        <x:v>1374</x:v>
      </x:c>
      <x:c r="B1378" s="7" t="str">
        <x:v>Tata</x:v>
      </x:c>
      <x:c r="C1378" s="7" t="str">
        <x:v>Altroz</x:v>
      </x:c>
      <x:c r="D1378" s="7" t="str">
        <x:v>XE</x:v>
      </x:c>
      <x:c r="E1378" s="7" t="str">
        <x:v>Petrol</x:v>
      </x:c>
      <x:c r="F1378" s="7" t="str">
        <x:v>Manual</x:v>
      </x:c>
      <x:c r="G1378" s="7" t="str">
        <x:v>Hatchback</x:v>
      </x:c>
      <x:c r="H1378" s="7" t="n">
        <x:v>1199</x:v>
      </x:c>
      <x:c r="I1378" s="7" t="n">
        <x:v>87</x:v>
      </x:c>
      <x:c r="J1378" s="9" t="n">
        <x:v>19.3</x:v>
      </x:c>
      <x:c r="K1378" s="9" t="n">
        <x:v>7</x:v>
      </x:c>
      <x:c r="L1378" s="7" t="n">
        <x:v>2024</x:v>
      </x:c>
      <x:c r="M1378" s="11" t="n">
        <x:v>22377</x:v>
      </x:c>
      <x:c r="N1378" s="7" t="n">
        <x:v>2</x:v>
      </x:c>
      <x:c r="O1378" s="7" t="n">
        <x:v>0</x:v>
      </x:c>
      <x:c r="P1378" s="9" t="n">
        <x:v>5.18</x:v>
      </x:c>
      <x:c r="Q1378" s="7" t="n">
        <x:f>'Guide'!$B$5-L1378</x:f>
        <x:v>2</x:v>
      </x:c>
      <x:c r="R1378" s="9" t="n">
        <x:f>K1378-P1378</x:f>
        <x:v>1.8200000000000003</x:v>
      </x:c>
      <x:c r="S1378" s="10" t="n">
        <x:f>IF(K1378&gt;0,R1378/K1378,"")</x:f>
        <x:v>0.26000000000000006</x:v>
      </x:c>
    </x:row>
    <x:row r="1379">
      <x:c r="A1379" s="7" t="n">
        <x:v>1375</x:v>
      </x:c>
      <x:c r="B1379" s="7" t="str">
        <x:v>Tata</x:v>
      </x:c>
      <x:c r="C1379" s="7" t="str">
        <x:v>Altroz</x:v>
      </x:c>
      <x:c r="D1379" s="7" t="str">
        <x:v>XE</x:v>
      </x:c>
      <x:c r="E1379" s="7" t="str">
        <x:v>Petrol</x:v>
      </x:c>
      <x:c r="F1379" s="7" t="str">
        <x:v>Manual</x:v>
      </x:c>
      <x:c r="G1379" s="7" t="str">
        <x:v>Hatchback</x:v>
      </x:c>
      <x:c r="H1379" s="7" t="n">
        <x:v>1199</x:v>
      </x:c>
      <x:c r="I1379" s="7" t="n">
        <x:v>87</x:v>
      </x:c>
      <x:c r="J1379" s="9" t="n">
        <x:v>19.3</x:v>
      </x:c>
      <x:c r="K1379" s="9" t="n">
        <x:v>7</x:v>
      </x:c>
      <x:c r="L1379" s="7" t="n">
        <x:v>2026</x:v>
      </x:c>
      <x:c r="M1379" s="11" t="n">
        <x:v>7434</x:v>
      </x:c>
      <x:c r="N1379" s="7" t="n">
        <x:v>1</x:v>
      </x:c>
      <x:c r="O1379" s="7" t="n">
        <x:v>0</x:v>
      </x:c>
      <x:c r="P1379" s="9" t="n">
        <x:v>6.76</x:v>
      </x:c>
      <x:c r="Q1379" s="7" t="n">
        <x:f>'Guide'!$B$5-L1379</x:f>
        <x:v>0</x:v>
      </x:c>
      <x:c r="R1379" s="9" t="n">
        <x:f>K1379-P1379</x:f>
        <x:v>0.2400000000000002</x:v>
      </x:c>
      <x:c r="S1379" s="10" t="n">
        <x:f>IF(K1379&gt;0,R1379/K1379,"")</x:f>
        <x:v>0.034285714285714315</x:v>
      </x:c>
    </x:row>
    <x:row r="1380">
      <x:c r="A1380" s="7" t="n">
        <x:v>1376</x:v>
      </x:c>
      <x:c r="B1380" s="7" t="str">
        <x:v>Tata</x:v>
      </x:c>
      <x:c r="C1380" s="7" t="str">
        <x:v>Altroz</x:v>
      </x:c>
      <x:c r="D1380" s="7" t="str">
        <x:v>XE</x:v>
      </x:c>
      <x:c r="E1380" s="7" t="str">
        <x:v>Petrol</x:v>
      </x:c>
      <x:c r="F1380" s="7" t="str">
        <x:v>Manual</x:v>
      </x:c>
      <x:c r="G1380" s="7" t="str">
        <x:v>Hatchback</x:v>
      </x:c>
      <x:c r="H1380" s="7" t="n">
        <x:v>1199</x:v>
      </x:c>
      <x:c r="I1380" s="7" t="n">
        <x:v>87</x:v>
      </x:c>
      <x:c r="J1380" s="9" t="n">
        <x:v>19.3</x:v>
      </x:c>
      <x:c r="K1380" s="9" t="n">
        <x:v>7</x:v>
      </x:c>
      <x:c r="L1380" s="7" t="n">
        <x:v>2025</x:v>
      </x:c>
      <x:c r="M1380" s="11" t="n">
        <x:v>23730</x:v>
      </x:c>
      <x:c r="N1380" s="7" t="n">
        <x:v>1</x:v>
      </x:c>
      <x:c r="O1380" s="7" t="n">
        <x:v>1</x:v>
      </x:c>
      <x:c r="P1380" s="9" t="n">
        <x:v>5.23</x:v>
      </x:c>
      <x:c r="Q1380" s="7" t="n">
        <x:f>'Guide'!$B$5-L1380</x:f>
        <x:v>1</x:v>
      </x:c>
      <x:c r="R1380" s="9" t="n">
        <x:f>K1380-P1380</x:f>
        <x:v>1.7699999999999996</x:v>
      </x:c>
      <x:c r="S1380" s="10" t="n">
        <x:f>IF(K1380&gt;0,R1380/K1380,"")</x:f>
        <x:v>0.2528571428571428</x:v>
      </x:c>
    </x:row>
    <x:row r="1381">
      <x:c r="A1381" s="7" t="n">
        <x:v>1377</x:v>
      </x:c>
      <x:c r="B1381" s="7" t="str">
        <x:v>Tata</x:v>
      </x:c>
      <x:c r="C1381" s="7" t="str">
        <x:v>Altroz</x:v>
      </x:c>
      <x:c r="D1381" s="7" t="str">
        <x:v>XE</x:v>
      </x:c>
      <x:c r="E1381" s="7" t="str">
        <x:v>Petrol</x:v>
      </x:c>
      <x:c r="F1381" s="7" t="str">
        <x:v>Manual</x:v>
      </x:c>
      <x:c r="G1381" s="7" t="str">
        <x:v>Hatchback</x:v>
      </x:c>
      <x:c r="H1381" s="7" t="n">
        <x:v>1199</x:v>
      </x:c>
      <x:c r="I1381" s="7" t="n">
        <x:v>87</x:v>
      </x:c>
      <x:c r="J1381" s="9" t="n">
        <x:v>19.3</x:v>
      </x:c>
      <x:c r="K1381" s="9" t="n">
        <x:v>7</x:v>
      </x:c>
      <x:c r="L1381" s="7" t="n">
        <x:v>2020</x:v>
      </x:c>
      <x:c r="M1381" s="11" t="n">
        <x:v>78270</x:v>
      </x:c>
      <x:c r="N1381" s="7" t="n">
        <x:v>2</x:v>
      </x:c>
      <x:c r="O1381" s="7" t="n">
        <x:v>1</x:v>
      </x:c>
      <x:c r="P1381" s="9" t="n">
        <x:v>1.5</x:v>
      </x:c>
      <x:c r="Q1381" s="7" t="n">
        <x:f>'Guide'!$B$5-L1381</x:f>
        <x:v>6</x:v>
      </x:c>
      <x:c r="R1381" s="9" t="n">
        <x:f>K1381-P1381</x:f>
        <x:v>5.5</x:v>
      </x:c>
      <x:c r="S1381" s="10" t="n">
        <x:f>IF(K1381&gt;0,R1381/K1381,"")</x:f>
        <x:v>0.7857142857142857</x:v>
      </x:c>
    </x:row>
    <x:row r="1382">
      <x:c r="A1382" s="7" t="n">
        <x:v>1378</x:v>
      </x:c>
      <x:c r="B1382" s="7" t="str">
        <x:v>Tata</x:v>
      </x:c>
      <x:c r="C1382" s="7" t="str">
        <x:v>Altroz</x:v>
      </x:c>
      <x:c r="D1382" s="7" t="str">
        <x:v>XE</x:v>
      </x:c>
      <x:c r="E1382" s="7" t="str">
        <x:v>Petrol</x:v>
      </x:c>
      <x:c r="F1382" s="7" t="str">
        <x:v>Manual</x:v>
      </x:c>
      <x:c r="G1382" s="7" t="str">
        <x:v>Hatchback</x:v>
      </x:c>
      <x:c r="H1382" s="7" t="n">
        <x:v>1199</x:v>
      </x:c>
      <x:c r="I1382" s="7" t="n">
        <x:v>87</x:v>
      </x:c>
      <x:c r="J1382" s="9" t="n">
        <x:v>19.3</x:v>
      </x:c>
      <x:c r="K1382" s="9" t="n">
        <x:v>7</x:v>
      </x:c>
      <x:c r="L1382" s="7" t="n">
        <x:v>2020</x:v>
      </x:c>
      <x:c r="M1382" s="11" t="n">
        <x:v>109550</x:v>
      </x:c>
      <x:c r="N1382" s="7" t="n">
        <x:v>1</x:v>
      </x:c>
      <x:c r="O1382" s="7" t="n">
        <x:v>0</x:v>
      </x:c>
      <x:c r="P1382" s="9" t="n">
        <x:v>2.85</x:v>
      </x:c>
      <x:c r="Q1382" s="7" t="n">
        <x:f>'Guide'!$B$5-L1382</x:f>
        <x:v>6</x:v>
      </x:c>
      <x:c r="R1382" s="9" t="n">
        <x:f>K1382-P1382</x:f>
        <x:v>4.15</x:v>
      </x:c>
      <x:c r="S1382" s="10" t="n">
        <x:f>IF(K1382&gt;0,R1382/K1382,"")</x:f>
        <x:v>0.5928571428571429</x:v>
      </x:c>
    </x:row>
    <x:row r="1383">
      <x:c r="A1383" s="7" t="n">
        <x:v>1379</x:v>
      </x:c>
      <x:c r="B1383" s="7" t="str">
        <x:v>Tata</x:v>
      </x:c>
      <x:c r="C1383" s="7" t="str">
        <x:v>Altroz</x:v>
      </x:c>
      <x:c r="D1383" s="7" t="str">
        <x:v>XE</x:v>
      </x:c>
      <x:c r="E1383" s="7" t="str">
        <x:v>Petrol</x:v>
      </x:c>
      <x:c r="F1383" s="7" t="str">
        <x:v>Manual</x:v>
      </x:c>
      <x:c r="G1383" s="7" t="str">
        <x:v>Hatchback</x:v>
      </x:c>
      <x:c r="H1383" s="7" t="n">
        <x:v>1199</x:v>
      </x:c>
      <x:c r="I1383" s="7" t="n">
        <x:v>87</x:v>
      </x:c>
      <x:c r="J1383" s="9" t="n">
        <x:v>19.3</x:v>
      </x:c>
      <x:c r="K1383" s="9" t="n">
        <x:v>7</x:v>
      </x:c>
      <x:c r="L1383" s="7" t="n">
        <x:v>2022</x:v>
      </x:c>
      <x:c r="M1383" s="11" t="n">
        <x:v>37139</x:v>
      </x:c>
      <x:c r="N1383" s="7" t="n">
        <x:v>1</x:v>
      </x:c>
      <x:c r="O1383" s="7" t="n">
        <x:v>0</x:v>
      </x:c>
      <x:c r="P1383" s="9" t="n">
        <x:v>4.64</x:v>
      </x:c>
      <x:c r="Q1383" s="7" t="n">
        <x:f>'Guide'!$B$5-L1383</x:f>
        <x:v>4</x:v>
      </x:c>
      <x:c r="R1383" s="9" t="n">
        <x:f>K1383-P1383</x:f>
        <x:v>2.3600000000000003</x:v>
      </x:c>
      <x:c r="S1383" s="10" t="n">
        <x:f>IF(K1383&gt;0,R1383/K1383,"")</x:f>
        <x:v>0.3371428571428572</x:v>
      </x:c>
    </x:row>
    <x:row r="1384">
      <x:c r="A1384" s="7" t="n">
        <x:v>1380</x:v>
      </x:c>
      <x:c r="B1384" s="7" t="str">
        <x:v>Tata</x:v>
      </x:c>
      <x:c r="C1384" s="7" t="str">
        <x:v>Altroz</x:v>
      </x:c>
      <x:c r="D1384" s="7" t="str">
        <x:v>XE</x:v>
      </x:c>
      <x:c r="E1384" s="7" t="str">
        <x:v>Petrol</x:v>
      </x:c>
      <x:c r="F1384" s="7" t="str">
        <x:v>Manual</x:v>
      </x:c>
      <x:c r="G1384" s="7" t="str">
        <x:v>Hatchback</x:v>
      </x:c>
      <x:c r="H1384" s="7" t="n">
        <x:v>1199</x:v>
      </x:c>
      <x:c r="I1384" s="7" t="n">
        <x:v>87</x:v>
      </x:c>
      <x:c r="J1384" s="9" t="n">
        <x:v>19.3</x:v>
      </x:c>
      <x:c r="K1384" s="9" t="n">
        <x:v>7</x:v>
      </x:c>
      <x:c r="L1384" s="7" t="n">
        <x:v>2020</x:v>
      </x:c>
      <x:c r="M1384" s="11" t="n">
        <x:v>53248</x:v>
      </x:c>
      <x:c r="N1384" s="7" t="n">
        <x:v>1</x:v>
      </x:c>
      <x:c r="O1384" s="7" t="n">
        <x:v>0</x:v>
      </x:c>
      <x:c r="P1384" s="9" t="n">
        <x:v>2.81</x:v>
      </x:c>
      <x:c r="Q1384" s="7" t="n">
        <x:f>'Guide'!$B$5-L1384</x:f>
        <x:v>6</x:v>
      </x:c>
      <x:c r="R1384" s="9" t="n">
        <x:f>K1384-P1384</x:f>
        <x:v>4.1899999999999995</x:v>
      </x:c>
      <x:c r="S1384" s="10" t="n">
        <x:f>IF(K1384&gt;0,R1384/K1384,"")</x:f>
        <x:v>0.5985714285714285</x:v>
      </x:c>
    </x:row>
    <x:row r="1385">
      <x:c r="A1385" s="7" t="n">
        <x:v>1381</x:v>
      </x:c>
      <x:c r="B1385" s="7" t="str">
        <x:v>Tata</x:v>
      </x:c>
      <x:c r="C1385" s="7" t="str">
        <x:v>Altroz</x:v>
      </x:c>
      <x:c r="D1385" s="7" t="str">
        <x:v>XE</x:v>
      </x:c>
      <x:c r="E1385" s="7" t="str">
        <x:v>Petrol</x:v>
      </x:c>
      <x:c r="F1385" s="7" t="str">
        <x:v>Manual</x:v>
      </x:c>
      <x:c r="G1385" s="7" t="str">
        <x:v>Hatchback</x:v>
      </x:c>
      <x:c r="H1385" s="7" t="n">
        <x:v>1199</x:v>
      </x:c>
      <x:c r="I1385" s="7" t="n">
        <x:v>87</x:v>
      </x:c>
      <x:c r="J1385" s="9" t="n">
        <x:v>19.3</x:v>
      </x:c>
      <x:c r="K1385" s="9" t="n">
        <x:v>7</x:v>
      </x:c>
      <x:c r="L1385" s="7" t="n">
        <x:v>2024</x:v>
      </x:c>
      <x:c r="M1385" s="11" t="n">
        <x:v>24716</x:v>
      </x:c>
      <x:c r="N1385" s="7" t="n">
        <x:v>3</x:v>
      </x:c>
      <x:c r="O1385" s="7" t="n">
        <x:v>0</x:v>
      </x:c>
      <x:c r="P1385" s="9" t="n">
        <x:v>4.79</x:v>
      </x:c>
      <x:c r="Q1385" s="7" t="n">
        <x:f>'Guide'!$B$5-L1385</x:f>
        <x:v>2</x:v>
      </x:c>
      <x:c r="R1385" s="9" t="n">
        <x:f>K1385-P1385</x:f>
        <x:v>2.21</x:v>
      </x:c>
      <x:c r="S1385" s="10" t="n">
        <x:f>IF(K1385&gt;0,R1385/K1385,"")</x:f>
        <x:v>0.3157142857142857</x:v>
      </x:c>
    </x:row>
    <x:row r="1386">
      <x:c r="A1386" s="7" t="n">
        <x:v>1382</x:v>
      </x:c>
      <x:c r="B1386" s="7" t="str">
        <x:v>Tata</x:v>
      </x:c>
      <x:c r="C1386" s="7" t="str">
        <x:v>Altroz</x:v>
      </x:c>
      <x:c r="D1386" s="7" t="str">
        <x:v>XE</x:v>
      </x:c>
      <x:c r="E1386" s="7" t="str">
        <x:v>Petrol</x:v>
      </x:c>
      <x:c r="F1386" s="7" t="str">
        <x:v>Manual</x:v>
      </x:c>
      <x:c r="G1386" s="7" t="str">
        <x:v>Hatchback</x:v>
      </x:c>
      <x:c r="H1386" s="7" t="n">
        <x:v>1199</x:v>
      </x:c>
      <x:c r="I1386" s="7" t="n">
        <x:v>87</x:v>
      </x:c>
      <x:c r="J1386" s="9" t="n">
        <x:v>19.3</x:v>
      </x:c>
      <x:c r="K1386" s="9" t="n">
        <x:v>7</x:v>
      </x:c>
      <x:c r="L1386" s="7" t="n">
        <x:v>2021</x:v>
      </x:c>
      <x:c r="M1386" s="11" t="n">
        <x:v>64251</x:v>
      </x:c>
      <x:c r="N1386" s="7" t="n">
        <x:v>1</x:v>
      </x:c>
      <x:c r="O1386" s="7" t="n">
        <x:v>0</x:v>
      </x:c>
      <x:c r="P1386" s="9" t="n">
        <x:v>3.28</x:v>
      </x:c>
      <x:c r="Q1386" s="7" t="n">
        <x:f>'Guide'!$B$5-L1386</x:f>
        <x:v>5</x:v>
      </x:c>
      <x:c r="R1386" s="9" t="n">
        <x:f>K1386-P1386</x:f>
        <x:v>3.72</x:v>
      </x:c>
      <x:c r="S1386" s="10" t="n">
        <x:f>IF(K1386&gt;0,R1386/K1386,"")</x:f>
        <x:v>0.5314285714285715</x:v>
      </x:c>
    </x:row>
    <x:row r="1387">
      <x:c r="A1387" s="7" t="n">
        <x:v>1383</x:v>
      </x:c>
      <x:c r="B1387" s="7" t="str">
        <x:v>Tata</x:v>
      </x:c>
      <x:c r="C1387" s="7" t="str">
        <x:v>Altroz</x:v>
      </x:c>
      <x:c r="D1387" s="7" t="str">
        <x:v>XE</x:v>
      </x:c>
      <x:c r="E1387" s="7" t="str">
        <x:v>Petrol</x:v>
      </x:c>
      <x:c r="F1387" s="7" t="str">
        <x:v>Manual</x:v>
      </x:c>
      <x:c r="G1387" s="7" t="str">
        <x:v>Hatchback</x:v>
      </x:c>
      <x:c r="H1387" s="7" t="n">
        <x:v>1199</x:v>
      </x:c>
      <x:c r="I1387" s="7" t="n">
        <x:v>87</x:v>
      </x:c>
      <x:c r="J1387" s="9" t="n">
        <x:v>19.3</x:v>
      </x:c>
      <x:c r="K1387" s="9" t="n">
        <x:v>7</x:v>
      </x:c>
      <x:c r="L1387" s="7" t="n">
        <x:v>2025</x:v>
      </x:c>
      <x:c r="M1387" s="11" t="n">
        <x:v>23290</x:v>
      </x:c>
      <x:c r="N1387" s="7" t="n">
        <x:v>1</x:v>
      </x:c>
      <x:c r="O1387" s="7" t="n">
        <x:v>0</x:v>
      </x:c>
      <x:c r="P1387" s="9" t="n">
        <x:v>6.48</x:v>
      </x:c>
      <x:c r="Q1387" s="7" t="n">
        <x:f>'Guide'!$B$5-L1387</x:f>
        <x:v>1</x:v>
      </x:c>
      <x:c r="R1387" s="9" t="n">
        <x:f>K1387-P1387</x:f>
        <x:v>0.5199999999999996</x:v>
      </x:c>
      <x:c r="S1387" s="10" t="n">
        <x:f>IF(K1387&gt;0,R1387/K1387,"")</x:f>
        <x:v>0.07428571428571422</x:v>
      </x:c>
    </x:row>
    <x:row r="1388">
      <x:c r="A1388" s="7" t="n">
        <x:v>1384</x:v>
      </x:c>
      <x:c r="B1388" s="7" t="str">
        <x:v>Tata</x:v>
      </x:c>
      <x:c r="C1388" s="7" t="str">
        <x:v>Altroz</x:v>
      </x:c>
      <x:c r="D1388" s="7" t="str">
        <x:v>XE</x:v>
      </x:c>
      <x:c r="E1388" s="7" t="str">
        <x:v>Petrol</x:v>
      </x:c>
      <x:c r="F1388" s="7" t="str">
        <x:v>Manual</x:v>
      </x:c>
      <x:c r="G1388" s="7" t="str">
        <x:v>Hatchback</x:v>
      </x:c>
      <x:c r="H1388" s="7" t="n">
        <x:v>1199</x:v>
      </x:c>
      <x:c r="I1388" s="7" t="n">
        <x:v>87</x:v>
      </x:c>
      <x:c r="J1388" s="9" t="n">
        <x:v>19.3</x:v>
      </x:c>
      <x:c r="K1388" s="9" t="n">
        <x:v>7</x:v>
      </x:c>
      <x:c r="L1388" s="7" t="n">
        <x:v>2021</x:v>
      </x:c>
      <x:c r="M1388" s="11" t="n">
        <x:v>49310</x:v>
      </x:c>
      <x:c r="N1388" s="7" t="n">
        <x:v>2</x:v>
      </x:c>
      <x:c r="O1388" s="7" t="n">
        <x:v>0</x:v>
      </x:c>
      <x:c r="P1388" s="9" t="n">
        <x:v>3.57</x:v>
      </x:c>
      <x:c r="Q1388" s="7" t="n">
        <x:f>'Guide'!$B$5-L1388</x:f>
        <x:v>5</x:v>
      </x:c>
      <x:c r="R1388" s="9" t="n">
        <x:f>K1388-P1388</x:f>
        <x:v>3.43</x:v>
      </x:c>
      <x:c r="S1388" s="10" t="n">
        <x:f>IF(K1388&gt;0,R1388/K1388,"")</x:f>
        <x:v>0.49000000000000005</x:v>
      </x:c>
    </x:row>
    <x:row r="1389">
      <x:c r="A1389" s="7" t="n">
        <x:v>1385</x:v>
      </x:c>
      <x:c r="B1389" s="7" t="str">
        <x:v>Tata</x:v>
      </x:c>
      <x:c r="C1389" s="7" t="str">
        <x:v>Altroz</x:v>
      </x:c>
      <x:c r="D1389" s="7" t="str">
        <x:v>XE</x:v>
      </x:c>
      <x:c r="E1389" s="7" t="str">
        <x:v>Petrol</x:v>
      </x:c>
      <x:c r="F1389" s="7" t="str">
        <x:v>Manual</x:v>
      </x:c>
      <x:c r="G1389" s="7" t="str">
        <x:v>Hatchback</x:v>
      </x:c>
      <x:c r="H1389" s="7" t="n">
        <x:v>1199</x:v>
      </x:c>
      <x:c r="I1389" s="7" t="n">
        <x:v>87</x:v>
      </x:c>
      <x:c r="J1389" s="9" t="n">
        <x:v>19.3</x:v>
      </x:c>
      <x:c r="K1389" s="9" t="n">
        <x:v>7</x:v>
      </x:c>
      <x:c r="L1389" s="7" t="n">
        <x:v>2026</x:v>
      </x:c>
      <x:c r="M1389" s="11" t="n">
        <x:v>8815</x:v>
      </x:c>
      <x:c r="N1389" s="7" t="n">
        <x:v>2</x:v>
      </x:c>
      <x:c r="O1389" s="7" t="n">
        <x:v>0</x:v>
      </x:c>
      <x:c r="P1389" s="9" t="n">
        <x:v>6.4</x:v>
      </x:c>
      <x:c r="Q1389" s="7" t="n">
        <x:f>'Guide'!$B$5-L1389</x:f>
        <x:v>0</x:v>
      </x:c>
      <x:c r="R1389" s="9" t="n">
        <x:f>K1389-P1389</x:f>
        <x:v>0.5999999999999996</x:v>
      </x:c>
      <x:c r="S1389" s="10" t="n">
        <x:f>IF(K1389&gt;0,R1389/K1389,"")</x:f>
        <x:v>0.08571428571428566</x:v>
      </x:c>
    </x:row>
    <x:row r="1390">
      <x:c r="A1390" s="7" t="n">
        <x:v>1386</x:v>
      </x:c>
      <x:c r="B1390" s="7" t="str">
        <x:v>Tata</x:v>
      </x:c>
      <x:c r="C1390" s="7" t="str">
        <x:v>Altroz</x:v>
      </x:c>
      <x:c r="D1390" s="7" t="str">
        <x:v>XE</x:v>
      </x:c>
      <x:c r="E1390" s="7" t="str">
        <x:v>Petrol</x:v>
      </x:c>
      <x:c r="F1390" s="7" t="str">
        <x:v>Manual</x:v>
      </x:c>
      <x:c r="G1390" s="7" t="str">
        <x:v>Hatchback</x:v>
      </x:c>
      <x:c r="H1390" s="7" t="n">
        <x:v>1199</x:v>
      </x:c>
      <x:c r="I1390" s="7" t="n">
        <x:v>87</x:v>
      </x:c>
      <x:c r="J1390" s="9" t="n">
        <x:v>19.3</x:v>
      </x:c>
      <x:c r="K1390" s="9" t="n">
        <x:v>7</x:v>
      </x:c>
      <x:c r="L1390" s="7" t="n">
        <x:v>2022</x:v>
      </x:c>
      <x:c r="M1390" s="11" t="n">
        <x:v>61386</x:v>
      </x:c>
      <x:c r="N1390" s="7" t="n">
        <x:v>1</x:v>
      </x:c>
      <x:c r="O1390" s="7" t="n">
        <x:v>0</x:v>
      </x:c>
      <x:c r="P1390" s="9" t="n">
        <x:v>4.61</x:v>
      </x:c>
      <x:c r="Q1390" s="7" t="n">
        <x:f>'Guide'!$B$5-L1390</x:f>
        <x:v>4</x:v>
      </x:c>
      <x:c r="R1390" s="9" t="n">
        <x:f>K1390-P1390</x:f>
        <x:v>2.3899999999999997</x:v>
      </x:c>
      <x:c r="S1390" s="10" t="n">
        <x:f>IF(K1390&gt;0,R1390/K1390,"")</x:f>
        <x:v>0.34142857142857136</x:v>
      </x:c>
    </x:row>
    <x:row r="1391">
      <x:c r="A1391" s="7" t="n">
        <x:v>1387</x:v>
      </x:c>
      <x:c r="B1391" s="7" t="str">
        <x:v>Tata</x:v>
      </x:c>
      <x:c r="C1391" s="7" t="str">
        <x:v>Altroz</x:v>
      </x:c>
      <x:c r="D1391" s="7" t="str">
        <x:v>XE</x:v>
      </x:c>
      <x:c r="E1391" s="7" t="str">
        <x:v>Petrol</x:v>
      </x:c>
      <x:c r="F1391" s="7" t="str">
        <x:v>Manual</x:v>
      </x:c>
      <x:c r="G1391" s="7" t="str">
        <x:v>Hatchback</x:v>
      </x:c>
      <x:c r="H1391" s="7" t="n">
        <x:v>1199</x:v>
      </x:c>
      <x:c r="I1391" s="7" t="n">
        <x:v>87</x:v>
      </x:c>
      <x:c r="J1391" s="9" t="n">
        <x:v>19.3</x:v>
      </x:c>
      <x:c r="K1391" s="9" t="n">
        <x:v>7</x:v>
      </x:c>
      <x:c r="L1391" s="7" t="n">
        <x:v>2021</x:v>
      </x:c>
      <x:c r="M1391" s="11" t="n">
        <x:v>44472</x:v>
      </x:c>
      <x:c r="N1391" s="7" t="n">
        <x:v>1</x:v>
      </x:c>
      <x:c r="O1391" s="7" t="n">
        <x:v>0</x:v>
      </x:c>
      <x:c r="P1391" s="9" t="n">
        <x:v>3.65</x:v>
      </x:c>
      <x:c r="Q1391" s="7" t="n">
        <x:f>'Guide'!$B$5-L1391</x:f>
        <x:v>5</x:v>
      </x:c>
      <x:c r="R1391" s="9" t="n">
        <x:f>K1391-P1391</x:f>
        <x:v>3.35</x:v>
      </x:c>
      <x:c r="S1391" s="10" t="n">
        <x:f>IF(K1391&gt;0,R1391/K1391,"")</x:f>
        <x:v>0.4785714285714286</x:v>
      </x:c>
    </x:row>
    <x:row r="1392">
      <x:c r="A1392" s="7" t="n">
        <x:v>1388</x:v>
      </x:c>
      <x:c r="B1392" s="7" t="str">
        <x:v>Tata</x:v>
      </x:c>
      <x:c r="C1392" s="7" t="str">
        <x:v>Altroz</x:v>
      </x:c>
      <x:c r="D1392" s="7" t="str">
        <x:v>XE</x:v>
      </x:c>
      <x:c r="E1392" s="7" t="str">
        <x:v>Petrol</x:v>
      </x:c>
      <x:c r="F1392" s="7" t="str">
        <x:v>Manual</x:v>
      </x:c>
      <x:c r="G1392" s="7" t="str">
        <x:v>Hatchback</x:v>
      </x:c>
      <x:c r="H1392" s="7" t="n">
        <x:v>1199</x:v>
      </x:c>
      <x:c r="I1392" s="7" t="n">
        <x:v>87</x:v>
      </x:c>
      <x:c r="J1392" s="9" t="n">
        <x:v>19.3</x:v>
      </x:c>
      <x:c r="K1392" s="9" t="n">
        <x:v>7</x:v>
      </x:c>
      <x:c r="L1392" s="7" t="n">
        <x:v>2020</x:v>
      </x:c>
      <x:c r="M1392" s="11" t="n">
        <x:v>82890</x:v>
      </x:c>
      <x:c r="N1392" s="7" t="n">
        <x:v>2</x:v>
      </x:c>
      <x:c r="O1392" s="7" t="n">
        <x:v>0</x:v>
      </x:c>
      <x:c r="P1392" s="9" t="n">
        <x:v>2.8</x:v>
      </x:c>
      <x:c r="Q1392" s="7" t="n">
        <x:f>'Guide'!$B$5-L1392</x:f>
        <x:v>6</x:v>
      </x:c>
      <x:c r="R1392" s="9" t="n">
        <x:f>K1392-P1392</x:f>
        <x:v>4.2</x:v>
      </x:c>
      <x:c r="S1392" s="10" t="n">
        <x:f>IF(K1392&gt;0,R1392/K1392,"")</x:f>
        <x:v>0.6</x:v>
      </x:c>
    </x:row>
    <x:row r="1393">
      <x:c r="A1393" s="7" t="n">
        <x:v>1389</x:v>
      </x:c>
      <x:c r="B1393" s="7" t="str">
        <x:v>Tata</x:v>
      </x:c>
      <x:c r="C1393" s="7" t="str">
        <x:v>Altroz</x:v>
      </x:c>
      <x:c r="D1393" s="7" t="str">
        <x:v>XE</x:v>
      </x:c>
      <x:c r="E1393" s="7" t="str">
        <x:v>Petrol</x:v>
      </x:c>
      <x:c r="F1393" s="7" t="str">
        <x:v>Manual</x:v>
      </x:c>
      <x:c r="G1393" s="7" t="str">
        <x:v>Hatchback</x:v>
      </x:c>
      <x:c r="H1393" s="7" t="n">
        <x:v>1199</x:v>
      </x:c>
      <x:c r="I1393" s="7" t="n">
        <x:v>87</x:v>
      </x:c>
      <x:c r="J1393" s="9" t="n">
        <x:v>19.3</x:v>
      </x:c>
      <x:c r="K1393" s="9" t="n">
        <x:v>7</x:v>
      </x:c>
      <x:c r="L1393" s="7" t="n">
        <x:v>2022</x:v>
      </x:c>
      <x:c r="M1393" s="11" t="n">
        <x:v>57607</x:v>
      </x:c>
      <x:c r="N1393" s="7" t="n">
        <x:v>1</x:v>
      </x:c>
      <x:c r="O1393" s="7" t="n">
        <x:v>1</x:v>
      </x:c>
      <x:c r="P1393" s="9" t="n">
        <x:v>3.7</x:v>
      </x:c>
      <x:c r="Q1393" s="7" t="n">
        <x:f>'Guide'!$B$5-L1393</x:f>
        <x:v>4</x:v>
      </x:c>
      <x:c r="R1393" s="9" t="n">
        <x:f>K1393-P1393</x:f>
        <x:v>3.3</x:v>
      </x:c>
      <x:c r="S1393" s="10" t="n">
        <x:f>IF(K1393&gt;0,R1393/K1393,"")</x:f>
        <x:v>0.4714285714285714</x:v>
      </x:c>
    </x:row>
    <x:row r="1394">
      <x:c r="A1394" s="7" t="n">
        <x:v>1390</x:v>
      </x:c>
      <x:c r="B1394" s="7" t="str">
        <x:v>Tata</x:v>
      </x:c>
      <x:c r="C1394" s="7" t="str">
        <x:v>Altroz</x:v>
      </x:c>
      <x:c r="D1394" s="7" t="str">
        <x:v>XE</x:v>
      </x:c>
      <x:c r="E1394" s="7" t="str">
        <x:v>Petrol</x:v>
      </x:c>
      <x:c r="F1394" s="7" t="str">
        <x:v>Manual</x:v>
      </x:c>
      <x:c r="G1394" s="7" t="str">
        <x:v>Hatchback</x:v>
      </x:c>
      <x:c r="H1394" s="7" t="n">
        <x:v>1199</x:v>
      </x:c>
      <x:c r="I1394" s="7" t="n">
        <x:v>87</x:v>
      </x:c>
      <x:c r="J1394" s="9" t="n">
        <x:v>19.3</x:v>
      </x:c>
      <x:c r="K1394" s="9" t="n">
        <x:v>7</x:v>
      </x:c>
      <x:c r="L1394" s="7" t="n">
        <x:v>2024</x:v>
      </x:c>
      <x:c r="M1394" s="11" t="n">
        <x:v>38822</x:v>
      </x:c>
      <x:c r="N1394" s="7" t="n">
        <x:v>2</x:v>
      </x:c>
      <x:c r="O1394" s="7" t="n">
        <x:v>0</x:v>
      </x:c>
      <x:c r="P1394" s="9" t="n">
        <x:v>5.51</x:v>
      </x:c>
      <x:c r="Q1394" s="7" t="n">
        <x:f>'Guide'!$B$5-L1394</x:f>
        <x:v>2</x:v>
      </x:c>
      <x:c r="R1394" s="9" t="n">
        <x:f>K1394-P1394</x:f>
        <x:v>1.4900000000000002</x:v>
      </x:c>
      <x:c r="S1394" s="10" t="n">
        <x:f>IF(K1394&gt;0,R1394/K1394,"")</x:f>
        <x:v>0.21285714285714288</x:v>
      </x:c>
    </x:row>
    <x:row r="1395">
      <x:c r="A1395" s="7" t="n">
        <x:v>1391</x:v>
      </x:c>
      <x:c r="B1395" s="7" t="str">
        <x:v>Tata</x:v>
      </x:c>
      <x:c r="C1395" s="7" t="str">
        <x:v>Altroz</x:v>
      </x:c>
      <x:c r="D1395" s="7" t="str">
        <x:v>XE</x:v>
      </x:c>
      <x:c r="E1395" s="7" t="str">
        <x:v>Petrol</x:v>
      </x:c>
      <x:c r="F1395" s="7" t="str">
        <x:v>Manual</x:v>
      </x:c>
      <x:c r="G1395" s="7" t="str">
        <x:v>Hatchback</x:v>
      </x:c>
      <x:c r="H1395" s="7" t="n">
        <x:v>1199</x:v>
      </x:c>
      <x:c r="I1395" s="7" t="n">
        <x:v>87</x:v>
      </x:c>
      <x:c r="J1395" s="9" t="n">
        <x:v>19.3</x:v>
      </x:c>
      <x:c r="K1395" s="9" t="n">
        <x:v>7</x:v>
      </x:c>
      <x:c r="L1395" s="7" t="n">
        <x:v>2025</x:v>
      </x:c>
      <x:c r="M1395" s="11" t="n">
        <x:v>12948</x:v>
      </x:c>
      <x:c r="N1395" s="7" t="n">
        <x:v>3</x:v>
      </x:c>
      <x:c r="O1395" s="7" t="n">
        <x:v>0</x:v>
      </x:c>
      <x:c r="P1395" s="9" t="n">
        <x:v>5.33</x:v>
      </x:c>
      <x:c r="Q1395" s="7" t="n">
        <x:f>'Guide'!$B$5-L1395</x:f>
        <x:v>1</x:v>
      </x:c>
      <x:c r="R1395" s="9" t="n">
        <x:f>K1395-P1395</x:f>
        <x:v>1.67</x:v>
      </x:c>
      <x:c r="S1395" s="10" t="n">
        <x:f>IF(K1395&gt;0,R1395/K1395,"")</x:f>
        <x:v>0.23857142857142857</x:v>
      </x:c>
    </x:row>
    <x:row r="1396">
      <x:c r="A1396" s="7" t="n">
        <x:v>1392</x:v>
      </x:c>
      <x:c r="B1396" s="7" t="str">
        <x:v>Tata</x:v>
      </x:c>
      <x:c r="C1396" s="7" t="str">
        <x:v>Altroz</x:v>
      </x:c>
      <x:c r="D1396" s="7" t="str">
        <x:v>XE</x:v>
      </x:c>
      <x:c r="E1396" s="7" t="str">
        <x:v>Petrol</x:v>
      </x:c>
      <x:c r="F1396" s="7" t="str">
        <x:v>Manual</x:v>
      </x:c>
      <x:c r="G1396" s="7" t="str">
        <x:v>Hatchback</x:v>
      </x:c>
      <x:c r="H1396" s="7" t="n">
        <x:v>1199</x:v>
      </x:c>
      <x:c r="I1396" s="7" t="n">
        <x:v>87</x:v>
      </x:c>
      <x:c r="J1396" s="9" t="n">
        <x:v>19.3</x:v>
      </x:c>
      <x:c r="K1396" s="9" t="n">
        <x:v>7</x:v>
      </x:c>
      <x:c r="L1396" s="7" t="n">
        <x:v>2026</x:v>
      </x:c>
      <x:c r="M1396" s="11" t="n">
        <x:v>5442</x:v>
      </x:c>
      <x:c r="N1396" s="7" t="n">
        <x:v>1</x:v>
      </x:c>
      <x:c r="O1396" s="7" t="n">
        <x:v>0</x:v>
      </x:c>
      <x:c r="P1396" s="9" t="n">
        <x:v>7.33</x:v>
      </x:c>
      <x:c r="Q1396" s="7" t="n">
        <x:f>'Guide'!$B$5-L1396</x:f>
        <x:v>0</x:v>
      </x:c>
      <x:c r="R1396" s="9" t="n">
        <x:f>K1396-P1396</x:f>
        <x:v>-0.33000000000000007</x:v>
      </x:c>
      <x:c r="S1396" s="10" t="n">
        <x:f>IF(K1396&gt;0,R1396/K1396,"")</x:f>
        <x:v>-0.04714285714285715</x:v>
      </x:c>
    </x:row>
    <x:row r="1397">
      <x:c r="A1397" s="7" t="n">
        <x:v>1393</x:v>
      </x:c>
      <x:c r="B1397" s="7" t="str">
        <x:v>Tata</x:v>
      </x:c>
      <x:c r="C1397" s="7" t="str">
        <x:v>Altroz</x:v>
      </x:c>
      <x:c r="D1397" s="7" t="str">
        <x:v>XE</x:v>
      </x:c>
      <x:c r="E1397" s="7" t="str">
        <x:v>Petrol</x:v>
      </x:c>
      <x:c r="F1397" s="7" t="str">
        <x:v>Manual</x:v>
      </x:c>
      <x:c r="G1397" s="7" t="str">
        <x:v>Hatchback</x:v>
      </x:c>
      <x:c r="H1397" s="7" t="n">
        <x:v>1199</x:v>
      </x:c>
      <x:c r="I1397" s="7" t="n">
        <x:v>87</x:v>
      </x:c>
      <x:c r="J1397" s="9" t="n">
        <x:v>19.3</x:v>
      </x:c>
      <x:c r="K1397" s="9" t="n">
        <x:v>7</x:v>
      </x:c>
      <x:c r="L1397" s="7" t="n">
        <x:v>2026</x:v>
      </x:c>
      <x:c r="M1397" s="11" t="n">
        <x:v>9586</x:v>
      </x:c>
      <x:c r="N1397" s="7" t="n">
        <x:v>1</x:v>
      </x:c>
      <x:c r="O1397" s="7" t="n">
        <x:v>0</x:v>
      </x:c>
      <x:c r="P1397" s="9" t="n">
        <x:v>7.31</x:v>
      </x:c>
      <x:c r="Q1397" s="7" t="n">
        <x:f>'Guide'!$B$5-L1397</x:f>
        <x:v>0</x:v>
      </x:c>
      <x:c r="R1397" s="9" t="n">
        <x:f>K1397-P1397</x:f>
        <x:v>-0.3099999999999996</x:v>
      </x:c>
      <x:c r="S1397" s="10" t="n">
        <x:f>IF(K1397&gt;0,R1397/K1397,"")</x:f>
        <x:v>-0.04428571428571423</x:v>
      </x:c>
    </x:row>
    <x:row r="1398">
      <x:c r="A1398" s="7" t="n">
        <x:v>1394</x:v>
      </x:c>
      <x:c r="B1398" s="7" t="str">
        <x:v>Tata</x:v>
      </x:c>
      <x:c r="C1398" s="7" t="str">
        <x:v>Altroz</x:v>
      </x:c>
      <x:c r="D1398" s="7" t="str">
        <x:v>XE</x:v>
      </x:c>
      <x:c r="E1398" s="7" t="str">
        <x:v>Petrol</x:v>
      </x:c>
      <x:c r="F1398" s="7" t="str">
        <x:v>Manual</x:v>
      </x:c>
      <x:c r="G1398" s="7" t="str">
        <x:v>Hatchback</x:v>
      </x:c>
      <x:c r="H1398" s="7" t="n">
        <x:v>1199</x:v>
      </x:c>
      <x:c r="I1398" s="7" t="n">
        <x:v>87</x:v>
      </x:c>
      <x:c r="J1398" s="9" t="n">
        <x:v>19.3</x:v>
      </x:c>
      <x:c r="K1398" s="9" t="n">
        <x:v>7</x:v>
      </x:c>
      <x:c r="L1398" s="7" t="n">
        <x:v>2026</x:v>
      </x:c>
      <x:c r="M1398" s="11" t="n">
        <x:v>6454</x:v>
      </x:c>
      <x:c r="N1398" s="7" t="n">
        <x:v>2</x:v>
      </x:c>
      <x:c r="O1398" s="7" t="n">
        <x:v>1</x:v>
      </x:c>
      <x:c r="P1398" s="9" t="n">
        <x:v>5.95</x:v>
      </x:c>
      <x:c r="Q1398" s="7" t="n">
        <x:f>'Guide'!$B$5-L1398</x:f>
        <x:v>0</x:v>
      </x:c>
      <x:c r="R1398" s="9" t="n">
        <x:f>K1398-P1398</x:f>
        <x:v>1.0499999999999998</x:v>
      </x:c>
      <x:c r="S1398" s="10" t="n">
        <x:f>IF(K1398&gt;0,R1398/K1398,"")</x:f>
        <x:v>0.14999999999999997</x:v>
      </x:c>
    </x:row>
    <x:row r="1399">
      <x:c r="A1399" s="7" t="n">
        <x:v>1395</x:v>
      </x:c>
      <x:c r="B1399" s="7" t="str">
        <x:v>Tata</x:v>
      </x:c>
      <x:c r="C1399" s="7" t="str">
        <x:v>Altroz</x:v>
      </x:c>
      <x:c r="D1399" s="7" t="str">
        <x:v>XE</x:v>
      </x:c>
      <x:c r="E1399" s="7" t="str">
        <x:v>Petrol</x:v>
      </x:c>
      <x:c r="F1399" s="7" t="str">
        <x:v>Manual</x:v>
      </x:c>
      <x:c r="G1399" s="7" t="str">
        <x:v>Hatchback</x:v>
      </x:c>
      <x:c r="H1399" s="7" t="n">
        <x:v>1199</x:v>
      </x:c>
      <x:c r="I1399" s="7" t="n">
        <x:v>87</x:v>
      </x:c>
      <x:c r="J1399" s="9" t="n">
        <x:v>19.3</x:v>
      </x:c>
      <x:c r="K1399" s="9" t="n">
        <x:v>7</x:v>
      </x:c>
      <x:c r="L1399" s="7" t="n">
        <x:v>2020</x:v>
      </x:c>
      <x:c r="M1399" s="11" t="n">
        <x:v>65123</x:v>
      </x:c>
      <x:c r="N1399" s="7" t="n">
        <x:v>1</x:v>
      </x:c>
      <x:c r="O1399" s="7" t="n">
        <x:v>0</x:v>
      </x:c>
      <x:c r="P1399" s="9" t="n">
        <x:v>3.22</x:v>
      </x:c>
      <x:c r="Q1399" s="7" t="n">
        <x:f>'Guide'!$B$5-L1399</x:f>
        <x:v>6</x:v>
      </x:c>
      <x:c r="R1399" s="9" t="n">
        <x:f>K1399-P1399</x:f>
        <x:v>3.78</x:v>
      </x:c>
      <x:c r="S1399" s="10" t="n">
        <x:f>IF(K1399&gt;0,R1399/K1399,"")</x:f>
        <x:v>0.5399999999999999</x:v>
      </x:c>
    </x:row>
    <x:row r="1400">
      <x:c r="A1400" s="7" t="n">
        <x:v>1396</x:v>
      </x:c>
      <x:c r="B1400" s="7" t="str">
        <x:v>Tata</x:v>
      </x:c>
      <x:c r="C1400" s="7" t="str">
        <x:v>Altroz</x:v>
      </x:c>
      <x:c r="D1400" s="7" t="str">
        <x:v>XE</x:v>
      </x:c>
      <x:c r="E1400" s="7" t="str">
        <x:v>Petrol</x:v>
      </x:c>
      <x:c r="F1400" s="7" t="str">
        <x:v>Manual</x:v>
      </x:c>
      <x:c r="G1400" s="7" t="str">
        <x:v>Hatchback</x:v>
      </x:c>
      <x:c r="H1400" s="7" t="n">
        <x:v>1199</x:v>
      </x:c>
      <x:c r="I1400" s="7" t="n">
        <x:v>87</x:v>
      </x:c>
      <x:c r="J1400" s="9" t="n">
        <x:v>19.3</x:v>
      </x:c>
      <x:c r="K1400" s="9" t="n">
        <x:v>7</x:v>
      </x:c>
      <x:c r="L1400" s="7" t="n">
        <x:v>2026</x:v>
      </x:c>
      <x:c r="M1400" s="11" t="n">
        <x:v>6195</x:v>
      </x:c>
      <x:c r="N1400" s="7" t="n">
        <x:v>1</x:v>
      </x:c>
      <x:c r="O1400" s="7" t="n">
        <x:v>0</x:v>
      </x:c>
      <x:c r="P1400" s="9" t="n">
        <x:v>7.02</x:v>
      </x:c>
      <x:c r="Q1400" s="7" t="n">
        <x:f>'Guide'!$B$5-L1400</x:f>
        <x:v>0</x:v>
      </x:c>
      <x:c r="R1400" s="9" t="n">
        <x:f>K1400-P1400</x:f>
        <x:v>-0.019999999999999574</x:v>
      </x:c>
      <x:c r="S1400" s="10" t="n">
        <x:f>IF(K1400&gt;0,R1400/K1400,"")</x:f>
        <x:v>-0.0028571428571427964</x:v>
      </x:c>
    </x:row>
    <x:row r="1401">
      <x:c r="A1401" s="7" t="n">
        <x:v>1397</x:v>
      </x:c>
      <x:c r="B1401" s="7" t="str">
        <x:v>Tata</x:v>
      </x:c>
      <x:c r="C1401" s="7" t="str">
        <x:v>Altroz</x:v>
      </x:c>
      <x:c r="D1401" s="7" t="str">
        <x:v>XE</x:v>
      </x:c>
      <x:c r="E1401" s="7" t="str">
        <x:v>Petrol</x:v>
      </x:c>
      <x:c r="F1401" s="7" t="str">
        <x:v>Manual</x:v>
      </x:c>
      <x:c r="G1401" s="7" t="str">
        <x:v>Hatchback</x:v>
      </x:c>
      <x:c r="H1401" s="7" t="n">
        <x:v>1199</x:v>
      </x:c>
      <x:c r="I1401" s="7" t="n">
        <x:v>87</x:v>
      </x:c>
      <x:c r="J1401" s="9" t="n">
        <x:v>19.3</x:v>
      </x:c>
      <x:c r="K1401" s="9" t="n">
        <x:v>7</x:v>
      </x:c>
      <x:c r="L1401" s="7" t="n">
        <x:v>2023</x:v>
      </x:c>
      <x:c r="M1401" s="11" t="n">
        <x:v>48680</x:v>
      </x:c>
      <x:c r="N1401" s="7" t="n">
        <x:v>1</x:v>
      </x:c>
      <x:c r="O1401" s="7" t="n">
        <x:v>0</x:v>
      </x:c>
      <x:c r="P1401" s="9" t="n">
        <x:v>5.14</x:v>
      </x:c>
      <x:c r="Q1401" s="7" t="n">
        <x:f>'Guide'!$B$5-L1401</x:f>
        <x:v>3</x:v>
      </x:c>
      <x:c r="R1401" s="9" t="n">
        <x:f>K1401-P1401</x:f>
        <x:v>1.8600000000000003</x:v>
      </x:c>
      <x:c r="S1401" s="10" t="n">
        <x:f>IF(K1401&gt;0,R1401/K1401,"")</x:f>
        <x:v>0.26571428571428574</x:v>
      </x:c>
    </x:row>
    <x:row r="1402">
      <x:c r="A1402" s="7" t="n">
        <x:v>1398</x:v>
      </x:c>
      <x:c r="B1402" s="7" t="str">
        <x:v>Tata</x:v>
      </x:c>
      <x:c r="C1402" s="7" t="str">
        <x:v>Altroz</x:v>
      </x:c>
      <x:c r="D1402" s="7" t="str">
        <x:v>XE</x:v>
      </x:c>
      <x:c r="E1402" s="7" t="str">
        <x:v>Petrol</x:v>
      </x:c>
      <x:c r="F1402" s="7" t="str">
        <x:v>Manual</x:v>
      </x:c>
      <x:c r="G1402" s="7" t="str">
        <x:v>Hatchback</x:v>
      </x:c>
      <x:c r="H1402" s="7" t="n">
        <x:v>1199</x:v>
      </x:c>
      <x:c r="I1402" s="7" t="n">
        <x:v>87</x:v>
      </x:c>
      <x:c r="J1402" s="9" t="n">
        <x:v>19.3</x:v>
      </x:c>
      <x:c r="K1402" s="9" t="n">
        <x:v>7</x:v>
      </x:c>
      <x:c r="L1402" s="7" t="n">
        <x:v>2024</x:v>
      </x:c>
      <x:c r="M1402" s="11" t="n">
        <x:v>29543</x:v>
      </x:c>
      <x:c r="N1402" s="7" t="n">
        <x:v>1</x:v>
      </x:c>
      <x:c r="O1402" s="7" t="n">
        <x:v>0</x:v>
      </x:c>
      <x:c r="P1402" s="9" t="n">
        <x:v>5.44</x:v>
      </x:c>
      <x:c r="Q1402" s="7" t="n">
        <x:f>'Guide'!$B$5-L1402</x:f>
        <x:v>2</x:v>
      </x:c>
      <x:c r="R1402" s="9" t="n">
        <x:f>K1402-P1402</x:f>
        <x:v>1.5599999999999996</x:v>
      </x:c>
      <x:c r="S1402" s="10" t="n">
        <x:f>IF(K1402&gt;0,R1402/K1402,"")</x:f>
        <x:v>0.2228571428571428</x:v>
      </x:c>
    </x:row>
    <x:row r="1403">
      <x:c r="A1403" s="7" t="n">
        <x:v>1399</x:v>
      </x:c>
      <x:c r="B1403" s="7" t="str">
        <x:v>Tata</x:v>
      </x:c>
      <x:c r="C1403" s="7" t="str">
        <x:v>Altroz</x:v>
      </x:c>
      <x:c r="D1403" s="7" t="str">
        <x:v>XE</x:v>
      </x:c>
      <x:c r="E1403" s="7" t="str">
        <x:v>Petrol</x:v>
      </x:c>
      <x:c r="F1403" s="7" t="str">
        <x:v>Manual</x:v>
      </x:c>
      <x:c r="G1403" s="7" t="str">
        <x:v>Hatchback</x:v>
      </x:c>
      <x:c r="H1403" s="7" t="n">
        <x:v>1199</x:v>
      </x:c>
      <x:c r="I1403" s="7" t="n">
        <x:v>87</x:v>
      </x:c>
      <x:c r="J1403" s="9" t="n">
        <x:v>19.3</x:v>
      </x:c>
      <x:c r="K1403" s="9" t="n">
        <x:v>7</x:v>
      </x:c>
      <x:c r="L1403" s="7" t="n">
        <x:v>2022</x:v>
      </x:c>
      <x:c r="M1403" s="11" t="n">
        <x:v>37153</x:v>
      </x:c>
      <x:c r="N1403" s="7" t="n">
        <x:v>1</x:v>
      </x:c>
      <x:c r="O1403" s="7" t="n">
        <x:v>0</x:v>
      </x:c>
      <x:c r="P1403" s="9" t="n">
        <x:v>4.59</x:v>
      </x:c>
      <x:c r="Q1403" s="7" t="n">
        <x:f>'Guide'!$B$5-L1403</x:f>
        <x:v>4</x:v>
      </x:c>
      <x:c r="R1403" s="9" t="n">
        <x:f>K1403-P1403</x:f>
        <x:v>2.41</x:v>
      </x:c>
      <x:c r="S1403" s="10" t="n">
        <x:f>IF(K1403&gt;0,R1403/K1403,"")</x:f>
        <x:v>0.3442857142857143</x:v>
      </x:c>
    </x:row>
    <x:row r="1404">
      <x:c r="A1404" s="7" t="n">
        <x:v>1400</x:v>
      </x:c>
      <x:c r="B1404" s="7" t="str">
        <x:v>Tata</x:v>
      </x:c>
      <x:c r="C1404" s="7" t="str">
        <x:v>Altroz</x:v>
      </x:c>
      <x:c r="D1404" s="7" t="str">
        <x:v>XE</x:v>
      </x:c>
      <x:c r="E1404" s="7" t="str">
        <x:v>Petrol</x:v>
      </x:c>
      <x:c r="F1404" s="7" t="str">
        <x:v>Manual</x:v>
      </x:c>
      <x:c r="G1404" s="7" t="str">
        <x:v>Hatchback</x:v>
      </x:c>
      <x:c r="H1404" s="7" t="n">
        <x:v>1199</x:v>
      </x:c>
      <x:c r="I1404" s="7" t="n">
        <x:v>87</x:v>
      </x:c>
      <x:c r="J1404" s="9" t="n">
        <x:v>19.3</x:v>
      </x:c>
      <x:c r="K1404" s="9" t="n">
        <x:v>7</x:v>
      </x:c>
      <x:c r="L1404" s="7" t="n">
        <x:v>2024</x:v>
      </x:c>
      <x:c r="M1404" s="11" t="n">
        <x:v>22222</x:v>
      </x:c>
      <x:c r="N1404" s="7" t="n">
        <x:v>1</x:v>
      </x:c>
      <x:c r="O1404" s="7" t="n">
        <x:v>0</x:v>
      </x:c>
      <x:c r="P1404" s="9" t="n">
        <x:v>5.63</x:v>
      </x:c>
      <x:c r="Q1404" s="7" t="n">
        <x:f>'Guide'!$B$5-L1404</x:f>
        <x:v>2</x:v>
      </x:c>
      <x:c r="R1404" s="9" t="n">
        <x:f>K1404-P1404</x:f>
        <x:v>1.37</x:v>
      </x:c>
      <x:c r="S1404" s="10" t="n">
        <x:f>IF(K1404&gt;0,R1404/K1404,"")</x:f>
        <x:v>0.19571428571428573</x:v>
      </x:c>
    </x:row>
    <x:row r="1405">
      <x:c r="A1405" s="7" t="n">
        <x:v>1401</x:v>
      </x:c>
      <x:c r="B1405" s="7" t="str">
        <x:v>Tata</x:v>
      </x:c>
      <x:c r="C1405" s="7" t="str">
        <x:v>Altroz</x:v>
      </x:c>
      <x:c r="D1405" s="7" t="str">
        <x:v>XZA DCA</x:v>
      </x:c>
      <x:c r="E1405" s="7" t="str">
        <x:v>Petrol</x:v>
      </x:c>
      <x:c r="F1405" s="7" t="str">
        <x:v>Automatic</x:v>
      </x:c>
      <x:c r="G1405" s="7" t="str">
        <x:v>Hatchback</x:v>
      </x:c>
      <x:c r="H1405" s="7" t="n">
        <x:v>1199</x:v>
      </x:c>
      <x:c r="I1405" s="7" t="n">
        <x:v>87</x:v>
      </x:c>
      <x:c r="J1405" s="9" t="n">
        <x:v>18.5</x:v>
      </x:c>
      <x:c r="K1405" s="9" t="n">
        <x:v>10</x:v>
      </x:c>
      <x:c r="L1405" s="7" t="n">
        <x:v>2023</x:v>
      </x:c>
      <x:c r="M1405" s="11" t="n">
        <x:v>47102</x:v>
      </x:c>
      <x:c r="N1405" s="7" t="n">
        <x:v>1</x:v>
      </x:c>
      <x:c r="O1405" s="7" t="n">
        <x:v>0</x:v>
      </x:c>
      <x:c r="P1405" s="9" t="n">
        <x:v>6.75</x:v>
      </x:c>
      <x:c r="Q1405" s="7" t="n">
        <x:f>'Guide'!$B$5-L1405</x:f>
        <x:v>3</x:v>
      </x:c>
      <x:c r="R1405" s="9" t="n">
        <x:f>K1405-P1405</x:f>
        <x:v>3.25</x:v>
      </x:c>
      <x:c r="S1405" s="10" t="n">
        <x:f>IF(K1405&gt;0,R1405/K1405,"")</x:f>
        <x:v>0.325</x:v>
      </x:c>
    </x:row>
    <x:row r="1406">
      <x:c r="A1406" s="7" t="n">
        <x:v>1402</x:v>
      </x:c>
      <x:c r="B1406" s="7" t="str">
        <x:v>Tata</x:v>
      </x:c>
      <x:c r="C1406" s="7" t="str">
        <x:v>Altroz</x:v>
      </x:c>
      <x:c r="D1406" s="7" t="str">
        <x:v>XZA DCA</x:v>
      </x:c>
      <x:c r="E1406" s="7" t="str">
        <x:v>Petrol</x:v>
      </x:c>
      <x:c r="F1406" s="7" t="str">
        <x:v>Automatic</x:v>
      </x:c>
      <x:c r="G1406" s="7" t="str">
        <x:v>Hatchback</x:v>
      </x:c>
      <x:c r="H1406" s="7" t="n">
        <x:v>1199</x:v>
      </x:c>
      <x:c r="I1406" s="7" t="n">
        <x:v>87</x:v>
      </x:c>
      <x:c r="J1406" s="9" t="n">
        <x:v>18.5</x:v>
      </x:c>
      <x:c r="K1406" s="9" t="n">
        <x:v>10</x:v>
      </x:c>
      <x:c r="L1406" s="7" t="n">
        <x:v>2024</x:v>
      </x:c>
      <x:c r="M1406" s="11" t="n">
        <x:v>29879</x:v>
      </x:c>
      <x:c r="N1406" s="7" t="n">
        <x:v>1</x:v>
      </x:c>
      <x:c r="O1406" s="7" t="n">
        <x:v>0</x:v>
      </x:c>
      <x:c r="P1406" s="9" t="n">
        <x:v>7.94</x:v>
      </x:c>
      <x:c r="Q1406" s="7" t="n">
        <x:f>'Guide'!$B$5-L1406</x:f>
        <x:v>2</x:v>
      </x:c>
      <x:c r="R1406" s="9" t="n">
        <x:f>K1406-P1406</x:f>
        <x:v>2.0599999999999996</x:v>
      </x:c>
      <x:c r="S1406" s="10" t="n">
        <x:f>IF(K1406&gt;0,R1406/K1406,"")</x:f>
        <x:v>0.20599999999999996</x:v>
      </x:c>
    </x:row>
    <x:row r="1407">
      <x:c r="A1407" s="7" t="n">
        <x:v>1403</x:v>
      </x:c>
      <x:c r="B1407" s="7" t="str">
        <x:v>Tata</x:v>
      </x:c>
      <x:c r="C1407" s="7" t="str">
        <x:v>Altroz</x:v>
      </x:c>
      <x:c r="D1407" s="7" t="str">
        <x:v>XZA DCA</x:v>
      </x:c>
      <x:c r="E1407" s="7" t="str">
        <x:v>Petrol</x:v>
      </x:c>
      <x:c r="F1407" s="7" t="str">
        <x:v>Automatic</x:v>
      </x:c>
      <x:c r="G1407" s="7" t="str">
        <x:v>Hatchback</x:v>
      </x:c>
      <x:c r="H1407" s="7" t="n">
        <x:v>1199</x:v>
      </x:c>
      <x:c r="I1407" s="7" t="n">
        <x:v>87</x:v>
      </x:c>
      <x:c r="J1407" s="9" t="n">
        <x:v>18.5</x:v>
      </x:c>
      <x:c r="K1407" s="9" t="n">
        <x:v>10</x:v>
      </x:c>
      <x:c r="L1407" s="7" t="n">
        <x:v>2023</x:v>
      </x:c>
      <x:c r="M1407" s="11" t="n">
        <x:v>41242</x:v>
      </x:c>
      <x:c r="N1407" s="7" t="n">
        <x:v>2</x:v>
      </x:c>
      <x:c r="O1407" s="7" t="n">
        <x:v>1</x:v>
      </x:c>
      <x:c r="P1407" s="9" t="n">
        <x:v>5.75</x:v>
      </x:c>
      <x:c r="Q1407" s="7" t="n">
        <x:f>'Guide'!$B$5-L1407</x:f>
        <x:v>3</x:v>
      </x:c>
      <x:c r="R1407" s="9" t="n">
        <x:f>K1407-P1407</x:f>
        <x:v>4.25</x:v>
      </x:c>
      <x:c r="S1407" s="10" t="n">
        <x:f>IF(K1407&gt;0,R1407/K1407,"")</x:f>
        <x:v>0.425</x:v>
      </x:c>
    </x:row>
    <x:row r="1408">
      <x:c r="A1408" s="7" t="n">
        <x:v>1404</x:v>
      </x:c>
      <x:c r="B1408" s="7" t="str">
        <x:v>Tata</x:v>
      </x:c>
      <x:c r="C1408" s="7" t="str">
        <x:v>Altroz</x:v>
      </x:c>
      <x:c r="D1408" s="7" t="str">
        <x:v>XZA DCA</x:v>
      </x:c>
      <x:c r="E1408" s="7" t="str">
        <x:v>Petrol</x:v>
      </x:c>
      <x:c r="F1408" s="7" t="str">
        <x:v>Automatic</x:v>
      </x:c>
      <x:c r="G1408" s="7" t="str">
        <x:v>Hatchback</x:v>
      </x:c>
      <x:c r="H1408" s="7" t="n">
        <x:v>1199</x:v>
      </x:c>
      <x:c r="I1408" s="7" t="n">
        <x:v>87</x:v>
      </x:c>
      <x:c r="J1408" s="9" t="n">
        <x:v>18.5</x:v>
      </x:c>
      <x:c r="K1408" s="9" t="n">
        <x:v>10</x:v>
      </x:c>
      <x:c r="L1408" s="7" t="n">
        <x:v>2024</x:v>
      </x:c>
      <x:c r="M1408" s="11" t="n">
        <x:v>42129</x:v>
      </x:c>
      <x:c r="N1408" s="7" t="n">
        <x:v>2</x:v>
      </x:c>
      <x:c r="O1408" s="7" t="n">
        <x:v>0</x:v>
      </x:c>
      <x:c r="P1408" s="9" t="n">
        <x:v>7.11</x:v>
      </x:c>
      <x:c r="Q1408" s="7" t="n">
        <x:f>'Guide'!$B$5-L1408</x:f>
        <x:v>2</x:v>
      </x:c>
      <x:c r="R1408" s="9" t="n">
        <x:f>K1408-P1408</x:f>
        <x:v>2.8899999999999997</x:v>
      </x:c>
      <x:c r="S1408" s="10" t="n">
        <x:f>IF(K1408&gt;0,R1408/K1408,"")</x:f>
        <x:v>0.289</x:v>
      </x:c>
    </x:row>
    <x:row r="1409">
      <x:c r="A1409" s="7" t="n">
        <x:v>1405</x:v>
      </x:c>
      <x:c r="B1409" s="7" t="str">
        <x:v>Tata</x:v>
      </x:c>
      <x:c r="C1409" s="7" t="str">
        <x:v>Altroz</x:v>
      </x:c>
      <x:c r="D1409" s="7" t="str">
        <x:v>XZA DCA</x:v>
      </x:c>
      <x:c r="E1409" s="7" t="str">
        <x:v>Petrol</x:v>
      </x:c>
      <x:c r="F1409" s="7" t="str">
        <x:v>Automatic</x:v>
      </x:c>
      <x:c r="G1409" s="7" t="str">
        <x:v>Hatchback</x:v>
      </x:c>
      <x:c r="H1409" s="7" t="n">
        <x:v>1199</x:v>
      </x:c>
      <x:c r="I1409" s="7" t="n">
        <x:v>87</x:v>
      </x:c>
      <x:c r="J1409" s="9" t="n">
        <x:v>18.5</x:v>
      </x:c>
      <x:c r="K1409" s="9" t="n">
        <x:v>10</x:v>
      </x:c>
      <x:c r="L1409" s="7" t="n">
        <x:v>2026</x:v>
      </x:c>
      <x:c r="M1409" s="11" t="n">
        <x:v>9525</x:v>
      </x:c>
      <x:c r="N1409" s="7" t="n">
        <x:v>2</x:v>
      </x:c>
      <x:c r="O1409" s="7" t="n">
        <x:v>0</x:v>
      </x:c>
      <x:c r="P1409" s="9" t="n">
        <x:v>9.41</x:v>
      </x:c>
      <x:c r="Q1409" s="7" t="n">
        <x:f>'Guide'!$B$5-L1409</x:f>
        <x:v>0</x:v>
      </x:c>
      <x:c r="R1409" s="9" t="n">
        <x:f>K1409-P1409</x:f>
        <x:v>0.5899999999999999</x:v>
      </x:c>
      <x:c r="S1409" s="10" t="n">
        <x:f>IF(K1409&gt;0,R1409/K1409,"")</x:f>
        <x:v>0.05899999999999998</x:v>
      </x:c>
    </x:row>
    <x:row r="1410">
      <x:c r="A1410" s="7" t="n">
        <x:v>1406</x:v>
      </x:c>
      <x:c r="B1410" s="7" t="str">
        <x:v>Tata</x:v>
      </x:c>
      <x:c r="C1410" s="7" t="str">
        <x:v>Altroz</x:v>
      </x:c>
      <x:c r="D1410" s="7" t="str">
        <x:v>XZA DCA</x:v>
      </x:c>
      <x:c r="E1410" s="7" t="str">
        <x:v>Petrol</x:v>
      </x:c>
      <x:c r="F1410" s="7" t="str">
        <x:v>Automatic</x:v>
      </x:c>
      <x:c r="G1410" s="7" t="str">
        <x:v>Hatchback</x:v>
      </x:c>
      <x:c r="H1410" s="7" t="n">
        <x:v>1199</x:v>
      </x:c>
      <x:c r="I1410" s="7" t="n">
        <x:v>87</x:v>
      </x:c>
      <x:c r="J1410" s="9" t="n">
        <x:v>18.5</x:v>
      </x:c>
      <x:c r="K1410" s="9" t="n">
        <x:v>10</x:v>
      </x:c>
      <x:c r="L1410" s="7" t="n">
        <x:v>2021</x:v>
      </x:c>
      <x:c r="M1410" s="11" t="n">
        <x:v>55506</x:v>
      </x:c>
      <x:c r="N1410" s="7" t="n">
        <x:v>1</x:v>
      </x:c>
      <x:c r="O1410" s="7" t="n">
        <x:v>0</x:v>
      </x:c>
      <x:c r="P1410" s="9" t="n">
        <x:v>5.53</x:v>
      </x:c>
      <x:c r="Q1410" s="7" t="n">
        <x:f>'Guide'!$B$5-L1410</x:f>
        <x:v>5</x:v>
      </x:c>
      <x:c r="R1410" s="9" t="n">
        <x:f>K1410-P1410</x:f>
        <x:v>4.47</x:v>
      </x:c>
      <x:c r="S1410" s="10" t="n">
        <x:f>IF(K1410&gt;0,R1410/K1410,"")</x:f>
        <x:v>0.44699999999999995</x:v>
      </x:c>
    </x:row>
    <x:row r="1411">
      <x:c r="A1411" s="7" t="n">
        <x:v>1407</x:v>
      </x:c>
      <x:c r="B1411" s="7" t="str">
        <x:v>Tata</x:v>
      </x:c>
      <x:c r="C1411" s="7" t="str">
        <x:v>Altroz</x:v>
      </x:c>
      <x:c r="D1411" s="7" t="str">
        <x:v>XZA DCA</x:v>
      </x:c>
      <x:c r="E1411" s="7" t="str">
        <x:v>Petrol</x:v>
      </x:c>
      <x:c r="F1411" s="7" t="str">
        <x:v>Automatic</x:v>
      </x:c>
      <x:c r="G1411" s="7" t="str">
        <x:v>Hatchback</x:v>
      </x:c>
      <x:c r="H1411" s="7" t="n">
        <x:v>1199</x:v>
      </x:c>
      <x:c r="I1411" s="7" t="n">
        <x:v>87</x:v>
      </x:c>
      <x:c r="J1411" s="9" t="n">
        <x:v>18.5</x:v>
      </x:c>
      <x:c r="K1411" s="9" t="n">
        <x:v>10</x:v>
      </x:c>
      <x:c r="L1411" s="7" t="n">
        <x:v>2021</x:v>
      </x:c>
      <x:c r="M1411" s="11" t="n">
        <x:v>51712</x:v>
      </x:c>
      <x:c r="N1411" s="7" t="n">
        <x:v>1</x:v>
      </x:c>
      <x:c r="O1411" s="7" t="n">
        <x:v>0</x:v>
      </x:c>
      <x:c r="P1411" s="9" t="n">
        <x:v>5.37</x:v>
      </x:c>
      <x:c r="Q1411" s="7" t="n">
        <x:f>'Guide'!$B$5-L1411</x:f>
        <x:v>5</x:v>
      </x:c>
      <x:c r="R1411" s="9" t="n">
        <x:f>K1411-P1411</x:f>
        <x:v>4.63</x:v>
      </x:c>
      <x:c r="S1411" s="10" t="n">
        <x:f>IF(K1411&gt;0,R1411/K1411,"")</x:f>
        <x:v>0.46299999999999997</x:v>
      </x:c>
    </x:row>
    <x:row r="1412">
      <x:c r="A1412" s="7" t="n">
        <x:v>1408</x:v>
      </x:c>
      <x:c r="B1412" s="7" t="str">
        <x:v>Tata</x:v>
      </x:c>
      <x:c r="C1412" s="7" t="str">
        <x:v>Altroz</x:v>
      </x:c>
      <x:c r="D1412" s="7" t="str">
        <x:v>XZA DCA</x:v>
      </x:c>
      <x:c r="E1412" s="7" t="str">
        <x:v>Petrol</x:v>
      </x:c>
      <x:c r="F1412" s="7" t="str">
        <x:v>Automatic</x:v>
      </x:c>
      <x:c r="G1412" s="7" t="str">
        <x:v>Hatchback</x:v>
      </x:c>
      <x:c r="H1412" s="7" t="n">
        <x:v>1199</x:v>
      </x:c>
      <x:c r="I1412" s="7" t="n">
        <x:v>87</x:v>
      </x:c>
      <x:c r="J1412" s="9" t="n">
        <x:v>18.5</x:v>
      </x:c>
      <x:c r="K1412" s="9" t="n">
        <x:v>10</x:v>
      </x:c>
      <x:c r="L1412" s="7" t="n">
        <x:v>2021</x:v>
      </x:c>
      <x:c r="M1412" s="11" t="n">
        <x:v>83104</x:v>
      </x:c>
      <x:c r="N1412" s="7" t="n">
        <x:v>1</x:v>
      </x:c>
      <x:c r="O1412" s="7" t="n">
        <x:v>0</x:v>
      </x:c>
      <x:c r="P1412" s="9" t="n">
        <x:v>5.03</x:v>
      </x:c>
      <x:c r="Q1412" s="7" t="n">
        <x:f>'Guide'!$B$5-L1412</x:f>
        <x:v>5</x:v>
      </x:c>
      <x:c r="R1412" s="9" t="n">
        <x:f>K1412-P1412</x:f>
        <x:v>4.97</x:v>
      </x:c>
      <x:c r="S1412" s="10" t="n">
        <x:f>IF(K1412&gt;0,R1412/K1412,"")</x:f>
        <x:v>0.497</x:v>
      </x:c>
    </x:row>
    <x:row r="1413">
      <x:c r="A1413" s="7" t="n">
        <x:v>1409</x:v>
      </x:c>
      <x:c r="B1413" s="7" t="str">
        <x:v>Tata</x:v>
      </x:c>
      <x:c r="C1413" s="7" t="str">
        <x:v>Altroz</x:v>
      </x:c>
      <x:c r="D1413" s="7" t="str">
        <x:v>XZA DCA</x:v>
      </x:c>
      <x:c r="E1413" s="7" t="str">
        <x:v>Petrol</x:v>
      </x:c>
      <x:c r="F1413" s="7" t="str">
        <x:v>Automatic</x:v>
      </x:c>
      <x:c r="G1413" s="7" t="str">
        <x:v>Hatchback</x:v>
      </x:c>
      <x:c r="H1413" s="7" t="n">
        <x:v>1199</x:v>
      </x:c>
      <x:c r="I1413" s="7" t="n">
        <x:v>87</x:v>
      </x:c>
      <x:c r="J1413" s="9" t="n">
        <x:v>18.5</x:v>
      </x:c>
      <x:c r="K1413" s="9" t="n">
        <x:v>10</x:v>
      </x:c>
      <x:c r="L1413" s="7" t="n">
        <x:v>2026</x:v>
      </x:c>
      <x:c r="M1413" s="11" t="n">
        <x:v>4559</x:v>
      </x:c>
      <x:c r="N1413" s="7" t="n">
        <x:v>1</x:v>
      </x:c>
      <x:c r="O1413" s="7" t="n">
        <x:v>0</x:v>
      </x:c>
      <x:c r="P1413" s="9" t="n">
        <x:v>9.92</x:v>
      </x:c>
      <x:c r="Q1413" s="7" t="n">
        <x:f>'Guide'!$B$5-L1413</x:f>
        <x:v>0</x:v>
      </x:c>
      <x:c r="R1413" s="9" t="n">
        <x:f>K1413-P1413</x:f>
        <x:v>0.08000000000000007</x:v>
      </x:c>
      <x:c r="S1413" s="10" t="n">
        <x:f>IF(K1413&gt;0,R1413/K1413,"")</x:f>
        <x:v>0.008000000000000007</x:v>
      </x:c>
    </x:row>
    <x:row r="1414">
      <x:c r="A1414" s="7" t="n">
        <x:v>1410</x:v>
      </x:c>
      <x:c r="B1414" s="7" t="str">
        <x:v>Tata</x:v>
      </x:c>
      <x:c r="C1414" s="7" t="str">
        <x:v>Altroz</x:v>
      </x:c>
      <x:c r="D1414" s="7" t="str">
        <x:v>XZA DCA</x:v>
      </x:c>
      <x:c r="E1414" s="7" t="str">
        <x:v>Petrol</x:v>
      </x:c>
      <x:c r="F1414" s="7" t="str">
        <x:v>Automatic</x:v>
      </x:c>
      <x:c r="G1414" s="7" t="str">
        <x:v>Hatchback</x:v>
      </x:c>
      <x:c r="H1414" s="7" t="n">
        <x:v>1199</x:v>
      </x:c>
      <x:c r="I1414" s="7" t="n">
        <x:v>87</x:v>
      </x:c>
      <x:c r="J1414" s="9" t="n">
        <x:v>18.5</x:v>
      </x:c>
      <x:c r="K1414" s="9" t="n">
        <x:v>10</x:v>
      </x:c>
      <x:c r="L1414" s="7" t="n">
        <x:v>2022</x:v>
      </x:c>
      <x:c r="M1414" s="11" t="n">
        <x:v>47024</x:v>
      </x:c>
      <x:c r="N1414" s="7" t="n">
        <x:v>2</x:v>
      </x:c>
      <x:c r="O1414" s="7" t="n">
        <x:v>0</x:v>
      </x:c>
      <x:c r="P1414" s="9" t="n">
        <x:v>6.16</x:v>
      </x:c>
      <x:c r="Q1414" s="7" t="n">
        <x:f>'Guide'!$B$5-L1414</x:f>
        <x:v>4</x:v>
      </x:c>
      <x:c r="R1414" s="9" t="n">
        <x:f>K1414-P1414</x:f>
        <x:v>3.84</x:v>
      </x:c>
      <x:c r="S1414" s="10" t="n">
        <x:f>IF(K1414&gt;0,R1414/K1414,"")</x:f>
        <x:v>0.384</x:v>
      </x:c>
    </x:row>
    <x:row r="1415">
      <x:c r="A1415" s="7" t="n">
        <x:v>1411</x:v>
      </x:c>
      <x:c r="B1415" s="7" t="str">
        <x:v>Tata</x:v>
      </x:c>
      <x:c r="C1415" s="7" t="str">
        <x:v>Altroz</x:v>
      </x:c>
      <x:c r="D1415" s="7" t="str">
        <x:v>XZA DCA</x:v>
      </x:c>
      <x:c r="E1415" s="7" t="str">
        <x:v>Petrol</x:v>
      </x:c>
      <x:c r="F1415" s="7" t="str">
        <x:v>Automatic</x:v>
      </x:c>
      <x:c r="G1415" s="7" t="str">
        <x:v>Hatchback</x:v>
      </x:c>
      <x:c r="H1415" s="7" t="n">
        <x:v>1199</x:v>
      </x:c>
      <x:c r="I1415" s="7" t="n">
        <x:v>87</x:v>
      </x:c>
      <x:c r="J1415" s="9" t="n">
        <x:v>18.5</x:v>
      </x:c>
      <x:c r="K1415" s="9" t="n">
        <x:v>10</x:v>
      </x:c>
      <x:c r="L1415" s="7" t="n">
        <x:v>2022</x:v>
      </x:c>
      <x:c r="M1415" s="11" t="n">
        <x:v>66198</x:v>
      </x:c>
      <x:c r="N1415" s="7" t="n">
        <x:v>2</x:v>
      </x:c>
      <x:c r="O1415" s="7" t="n">
        <x:v>0</x:v>
      </x:c>
      <x:c r="P1415" s="9" t="n">
        <x:v>5.5</x:v>
      </x:c>
      <x:c r="Q1415" s="7" t="n">
        <x:f>'Guide'!$B$5-L1415</x:f>
        <x:v>4</x:v>
      </x:c>
      <x:c r="R1415" s="9" t="n">
        <x:f>K1415-P1415</x:f>
        <x:v>4.5</x:v>
      </x:c>
      <x:c r="S1415" s="10" t="n">
        <x:f>IF(K1415&gt;0,R1415/K1415,"")</x:f>
        <x:v>0.45</x:v>
      </x:c>
    </x:row>
    <x:row r="1416">
      <x:c r="A1416" s="7" t="n">
        <x:v>1412</x:v>
      </x:c>
      <x:c r="B1416" s="7" t="str">
        <x:v>Tata</x:v>
      </x:c>
      <x:c r="C1416" s="7" t="str">
        <x:v>Altroz</x:v>
      </x:c>
      <x:c r="D1416" s="7" t="str">
        <x:v>XZA DCA</x:v>
      </x:c>
      <x:c r="E1416" s="7" t="str">
        <x:v>Petrol</x:v>
      </x:c>
      <x:c r="F1416" s="7" t="str">
        <x:v>Automatic</x:v>
      </x:c>
      <x:c r="G1416" s="7" t="str">
        <x:v>Hatchback</x:v>
      </x:c>
      <x:c r="H1416" s="7" t="n">
        <x:v>1199</x:v>
      </x:c>
      <x:c r="I1416" s="7" t="n">
        <x:v>87</x:v>
      </x:c>
      <x:c r="J1416" s="9" t="n">
        <x:v>18.5</x:v>
      </x:c>
      <x:c r="K1416" s="9" t="n">
        <x:v>10</x:v>
      </x:c>
      <x:c r="L1416" s="7" t="n">
        <x:v>2021</x:v>
      </x:c>
      <x:c r="M1416" s="11" t="n">
        <x:v>73670</x:v>
      </x:c>
      <x:c r="N1416" s="7" t="n">
        <x:v>1</x:v>
      </x:c>
      <x:c r="O1416" s="7" t="n">
        <x:v>1</x:v>
      </x:c>
      <x:c r="P1416" s="9" t="n">
        <x:v>4.05</x:v>
      </x:c>
      <x:c r="Q1416" s="7" t="n">
        <x:f>'Guide'!$B$5-L1416</x:f>
        <x:v>5</x:v>
      </x:c>
      <x:c r="R1416" s="9" t="n">
        <x:f>K1416-P1416</x:f>
        <x:v>5.95</x:v>
      </x:c>
      <x:c r="S1416" s="10" t="n">
        <x:f>IF(K1416&gt;0,R1416/K1416,"")</x:f>
        <x:v>0.595</x:v>
      </x:c>
    </x:row>
    <x:row r="1417">
      <x:c r="A1417" s="7" t="n">
        <x:v>1413</x:v>
      </x:c>
      <x:c r="B1417" s="7" t="str">
        <x:v>Tata</x:v>
      </x:c>
      <x:c r="C1417" s="7" t="str">
        <x:v>Altroz</x:v>
      </x:c>
      <x:c r="D1417" s="7" t="str">
        <x:v>XZA DCA</x:v>
      </x:c>
      <x:c r="E1417" s="7" t="str">
        <x:v>Petrol</x:v>
      </x:c>
      <x:c r="F1417" s="7" t="str">
        <x:v>Automatic</x:v>
      </x:c>
      <x:c r="G1417" s="7" t="str">
        <x:v>Hatchback</x:v>
      </x:c>
      <x:c r="H1417" s="7" t="n">
        <x:v>1199</x:v>
      </x:c>
      <x:c r="I1417" s="7" t="n">
        <x:v>87</x:v>
      </x:c>
      <x:c r="J1417" s="9" t="n">
        <x:v>18.5</x:v>
      </x:c>
      <x:c r="K1417" s="9" t="n">
        <x:v>10</x:v>
      </x:c>
      <x:c r="L1417" s="7" t="n">
        <x:v>2023</x:v>
      </x:c>
      <x:c r="M1417" s="11" t="n">
        <x:v>52962</x:v>
      </x:c>
      <x:c r="N1417" s="7" t="n">
        <x:v>1</x:v>
      </x:c>
      <x:c r="O1417" s="7" t="n">
        <x:v>0</x:v>
      </x:c>
      <x:c r="P1417" s="9" t="n">
        <x:v>6.66</x:v>
      </x:c>
      <x:c r="Q1417" s="7" t="n">
        <x:f>'Guide'!$B$5-L1417</x:f>
        <x:v>3</x:v>
      </x:c>
      <x:c r="R1417" s="9" t="n">
        <x:f>K1417-P1417</x:f>
        <x:v>3.34</x:v>
      </x:c>
      <x:c r="S1417" s="10" t="n">
        <x:f>IF(K1417&gt;0,R1417/K1417,"")</x:f>
        <x:v>0.33399999999999996</x:v>
      </x:c>
    </x:row>
    <x:row r="1418">
      <x:c r="A1418" s="7" t="n">
        <x:v>1414</x:v>
      </x:c>
      <x:c r="B1418" s="7" t="str">
        <x:v>Tata</x:v>
      </x:c>
      <x:c r="C1418" s="7" t="str">
        <x:v>Altroz</x:v>
      </x:c>
      <x:c r="D1418" s="7" t="str">
        <x:v>XZA DCA</x:v>
      </x:c>
      <x:c r="E1418" s="7" t="str">
        <x:v>Petrol</x:v>
      </x:c>
      <x:c r="F1418" s="7" t="str">
        <x:v>Automatic</x:v>
      </x:c>
      <x:c r="G1418" s="7" t="str">
        <x:v>Hatchback</x:v>
      </x:c>
      <x:c r="H1418" s="7" t="n">
        <x:v>1199</x:v>
      </x:c>
      <x:c r="I1418" s="7" t="n">
        <x:v>87</x:v>
      </x:c>
      <x:c r="J1418" s="9" t="n">
        <x:v>18.5</x:v>
      </x:c>
      <x:c r="K1418" s="9" t="n">
        <x:v>10</x:v>
      </x:c>
      <x:c r="L1418" s="7" t="n">
        <x:v>2024</x:v>
      </x:c>
      <x:c r="M1418" s="11" t="n">
        <x:v>49646</x:v>
      </x:c>
      <x:c r="N1418" s="7" t="n">
        <x:v>1</x:v>
      </x:c>
      <x:c r="O1418" s="7" t="n">
        <x:v>0</x:v>
      </x:c>
      <x:c r="P1418" s="9" t="n">
        <x:v>7.41</x:v>
      </x:c>
      <x:c r="Q1418" s="7" t="n">
        <x:f>'Guide'!$B$5-L1418</x:f>
        <x:v>2</x:v>
      </x:c>
      <x:c r="R1418" s="9" t="n">
        <x:f>K1418-P1418</x:f>
        <x:v>2.59</x:v>
      </x:c>
      <x:c r="S1418" s="10" t="n">
        <x:f>IF(K1418&gt;0,R1418/K1418,"")</x:f>
        <x:v>0.259</x:v>
      </x:c>
    </x:row>
    <x:row r="1419">
      <x:c r="A1419" s="7" t="n">
        <x:v>1415</x:v>
      </x:c>
      <x:c r="B1419" s="7" t="str">
        <x:v>Tata</x:v>
      </x:c>
      <x:c r="C1419" s="7" t="str">
        <x:v>Altroz</x:v>
      </x:c>
      <x:c r="D1419" s="7" t="str">
        <x:v>XZA DCA</x:v>
      </x:c>
      <x:c r="E1419" s="7" t="str">
        <x:v>Petrol</x:v>
      </x:c>
      <x:c r="F1419" s="7" t="str">
        <x:v>Automatic</x:v>
      </x:c>
      <x:c r="G1419" s="7" t="str">
        <x:v>Hatchback</x:v>
      </x:c>
      <x:c r="H1419" s="7" t="n">
        <x:v>1199</x:v>
      </x:c>
      <x:c r="I1419" s="7" t="n">
        <x:v>87</x:v>
      </x:c>
      <x:c r="J1419" s="9" t="n">
        <x:v>18.5</x:v>
      </x:c>
      <x:c r="K1419" s="9" t="n">
        <x:v>10</x:v>
      </x:c>
      <x:c r="L1419" s="7" t="n">
        <x:v>2023</x:v>
      </x:c>
      <x:c r="M1419" s="11" t="n">
        <x:v>34116</x:v>
      </x:c>
      <x:c r="N1419" s="7" t="n">
        <x:v>2</x:v>
      </x:c>
      <x:c r="O1419" s="7" t="n">
        <x:v>1</x:v>
      </x:c>
      <x:c r="P1419" s="9" t="n">
        <x:v>6.12</x:v>
      </x:c>
      <x:c r="Q1419" s="7" t="n">
        <x:f>'Guide'!$B$5-L1419</x:f>
        <x:v>3</x:v>
      </x:c>
      <x:c r="R1419" s="9" t="n">
        <x:f>K1419-P1419</x:f>
        <x:v>3.88</x:v>
      </x:c>
      <x:c r="S1419" s="10" t="n">
        <x:f>IF(K1419&gt;0,R1419/K1419,"")</x:f>
        <x:v>0.388</x:v>
      </x:c>
    </x:row>
    <x:row r="1420">
      <x:c r="A1420" s="7" t="n">
        <x:v>1416</x:v>
      </x:c>
      <x:c r="B1420" s="7" t="str">
        <x:v>Tata</x:v>
      </x:c>
      <x:c r="C1420" s="7" t="str">
        <x:v>Altroz</x:v>
      </x:c>
      <x:c r="D1420" s="7" t="str">
        <x:v>XZA DCA</x:v>
      </x:c>
      <x:c r="E1420" s="7" t="str">
        <x:v>Petrol</x:v>
      </x:c>
      <x:c r="F1420" s="7" t="str">
        <x:v>Automatic</x:v>
      </x:c>
      <x:c r="G1420" s="7" t="str">
        <x:v>Hatchback</x:v>
      </x:c>
      <x:c r="H1420" s="7" t="n">
        <x:v>1199</x:v>
      </x:c>
      <x:c r="I1420" s="7" t="n">
        <x:v>87</x:v>
      </x:c>
      <x:c r="J1420" s="9" t="n">
        <x:v>18.5</x:v>
      </x:c>
      <x:c r="K1420" s="9" t="n">
        <x:v>10</x:v>
      </x:c>
      <x:c r="L1420" s="7" t="n">
        <x:v>2020</x:v>
      </x:c>
      <x:c r="M1420" s="11" t="n">
        <x:v>93012</x:v>
      </x:c>
      <x:c r="N1420" s="7" t="n">
        <x:v>1</x:v>
      </x:c>
      <x:c r="O1420" s="7" t="n">
        <x:v>0</x:v>
      </x:c>
      <x:c r="P1420" s="9" t="n">
        <x:v>3.82</x:v>
      </x:c>
      <x:c r="Q1420" s="7" t="n">
        <x:f>'Guide'!$B$5-L1420</x:f>
        <x:v>6</x:v>
      </x:c>
      <x:c r="R1420" s="9" t="n">
        <x:f>K1420-P1420</x:f>
        <x:v>6.18</x:v>
      </x:c>
      <x:c r="S1420" s="10" t="n">
        <x:f>IF(K1420&gt;0,R1420/K1420,"")</x:f>
        <x:v>0.618</x:v>
      </x:c>
    </x:row>
    <x:row r="1421">
      <x:c r="A1421" s="7" t="n">
        <x:v>1417</x:v>
      </x:c>
      <x:c r="B1421" s="7" t="str">
        <x:v>Tata</x:v>
      </x:c>
      <x:c r="C1421" s="7" t="str">
        <x:v>Altroz</x:v>
      </x:c>
      <x:c r="D1421" s="7" t="str">
        <x:v>XZA DCA</x:v>
      </x:c>
      <x:c r="E1421" s="7" t="str">
        <x:v>Petrol</x:v>
      </x:c>
      <x:c r="F1421" s="7" t="str">
        <x:v>Automatic</x:v>
      </x:c>
      <x:c r="G1421" s="7" t="str">
        <x:v>Hatchback</x:v>
      </x:c>
      <x:c r="H1421" s="7" t="n">
        <x:v>1199</x:v>
      </x:c>
      <x:c r="I1421" s="7" t="n">
        <x:v>87</x:v>
      </x:c>
      <x:c r="J1421" s="9" t="n">
        <x:v>18.5</x:v>
      </x:c>
      <x:c r="K1421" s="9" t="n">
        <x:v>10</x:v>
      </x:c>
      <x:c r="L1421" s="7" t="n">
        <x:v>2022</x:v>
      </x:c>
      <x:c r="M1421" s="11" t="n">
        <x:v>39544</x:v>
      </x:c>
      <x:c r="N1421" s="7" t="n">
        <x:v>1</x:v>
      </x:c>
      <x:c r="O1421" s="7" t="n">
        <x:v>0</x:v>
      </x:c>
      <x:c r="P1421" s="9" t="n">
        <x:v>6.63</x:v>
      </x:c>
      <x:c r="Q1421" s="7" t="n">
        <x:f>'Guide'!$B$5-L1421</x:f>
        <x:v>4</x:v>
      </x:c>
      <x:c r="R1421" s="9" t="n">
        <x:f>K1421-P1421</x:f>
        <x:v>3.37</x:v>
      </x:c>
      <x:c r="S1421" s="10" t="n">
        <x:f>IF(K1421&gt;0,R1421/K1421,"")</x:f>
        <x:v>0.337</x:v>
      </x:c>
    </x:row>
    <x:row r="1422">
      <x:c r="A1422" s="7" t="n">
        <x:v>1418</x:v>
      </x:c>
      <x:c r="B1422" s="7" t="str">
        <x:v>Tata</x:v>
      </x:c>
      <x:c r="C1422" s="7" t="str">
        <x:v>Altroz</x:v>
      </x:c>
      <x:c r="D1422" s="7" t="str">
        <x:v>XZA DCA</x:v>
      </x:c>
      <x:c r="E1422" s="7" t="str">
        <x:v>Petrol</x:v>
      </x:c>
      <x:c r="F1422" s="7" t="str">
        <x:v>Automatic</x:v>
      </x:c>
      <x:c r="G1422" s="7" t="str">
        <x:v>Hatchback</x:v>
      </x:c>
      <x:c r="H1422" s="7" t="n">
        <x:v>1199</x:v>
      </x:c>
      <x:c r="I1422" s="7" t="n">
        <x:v>87</x:v>
      </x:c>
      <x:c r="J1422" s="9" t="n">
        <x:v>18.5</x:v>
      </x:c>
      <x:c r="K1422" s="9" t="n">
        <x:v>10</x:v>
      </x:c>
      <x:c r="L1422" s="7" t="n">
        <x:v>2023</x:v>
      </x:c>
      <x:c r="M1422" s="11" t="n">
        <x:v>57027</x:v>
      </x:c>
      <x:c r="N1422" s="7" t="n">
        <x:v>1</x:v>
      </x:c>
      <x:c r="O1422" s="7" t="n">
        <x:v>0</x:v>
      </x:c>
      <x:c r="P1422" s="9" t="n">
        <x:v>6.7</x:v>
      </x:c>
      <x:c r="Q1422" s="7" t="n">
        <x:f>'Guide'!$B$5-L1422</x:f>
        <x:v>3</x:v>
      </x:c>
      <x:c r="R1422" s="9" t="n">
        <x:f>K1422-P1422</x:f>
        <x:v>3.3</x:v>
      </x:c>
      <x:c r="S1422" s="10" t="n">
        <x:f>IF(K1422&gt;0,R1422/K1422,"")</x:f>
        <x:v>0.32999999999999996</x:v>
      </x:c>
    </x:row>
    <x:row r="1423">
      <x:c r="A1423" s="7" t="n">
        <x:v>1419</x:v>
      </x:c>
      <x:c r="B1423" s="7" t="str">
        <x:v>Tata</x:v>
      </x:c>
      <x:c r="C1423" s="7" t="str">
        <x:v>Altroz</x:v>
      </x:c>
      <x:c r="D1423" s="7" t="str">
        <x:v>XZA DCA</x:v>
      </x:c>
      <x:c r="E1423" s="7" t="str">
        <x:v>Petrol</x:v>
      </x:c>
      <x:c r="F1423" s="7" t="str">
        <x:v>Automatic</x:v>
      </x:c>
      <x:c r="G1423" s="7" t="str">
        <x:v>Hatchback</x:v>
      </x:c>
      <x:c r="H1423" s="7" t="n">
        <x:v>1199</x:v>
      </x:c>
      <x:c r="I1423" s="7" t="n">
        <x:v>87</x:v>
      </x:c>
      <x:c r="J1423" s="9" t="n">
        <x:v>18.5</x:v>
      </x:c>
      <x:c r="K1423" s="9" t="n">
        <x:v>10</x:v>
      </x:c>
      <x:c r="L1423" s="7" t="n">
        <x:v>2021</x:v>
      </x:c>
      <x:c r="M1423" s="11" t="n">
        <x:v>99133</x:v>
      </x:c>
      <x:c r="N1423" s="7" t="n">
        <x:v>1</x:v>
      </x:c>
      <x:c r="O1423" s="7" t="n">
        <x:v>0</x:v>
      </x:c>
      <x:c r="P1423" s="9" t="n">
        <x:v>5.15</x:v>
      </x:c>
      <x:c r="Q1423" s="7" t="n">
        <x:f>'Guide'!$B$5-L1423</x:f>
        <x:v>5</x:v>
      </x:c>
      <x:c r="R1423" s="9" t="n">
        <x:f>K1423-P1423</x:f>
        <x:v>4.85</x:v>
      </x:c>
      <x:c r="S1423" s="10" t="n">
        <x:f>IF(K1423&gt;0,R1423/K1423,"")</x:f>
        <x:v>0.485</x:v>
      </x:c>
    </x:row>
    <x:row r="1424">
      <x:c r="A1424" s="7" t="n">
        <x:v>1420</x:v>
      </x:c>
      <x:c r="B1424" s="7" t="str">
        <x:v>Tata</x:v>
      </x:c>
      <x:c r="C1424" s="7" t="str">
        <x:v>Altroz</x:v>
      </x:c>
      <x:c r="D1424" s="7" t="str">
        <x:v>XZA DCA</x:v>
      </x:c>
      <x:c r="E1424" s="7" t="str">
        <x:v>Petrol</x:v>
      </x:c>
      <x:c r="F1424" s="7" t="str">
        <x:v>Automatic</x:v>
      </x:c>
      <x:c r="G1424" s="7" t="str">
        <x:v>Hatchback</x:v>
      </x:c>
      <x:c r="H1424" s="7" t="n">
        <x:v>1199</x:v>
      </x:c>
      <x:c r="I1424" s="7" t="n">
        <x:v>87</x:v>
      </x:c>
      <x:c r="J1424" s="9" t="n">
        <x:v>18.5</x:v>
      </x:c>
      <x:c r="K1424" s="9" t="n">
        <x:v>10</x:v>
      </x:c>
      <x:c r="L1424" s="7" t="n">
        <x:v>2024</x:v>
      </x:c>
      <x:c r="M1424" s="11" t="n">
        <x:v>31120</x:v>
      </x:c>
      <x:c r="N1424" s="7" t="n">
        <x:v>1</x:v>
      </x:c>
      <x:c r="O1424" s="7" t="n">
        <x:v>0</x:v>
      </x:c>
      <x:c r="P1424" s="9" t="n">
        <x:v>8.15</x:v>
      </x:c>
      <x:c r="Q1424" s="7" t="n">
        <x:f>'Guide'!$B$5-L1424</x:f>
        <x:v>2</x:v>
      </x:c>
      <x:c r="R1424" s="9" t="n">
        <x:f>K1424-P1424</x:f>
        <x:v>1.8499999999999996</x:v>
      </x:c>
      <x:c r="S1424" s="10" t="n">
        <x:f>IF(K1424&gt;0,R1424/K1424,"")</x:f>
        <x:v>0.18499999999999997</x:v>
      </x:c>
    </x:row>
    <x:row r="1425">
      <x:c r="A1425" s="7" t="n">
        <x:v>1421</x:v>
      </x:c>
      <x:c r="B1425" s="7" t="str">
        <x:v>Tata</x:v>
      </x:c>
      <x:c r="C1425" s="7" t="str">
        <x:v>Altroz</x:v>
      </x:c>
      <x:c r="D1425" s="7" t="str">
        <x:v>XZA DCA</x:v>
      </x:c>
      <x:c r="E1425" s="7" t="str">
        <x:v>Petrol</x:v>
      </x:c>
      <x:c r="F1425" s="7" t="str">
        <x:v>Automatic</x:v>
      </x:c>
      <x:c r="G1425" s="7" t="str">
        <x:v>Hatchback</x:v>
      </x:c>
      <x:c r="H1425" s="7" t="n">
        <x:v>1199</x:v>
      </x:c>
      <x:c r="I1425" s="7" t="n">
        <x:v>87</x:v>
      </x:c>
      <x:c r="J1425" s="9" t="n">
        <x:v>18.5</x:v>
      </x:c>
      <x:c r="K1425" s="9" t="n">
        <x:v>10</x:v>
      </x:c>
      <x:c r="L1425" s="7" t="n">
        <x:v>2020</x:v>
      </x:c>
      <x:c r="M1425" s="11" t="n">
        <x:v>101599</x:v>
      </x:c>
      <x:c r="N1425" s="7" t="n">
        <x:v>2</x:v>
      </x:c>
      <x:c r="O1425" s="7" t="n">
        <x:v>0</x:v>
      </x:c>
      <x:c r="P1425" s="9" t="n">
        <x:v>3.65</x:v>
      </x:c>
      <x:c r="Q1425" s="7" t="n">
        <x:f>'Guide'!$B$5-L1425</x:f>
        <x:v>6</x:v>
      </x:c>
      <x:c r="R1425" s="9" t="n">
        <x:f>K1425-P1425</x:f>
        <x:v>6.35</x:v>
      </x:c>
      <x:c r="S1425" s="10" t="n">
        <x:f>IF(K1425&gt;0,R1425/K1425,"")</x:f>
        <x:v>0.635</x:v>
      </x:c>
    </x:row>
    <x:row r="1426">
      <x:c r="A1426" s="7" t="n">
        <x:v>1422</x:v>
      </x:c>
      <x:c r="B1426" s="7" t="str">
        <x:v>Tata</x:v>
      </x:c>
      <x:c r="C1426" s="7" t="str">
        <x:v>Altroz</x:v>
      </x:c>
      <x:c r="D1426" s="7" t="str">
        <x:v>XZA DCA</x:v>
      </x:c>
      <x:c r="E1426" s="7" t="str">
        <x:v>Petrol</x:v>
      </x:c>
      <x:c r="F1426" s="7" t="str">
        <x:v>Automatic</x:v>
      </x:c>
      <x:c r="G1426" s="7" t="str">
        <x:v>Hatchback</x:v>
      </x:c>
      <x:c r="H1426" s="7" t="n">
        <x:v>1199</x:v>
      </x:c>
      <x:c r="I1426" s="7" t="n">
        <x:v>87</x:v>
      </x:c>
      <x:c r="J1426" s="9" t="n">
        <x:v>18.5</x:v>
      </x:c>
      <x:c r="K1426" s="9" t="n">
        <x:v>10</x:v>
      </x:c>
      <x:c r="L1426" s="7" t="n">
        <x:v>2020</x:v>
      </x:c>
      <x:c r="M1426" s="11" t="n">
        <x:v>66463</x:v>
      </x:c>
      <x:c r="N1426" s="7" t="n">
        <x:v>1</x:v>
      </x:c>
      <x:c r="O1426" s="7" t="n">
        <x:v>0</x:v>
      </x:c>
      <x:c r="P1426" s="9" t="n">
        <x:v>4.71</x:v>
      </x:c>
      <x:c r="Q1426" s="7" t="n">
        <x:f>'Guide'!$B$5-L1426</x:f>
        <x:v>6</x:v>
      </x:c>
      <x:c r="R1426" s="9" t="n">
        <x:f>K1426-P1426</x:f>
        <x:v>5.29</x:v>
      </x:c>
      <x:c r="S1426" s="10" t="n">
        <x:f>IF(K1426&gt;0,R1426/K1426,"")</x:f>
        <x:v>0.529</x:v>
      </x:c>
    </x:row>
    <x:row r="1427">
      <x:c r="A1427" s="7" t="n">
        <x:v>1423</x:v>
      </x:c>
      <x:c r="B1427" s="7" t="str">
        <x:v>Tata</x:v>
      </x:c>
      <x:c r="C1427" s="7" t="str">
        <x:v>Altroz</x:v>
      </x:c>
      <x:c r="D1427" s="7" t="str">
        <x:v>XZA DCA</x:v>
      </x:c>
      <x:c r="E1427" s="7" t="str">
        <x:v>Petrol</x:v>
      </x:c>
      <x:c r="F1427" s="7" t="str">
        <x:v>Automatic</x:v>
      </x:c>
      <x:c r="G1427" s="7" t="str">
        <x:v>Hatchback</x:v>
      </x:c>
      <x:c r="H1427" s="7" t="n">
        <x:v>1199</x:v>
      </x:c>
      <x:c r="I1427" s="7" t="n">
        <x:v>87</x:v>
      </x:c>
      <x:c r="J1427" s="9" t="n">
        <x:v>18.5</x:v>
      </x:c>
      <x:c r="K1427" s="9" t="n">
        <x:v>10</x:v>
      </x:c>
      <x:c r="L1427" s="7" t="n">
        <x:v>2020</x:v>
      </x:c>
      <x:c r="M1427" s="11" t="n">
        <x:v>118292</x:v>
      </x:c>
      <x:c r="N1427" s="7" t="n">
        <x:v>1</x:v>
      </x:c>
      <x:c r="O1427" s="7" t="n">
        <x:v>0</x:v>
      </x:c>
      <x:c r="P1427" s="9" t="n">
        <x:v>3.84</x:v>
      </x:c>
      <x:c r="Q1427" s="7" t="n">
        <x:f>'Guide'!$B$5-L1427</x:f>
        <x:v>6</x:v>
      </x:c>
      <x:c r="R1427" s="9" t="n">
        <x:f>K1427-P1427</x:f>
        <x:v>6.16</x:v>
      </x:c>
      <x:c r="S1427" s="10" t="n">
        <x:f>IF(K1427&gt;0,R1427/K1427,"")</x:f>
        <x:v>0.616</x:v>
      </x:c>
    </x:row>
    <x:row r="1428">
      <x:c r="A1428" s="7" t="n">
        <x:v>1424</x:v>
      </x:c>
      <x:c r="B1428" s="7" t="str">
        <x:v>Tata</x:v>
      </x:c>
      <x:c r="C1428" s="7" t="str">
        <x:v>Altroz</x:v>
      </x:c>
      <x:c r="D1428" s="7" t="str">
        <x:v>XZA DCA</x:v>
      </x:c>
      <x:c r="E1428" s="7" t="str">
        <x:v>Petrol</x:v>
      </x:c>
      <x:c r="F1428" s="7" t="str">
        <x:v>Automatic</x:v>
      </x:c>
      <x:c r="G1428" s="7" t="str">
        <x:v>Hatchback</x:v>
      </x:c>
      <x:c r="H1428" s="7" t="n">
        <x:v>1199</x:v>
      </x:c>
      <x:c r="I1428" s="7" t="n">
        <x:v>87</x:v>
      </x:c>
      <x:c r="J1428" s="9" t="n">
        <x:v>18.5</x:v>
      </x:c>
      <x:c r="K1428" s="9" t="n">
        <x:v>10</x:v>
      </x:c>
      <x:c r="L1428" s="7" t="n">
        <x:v>2026</x:v>
      </x:c>
      <x:c r="M1428" s="11" t="n">
        <x:v>7688</x:v>
      </x:c>
      <x:c r="N1428" s="7" t="n">
        <x:v>1</x:v>
      </x:c>
      <x:c r="O1428" s="7" t="n">
        <x:v>1</x:v>
      </x:c>
      <x:c r="P1428" s="9" t="n">
        <x:v>8.85</x:v>
      </x:c>
      <x:c r="Q1428" s="7" t="n">
        <x:f>'Guide'!$B$5-L1428</x:f>
        <x:v>0</x:v>
      </x:c>
      <x:c r="R1428" s="9" t="n">
        <x:f>K1428-P1428</x:f>
        <x:v>1.1500000000000004</x:v>
      </x:c>
      <x:c r="S1428" s="10" t="n">
        <x:f>IF(K1428&gt;0,R1428/K1428,"")</x:f>
        <x:v>0.11500000000000003</x:v>
      </x:c>
    </x:row>
    <x:row r="1429">
      <x:c r="A1429" s="7" t="n">
        <x:v>1425</x:v>
      </x:c>
      <x:c r="B1429" s="7" t="str">
        <x:v>Tata</x:v>
      </x:c>
      <x:c r="C1429" s="7" t="str">
        <x:v>Altroz</x:v>
      </x:c>
      <x:c r="D1429" s="7" t="str">
        <x:v>XZA DCA</x:v>
      </x:c>
      <x:c r="E1429" s="7" t="str">
        <x:v>Petrol</x:v>
      </x:c>
      <x:c r="F1429" s="7" t="str">
        <x:v>Automatic</x:v>
      </x:c>
      <x:c r="G1429" s="7" t="str">
        <x:v>Hatchback</x:v>
      </x:c>
      <x:c r="H1429" s="7" t="n">
        <x:v>1199</x:v>
      </x:c>
      <x:c r="I1429" s="7" t="n">
        <x:v>87</x:v>
      </x:c>
      <x:c r="J1429" s="9" t="n">
        <x:v>18.5</x:v>
      </x:c>
      <x:c r="K1429" s="9" t="n">
        <x:v>10</x:v>
      </x:c>
      <x:c r="L1429" s="7" t="n">
        <x:v>2023</x:v>
      </x:c>
      <x:c r="M1429" s="11" t="n">
        <x:v>42765</x:v>
      </x:c>
      <x:c r="N1429" s="7" t="n">
        <x:v>2</x:v>
      </x:c>
      <x:c r="O1429" s="7" t="n">
        <x:v>0</x:v>
      </x:c>
      <x:c r="P1429" s="9" t="n">
        <x:v>7.08</x:v>
      </x:c>
      <x:c r="Q1429" s="7" t="n">
        <x:f>'Guide'!$B$5-L1429</x:f>
        <x:v>3</x:v>
      </x:c>
      <x:c r="R1429" s="9" t="n">
        <x:f>K1429-P1429</x:f>
        <x:v>2.92</x:v>
      </x:c>
      <x:c r="S1429" s="10" t="n">
        <x:f>IF(K1429&gt;0,R1429/K1429,"")</x:f>
        <x:v>0.292</x:v>
      </x:c>
    </x:row>
    <x:row r="1430">
      <x:c r="A1430" s="7" t="n">
        <x:v>1426</x:v>
      </x:c>
      <x:c r="B1430" s="7" t="str">
        <x:v>Tata</x:v>
      </x:c>
      <x:c r="C1430" s="7" t="str">
        <x:v>Altroz</x:v>
      </x:c>
      <x:c r="D1430" s="7" t="str">
        <x:v>XZA DCA</x:v>
      </x:c>
      <x:c r="E1430" s="7" t="str">
        <x:v>Petrol</x:v>
      </x:c>
      <x:c r="F1430" s="7" t="str">
        <x:v>Automatic</x:v>
      </x:c>
      <x:c r="G1430" s="7" t="str">
        <x:v>Hatchback</x:v>
      </x:c>
      <x:c r="H1430" s="7" t="n">
        <x:v>1199</x:v>
      </x:c>
      <x:c r="I1430" s="7" t="n">
        <x:v>87</x:v>
      </x:c>
      <x:c r="J1430" s="9" t="n">
        <x:v>18.5</x:v>
      </x:c>
      <x:c r="K1430" s="9" t="n">
        <x:v>10</x:v>
      </x:c>
      <x:c r="L1430" s="7" t="n">
        <x:v>2020</x:v>
      </x:c>
      <x:c r="M1430" s="11" t="n">
        <x:v>73481</x:v>
      </x:c>
      <x:c r="N1430" s="7" t="n">
        <x:v>2</x:v>
      </x:c>
      <x:c r="O1430" s="7" t="n">
        <x:v>0</x:v>
      </x:c>
      <x:c r="P1430" s="9" t="n">
        <x:v>4.31</x:v>
      </x:c>
      <x:c r="Q1430" s="7" t="n">
        <x:f>'Guide'!$B$5-L1430</x:f>
        <x:v>6</x:v>
      </x:c>
      <x:c r="R1430" s="9" t="n">
        <x:f>K1430-P1430</x:f>
        <x:v>5.69</x:v>
      </x:c>
      <x:c r="S1430" s="10" t="n">
        <x:f>IF(K1430&gt;0,R1430/K1430,"")</x:f>
        <x:v>0.5690000000000001</x:v>
      </x:c>
    </x:row>
    <x:row r="1431">
      <x:c r="A1431" s="7" t="n">
        <x:v>1427</x:v>
      </x:c>
      <x:c r="B1431" s="7" t="str">
        <x:v>Tata</x:v>
      </x:c>
      <x:c r="C1431" s="7" t="str">
        <x:v>Altroz</x:v>
      </x:c>
      <x:c r="D1431" s="7" t="str">
        <x:v>XZA DCA</x:v>
      </x:c>
      <x:c r="E1431" s="7" t="str">
        <x:v>Petrol</x:v>
      </x:c>
      <x:c r="F1431" s="7" t="str">
        <x:v>Automatic</x:v>
      </x:c>
      <x:c r="G1431" s="7" t="str">
        <x:v>Hatchback</x:v>
      </x:c>
      <x:c r="H1431" s="7" t="n">
        <x:v>1199</x:v>
      </x:c>
      <x:c r="I1431" s="7" t="n">
        <x:v>87</x:v>
      </x:c>
      <x:c r="J1431" s="9" t="n">
        <x:v>18.5</x:v>
      </x:c>
      <x:c r="K1431" s="9" t="n">
        <x:v>10</x:v>
      </x:c>
      <x:c r="L1431" s="7" t="n">
        <x:v>2021</x:v>
      </x:c>
      <x:c r="M1431" s="11" t="n">
        <x:v>89892</x:v>
      </x:c>
      <x:c r="N1431" s="7" t="n">
        <x:v>2</x:v>
      </x:c>
      <x:c r="O1431" s="7" t="n">
        <x:v>0</x:v>
      </x:c>
      <x:c r="P1431" s="9" t="n">
        <x:v>4.39</x:v>
      </x:c>
      <x:c r="Q1431" s="7" t="n">
        <x:f>'Guide'!$B$5-L1431</x:f>
        <x:v>5</x:v>
      </x:c>
      <x:c r="R1431" s="9" t="n">
        <x:f>K1431-P1431</x:f>
        <x:v>5.61</x:v>
      </x:c>
      <x:c r="S1431" s="10" t="n">
        <x:f>IF(K1431&gt;0,R1431/K1431,"")</x:f>
        <x:v>0.561</x:v>
      </x:c>
    </x:row>
    <x:row r="1432">
      <x:c r="A1432" s="7" t="n">
        <x:v>1428</x:v>
      </x:c>
      <x:c r="B1432" s="7" t="str">
        <x:v>Tata</x:v>
      </x:c>
      <x:c r="C1432" s="7" t="str">
        <x:v>Altroz</x:v>
      </x:c>
      <x:c r="D1432" s="7" t="str">
        <x:v>XZA DCA</x:v>
      </x:c>
      <x:c r="E1432" s="7" t="str">
        <x:v>Petrol</x:v>
      </x:c>
      <x:c r="F1432" s="7" t="str">
        <x:v>Automatic</x:v>
      </x:c>
      <x:c r="G1432" s="7" t="str">
        <x:v>Hatchback</x:v>
      </x:c>
      <x:c r="H1432" s="7" t="n">
        <x:v>1199</x:v>
      </x:c>
      <x:c r="I1432" s="7" t="n">
        <x:v>87</x:v>
      </x:c>
      <x:c r="J1432" s="9" t="n">
        <x:v>18.5</x:v>
      </x:c>
      <x:c r="K1432" s="9" t="n">
        <x:v>10</x:v>
      </x:c>
      <x:c r="L1432" s="7" t="n">
        <x:v>2025</x:v>
      </x:c>
      <x:c r="M1432" s="11" t="n">
        <x:v>15375</x:v>
      </x:c>
      <x:c r="N1432" s="7" t="n">
        <x:v>1</x:v>
      </x:c>
      <x:c r="O1432" s="7" t="n">
        <x:v>0</x:v>
      </x:c>
      <x:c r="P1432" s="9" t="n">
        <x:v>8.62</x:v>
      </x:c>
      <x:c r="Q1432" s="7" t="n">
        <x:f>'Guide'!$B$5-L1432</x:f>
        <x:v>1</x:v>
      </x:c>
      <x:c r="R1432" s="9" t="n">
        <x:f>K1432-P1432</x:f>
        <x:v>1.3800000000000008</x:v>
      </x:c>
      <x:c r="S1432" s="10" t="n">
        <x:f>IF(K1432&gt;0,R1432/K1432,"")</x:f>
        <x:v>0.13800000000000007</x:v>
      </x:c>
    </x:row>
    <x:row r="1433">
      <x:c r="A1433" s="7" t="n">
        <x:v>1429</x:v>
      </x:c>
      <x:c r="B1433" s="7" t="str">
        <x:v>Tata</x:v>
      </x:c>
      <x:c r="C1433" s="7" t="str">
        <x:v>Altroz</x:v>
      </x:c>
      <x:c r="D1433" s="7" t="str">
        <x:v>XZA DCA</x:v>
      </x:c>
      <x:c r="E1433" s="7" t="str">
        <x:v>Petrol</x:v>
      </x:c>
      <x:c r="F1433" s="7" t="str">
        <x:v>Automatic</x:v>
      </x:c>
      <x:c r="G1433" s="7" t="str">
        <x:v>Hatchback</x:v>
      </x:c>
      <x:c r="H1433" s="7" t="n">
        <x:v>1199</x:v>
      </x:c>
      <x:c r="I1433" s="7" t="n">
        <x:v>87</x:v>
      </x:c>
      <x:c r="J1433" s="9" t="n">
        <x:v>18.5</x:v>
      </x:c>
      <x:c r="K1433" s="9" t="n">
        <x:v>10</x:v>
      </x:c>
      <x:c r="L1433" s="7" t="n">
        <x:v>2023</x:v>
      </x:c>
      <x:c r="M1433" s="11" t="n">
        <x:v>37275</x:v>
      </x:c>
      <x:c r="N1433" s="7" t="n">
        <x:v>1</x:v>
      </x:c>
      <x:c r="O1433" s="7" t="n">
        <x:v>0</x:v>
      </x:c>
      <x:c r="P1433" s="9" t="n">
        <x:v>6.81</x:v>
      </x:c>
      <x:c r="Q1433" s="7" t="n">
        <x:f>'Guide'!$B$5-L1433</x:f>
        <x:v>3</x:v>
      </x:c>
      <x:c r="R1433" s="9" t="n">
        <x:f>K1433-P1433</x:f>
        <x:v>3.1900000000000004</x:v>
      </x:c>
      <x:c r="S1433" s="10" t="n">
        <x:f>IF(K1433&gt;0,R1433/K1433,"")</x:f>
        <x:v>0.31900000000000006</x:v>
      </x:c>
    </x:row>
    <x:row r="1434">
      <x:c r="A1434" s="7" t="n">
        <x:v>1430</x:v>
      </x:c>
      <x:c r="B1434" s="7" t="str">
        <x:v>Tata</x:v>
      </x:c>
      <x:c r="C1434" s="7" t="str">
        <x:v>Altroz</x:v>
      </x:c>
      <x:c r="D1434" s="7" t="str">
        <x:v>XZA DCA</x:v>
      </x:c>
      <x:c r="E1434" s="7" t="str">
        <x:v>Petrol</x:v>
      </x:c>
      <x:c r="F1434" s="7" t="str">
        <x:v>Automatic</x:v>
      </x:c>
      <x:c r="G1434" s="7" t="str">
        <x:v>Hatchback</x:v>
      </x:c>
      <x:c r="H1434" s="7" t="n">
        <x:v>1199</x:v>
      </x:c>
      <x:c r="I1434" s="7" t="n">
        <x:v>87</x:v>
      </x:c>
      <x:c r="J1434" s="9" t="n">
        <x:v>18.5</x:v>
      </x:c>
      <x:c r="K1434" s="9" t="n">
        <x:v>10</x:v>
      </x:c>
      <x:c r="L1434" s="7" t="n">
        <x:v>2026</x:v>
      </x:c>
      <x:c r="M1434" s="11" t="n">
        <x:v>9471</x:v>
      </x:c>
      <x:c r="N1434" s="7" t="n">
        <x:v>1</x:v>
      </x:c>
      <x:c r="O1434" s="7" t="n">
        <x:v>0</x:v>
      </x:c>
      <x:c r="P1434" s="9" t="n">
        <x:v>10.02</x:v>
      </x:c>
      <x:c r="Q1434" s="7" t="n">
        <x:f>'Guide'!$B$5-L1434</x:f>
        <x:v>0</x:v>
      </x:c>
      <x:c r="R1434" s="9" t="n">
        <x:f>K1434-P1434</x:f>
        <x:v>-0.019999999999999574</x:v>
      </x:c>
      <x:c r="S1434" s="10" t="n">
        <x:f>IF(K1434&gt;0,R1434/K1434,"")</x:f>
        <x:v>-0.0019999999999999575</x:v>
      </x:c>
    </x:row>
    <x:row r="1435">
      <x:c r="A1435" s="7" t="n">
        <x:v>1431</x:v>
      </x:c>
      <x:c r="B1435" s="7" t="str">
        <x:v>Tata</x:v>
      </x:c>
      <x:c r="C1435" s="7" t="str">
        <x:v>Altroz</x:v>
      </x:c>
      <x:c r="D1435" s="7" t="str">
        <x:v>XZA DCA</x:v>
      </x:c>
      <x:c r="E1435" s="7" t="str">
        <x:v>Petrol</x:v>
      </x:c>
      <x:c r="F1435" s="7" t="str">
        <x:v>Automatic</x:v>
      </x:c>
      <x:c r="G1435" s="7" t="str">
        <x:v>Hatchback</x:v>
      </x:c>
      <x:c r="H1435" s="7" t="n">
        <x:v>1199</x:v>
      </x:c>
      <x:c r="I1435" s="7" t="n">
        <x:v>87</x:v>
      </x:c>
      <x:c r="J1435" s="9" t="n">
        <x:v>18.5</x:v>
      </x:c>
      <x:c r="K1435" s="9" t="n">
        <x:v>10</x:v>
      </x:c>
      <x:c r="L1435" s="7" t="n">
        <x:v>2022</x:v>
      </x:c>
      <x:c r="M1435" s="11" t="n">
        <x:v>85292</x:v>
      </x:c>
      <x:c r="N1435" s="7" t="n">
        <x:v>1</x:v>
      </x:c>
      <x:c r="O1435" s="7" t="n">
        <x:v>0</x:v>
      </x:c>
      <x:c r="P1435" s="9" t="n">
        <x:v>6.1</x:v>
      </x:c>
      <x:c r="Q1435" s="7" t="n">
        <x:f>'Guide'!$B$5-L1435</x:f>
        <x:v>4</x:v>
      </x:c>
      <x:c r="R1435" s="9" t="n">
        <x:f>K1435-P1435</x:f>
        <x:v>3.9000000000000004</x:v>
      </x:c>
      <x:c r="S1435" s="10" t="n">
        <x:f>IF(K1435&gt;0,R1435/K1435,"")</x:f>
        <x:v>0.39</x:v>
      </x:c>
    </x:row>
    <x:row r="1436">
      <x:c r="A1436" s="7" t="n">
        <x:v>1432</x:v>
      </x:c>
      <x:c r="B1436" s="7" t="str">
        <x:v>Tata</x:v>
      </x:c>
      <x:c r="C1436" s="7" t="str">
        <x:v>Altroz</x:v>
      </x:c>
      <x:c r="D1436" s="7" t="str">
        <x:v>XZA DCA</x:v>
      </x:c>
      <x:c r="E1436" s="7" t="str">
        <x:v>Petrol</x:v>
      </x:c>
      <x:c r="F1436" s="7" t="str">
        <x:v>Automatic</x:v>
      </x:c>
      <x:c r="G1436" s="7" t="str">
        <x:v>Hatchback</x:v>
      </x:c>
      <x:c r="H1436" s="7" t="n">
        <x:v>1199</x:v>
      </x:c>
      <x:c r="I1436" s="7" t="n">
        <x:v>87</x:v>
      </x:c>
      <x:c r="J1436" s="9" t="n">
        <x:v>18.5</x:v>
      </x:c>
      <x:c r="K1436" s="9" t="n">
        <x:v>10</x:v>
      </x:c>
      <x:c r="L1436" s="7" t="n">
        <x:v>2026</x:v>
      </x:c>
      <x:c r="M1436" s="11" t="n">
        <x:v>6717</x:v>
      </x:c>
      <x:c r="N1436" s="7" t="n">
        <x:v>1</x:v>
      </x:c>
      <x:c r="O1436" s="7" t="n">
        <x:v>1</x:v>
      </x:c>
      <x:c r="P1436" s="9" t="n">
        <x:v>8.73</x:v>
      </x:c>
      <x:c r="Q1436" s="7" t="n">
        <x:f>'Guide'!$B$5-L1436</x:f>
        <x:v>0</x:v>
      </x:c>
      <x:c r="R1436" s="9" t="n">
        <x:f>K1436-P1436</x:f>
        <x:v>1.2699999999999996</x:v>
      </x:c>
      <x:c r="S1436" s="10" t="n">
        <x:f>IF(K1436&gt;0,R1436/K1436,"")</x:f>
        <x:v>0.12699999999999995</x:v>
      </x:c>
    </x:row>
    <x:row r="1437">
      <x:c r="A1437" s="7" t="n">
        <x:v>1433</x:v>
      </x:c>
      <x:c r="B1437" s="7" t="str">
        <x:v>Tata</x:v>
      </x:c>
      <x:c r="C1437" s="7" t="str">
        <x:v>Altroz</x:v>
      </x:c>
      <x:c r="D1437" s="7" t="str">
        <x:v>XZA DCA</x:v>
      </x:c>
      <x:c r="E1437" s="7" t="str">
        <x:v>Petrol</x:v>
      </x:c>
      <x:c r="F1437" s="7" t="str">
        <x:v>Automatic</x:v>
      </x:c>
      <x:c r="G1437" s="7" t="str">
        <x:v>Hatchback</x:v>
      </x:c>
      <x:c r="H1437" s="7" t="n">
        <x:v>1199</x:v>
      </x:c>
      <x:c r="I1437" s="7" t="n">
        <x:v>87</x:v>
      </x:c>
      <x:c r="J1437" s="9" t="n">
        <x:v>18.5</x:v>
      </x:c>
      <x:c r="K1437" s="9" t="n">
        <x:v>10</x:v>
      </x:c>
      <x:c r="L1437" s="7" t="n">
        <x:v>2024</x:v>
      </x:c>
      <x:c r="M1437" s="11" t="n">
        <x:v>43712</x:v>
      </x:c>
      <x:c r="N1437" s="7" t="n">
        <x:v>1</x:v>
      </x:c>
      <x:c r="O1437" s="7" t="n">
        <x:v>0</x:v>
      </x:c>
      <x:c r="P1437" s="9" t="n">
        <x:v>7.99</x:v>
      </x:c>
      <x:c r="Q1437" s="7" t="n">
        <x:f>'Guide'!$B$5-L1437</x:f>
        <x:v>2</x:v>
      </x:c>
      <x:c r="R1437" s="9" t="n">
        <x:f>K1437-P1437</x:f>
        <x:v>2.01</x:v>
      </x:c>
      <x:c r="S1437" s="10" t="n">
        <x:f>IF(K1437&gt;0,R1437/K1437,"")</x:f>
        <x:v>0.20099999999999998</x:v>
      </x:c>
    </x:row>
    <x:row r="1438">
      <x:c r="A1438" s="7" t="n">
        <x:v>1434</x:v>
      </x:c>
      <x:c r="B1438" s="7" t="str">
        <x:v>Tata</x:v>
      </x:c>
      <x:c r="C1438" s="7" t="str">
        <x:v>Altroz</x:v>
      </x:c>
      <x:c r="D1438" s="7" t="str">
        <x:v>XZA DCA</x:v>
      </x:c>
      <x:c r="E1438" s="7" t="str">
        <x:v>Petrol</x:v>
      </x:c>
      <x:c r="F1438" s="7" t="str">
        <x:v>Automatic</x:v>
      </x:c>
      <x:c r="G1438" s="7" t="str">
        <x:v>Hatchback</x:v>
      </x:c>
      <x:c r="H1438" s="7" t="n">
        <x:v>1199</x:v>
      </x:c>
      <x:c r="I1438" s="7" t="n">
        <x:v>87</x:v>
      </x:c>
      <x:c r="J1438" s="9" t="n">
        <x:v>18.5</x:v>
      </x:c>
      <x:c r="K1438" s="9" t="n">
        <x:v>10</x:v>
      </x:c>
      <x:c r="L1438" s="7" t="n">
        <x:v>2020</x:v>
      </x:c>
      <x:c r="M1438" s="11" t="n">
        <x:v>88447</x:v>
      </x:c>
      <x:c r="N1438" s="7" t="n">
        <x:v>1</x:v>
      </x:c>
      <x:c r="O1438" s="7" t="n">
        <x:v>0</x:v>
      </x:c>
      <x:c r="P1438" s="9" t="n">
        <x:v>4.21</x:v>
      </x:c>
      <x:c r="Q1438" s="7" t="n">
        <x:f>'Guide'!$B$5-L1438</x:f>
        <x:v>6</x:v>
      </x:c>
      <x:c r="R1438" s="9" t="n">
        <x:f>K1438-P1438</x:f>
        <x:v>5.79</x:v>
      </x:c>
      <x:c r="S1438" s="10" t="n">
        <x:f>IF(K1438&gt;0,R1438/K1438,"")</x:f>
        <x:v>0.579</x:v>
      </x:c>
    </x:row>
    <x:row r="1439">
      <x:c r="A1439" s="7" t="n">
        <x:v>1435</x:v>
      </x:c>
      <x:c r="B1439" s="7" t="str">
        <x:v>Tata</x:v>
      </x:c>
      <x:c r="C1439" s="7" t="str">
        <x:v>Altroz</x:v>
      </x:c>
      <x:c r="D1439" s="7" t="str">
        <x:v>XZA DCA</x:v>
      </x:c>
      <x:c r="E1439" s="7" t="str">
        <x:v>Petrol</x:v>
      </x:c>
      <x:c r="F1439" s="7" t="str">
        <x:v>Automatic</x:v>
      </x:c>
      <x:c r="G1439" s="7" t="str">
        <x:v>Hatchback</x:v>
      </x:c>
      <x:c r="H1439" s="7" t="n">
        <x:v>1199</x:v>
      </x:c>
      <x:c r="I1439" s="7" t="n">
        <x:v>87</x:v>
      </x:c>
      <x:c r="J1439" s="9" t="n">
        <x:v>18.5</x:v>
      </x:c>
      <x:c r="K1439" s="9" t="n">
        <x:v>10</x:v>
      </x:c>
      <x:c r="L1439" s="7" t="n">
        <x:v>2024</x:v>
      </x:c>
      <x:c r="M1439" s="11" t="n">
        <x:v>25830</x:v>
      </x:c>
      <x:c r="N1439" s="7" t="n">
        <x:v>2</x:v>
      </x:c>
      <x:c r="O1439" s="7" t="n">
        <x:v>0</x:v>
      </x:c>
      <x:c r="P1439" s="9" t="n">
        <x:v>7.52</x:v>
      </x:c>
      <x:c r="Q1439" s="7" t="n">
        <x:f>'Guide'!$B$5-L1439</x:f>
        <x:v>2</x:v>
      </x:c>
      <x:c r="R1439" s="9" t="n">
        <x:f>K1439-P1439</x:f>
        <x:v>2.4800000000000004</x:v>
      </x:c>
      <x:c r="S1439" s="10" t="n">
        <x:f>IF(K1439&gt;0,R1439/K1439,"")</x:f>
        <x:v>0.24800000000000005</x:v>
      </x:c>
    </x:row>
    <x:row r="1440">
      <x:c r="A1440" s="7" t="n">
        <x:v>1436</x:v>
      </x:c>
      <x:c r="B1440" s="7" t="str">
        <x:v>Tata</x:v>
      </x:c>
      <x:c r="C1440" s="7" t="str">
        <x:v>Altroz</x:v>
      </x:c>
      <x:c r="D1440" s="7" t="str">
        <x:v>XZA DCA</x:v>
      </x:c>
      <x:c r="E1440" s="7" t="str">
        <x:v>Petrol</x:v>
      </x:c>
      <x:c r="F1440" s="7" t="str">
        <x:v>Automatic</x:v>
      </x:c>
      <x:c r="G1440" s="7" t="str">
        <x:v>Hatchback</x:v>
      </x:c>
      <x:c r="H1440" s="7" t="n">
        <x:v>1199</x:v>
      </x:c>
      <x:c r="I1440" s="7" t="n">
        <x:v>87</x:v>
      </x:c>
      <x:c r="J1440" s="9" t="n">
        <x:v>18.5</x:v>
      </x:c>
      <x:c r="K1440" s="9" t="n">
        <x:v>10</x:v>
      </x:c>
      <x:c r="L1440" s="7" t="n">
        <x:v>2021</x:v>
      </x:c>
      <x:c r="M1440" s="11" t="n">
        <x:v>66818</x:v>
      </x:c>
      <x:c r="N1440" s="7" t="n">
        <x:v>1</x:v>
      </x:c>
      <x:c r="O1440" s="7" t="n">
        <x:v>0</x:v>
      </x:c>
      <x:c r="P1440" s="9" t="n">
        <x:v>5.04</x:v>
      </x:c>
      <x:c r="Q1440" s="7" t="n">
        <x:f>'Guide'!$B$5-L1440</x:f>
        <x:v>5</x:v>
      </x:c>
      <x:c r="R1440" s="9" t="n">
        <x:f>K1440-P1440</x:f>
        <x:v>4.96</x:v>
      </x:c>
      <x:c r="S1440" s="10" t="n">
        <x:f>IF(K1440&gt;0,R1440/K1440,"")</x:f>
        <x:v>0.496</x:v>
      </x:c>
    </x:row>
    <x:row r="1441">
      <x:c r="A1441" s="7" t="n">
        <x:v>1437</x:v>
      </x:c>
      <x:c r="B1441" s="7" t="str">
        <x:v>Tata</x:v>
      </x:c>
      <x:c r="C1441" s="7" t="str">
        <x:v>Altroz</x:v>
      </x:c>
      <x:c r="D1441" s="7" t="str">
        <x:v>XZA DCA</x:v>
      </x:c>
      <x:c r="E1441" s="7" t="str">
        <x:v>Petrol</x:v>
      </x:c>
      <x:c r="F1441" s="7" t="str">
        <x:v>Automatic</x:v>
      </x:c>
      <x:c r="G1441" s="7" t="str">
        <x:v>Hatchback</x:v>
      </x:c>
      <x:c r="H1441" s="7" t="n">
        <x:v>1199</x:v>
      </x:c>
      <x:c r="I1441" s="7" t="n">
        <x:v>87</x:v>
      </x:c>
      <x:c r="J1441" s="9" t="n">
        <x:v>18.5</x:v>
      </x:c>
      <x:c r="K1441" s="9" t="n">
        <x:v>10</x:v>
      </x:c>
      <x:c r="L1441" s="7" t="n">
        <x:v>2026</x:v>
      </x:c>
      <x:c r="M1441" s="11" t="n">
        <x:v>4409</x:v>
      </x:c>
      <x:c r="N1441" s="7" t="n">
        <x:v>1</x:v>
      </x:c>
      <x:c r="O1441" s="7" t="n">
        <x:v>0</x:v>
      </x:c>
      <x:c r="P1441" s="9" t="n">
        <x:v>9.61</x:v>
      </x:c>
      <x:c r="Q1441" s="7" t="n">
        <x:f>'Guide'!$B$5-L1441</x:f>
        <x:v>0</x:v>
      </x:c>
      <x:c r="R1441" s="9" t="n">
        <x:f>K1441-P1441</x:f>
        <x:v>0.39000000000000057</x:v>
      </x:c>
      <x:c r="S1441" s="10" t="n">
        <x:f>IF(K1441&gt;0,R1441/K1441,"")</x:f>
        <x:v>0.039000000000000055</x:v>
      </x:c>
    </x:row>
    <x:row r="1442">
      <x:c r="A1442" s="7" t="n">
        <x:v>1438</x:v>
      </x:c>
      <x:c r="B1442" s="7" t="str">
        <x:v>Tata</x:v>
      </x:c>
      <x:c r="C1442" s="7" t="str">
        <x:v>Altroz</x:v>
      </x:c>
      <x:c r="D1442" s="7" t="str">
        <x:v>XZA DCA</x:v>
      </x:c>
      <x:c r="E1442" s="7" t="str">
        <x:v>Petrol</x:v>
      </x:c>
      <x:c r="F1442" s="7" t="str">
        <x:v>Automatic</x:v>
      </x:c>
      <x:c r="G1442" s="7" t="str">
        <x:v>Hatchback</x:v>
      </x:c>
      <x:c r="H1442" s="7" t="n">
        <x:v>1199</x:v>
      </x:c>
      <x:c r="I1442" s="7" t="n">
        <x:v>87</x:v>
      </x:c>
      <x:c r="J1442" s="9" t="n">
        <x:v>18.5</x:v>
      </x:c>
      <x:c r="K1442" s="9" t="n">
        <x:v>10</x:v>
      </x:c>
      <x:c r="L1442" s="7" t="n">
        <x:v>2026</x:v>
      </x:c>
      <x:c r="M1442" s="11" t="n">
        <x:v>7837</x:v>
      </x:c>
      <x:c r="N1442" s="7" t="n">
        <x:v>2</x:v>
      </x:c>
      <x:c r="O1442" s="7" t="n">
        <x:v>0</x:v>
      </x:c>
      <x:c r="P1442" s="9" t="n">
        <x:v>9.67</x:v>
      </x:c>
      <x:c r="Q1442" s="7" t="n">
        <x:f>'Guide'!$B$5-L1442</x:f>
        <x:v>0</x:v>
      </x:c>
      <x:c r="R1442" s="9" t="n">
        <x:f>K1442-P1442</x:f>
        <x:v>0.33000000000000007</x:v>
      </x:c>
      <x:c r="S1442" s="10" t="n">
        <x:f>IF(K1442&gt;0,R1442/K1442,"")</x:f>
        <x:v>0.03300000000000001</x:v>
      </x:c>
    </x:row>
    <x:row r="1443">
      <x:c r="A1443" s="7" t="n">
        <x:v>1439</x:v>
      </x:c>
      <x:c r="B1443" s="7" t="str">
        <x:v>Tata</x:v>
      </x:c>
      <x:c r="C1443" s="7" t="str">
        <x:v>Altroz</x:v>
      </x:c>
      <x:c r="D1443" s="7" t="str">
        <x:v>XZA DCA</x:v>
      </x:c>
      <x:c r="E1443" s="7" t="str">
        <x:v>Petrol</x:v>
      </x:c>
      <x:c r="F1443" s="7" t="str">
        <x:v>Automatic</x:v>
      </x:c>
      <x:c r="G1443" s="7" t="str">
        <x:v>Hatchback</x:v>
      </x:c>
      <x:c r="H1443" s="7" t="n">
        <x:v>1199</x:v>
      </x:c>
      <x:c r="I1443" s="7" t="n">
        <x:v>87</x:v>
      </x:c>
      <x:c r="J1443" s="9" t="n">
        <x:v>18.5</x:v>
      </x:c>
      <x:c r="K1443" s="9" t="n">
        <x:v>10</x:v>
      </x:c>
      <x:c r="L1443" s="7" t="n">
        <x:v>2020</x:v>
      </x:c>
      <x:c r="M1443" s="11" t="n">
        <x:v>76243</x:v>
      </x:c>
      <x:c r="N1443" s="7" t="n">
        <x:v>2</x:v>
      </x:c>
      <x:c r="O1443" s="7" t="n">
        <x:v>0</x:v>
      </x:c>
      <x:c r="P1443" s="9" t="n">
        <x:v>4.27</x:v>
      </x:c>
      <x:c r="Q1443" s="7" t="n">
        <x:f>'Guide'!$B$5-L1443</x:f>
        <x:v>6</x:v>
      </x:c>
      <x:c r="R1443" s="9" t="n">
        <x:f>K1443-P1443</x:f>
        <x:v>5.73</x:v>
      </x:c>
      <x:c r="S1443" s="10" t="n">
        <x:f>IF(K1443&gt;0,R1443/K1443,"")</x:f>
        <x:v>0.5730000000000001</x:v>
      </x:c>
    </x:row>
    <x:row r="1444">
      <x:c r="A1444" s="7" t="n">
        <x:v>1440</x:v>
      </x:c>
      <x:c r="B1444" s="7" t="str">
        <x:v>Tata</x:v>
      </x:c>
      <x:c r="C1444" s="7" t="str">
        <x:v>Altroz</x:v>
      </x:c>
      <x:c r="D1444" s="7" t="str">
        <x:v>XZA DCA</x:v>
      </x:c>
      <x:c r="E1444" s="7" t="str">
        <x:v>Petrol</x:v>
      </x:c>
      <x:c r="F1444" s="7" t="str">
        <x:v>Automatic</x:v>
      </x:c>
      <x:c r="G1444" s="7" t="str">
        <x:v>Hatchback</x:v>
      </x:c>
      <x:c r="H1444" s="7" t="n">
        <x:v>1199</x:v>
      </x:c>
      <x:c r="I1444" s="7" t="n">
        <x:v>87</x:v>
      </x:c>
      <x:c r="J1444" s="9" t="n">
        <x:v>18.5</x:v>
      </x:c>
      <x:c r="K1444" s="9" t="n">
        <x:v>10</x:v>
      </x:c>
      <x:c r="L1444" s="7" t="n">
        <x:v>2021</x:v>
      </x:c>
      <x:c r="M1444" s="11" t="n">
        <x:v>93511</x:v>
      </x:c>
      <x:c r="N1444" s="7" t="n">
        <x:v>1</x:v>
      </x:c>
      <x:c r="O1444" s="7" t="n">
        <x:v>0</x:v>
      </x:c>
      <x:c r="P1444" s="9" t="n">
        <x:v>5.23</x:v>
      </x:c>
      <x:c r="Q1444" s="7" t="n">
        <x:f>'Guide'!$B$5-L1444</x:f>
        <x:v>5</x:v>
      </x:c>
      <x:c r="R1444" s="9" t="n">
        <x:f>K1444-P1444</x:f>
        <x:v>4.77</x:v>
      </x:c>
      <x:c r="S1444" s="10" t="n">
        <x:f>IF(K1444&gt;0,R1444/K1444,"")</x:f>
        <x:v>0.477</x:v>
      </x:c>
    </x:row>
    <x:row r="1445">
      <x:c r="A1445" s="7" t="n">
        <x:v>1441</x:v>
      </x:c>
      <x:c r="B1445" s="7" t="str">
        <x:v>Tata</x:v>
      </x:c>
      <x:c r="C1445" s="7" t="str">
        <x:v>Altroz</x:v>
      </x:c>
      <x:c r="D1445" s="7" t="str">
        <x:v>XZA DCA</x:v>
      </x:c>
      <x:c r="E1445" s="7" t="str">
        <x:v>Petrol</x:v>
      </x:c>
      <x:c r="F1445" s="7" t="str">
        <x:v>Automatic</x:v>
      </x:c>
      <x:c r="G1445" s="7" t="str">
        <x:v>Hatchback</x:v>
      </x:c>
      <x:c r="H1445" s="7" t="n">
        <x:v>1199</x:v>
      </x:c>
      <x:c r="I1445" s="7" t="n">
        <x:v>87</x:v>
      </x:c>
      <x:c r="J1445" s="9" t="n">
        <x:v>18.5</x:v>
      </x:c>
      <x:c r="K1445" s="9" t="n">
        <x:v>10</x:v>
      </x:c>
      <x:c r="L1445" s="7" t="n">
        <x:v>2022</x:v>
      </x:c>
      <x:c r="M1445" s="11" t="n">
        <x:v>87934</x:v>
      </x:c>
      <x:c r="N1445" s="7" t="n">
        <x:v>1</x:v>
      </x:c>
      <x:c r="O1445" s="7" t="n">
        <x:v>0</x:v>
      </x:c>
      <x:c r="P1445" s="9" t="n">
        <x:v>5.46</x:v>
      </x:c>
      <x:c r="Q1445" s="7" t="n">
        <x:f>'Guide'!$B$5-L1445</x:f>
        <x:v>4</x:v>
      </x:c>
      <x:c r="R1445" s="9" t="n">
        <x:f>K1445-P1445</x:f>
        <x:v>4.54</x:v>
      </x:c>
      <x:c r="S1445" s="10" t="n">
        <x:f>IF(K1445&gt;0,R1445/K1445,"")</x:f>
        <x:v>0.454</x:v>
      </x:c>
    </x:row>
    <x:row r="1446">
      <x:c r="A1446" s="7" t="n">
        <x:v>1442</x:v>
      </x:c>
      <x:c r="B1446" s="7" t="str">
        <x:v>Tata</x:v>
      </x:c>
      <x:c r="C1446" s="7" t="str">
        <x:v>Altroz</x:v>
      </x:c>
      <x:c r="D1446" s="7" t="str">
        <x:v>XZA DCA</x:v>
      </x:c>
      <x:c r="E1446" s="7" t="str">
        <x:v>Petrol</x:v>
      </x:c>
      <x:c r="F1446" s="7" t="str">
        <x:v>Automatic</x:v>
      </x:c>
      <x:c r="G1446" s="7" t="str">
        <x:v>Hatchback</x:v>
      </x:c>
      <x:c r="H1446" s="7" t="n">
        <x:v>1199</x:v>
      </x:c>
      <x:c r="I1446" s="7" t="n">
        <x:v>87</x:v>
      </x:c>
      <x:c r="J1446" s="9" t="n">
        <x:v>18.5</x:v>
      </x:c>
      <x:c r="K1446" s="9" t="n">
        <x:v>10</x:v>
      </x:c>
      <x:c r="L1446" s="7" t="n">
        <x:v>2022</x:v>
      </x:c>
      <x:c r="M1446" s="11" t="n">
        <x:v>58931</x:v>
      </x:c>
      <x:c r="N1446" s="7" t="n">
        <x:v>1</x:v>
      </x:c>
      <x:c r="O1446" s="7" t="n">
        <x:v>0</x:v>
      </x:c>
      <x:c r="P1446" s="9" t="n">
        <x:v>6.37</x:v>
      </x:c>
      <x:c r="Q1446" s="7" t="n">
        <x:f>'Guide'!$B$5-L1446</x:f>
        <x:v>4</x:v>
      </x:c>
      <x:c r="R1446" s="9" t="n">
        <x:f>K1446-P1446</x:f>
        <x:v>3.63</x:v>
      </x:c>
      <x:c r="S1446" s="10" t="n">
        <x:f>IF(K1446&gt;0,R1446/K1446,"")</x:f>
        <x:v>0.363</x:v>
      </x:c>
    </x:row>
    <x:row r="1447">
      <x:c r="A1447" s="7" t="n">
        <x:v>1443</x:v>
      </x:c>
      <x:c r="B1447" s="7" t="str">
        <x:v>Tata</x:v>
      </x:c>
      <x:c r="C1447" s="7" t="str">
        <x:v>Altroz</x:v>
      </x:c>
      <x:c r="D1447" s="7" t="str">
        <x:v>XZA DCA</x:v>
      </x:c>
      <x:c r="E1447" s="7" t="str">
        <x:v>Petrol</x:v>
      </x:c>
      <x:c r="F1447" s="7" t="str">
        <x:v>Automatic</x:v>
      </x:c>
      <x:c r="G1447" s="7" t="str">
        <x:v>Hatchback</x:v>
      </x:c>
      <x:c r="H1447" s="7" t="n">
        <x:v>1199</x:v>
      </x:c>
      <x:c r="I1447" s="7" t="n">
        <x:v>87</x:v>
      </x:c>
      <x:c r="J1447" s="9" t="n">
        <x:v>18.5</x:v>
      </x:c>
      <x:c r="K1447" s="9" t="n">
        <x:v>10</x:v>
      </x:c>
      <x:c r="L1447" s="7" t="n">
        <x:v>2024</x:v>
      </x:c>
      <x:c r="M1447" s="11" t="n">
        <x:v>21260</x:v>
      </x:c>
      <x:c r="N1447" s="7" t="n">
        <x:v>1</x:v>
      </x:c>
      <x:c r="O1447" s="7" t="n">
        <x:v>0</x:v>
      </x:c>
      <x:c r="P1447" s="9" t="n">
        <x:v>8.48</x:v>
      </x:c>
      <x:c r="Q1447" s="7" t="n">
        <x:f>'Guide'!$B$5-L1447</x:f>
        <x:v>2</x:v>
      </x:c>
      <x:c r="R1447" s="9" t="n">
        <x:f>K1447-P1447</x:f>
        <x:v>1.5199999999999996</x:v>
      </x:c>
      <x:c r="S1447" s="10" t="n">
        <x:f>IF(K1447&gt;0,R1447/K1447,"")</x:f>
        <x:v>0.15199999999999997</x:v>
      </x:c>
    </x:row>
    <x:row r="1448">
      <x:c r="A1448" s="7" t="n">
        <x:v>1444</x:v>
      </x:c>
      <x:c r="B1448" s="7" t="str">
        <x:v>Tata</x:v>
      </x:c>
      <x:c r="C1448" s="7" t="str">
        <x:v>Altroz</x:v>
      </x:c>
      <x:c r="D1448" s="7" t="str">
        <x:v>XZA DCA</x:v>
      </x:c>
      <x:c r="E1448" s="7" t="str">
        <x:v>Petrol</x:v>
      </x:c>
      <x:c r="F1448" s="7" t="str">
        <x:v>Automatic</x:v>
      </x:c>
      <x:c r="G1448" s="7" t="str">
        <x:v>Hatchback</x:v>
      </x:c>
      <x:c r="H1448" s="7" t="n">
        <x:v>1199</x:v>
      </x:c>
      <x:c r="I1448" s="7" t="n">
        <x:v>87</x:v>
      </x:c>
      <x:c r="J1448" s="9" t="n">
        <x:v>18.5</x:v>
      </x:c>
      <x:c r="K1448" s="9" t="n">
        <x:v>10</x:v>
      </x:c>
      <x:c r="L1448" s="7" t="n">
        <x:v>2020</x:v>
      </x:c>
      <x:c r="M1448" s="11" t="n">
        <x:v>118143</x:v>
      </x:c>
      <x:c r="N1448" s="7" t="n">
        <x:v>1</x:v>
      </x:c>
      <x:c r="O1448" s="7" t="n">
        <x:v>0</x:v>
      </x:c>
      <x:c r="P1448" s="9" t="n">
        <x:v>3.89</x:v>
      </x:c>
      <x:c r="Q1448" s="7" t="n">
        <x:f>'Guide'!$B$5-L1448</x:f>
        <x:v>6</x:v>
      </x:c>
      <x:c r="R1448" s="9" t="n">
        <x:f>K1448-P1448</x:f>
        <x:v>6.109999999999999</x:v>
      </x:c>
      <x:c r="S1448" s="10" t="n">
        <x:f>IF(K1448&gt;0,R1448/K1448,"")</x:f>
        <x:v>0.611</x:v>
      </x:c>
    </x:row>
    <x:row r="1449">
      <x:c r="A1449" s="7" t="n">
        <x:v>1445</x:v>
      </x:c>
      <x:c r="B1449" s="7" t="str">
        <x:v>Tata</x:v>
      </x:c>
      <x:c r="C1449" s="7" t="str">
        <x:v>Altroz</x:v>
      </x:c>
      <x:c r="D1449" s="7" t="str">
        <x:v>XZA DCA</x:v>
      </x:c>
      <x:c r="E1449" s="7" t="str">
        <x:v>Petrol</x:v>
      </x:c>
      <x:c r="F1449" s="7" t="str">
        <x:v>Automatic</x:v>
      </x:c>
      <x:c r="G1449" s="7" t="str">
        <x:v>Hatchback</x:v>
      </x:c>
      <x:c r="H1449" s="7" t="n">
        <x:v>1199</x:v>
      </x:c>
      <x:c r="I1449" s="7" t="n">
        <x:v>87</x:v>
      </x:c>
      <x:c r="J1449" s="9" t="n">
        <x:v>18.5</x:v>
      </x:c>
      <x:c r="K1449" s="9" t="n">
        <x:v>10</x:v>
      </x:c>
      <x:c r="L1449" s="7" t="n">
        <x:v>2026</x:v>
      </x:c>
      <x:c r="M1449" s="11" t="n">
        <x:v>7617</x:v>
      </x:c>
      <x:c r="N1449" s="7" t="n">
        <x:v>1</x:v>
      </x:c>
      <x:c r="O1449" s="7" t="n">
        <x:v>0</x:v>
      </x:c>
      <x:c r="P1449" s="9" t="n">
        <x:v>9.59</x:v>
      </x:c>
      <x:c r="Q1449" s="7" t="n">
        <x:f>'Guide'!$B$5-L1449</x:f>
        <x:v>0</x:v>
      </x:c>
      <x:c r="R1449" s="9" t="n">
        <x:f>K1449-P1449</x:f>
        <x:v>0.41000000000000014</x:v>
      </x:c>
      <x:c r="S1449" s="10" t="n">
        <x:f>IF(K1449&gt;0,R1449/K1449,"")</x:f>
        <x:v>0.041000000000000016</x:v>
      </x:c>
    </x:row>
    <x:row r="1450">
      <x:c r="A1450" s="7" t="n">
        <x:v>1446</x:v>
      </x:c>
      <x:c r="B1450" s="7" t="str">
        <x:v>Tata</x:v>
      </x:c>
      <x:c r="C1450" s="7" t="str">
        <x:v>Altroz</x:v>
      </x:c>
      <x:c r="D1450" s="7" t="str">
        <x:v>XZA DCA</x:v>
      </x:c>
      <x:c r="E1450" s="7" t="str">
        <x:v>Petrol</x:v>
      </x:c>
      <x:c r="F1450" s="7" t="str">
        <x:v>Automatic</x:v>
      </x:c>
      <x:c r="G1450" s="7" t="str">
        <x:v>Hatchback</x:v>
      </x:c>
      <x:c r="H1450" s="7" t="n">
        <x:v>1199</x:v>
      </x:c>
      <x:c r="I1450" s="7" t="n">
        <x:v>87</x:v>
      </x:c>
      <x:c r="J1450" s="9" t="n">
        <x:v>18.5</x:v>
      </x:c>
      <x:c r="K1450" s="9" t="n">
        <x:v>10</x:v>
      </x:c>
      <x:c r="L1450" s="7" t="n">
        <x:v>2023</x:v>
      </x:c>
      <x:c r="M1450" s="11" t="n">
        <x:v>58561</x:v>
      </x:c>
      <x:c r="N1450" s="7" t="n">
        <x:v>1</x:v>
      </x:c>
      <x:c r="O1450" s="7" t="n">
        <x:v>0</x:v>
      </x:c>
      <x:c r="P1450" s="9" t="n">
        <x:v>7.08</x:v>
      </x:c>
      <x:c r="Q1450" s="7" t="n">
        <x:f>'Guide'!$B$5-L1450</x:f>
        <x:v>3</x:v>
      </x:c>
      <x:c r="R1450" s="9" t="n">
        <x:f>K1450-P1450</x:f>
        <x:v>2.92</x:v>
      </x:c>
      <x:c r="S1450" s="10" t="n">
        <x:f>IF(K1450&gt;0,R1450/K1450,"")</x:f>
        <x:v>0.292</x:v>
      </x:c>
    </x:row>
    <x:row r="1451">
      <x:c r="A1451" s="7" t="n">
        <x:v>1447</x:v>
      </x:c>
      <x:c r="B1451" s="7" t="str">
        <x:v>Tata</x:v>
      </x:c>
      <x:c r="C1451" s="7" t="str">
        <x:v>Altroz</x:v>
      </x:c>
      <x:c r="D1451" s="7" t="str">
        <x:v>XZA DCA</x:v>
      </x:c>
      <x:c r="E1451" s="7" t="str">
        <x:v>Petrol</x:v>
      </x:c>
      <x:c r="F1451" s="7" t="str">
        <x:v>Automatic</x:v>
      </x:c>
      <x:c r="G1451" s="7" t="str">
        <x:v>Hatchback</x:v>
      </x:c>
      <x:c r="H1451" s="7" t="n">
        <x:v>1199</x:v>
      </x:c>
      <x:c r="I1451" s="7" t="n">
        <x:v>87</x:v>
      </x:c>
      <x:c r="J1451" s="9" t="n">
        <x:v>18.5</x:v>
      </x:c>
      <x:c r="K1451" s="9" t="n">
        <x:v>10</x:v>
      </x:c>
      <x:c r="L1451" s="7" t="n">
        <x:v>2022</x:v>
      </x:c>
      <x:c r="M1451" s="11" t="n">
        <x:v>75689</x:v>
      </x:c>
      <x:c r="N1451" s="7" t="n">
        <x:v>1</x:v>
      </x:c>
      <x:c r="O1451" s="7" t="n">
        <x:v>0</x:v>
      </x:c>
      <x:c r="P1451" s="9" t="n">
        <x:v>5.84</x:v>
      </x:c>
      <x:c r="Q1451" s="7" t="n">
        <x:f>'Guide'!$B$5-L1451</x:f>
        <x:v>4</x:v>
      </x:c>
      <x:c r="R1451" s="9" t="n">
        <x:f>K1451-P1451</x:f>
        <x:v>4.16</x:v>
      </x:c>
      <x:c r="S1451" s="10" t="n">
        <x:f>IF(K1451&gt;0,R1451/K1451,"")</x:f>
        <x:v>0.41600000000000004</x:v>
      </x:c>
    </x:row>
    <x:row r="1452">
      <x:c r="A1452" s="7" t="n">
        <x:v>1448</x:v>
      </x:c>
      <x:c r="B1452" s="7" t="str">
        <x:v>Tata</x:v>
      </x:c>
      <x:c r="C1452" s="7" t="str">
        <x:v>Altroz</x:v>
      </x:c>
      <x:c r="D1452" s="7" t="str">
        <x:v>XZA DCA</x:v>
      </x:c>
      <x:c r="E1452" s="7" t="str">
        <x:v>Petrol</x:v>
      </x:c>
      <x:c r="F1452" s="7" t="str">
        <x:v>Automatic</x:v>
      </x:c>
      <x:c r="G1452" s="7" t="str">
        <x:v>Hatchback</x:v>
      </x:c>
      <x:c r="H1452" s="7" t="n">
        <x:v>1199</x:v>
      </x:c>
      <x:c r="I1452" s="7" t="n">
        <x:v>87</x:v>
      </x:c>
      <x:c r="J1452" s="9" t="n">
        <x:v>18.5</x:v>
      </x:c>
      <x:c r="K1452" s="9" t="n">
        <x:v>10</x:v>
      </x:c>
      <x:c r="L1452" s="7" t="n">
        <x:v>2021</x:v>
      </x:c>
      <x:c r="M1452" s="11" t="n">
        <x:v>51765</x:v>
      </x:c>
      <x:c r="N1452" s="7" t="n">
        <x:v>1</x:v>
      </x:c>
      <x:c r="O1452" s="7" t="n">
        <x:v>0</x:v>
      </x:c>
      <x:c r="P1452" s="9" t="n">
        <x:v>5.75</x:v>
      </x:c>
      <x:c r="Q1452" s="7" t="n">
        <x:f>'Guide'!$B$5-L1452</x:f>
        <x:v>5</x:v>
      </x:c>
      <x:c r="R1452" s="9" t="n">
        <x:f>K1452-P1452</x:f>
        <x:v>4.25</x:v>
      </x:c>
      <x:c r="S1452" s="10" t="n">
        <x:f>IF(K1452&gt;0,R1452/K1452,"")</x:f>
        <x:v>0.425</x:v>
      </x:c>
    </x:row>
    <x:row r="1453">
      <x:c r="A1453" s="7" t="n">
        <x:v>1449</x:v>
      </x:c>
      <x:c r="B1453" s="7" t="str">
        <x:v>Tata</x:v>
      </x:c>
      <x:c r="C1453" s="7" t="str">
        <x:v>Altroz</x:v>
      </x:c>
      <x:c r="D1453" s="7" t="str">
        <x:v>XZA DCA</x:v>
      </x:c>
      <x:c r="E1453" s="7" t="str">
        <x:v>Petrol</x:v>
      </x:c>
      <x:c r="F1453" s="7" t="str">
        <x:v>Automatic</x:v>
      </x:c>
      <x:c r="G1453" s="7" t="str">
        <x:v>Hatchback</x:v>
      </x:c>
      <x:c r="H1453" s="7" t="n">
        <x:v>1199</x:v>
      </x:c>
      <x:c r="I1453" s="7" t="n">
        <x:v>87</x:v>
      </x:c>
      <x:c r="J1453" s="9" t="n">
        <x:v>18.5</x:v>
      </x:c>
      <x:c r="K1453" s="9" t="n">
        <x:v>10</x:v>
      </x:c>
      <x:c r="L1453" s="7" t="n">
        <x:v>2022</x:v>
      </x:c>
      <x:c r="M1453" s="11" t="n">
        <x:v>67834</x:v>
      </x:c>
      <x:c r="N1453" s="7" t="n">
        <x:v>1</x:v>
      </x:c>
      <x:c r="O1453" s="7" t="n">
        <x:v>0</x:v>
      </x:c>
      <x:c r="P1453" s="9" t="n">
        <x:v>5.94</x:v>
      </x:c>
      <x:c r="Q1453" s="7" t="n">
        <x:f>'Guide'!$B$5-L1453</x:f>
        <x:v>4</x:v>
      </x:c>
      <x:c r="R1453" s="9" t="n">
        <x:f>K1453-P1453</x:f>
        <x:v>4.06</x:v>
      </x:c>
      <x:c r="S1453" s="10" t="n">
        <x:f>IF(K1453&gt;0,R1453/K1453,"")</x:f>
        <x:v>0.40599999999999997</x:v>
      </x:c>
    </x:row>
    <x:row r="1454">
      <x:c r="A1454" s="7" t="n">
        <x:v>1450</x:v>
      </x:c>
      <x:c r="B1454" s="7" t="str">
        <x:v>Tata</x:v>
      </x:c>
      <x:c r="C1454" s="7" t="str">
        <x:v>Altroz</x:v>
      </x:c>
      <x:c r="D1454" s="7" t="str">
        <x:v>XZA DCA</x:v>
      </x:c>
      <x:c r="E1454" s="7" t="str">
        <x:v>Petrol</x:v>
      </x:c>
      <x:c r="F1454" s="7" t="str">
        <x:v>Automatic</x:v>
      </x:c>
      <x:c r="G1454" s="7" t="str">
        <x:v>Hatchback</x:v>
      </x:c>
      <x:c r="H1454" s="7" t="n">
        <x:v>1199</x:v>
      </x:c>
      <x:c r="I1454" s="7" t="n">
        <x:v>87</x:v>
      </x:c>
      <x:c r="J1454" s="9" t="n">
        <x:v>18.5</x:v>
      </x:c>
      <x:c r="K1454" s="9" t="n">
        <x:v>10</x:v>
      </x:c>
      <x:c r="L1454" s="7" t="n">
        <x:v>2023</x:v>
      </x:c>
      <x:c r="M1454" s="11" t="n">
        <x:v>55366</x:v>
      </x:c>
      <x:c r="N1454" s="7" t="n">
        <x:v>1</x:v>
      </x:c>
      <x:c r="O1454" s="7" t="n">
        <x:v>0</x:v>
      </x:c>
      <x:c r="P1454" s="9" t="n">
        <x:v>6.71</x:v>
      </x:c>
      <x:c r="Q1454" s="7" t="n">
        <x:f>'Guide'!$B$5-L1454</x:f>
        <x:v>3</x:v>
      </x:c>
      <x:c r="R1454" s="9" t="n">
        <x:f>K1454-P1454</x:f>
        <x:v>3.29</x:v>
      </x:c>
      <x:c r="S1454" s="10" t="n">
        <x:f>IF(K1454&gt;0,R1454/K1454,"")</x:f>
        <x:v>0.329</x:v>
      </x:c>
    </x:row>
    <x:row r="1455">
      <x:c r="A1455" s="7" t="n">
        <x:v>1451</x:v>
      </x:c>
      <x:c r="B1455" s="7" t="str">
        <x:v>Tata</x:v>
      </x:c>
      <x:c r="C1455" s="7" t="str">
        <x:v>Altroz</x:v>
      </x:c>
      <x:c r="D1455" s="7" t="str">
        <x:v>XZA DCA</x:v>
      </x:c>
      <x:c r="E1455" s="7" t="str">
        <x:v>Petrol</x:v>
      </x:c>
      <x:c r="F1455" s="7" t="str">
        <x:v>Automatic</x:v>
      </x:c>
      <x:c r="G1455" s="7" t="str">
        <x:v>Hatchback</x:v>
      </x:c>
      <x:c r="H1455" s="7" t="n">
        <x:v>1199</x:v>
      </x:c>
      <x:c r="I1455" s="7" t="n">
        <x:v>87</x:v>
      </x:c>
      <x:c r="J1455" s="9" t="n">
        <x:v>18.5</x:v>
      </x:c>
      <x:c r="K1455" s="9" t="n">
        <x:v>10</x:v>
      </x:c>
      <x:c r="L1455" s="7" t="n">
        <x:v>2020</x:v>
      </x:c>
      <x:c r="M1455" s="11" t="n">
        <x:v>62751</x:v>
      </x:c>
      <x:c r="N1455" s="7" t="n">
        <x:v>1</x:v>
      </x:c>
      <x:c r="O1455" s="7" t="n">
        <x:v>0</x:v>
      </x:c>
      <x:c r="P1455" s="9" t="n">
        <x:v>4.18</x:v>
      </x:c>
      <x:c r="Q1455" s="7" t="n">
        <x:f>'Guide'!$B$5-L1455</x:f>
        <x:v>6</x:v>
      </x:c>
      <x:c r="R1455" s="9" t="n">
        <x:f>K1455-P1455</x:f>
        <x:v>5.82</x:v>
      </x:c>
      <x:c r="S1455" s="10" t="n">
        <x:f>IF(K1455&gt;0,R1455/K1455,"")</x:f>
        <x:v>0.5820000000000001</x:v>
      </x:c>
    </x:row>
    <x:row r="1456">
      <x:c r="A1456" s="7" t="n">
        <x:v>1452</x:v>
      </x:c>
      <x:c r="B1456" s="7" t="str">
        <x:v>Tata</x:v>
      </x:c>
      <x:c r="C1456" s="7" t="str">
        <x:v>Altroz</x:v>
      </x:c>
      <x:c r="D1456" s="7" t="str">
        <x:v>XZA DCA</x:v>
      </x:c>
      <x:c r="E1456" s="7" t="str">
        <x:v>Petrol</x:v>
      </x:c>
      <x:c r="F1456" s="7" t="str">
        <x:v>Automatic</x:v>
      </x:c>
      <x:c r="G1456" s="7" t="str">
        <x:v>Hatchback</x:v>
      </x:c>
      <x:c r="H1456" s="7" t="n">
        <x:v>1199</x:v>
      </x:c>
      <x:c r="I1456" s="7" t="n">
        <x:v>87</x:v>
      </x:c>
      <x:c r="J1456" s="9" t="n">
        <x:v>18.5</x:v>
      </x:c>
      <x:c r="K1456" s="9" t="n">
        <x:v>10</x:v>
      </x:c>
      <x:c r="L1456" s="7" t="n">
        <x:v>2025</x:v>
      </x:c>
      <x:c r="M1456" s="11" t="n">
        <x:v>18819</x:v>
      </x:c>
      <x:c r="N1456" s="7" t="n">
        <x:v>1</x:v>
      </x:c>
      <x:c r="O1456" s="7" t="n">
        <x:v>0</x:v>
      </x:c>
      <x:c r="P1456" s="9" t="n">
        <x:v>8.9</x:v>
      </x:c>
      <x:c r="Q1456" s="7" t="n">
        <x:f>'Guide'!$B$5-L1456</x:f>
        <x:v>1</x:v>
      </x:c>
      <x:c r="R1456" s="9" t="n">
        <x:f>K1456-P1456</x:f>
        <x:v>1.0999999999999996</x:v>
      </x:c>
      <x:c r="S1456" s="10" t="n">
        <x:f>IF(K1456&gt;0,R1456/K1456,"")</x:f>
        <x:v>0.10999999999999996</x:v>
      </x:c>
    </x:row>
    <x:row r="1457">
      <x:c r="A1457" s="7" t="n">
        <x:v>1453</x:v>
      </x:c>
      <x:c r="B1457" s="7" t="str">
        <x:v>Tata</x:v>
      </x:c>
      <x:c r="C1457" s="7" t="str">
        <x:v>Altroz</x:v>
      </x:c>
      <x:c r="D1457" s="7" t="str">
        <x:v>XZA DCA</x:v>
      </x:c>
      <x:c r="E1457" s="7" t="str">
        <x:v>Petrol</x:v>
      </x:c>
      <x:c r="F1457" s="7" t="str">
        <x:v>Automatic</x:v>
      </x:c>
      <x:c r="G1457" s="7" t="str">
        <x:v>Hatchback</x:v>
      </x:c>
      <x:c r="H1457" s="7" t="n">
        <x:v>1199</x:v>
      </x:c>
      <x:c r="I1457" s="7" t="n">
        <x:v>87</x:v>
      </x:c>
      <x:c r="J1457" s="9" t="n">
        <x:v>18.5</x:v>
      </x:c>
      <x:c r="K1457" s="9" t="n">
        <x:v>10</x:v>
      </x:c>
      <x:c r="L1457" s="7" t="n">
        <x:v>2021</x:v>
      </x:c>
      <x:c r="M1457" s="11" t="n">
        <x:v>66523</x:v>
      </x:c>
      <x:c r="N1457" s="7" t="n">
        <x:v>1</x:v>
      </x:c>
      <x:c r="O1457" s="7" t="n">
        <x:v>0</x:v>
      </x:c>
      <x:c r="P1457" s="9" t="n">
        <x:v>5.51</x:v>
      </x:c>
      <x:c r="Q1457" s="7" t="n">
        <x:f>'Guide'!$B$5-L1457</x:f>
        <x:v>5</x:v>
      </x:c>
      <x:c r="R1457" s="9" t="n">
        <x:f>K1457-P1457</x:f>
        <x:v>4.49</x:v>
      </x:c>
      <x:c r="S1457" s="10" t="n">
        <x:f>IF(K1457&gt;0,R1457/K1457,"")</x:f>
        <x:v>0.449</x:v>
      </x:c>
    </x:row>
    <x:row r="1458">
      <x:c r="A1458" s="7" t="n">
        <x:v>1454</x:v>
      </x:c>
      <x:c r="B1458" s="7" t="str">
        <x:v>Tata</x:v>
      </x:c>
      <x:c r="C1458" s="7" t="str">
        <x:v>Altroz</x:v>
      </x:c>
      <x:c r="D1458" s="7" t="str">
        <x:v>XZA DCA</x:v>
      </x:c>
      <x:c r="E1458" s="7" t="str">
        <x:v>Petrol</x:v>
      </x:c>
      <x:c r="F1458" s="7" t="str">
        <x:v>Automatic</x:v>
      </x:c>
      <x:c r="G1458" s="7" t="str">
        <x:v>Hatchback</x:v>
      </x:c>
      <x:c r="H1458" s="7" t="n">
        <x:v>1199</x:v>
      </x:c>
      <x:c r="I1458" s="7" t="n">
        <x:v>87</x:v>
      </x:c>
      <x:c r="J1458" s="9" t="n">
        <x:v>18.5</x:v>
      </x:c>
      <x:c r="K1458" s="9" t="n">
        <x:v>10</x:v>
      </x:c>
      <x:c r="L1458" s="7" t="n">
        <x:v>2025</x:v>
      </x:c>
      <x:c r="M1458" s="11" t="n">
        <x:v>19861</x:v>
      </x:c>
      <x:c r="N1458" s="7" t="n">
        <x:v>1</x:v>
      </x:c>
      <x:c r="O1458" s="7" t="n">
        <x:v>0</x:v>
      </x:c>
      <x:c r="P1458" s="9" t="n">
        <x:v>8.61</x:v>
      </x:c>
      <x:c r="Q1458" s="7" t="n">
        <x:f>'Guide'!$B$5-L1458</x:f>
        <x:v>1</x:v>
      </x:c>
      <x:c r="R1458" s="9" t="n">
        <x:f>K1458-P1458</x:f>
        <x:v>1.3900000000000006</x:v>
      </x:c>
      <x:c r="S1458" s="10" t="n">
        <x:f>IF(K1458&gt;0,R1458/K1458,"")</x:f>
        <x:v>0.13900000000000007</x:v>
      </x:c>
    </x:row>
    <x:row r="1459">
      <x:c r="A1459" s="7" t="n">
        <x:v>1455</x:v>
      </x:c>
      <x:c r="B1459" s="7" t="str">
        <x:v>Tata</x:v>
      </x:c>
      <x:c r="C1459" s="7" t="str">
        <x:v>Altroz</x:v>
      </x:c>
      <x:c r="D1459" s="7" t="str">
        <x:v>XZA DCA</x:v>
      </x:c>
      <x:c r="E1459" s="7" t="str">
        <x:v>Petrol</x:v>
      </x:c>
      <x:c r="F1459" s="7" t="str">
        <x:v>Automatic</x:v>
      </x:c>
      <x:c r="G1459" s="7" t="str">
        <x:v>Hatchback</x:v>
      </x:c>
      <x:c r="H1459" s="7" t="n">
        <x:v>1199</x:v>
      </x:c>
      <x:c r="I1459" s="7" t="n">
        <x:v>87</x:v>
      </x:c>
      <x:c r="J1459" s="9" t="n">
        <x:v>18.5</x:v>
      </x:c>
      <x:c r="K1459" s="9" t="n">
        <x:v>10</x:v>
      </x:c>
      <x:c r="L1459" s="7" t="n">
        <x:v>2026</x:v>
      </x:c>
      <x:c r="M1459" s="11" t="n">
        <x:v>8238</x:v>
      </x:c>
      <x:c r="N1459" s="7" t="n">
        <x:v>1</x:v>
      </x:c>
      <x:c r="O1459" s="7" t="n">
        <x:v>0</x:v>
      </x:c>
      <x:c r="P1459" s="9" t="n">
        <x:v>9.94</x:v>
      </x:c>
      <x:c r="Q1459" s="7" t="n">
        <x:f>'Guide'!$B$5-L1459</x:f>
        <x:v>0</x:v>
      </x:c>
      <x:c r="R1459" s="9" t="n">
        <x:f>K1459-P1459</x:f>
        <x:v>0.0600000000000005</x:v>
      </x:c>
      <x:c r="S1459" s="10" t="n">
        <x:f>IF(K1459&gt;0,R1459/K1459,"")</x:f>
        <x:v>0.0060000000000000496</x:v>
      </x:c>
    </x:row>
    <x:row r="1460">
      <x:c r="A1460" s="7" t="n">
        <x:v>1456</x:v>
      </x:c>
      <x:c r="B1460" s="7" t="str">
        <x:v>Tata</x:v>
      </x:c>
      <x:c r="C1460" s="7" t="str">
        <x:v>Altroz</x:v>
      </x:c>
      <x:c r="D1460" s="7" t="str">
        <x:v>XZA DCA</x:v>
      </x:c>
      <x:c r="E1460" s="7" t="str">
        <x:v>Petrol</x:v>
      </x:c>
      <x:c r="F1460" s="7" t="str">
        <x:v>Automatic</x:v>
      </x:c>
      <x:c r="G1460" s="7" t="str">
        <x:v>Hatchback</x:v>
      </x:c>
      <x:c r="H1460" s="7" t="n">
        <x:v>1199</x:v>
      </x:c>
      <x:c r="I1460" s="7" t="n">
        <x:v>87</x:v>
      </x:c>
      <x:c r="J1460" s="9" t="n">
        <x:v>18.5</x:v>
      </x:c>
      <x:c r="K1460" s="9" t="n">
        <x:v>10</x:v>
      </x:c>
      <x:c r="L1460" s="7" t="n">
        <x:v>2021</x:v>
      </x:c>
      <x:c r="M1460" s="11" t="n">
        <x:v>107506</x:v>
      </x:c>
      <x:c r="N1460" s="7" t="n">
        <x:v>1</x:v>
      </x:c>
      <x:c r="O1460" s="7" t="n">
        <x:v>0</x:v>
      </x:c>
      <x:c r="P1460" s="9" t="n">
        <x:v>4.34</x:v>
      </x:c>
      <x:c r="Q1460" s="7" t="n">
        <x:f>'Guide'!$B$5-L1460</x:f>
        <x:v>5</x:v>
      </x:c>
      <x:c r="R1460" s="9" t="n">
        <x:f>K1460-P1460</x:f>
        <x:v>5.66</x:v>
      </x:c>
      <x:c r="S1460" s="10" t="n">
        <x:f>IF(K1460&gt;0,R1460/K1460,"")</x:f>
        <x:v>0.5660000000000001</x:v>
      </x:c>
    </x:row>
    <x:row r="1461">
      <x:c r="A1461" s="7" t="n">
        <x:v>1457</x:v>
      </x:c>
      <x:c r="B1461" s="7" t="str">
        <x:v>Tata</x:v>
      </x:c>
      <x:c r="C1461" s="7" t="str">
        <x:v>Altroz</x:v>
      </x:c>
      <x:c r="D1461" s="7" t="str">
        <x:v>XZA DCA</x:v>
      </x:c>
      <x:c r="E1461" s="7" t="str">
        <x:v>Petrol</x:v>
      </x:c>
      <x:c r="F1461" s="7" t="str">
        <x:v>Automatic</x:v>
      </x:c>
      <x:c r="G1461" s="7" t="str">
        <x:v>Hatchback</x:v>
      </x:c>
      <x:c r="H1461" s="7" t="n">
        <x:v>1199</x:v>
      </x:c>
      <x:c r="I1461" s="7" t="n">
        <x:v>87</x:v>
      </x:c>
      <x:c r="J1461" s="9" t="n">
        <x:v>18.5</x:v>
      </x:c>
      <x:c r="K1461" s="9" t="n">
        <x:v>10</x:v>
      </x:c>
      <x:c r="L1461" s="7" t="n">
        <x:v>2024</x:v>
      </x:c>
      <x:c r="M1461" s="11" t="n">
        <x:v>33400</x:v>
      </x:c>
      <x:c r="N1461" s="7" t="n">
        <x:v>1</x:v>
      </x:c>
      <x:c r="O1461" s="7" t="n">
        <x:v>0</x:v>
      </x:c>
      <x:c r="P1461" s="9" t="n">
        <x:v>8.05</x:v>
      </x:c>
      <x:c r="Q1461" s="7" t="n">
        <x:f>'Guide'!$B$5-L1461</x:f>
        <x:v>2</x:v>
      </x:c>
      <x:c r="R1461" s="9" t="n">
        <x:f>K1461-P1461</x:f>
        <x:v>1.9499999999999993</x:v>
      </x:c>
      <x:c r="S1461" s="10" t="n">
        <x:f>IF(K1461&gt;0,R1461/K1461,"")</x:f>
        <x:v>0.19499999999999992</x:v>
      </x:c>
    </x:row>
    <x:row r="1462">
      <x:c r="A1462" s="7" t="n">
        <x:v>1458</x:v>
      </x:c>
      <x:c r="B1462" s="7" t="str">
        <x:v>Tata</x:v>
      </x:c>
      <x:c r="C1462" s="7" t="str">
        <x:v>Altroz</x:v>
      </x:c>
      <x:c r="D1462" s="7" t="str">
        <x:v>XZA DCA</x:v>
      </x:c>
      <x:c r="E1462" s="7" t="str">
        <x:v>Petrol</x:v>
      </x:c>
      <x:c r="F1462" s="7" t="str">
        <x:v>Automatic</x:v>
      </x:c>
      <x:c r="G1462" s="7" t="str">
        <x:v>Hatchback</x:v>
      </x:c>
      <x:c r="H1462" s="7" t="n">
        <x:v>1199</x:v>
      </x:c>
      <x:c r="I1462" s="7" t="n">
        <x:v>87</x:v>
      </x:c>
      <x:c r="J1462" s="9" t="n">
        <x:v>18.5</x:v>
      </x:c>
      <x:c r="K1462" s="9" t="n">
        <x:v>10</x:v>
      </x:c>
      <x:c r="L1462" s="7" t="n">
        <x:v>2021</x:v>
      </x:c>
      <x:c r="M1462" s="11" t="n">
        <x:v>90318</x:v>
      </x:c>
      <x:c r="N1462" s="7" t="n">
        <x:v>1</x:v>
      </x:c>
      <x:c r="O1462" s="7" t="n">
        <x:v>0</x:v>
      </x:c>
      <x:c r="P1462" s="9" t="n">
        <x:v>4.61</x:v>
      </x:c>
      <x:c r="Q1462" s="7" t="n">
        <x:f>'Guide'!$B$5-L1462</x:f>
        <x:v>5</x:v>
      </x:c>
      <x:c r="R1462" s="9" t="n">
        <x:f>K1462-P1462</x:f>
        <x:v>5.39</x:v>
      </x:c>
      <x:c r="S1462" s="10" t="n">
        <x:f>IF(K1462&gt;0,R1462/K1462,"")</x:f>
        <x:v>0.5389999999999999</x:v>
      </x:c>
    </x:row>
    <x:row r="1463">
      <x:c r="A1463" s="7" t="n">
        <x:v>1459</x:v>
      </x:c>
      <x:c r="B1463" s="7" t="str">
        <x:v>Tata</x:v>
      </x:c>
      <x:c r="C1463" s="7" t="str">
        <x:v>Altroz</x:v>
      </x:c>
      <x:c r="D1463" s="7" t="str">
        <x:v>XZA DCA</x:v>
      </x:c>
      <x:c r="E1463" s="7" t="str">
        <x:v>Petrol</x:v>
      </x:c>
      <x:c r="F1463" s="7" t="str">
        <x:v>Automatic</x:v>
      </x:c>
      <x:c r="G1463" s="7" t="str">
        <x:v>Hatchback</x:v>
      </x:c>
      <x:c r="H1463" s="7" t="n">
        <x:v>1199</x:v>
      </x:c>
      <x:c r="I1463" s="7" t="n">
        <x:v>87</x:v>
      </x:c>
      <x:c r="J1463" s="9" t="n">
        <x:v>18.5</x:v>
      </x:c>
      <x:c r="K1463" s="9" t="n">
        <x:v>10</x:v>
      </x:c>
      <x:c r="L1463" s="7" t="n">
        <x:v>2024</x:v>
      </x:c>
      <x:c r="M1463" s="11" t="n">
        <x:v>33126</x:v>
      </x:c>
      <x:c r="N1463" s="7" t="n">
        <x:v>1</x:v>
      </x:c>
      <x:c r="O1463" s="7" t="n">
        <x:v>0</x:v>
      </x:c>
      <x:c r="P1463" s="9" t="n">
        <x:v>8</x:v>
      </x:c>
      <x:c r="Q1463" s="7" t="n">
        <x:f>'Guide'!$B$5-L1463</x:f>
        <x:v>2</x:v>
      </x:c>
      <x:c r="R1463" s="9" t="n">
        <x:f>K1463-P1463</x:f>
        <x:v>2</x:v>
      </x:c>
      <x:c r="S1463" s="10" t="n">
        <x:f>IF(K1463&gt;0,R1463/K1463,"")</x:f>
        <x:v>0.2</x:v>
      </x:c>
    </x:row>
    <x:row r="1464">
      <x:c r="A1464" s="7" t="n">
        <x:v>1460</x:v>
      </x:c>
      <x:c r="B1464" s="7" t="str">
        <x:v>Tata</x:v>
      </x:c>
      <x:c r="C1464" s="7" t="str">
        <x:v>Altroz</x:v>
      </x:c>
      <x:c r="D1464" s="7" t="str">
        <x:v>XZA DCA</x:v>
      </x:c>
      <x:c r="E1464" s="7" t="str">
        <x:v>Petrol</x:v>
      </x:c>
      <x:c r="F1464" s="7" t="str">
        <x:v>Automatic</x:v>
      </x:c>
      <x:c r="G1464" s="7" t="str">
        <x:v>Hatchback</x:v>
      </x:c>
      <x:c r="H1464" s="7" t="n">
        <x:v>1199</x:v>
      </x:c>
      <x:c r="I1464" s="7" t="n">
        <x:v>87</x:v>
      </x:c>
      <x:c r="J1464" s="9" t="n">
        <x:v>18.5</x:v>
      </x:c>
      <x:c r="K1464" s="9" t="n">
        <x:v>10</x:v>
      </x:c>
      <x:c r="L1464" s="7" t="n">
        <x:v>2021</x:v>
      </x:c>
      <x:c r="M1464" s="11" t="n">
        <x:v>55932</x:v>
      </x:c>
      <x:c r="N1464" s="7" t="n">
        <x:v>1</x:v>
      </x:c>
      <x:c r="O1464" s="7" t="n">
        <x:v>0</x:v>
      </x:c>
      <x:c r="P1464" s="9" t="n">
        <x:v>5.65</x:v>
      </x:c>
      <x:c r="Q1464" s="7" t="n">
        <x:f>'Guide'!$B$5-L1464</x:f>
        <x:v>5</x:v>
      </x:c>
      <x:c r="R1464" s="9" t="n">
        <x:f>K1464-P1464</x:f>
        <x:v>4.35</x:v>
      </x:c>
      <x:c r="S1464" s="10" t="n">
        <x:f>IF(K1464&gt;0,R1464/K1464,"")</x:f>
        <x:v>0.43499999999999994</x:v>
      </x:c>
    </x:row>
    <x:row r="1465">
      <x:c r="A1465" s="7" t="n">
        <x:v>1461</x:v>
      </x:c>
      <x:c r="B1465" s="7" t="str">
        <x:v>Tata</x:v>
      </x:c>
      <x:c r="C1465" s="7" t="str">
        <x:v>Altroz</x:v>
      </x:c>
      <x:c r="D1465" s="7" t="str">
        <x:v>XZA DCA</x:v>
      </x:c>
      <x:c r="E1465" s="7" t="str">
        <x:v>Petrol</x:v>
      </x:c>
      <x:c r="F1465" s="7" t="str">
        <x:v>Automatic</x:v>
      </x:c>
      <x:c r="G1465" s="7" t="str">
        <x:v>Hatchback</x:v>
      </x:c>
      <x:c r="H1465" s="7" t="n">
        <x:v>1199</x:v>
      </x:c>
      <x:c r="I1465" s="7" t="n">
        <x:v>87</x:v>
      </x:c>
      <x:c r="J1465" s="9" t="n">
        <x:v>18.5</x:v>
      </x:c>
      <x:c r="K1465" s="9" t="n">
        <x:v>10</x:v>
      </x:c>
      <x:c r="L1465" s="7" t="n">
        <x:v>2024</x:v>
      </x:c>
      <x:c r="M1465" s="11" t="n">
        <x:v>27037</x:v>
      </x:c>
      <x:c r="N1465" s="7" t="n">
        <x:v>1</x:v>
      </x:c>
      <x:c r="O1465" s="7" t="n">
        <x:v>0</x:v>
      </x:c>
      <x:c r="P1465" s="9" t="n">
        <x:v>8.12</x:v>
      </x:c>
      <x:c r="Q1465" s="7" t="n">
        <x:f>'Guide'!$B$5-L1465</x:f>
        <x:v>2</x:v>
      </x:c>
      <x:c r="R1465" s="9" t="n">
        <x:f>K1465-P1465</x:f>
        <x:v>1.8800000000000008</x:v>
      </x:c>
      <x:c r="S1465" s="10" t="n">
        <x:f>IF(K1465&gt;0,R1465/K1465,"")</x:f>
        <x:v>0.18800000000000008</x:v>
      </x:c>
    </x:row>
    <x:row r="1466">
      <x:c r="A1466" s="7" t="n">
        <x:v>1462</x:v>
      </x:c>
      <x:c r="B1466" s="7" t="str">
        <x:v>Tata</x:v>
      </x:c>
      <x:c r="C1466" s="7" t="str">
        <x:v>Altroz</x:v>
      </x:c>
      <x:c r="D1466" s="7" t="str">
        <x:v>XZA DCA</x:v>
      </x:c>
      <x:c r="E1466" s="7" t="str">
        <x:v>Petrol</x:v>
      </x:c>
      <x:c r="F1466" s="7" t="str">
        <x:v>Automatic</x:v>
      </x:c>
      <x:c r="G1466" s="7" t="str">
        <x:v>Hatchback</x:v>
      </x:c>
      <x:c r="H1466" s="7" t="n">
        <x:v>1199</x:v>
      </x:c>
      <x:c r="I1466" s="7" t="n">
        <x:v>87</x:v>
      </x:c>
      <x:c r="J1466" s="9" t="n">
        <x:v>18.5</x:v>
      </x:c>
      <x:c r="K1466" s="9" t="n">
        <x:v>10</x:v>
      </x:c>
      <x:c r="L1466" s="7" t="n">
        <x:v>2022</x:v>
      </x:c>
      <x:c r="M1466" s="11" t="n">
        <x:v>46955</x:v>
      </x:c>
      <x:c r="N1466" s="7" t="n">
        <x:v>1</x:v>
      </x:c>
      <x:c r="O1466" s="7" t="n">
        <x:v>0</x:v>
      </x:c>
      <x:c r="P1466" s="9" t="n">
        <x:v>5.99</x:v>
      </x:c>
      <x:c r="Q1466" s="7" t="n">
        <x:f>'Guide'!$B$5-L1466</x:f>
        <x:v>4</x:v>
      </x:c>
      <x:c r="R1466" s="9" t="n">
        <x:f>K1466-P1466</x:f>
        <x:v>4.01</x:v>
      </x:c>
      <x:c r="S1466" s="10" t="n">
        <x:f>IF(K1466&gt;0,R1466/K1466,"")</x:f>
        <x:v>0.40099999999999997</x:v>
      </x:c>
    </x:row>
    <x:row r="1467">
      <x:c r="A1467" s="7" t="n">
        <x:v>1463</x:v>
      </x:c>
      <x:c r="B1467" s="7" t="str">
        <x:v>Tata</x:v>
      </x:c>
      <x:c r="C1467" s="7" t="str">
        <x:v>Altroz</x:v>
      </x:c>
      <x:c r="D1467" s="7" t="str">
        <x:v>XZA DCA</x:v>
      </x:c>
      <x:c r="E1467" s="7" t="str">
        <x:v>Petrol</x:v>
      </x:c>
      <x:c r="F1467" s="7" t="str">
        <x:v>Automatic</x:v>
      </x:c>
      <x:c r="G1467" s="7" t="str">
        <x:v>Hatchback</x:v>
      </x:c>
      <x:c r="H1467" s="7" t="n">
        <x:v>1199</x:v>
      </x:c>
      <x:c r="I1467" s="7" t="n">
        <x:v>87</x:v>
      </x:c>
      <x:c r="J1467" s="9" t="n">
        <x:v>18.5</x:v>
      </x:c>
      <x:c r="K1467" s="9" t="n">
        <x:v>10</x:v>
      </x:c>
      <x:c r="L1467" s="7" t="n">
        <x:v>2023</x:v>
      </x:c>
      <x:c r="M1467" s="11" t="n">
        <x:v>44809</x:v>
      </x:c>
      <x:c r="N1467" s="7" t="n">
        <x:v>2</x:v>
      </x:c>
      <x:c r="O1467" s="7" t="n">
        <x:v>0</x:v>
      </x:c>
      <x:c r="P1467" s="9" t="n">
        <x:v>6.49</x:v>
      </x:c>
      <x:c r="Q1467" s="7" t="n">
        <x:f>'Guide'!$B$5-L1467</x:f>
        <x:v>3</x:v>
      </x:c>
      <x:c r="R1467" s="9" t="n">
        <x:f>K1467-P1467</x:f>
        <x:v>3.51</x:v>
      </x:c>
      <x:c r="S1467" s="10" t="n">
        <x:f>IF(K1467&gt;0,R1467/K1467,"")</x:f>
        <x:v>0.351</x:v>
      </x:c>
    </x:row>
    <x:row r="1468">
      <x:c r="A1468" s="7" t="n">
        <x:v>1464</x:v>
      </x:c>
      <x:c r="B1468" s="7" t="str">
        <x:v>Tata</x:v>
      </x:c>
      <x:c r="C1468" s="7" t="str">
        <x:v>Altroz</x:v>
      </x:c>
      <x:c r="D1468" s="7" t="str">
        <x:v>XZA DCA</x:v>
      </x:c>
      <x:c r="E1468" s="7" t="str">
        <x:v>Petrol</x:v>
      </x:c>
      <x:c r="F1468" s="7" t="str">
        <x:v>Automatic</x:v>
      </x:c>
      <x:c r="G1468" s="7" t="str">
        <x:v>Hatchback</x:v>
      </x:c>
      <x:c r="H1468" s="7" t="n">
        <x:v>1199</x:v>
      </x:c>
      <x:c r="I1468" s="7" t="n">
        <x:v>87</x:v>
      </x:c>
      <x:c r="J1468" s="9" t="n">
        <x:v>18.5</x:v>
      </x:c>
      <x:c r="K1468" s="9" t="n">
        <x:v>10</x:v>
      </x:c>
      <x:c r="L1468" s="7" t="n">
        <x:v>2026</x:v>
      </x:c>
      <x:c r="M1468" s="11" t="n">
        <x:v>4595</x:v>
      </x:c>
      <x:c r="N1468" s="7" t="n">
        <x:v>2</x:v>
      </x:c>
      <x:c r="O1468" s="7" t="n">
        <x:v>0</x:v>
      </x:c>
      <x:c r="P1468" s="9" t="n">
        <x:v>9.79</x:v>
      </x:c>
      <x:c r="Q1468" s="7" t="n">
        <x:f>'Guide'!$B$5-L1468</x:f>
        <x:v>0</x:v>
      </x:c>
      <x:c r="R1468" s="9" t="n">
        <x:f>K1468-P1468</x:f>
        <x:v>0.21000000000000085</x:v>
      </x:c>
      <x:c r="S1468" s="10" t="n">
        <x:f>IF(K1468&gt;0,R1468/K1468,"")</x:f>
        <x:v>0.021000000000000085</x:v>
      </x:c>
    </x:row>
    <x:row r="1469">
      <x:c r="A1469" s="7" t="n">
        <x:v>1465</x:v>
      </x:c>
      <x:c r="B1469" s="7" t="str">
        <x:v>Tata</x:v>
      </x:c>
      <x:c r="C1469" s="7" t="str">
        <x:v>Altroz</x:v>
      </x:c>
      <x:c r="D1469" s="7" t="str">
        <x:v>XZA DCA</x:v>
      </x:c>
      <x:c r="E1469" s="7" t="str">
        <x:v>Petrol</x:v>
      </x:c>
      <x:c r="F1469" s="7" t="str">
        <x:v>Automatic</x:v>
      </x:c>
      <x:c r="G1469" s="7" t="str">
        <x:v>Hatchback</x:v>
      </x:c>
      <x:c r="H1469" s="7" t="n">
        <x:v>1199</x:v>
      </x:c>
      <x:c r="I1469" s="7" t="n">
        <x:v>87</x:v>
      </x:c>
      <x:c r="J1469" s="9" t="n">
        <x:v>18.5</x:v>
      </x:c>
      <x:c r="K1469" s="9" t="n">
        <x:v>10</x:v>
      </x:c>
      <x:c r="L1469" s="7" t="n">
        <x:v>2025</x:v>
      </x:c>
      <x:c r="M1469" s="11" t="n">
        <x:v>25486</x:v>
      </x:c>
      <x:c r="N1469" s="7" t="n">
        <x:v>1</x:v>
      </x:c>
      <x:c r="O1469" s="7" t="n">
        <x:v>0</x:v>
      </x:c>
      <x:c r="P1469" s="9" t="n">
        <x:v>8.51</x:v>
      </x:c>
      <x:c r="Q1469" s="7" t="n">
        <x:f>'Guide'!$B$5-L1469</x:f>
        <x:v>1</x:v>
      </x:c>
      <x:c r="R1469" s="9" t="n">
        <x:f>K1469-P1469</x:f>
        <x:v>1.4900000000000002</x:v>
      </x:c>
      <x:c r="S1469" s="10" t="n">
        <x:f>IF(K1469&gt;0,R1469/K1469,"")</x:f>
        <x:v>0.14900000000000002</x:v>
      </x:c>
    </x:row>
    <x:row r="1470">
      <x:c r="A1470" s="7" t="n">
        <x:v>1466</x:v>
      </x:c>
      <x:c r="B1470" s="7" t="str">
        <x:v>Tata</x:v>
      </x:c>
      <x:c r="C1470" s="7" t="str">
        <x:v>Altroz</x:v>
      </x:c>
      <x:c r="D1470" s="7" t="str">
        <x:v>XZA DCA</x:v>
      </x:c>
      <x:c r="E1470" s="7" t="str">
        <x:v>Petrol</x:v>
      </x:c>
      <x:c r="F1470" s="7" t="str">
        <x:v>Automatic</x:v>
      </x:c>
      <x:c r="G1470" s="7" t="str">
        <x:v>Hatchback</x:v>
      </x:c>
      <x:c r="H1470" s="7" t="n">
        <x:v>1199</x:v>
      </x:c>
      <x:c r="I1470" s="7" t="n">
        <x:v>87</x:v>
      </x:c>
      <x:c r="J1470" s="9" t="n">
        <x:v>18.5</x:v>
      </x:c>
      <x:c r="K1470" s="9" t="n">
        <x:v>10</x:v>
      </x:c>
      <x:c r="L1470" s="7" t="n">
        <x:v>2020</x:v>
      </x:c>
      <x:c r="M1470" s="11" t="n">
        <x:v>70004</x:v>
      </x:c>
      <x:c r="N1470" s="7" t="n">
        <x:v>1</x:v>
      </x:c>
      <x:c r="O1470" s="7" t="n">
        <x:v>0</x:v>
      </x:c>
      <x:c r="P1470" s="9" t="n">
        <x:v>4.09</x:v>
      </x:c>
      <x:c r="Q1470" s="7" t="n">
        <x:f>'Guide'!$B$5-L1470</x:f>
        <x:v>6</x:v>
      </x:c>
      <x:c r="R1470" s="9" t="n">
        <x:f>K1470-P1470</x:f>
        <x:v>5.91</x:v>
      </x:c>
      <x:c r="S1470" s="10" t="n">
        <x:f>IF(K1470&gt;0,R1470/K1470,"")</x:f>
        <x:v>0.591</x:v>
      </x:c>
    </x:row>
    <x:row r="1471">
      <x:c r="A1471" s="7" t="n">
        <x:v>1467</x:v>
      </x:c>
      <x:c r="B1471" s="7" t="str">
        <x:v>Tata</x:v>
      </x:c>
      <x:c r="C1471" s="7" t="str">
        <x:v>Altroz</x:v>
      </x:c>
      <x:c r="D1471" s="7" t="str">
        <x:v>XZA DCA</x:v>
      </x:c>
      <x:c r="E1471" s="7" t="str">
        <x:v>Petrol</x:v>
      </x:c>
      <x:c r="F1471" s="7" t="str">
        <x:v>Automatic</x:v>
      </x:c>
      <x:c r="G1471" s="7" t="str">
        <x:v>Hatchback</x:v>
      </x:c>
      <x:c r="H1471" s="7" t="n">
        <x:v>1199</x:v>
      </x:c>
      <x:c r="I1471" s="7" t="n">
        <x:v>87</x:v>
      </x:c>
      <x:c r="J1471" s="9" t="n">
        <x:v>18.5</x:v>
      </x:c>
      <x:c r="K1471" s="9" t="n">
        <x:v>10</x:v>
      </x:c>
      <x:c r="L1471" s="7" t="n">
        <x:v>2023</x:v>
      </x:c>
      <x:c r="M1471" s="11" t="n">
        <x:v>43221</x:v>
      </x:c>
      <x:c r="N1471" s="7" t="n">
        <x:v>2</x:v>
      </x:c>
      <x:c r="O1471" s="7" t="n">
        <x:v>0</x:v>
      </x:c>
      <x:c r="P1471" s="9" t="n">
        <x:v>6.86</x:v>
      </x:c>
      <x:c r="Q1471" s="7" t="n">
        <x:f>'Guide'!$B$5-L1471</x:f>
        <x:v>3</x:v>
      </x:c>
      <x:c r="R1471" s="9" t="n">
        <x:f>K1471-P1471</x:f>
        <x:v>3.1399999999999997</x:v>
      </x:c>
      <x:c r="S1471" s="10" t="n">
        <x:f>IF(K1471&gt;0,R1471/K1471,"")</x:f>
        <x:v>0.31399999999999995</x:v>
      </x:c>
    </x:row>
    <x:row r="1472">
      <x:c r="A1472" s="7" t="n">
        <x:v>1468</x:v>
      </x:c>
      <x:c r="B1472" s="7" t="str">
        <x:v>Tata</x:v>
      </x:c>
      <x:c r="C1472" s="7" t="str">
        <x:v>Altroz</x:v>
      </x:c>
      <x:c r="D1472" s="7" t="str">
        <x:v>XZA DCA</x:v>
      </x:c>
      <x:c r="E1472" s="7" t="str">
        <x:v>Petrol</x:v>
      </x:c>
      <x:c r="F1472" s="7" t="str">
        <x:v>Automatic</x:v>
      </x:c>
      <x:c r="G1472" s="7" t="str">
        <x:v>Hatchback</x:v>
      </x:c>
      <x:c r="H1472" s="7" t="n">
        <x:v>1199</x:v>
      </x:c>
      <x:c r="I1472" s="7" t="n">
        <x:v>87</x:v>
      </x:c>
      <x:c r="J1472" s="9" t="n">
        <x:v>18.5</x:v>
      </x:c>
      <x:c r="K1472" s="9" t="n">
        <x:v>10</x:v>
      </x:c>
      <x:c r="L1472" s="7" t="n">
        <x:v>2020</x:v>
      </x:c>
      <x:c r="M1472" s="11" t="n">
        <x:v>122088</x:v>
      </x:c>
      <x:c r="N1472" s="7" t="n">
        <x:v>1</x:v>
      </x:c>
      <x:c r="O1472" s="7" t="n">
        <x:v>0</x:v>
      </x:c>
      <x:c r="P1472" s="9" t="n">
        <x:v>3.86</x:v>
      </x:c>
      <x:c r="Q1472" s="7" t="n">
        <x:f>'Guide'!$B$5-L1472</x:f>
        <x:v>6</x:v>
      </x:c>
      <x:c r="R1472" s="9" t="n">
        <x:f>K1472-P1472</x:f>
        <x:v>6.140000000000001</x:v>
      </x:c>
      <x:c r="S1472" s="10" t="n">
        <x:f>IF(K1472&gt;0,R1472/K1472,"")</x:f>
        <x:v>0.6140000000000001</x:v>
      </x:c>
    </x:row>
    <x:row r="1473">
      <x:c r="A1473" s="7" t="n">
        <x:v>1469</x:v>
      </x:c>
      <x:c r="B1473" s="7" t="str">
        <x:v>Tata</x:v>
      </x:c>
      <x:c r="C1473" s="7" t="str">
        <x:v>Altroz</x:v>
      </x:c>
      <x:c r="D1473" s="7" t="str">
        <x:v>XZA DCA</x:v>
      </x:c>
      <x:c r="E1473" s="7" t="str">
        <x:v>Petrol</x:v>
      </x:c>
      <x:c r="F1473" s="7" t="str">
        <x:v>Automatic</x:v>
      </x:c>
      <x:c r="G1473" s="7" t="str">
        <x:v>Hatchback</x:v>
      </x:c>
      <x:c r="H1473" s="7" t="n">
        <x:v>1199</x:v>
      </x:c>
      <x:c r="I1473" s="7" t="n">
        <x:v>87</x:v>
      </x:c>
      <x:c r="J1473" s="9" t="n">
        <x:v>18.5</x:v>
      </x:c>
      <x:c r="K1473" s="9" t="n">
        <x:v>10</x:v>
      </x:c>
      <x:c r="L1473" s="7" t="n">
        <x:v>2022</x:v>
      </x:c>
      <x:c r="M1473" s="11" t="n">
        <x:v>71902</x:v>
      </x:c>
      <x:c r="N1473" s="7" t="n">
        <x:v>1</x:v>
      </x:c>
      <x:c r="O1473" s="7" t="n">
        <x:v>0</x:v>
      </x:c>
      <x:c r="P1473" s="9" t="n">
        <x:v>5.93</x:v>
      </x:c>
      <x:c r="Q1473" s="7" t="n">
        <x:f>'Guide'!$B$5-L1473</x:f>
        <x:v>4</x:v>
      </x:c>
      <x:c r="R1473" s="9" t="n">
        <x:f>K1473-P1473</x:f>
        <x:v>4.07</x:v>
      </x:c>
      <x:c r="S1473" s="10" t="n">
        <x:f>IF(K1473&gt;0,R1473/K1473,"")</x:f>
        <x:v>0.40700000000000003</x:v>
      </x:c>
    </x:row>
    <x:row r="1474">
      <x:c r="A1474" s="7" t="n">
        <x:v>1470</x:v>
      </x:c>
      <x:c r="B1474" s="7" t="str">
        <x:v>Tata</x:v>
      </x:c>
      <x:c r="C1474" s="7" t="str">
        <x:v>Altroz</x:v>
      </x:c>
      <x:c r="D1474" s="7" t="str">
        <x:v>XZA DCA</x:v>
      </x:c>
      <x:c r="E1474" s="7" t="str">
        <x:v>Petrol</x:v>
      </x:c>
      <x:c r="F1474" s="7" t="str">
        <x:v>Automatic</x:v>
      </x:c>
      <x:c r="G1474" s="7" t="str">
        <x:v>Hatchback</x:v>
      </x:c>
      <x:c r="H1474" s="7" t="n">
        <x:v>1199</x:v>
      </x:c>
      <x:c r="I1474" s="7" t="n">
        <x:v>87</x:v>
      </x:c>
      <x:c r="J1474" s="9" t="n">
        <x:v>18.5</x:v>
      </x:c>
      <x:c r="K1474" s="9" t="n">
        <x:v>10</x:v>
      </x:c>
      <x:c r="L1474" s="7" t="n">
        <x:v>2024</x:v>
      </x:c>
      <x:c r="M1474" s="11" t="n">
        <x:v>44996</x:v>
      </x:c>
      <x:c r="N1474" s="7" t="n">
        <x:v>1</x:v>
      </x:c>
      <x:c r="O1474" s="7" t="n">
        <x:v>0</x:v>
      </x:c>
      <x:c r="P1474" s="9" t="n">
        <x:v>8.16</x:v>
      </x:c>
      <x:c r="Q1474" s="7" t="n">
        <x:f>'Guide'!$B$5-L1474</x:f>
        <x:v>2</x:v>
      </x:c>
      <x:c r="R1474" s="9" t="n">
        <x:f>K1474-P1474</x:f>
        <x:v>1.8399999999999999</x:v>
      </x:c>
      <x:c r="S1474" s="10" t="n">
        <x:f>IF(K1474&gt;0,R1474/K1474,"")</x:f>
        <x:v>0.184</x:v>
      </x:c>
    </x:row>
    <x:row r="1475">
      <x:c r="A1475" s="7" t="n">
        <x:v>1471</x:v>
      </x:c>
      <x:c r="B1475" s="7" t="str">
        <x:v>Tata</x:v>
      </x:c>
      <x:c r="C1475" s="7" t="str">
        <x:v>Altroz</x:v>
      </x:c>
      <x:c r="D1475" s="7" t="str">
        <x:v>XZA DCA</x:v>
      </x:c>
      <x:c r="E1475" s="7" t="str">
        <x:v>Petrol</x:v>
      </x:c>
      <x:c r="F1475" s="7" t="str">
        <x:v>Automatic</x:v>
      </x:c>
      <x:c r="G1475" s="7" t="str">
        <x:v>Hatchback</x:v>
      </x:c>
      <x:c r="H1475" s="7" t="n">
        <x:v>1199</x:v>
      </x:c>
      <x:c r="I1475" s="7" t="n">
        <x:v>87</x:v>
      </x:c>
      <x:c r="J1475" s="9" t="n">
        <x:v>18.5</x:v>
      </x:c>
      <x:c r="K1475" s="9" t="n">
        <x:v>10</x:v>
      </x:c>
      <x:c r="L1475" s="7" t="n">
        <x:v>2023</x:v>
      </x:c>
      <x:c r="M1475" s="11" t="n">
        <x:v>29511</x:v>
      </x:c>
      <x:c r="N1475" s="7" t="n">
        <x:v>2</x:v>
      </x:c>
      <x:c r="O1475" s="7" t="n">
        <x:v>0</x:v>
      </x:c>
      <x:c r="P1475" s="9" t="n">
        <x:v>6.78</x:v>
      </x:c>
      <x:c r="Q1475" s="7" t="n">
        <x:f>'Guide'!$B$5-L1475</x:f>
        <x:v>3</x:v>
      </x:c>
      <x:c r="R1475" s="9" t="n">
        <x:f>K1475-P1475</x:f>
        <x:v>3.2199999999999998</x:v>
      </x:c>
      <x:c r="S1475" s="10" t="n">
        <x:f>IF(K1475&gt;0,R1475/K1475,"")</x:f>
        <x:v>0.32199999999999995</x:v>
      </x:c>
    </x:row>
    <x:row r="1476">
      <x:c r="A1476" s="7" t="n">
        <x:v>1472</x:v>
      </x:c>
      <x:c r="B1476" s="7" t="str">
        <x:v>Tata</x:v>
      </x:c>
      <x:c r="C1476" s="7" t="str">
        <x:v>Altroz</x:v>
      </x:c>
      <x:c r="D1476" s="7" t="str">
        <x:v>XZA DCA</x:v>
      </x:c>
      <x:c r="E1476" s="7" t="str">
        <x:v>Petrol</x:v>
      </x:c>
      <x:c r="F1476" s="7" t="str">
        <x:v>Automatic</x:v>
      </x:c>
      <x:c r="G1476" s="7" t="str">
        <x:v>Hatchback</x:v>
      </x:c>
      <x:c r="H1476" s="7" t="n">
        <x:v>1199</x:v>
      </x:c>
      <x:c r="I1476" s="7" t="n">
        <x:v>87</x:v>
      </x:c>
      <x:c r="J1476" s="9" t="n">
        <x:v>18.5</x:v>
      </x:c>
      <x:c r="K1476" s="9" t="n">
        <x:v>10</x:v>
      </x:c>
      <x:c r="L1476" s="7" t="n">
        <x:v>2021</x:v>
      </x:c>
      <x:c r="M1476" s="11" t="n">
        <x:v>100414</x:v>
      </x:c>
      <x:c r="N1476" s="7" t="n">
        <x:v>2</x:v>
      </x:c>
      <x:c r="O1476" s="7" t="n">
        <x:v>0</x:v>
      </x:c>
      <x:c r="P1476" s="9" t="n">
        <x:v>4.44</x:v>
      </x:c>
      <x:c r="Q1476" s="7" t="n">
        <x:f>'Guide'!$B$5-L1476</x:f>
        <x:v>5</x:v>
      </x:c>
      <x:c r="R1476" s="9" t="n">
        <x:f>K1476-P1476</x:f>
        <x:v>5.56</x:v>
      </x:c>
      <x:c r="S1476" s="10" t="n">
        <x:f>IF(K1476&gt;0,R1476/K1476,"")</x:f>
        <x:v>0.5559999999999999</x:v>
      </x:c>
    </x:row>
    <x:row r="1477">
      <x:c r="A1477" s="7" t="n">
        <x:v>1473</x:v>
      </x:c>
      <x:c r="B1477" s="7" t="str">
        <x:v>Tata</x:v>
      </x:c>
      <x:c r="C1477" s="7" t="str">
        <x:v>Altroz</x:v>
      </x:c>
      <x:c r="D1477" s="7" t="str">
        <x:v>XZA DCA</x:v>
      </x:c>
      <x:c r="E1477" s="7" t="str">
        <x:v>Petrol</x:v>
      </x:c>
      <x:c r="F1477" s="7" t="str">
        <x:v>Automatic</x:v>
      </x:c>
      <x:c r="G1477" s="7" t="str">
        <x:v>Hatchback</x:v>
      </x:c>
      <x:c r="H1477" s="7" t="n">
        <x:v>1199</x:v>
      </x:c>
      <x:c r="I1477" s="7" t="n">
        <x:v>87</x:v>
      </x:c>
      <x:c r="J1477" s="9" t="n">
        <x:v>18.5</x:v>
      </x:c>
      <x:c r="K1477" s="9" t="n">
        <x:v>10</x:v>
      </x:c>
      <x:c r="L1477" s="7" t="n">
        <x:v>2026</x:v>
      </x:c>
      <x:c r="M1477" s="11" t="n">
        <x:v>9740</x:v>
      </x:c>
      <x:c r="N1477" s="7" t="n">
        <x:v>2</x:v>
      </x:c>
      <x:c r="O1477" s="7" t="n">
        <x:v>0</x:v>
      </x:c>
      <x:c r="P1477" s="9" t="n">
        <x:v>9.62</x:v>
      </x:c>
      <x:c r="Q1477" s="7" t="n">
        <x:f>'Guide'!$B$5-L1477</x:f>
        <x:v>0</x:v>
      </x:c>
      <x:c r="R1477" s="9" t="n">
        <x:f>K1477-P1477</x:f>
        <x:v>0.3800000000000008</x:v>
      </x:c>
      <x:c r="S1477" s="10" t="n">
        <x:f>IF(K1477&gt;0,R1477/K1477,"")</x:f>
        <x:v>0.038000000000000075</x:v>
      </x:c>
    </x:row>
    <x:row r="1478">
      <x:c r="A1478" s="7" t="n">
        <x:v>1474</x:v>
      </x:c>
      <x:c r="B1478" s="7" t="str">
        <x:v>Tata</x:v>
      </x:c>
      <x:c r="C1478" s="7" t="str">
        <x:v>Altroz</x:v>
      </x:c>
      <x:c r="D1478" s="7" t="str">
        <x:v>XZA DCA</x:v>
      </x:c>
      <x:c r="E1478" s="7" t="str">
        <x:v>Petrol</x:v>
      </x:c>
      <x:c r="F1478" s="7" t="str">
        <x:v>Automatic</x:v>
      </x:c>
      <x:c r="G1478" s="7" t="str">
        <x:v>Hatchback</x:v>
      </x:c>
      <x:c r="H1478" s="7" t="n">
        <x:v>1199</x:v>
      </x:c>
      <x:c r="I1478" s="7" t="n">
        <x:v>87</x:v>
      </x:c>
      <x:c r="J1478" s="9" t="n">
        <x:v>18.5</x:v>
      </x:c>
      <x:c r="K1478" s="9" t="n">
        <x:v>10</x:v>
      </x:c>
      <x:c r="L1478" s="7" t="n">
        <x:v>2024</x:v>
      </x:c>
      <x:c r="M1478" s="11" t="n">
        <x:v>48419</x:v>
      </x:c>
      <x:c r="N1478" s="7" t="n">
        <x:v>1</x:v>
      </x:c>
      <x:c r="O1478" s="7" t="n">
        <x:v>0</x:v>
      </x:c>
      <x:c r="P1478" s="9" t="n">
        <x:v>7.59</x:v>
      </x:c>
      <x:c r="Q1478" s="7" t="n">
        <x:f>'Guide'!$B$5-L1478</x:f>
        <x:v>2</x:v>
      </x:c>
      <x:c r="R1478" s="9" t="n">
        <x:f>K1478-P1478</x:f>
        <x:v>2.41</x:v>
      </x:c>
      <x:c r="S1478" s="10" t="n">
        <x:f>IF(K1478&gt;0,R1478/K1478,"")</x:f>
        <x:v>0.24100000000000002</x:v>
      </x:c>
    </x:row>
    <x:row r="1479">
      <x:c r="A1479" s="7" t="n">
        <x:v>1475</x:v>
      </x:c>
      <x:c r="B1479" s="7" t="str">
        <x:v>Tata</x:v>
      </x:c>
      <x:c r="C1479" s="7" t="str">
        <x:v>Altroz</x:v>
      </x:c>
      <x:c r="D1479" s="7" t="str">
        <x:v>XZA DCA</x:v>
      </x:c>
      <x:c r="E1479" s="7" t="str">
        <x:v>Petrol</x:v>
      </x:c>
      <x:c r="F1479" s="7" t="str">
        <x:v>Automatic</x:v>
      </x:c>
      <x:c r="G1479" s="7" t="str">
        <x:v>Hatchback</x:v>
      </x:c>
      <x:c r="H1479" s="7" t="n">
        <x:v>1199</x:v>
      </x:c>
      <x:c r="I1479" s="7" t="n">
        <x:v>87</x:v>
      </x:c>
      <x:c r="J1479" s="9" t="n">
        <x:v>18.5</x:v>
      </x:c>
      <x:c r="K1479" s="9" t="n">
        <x:v>10</x:v>
      </x:c>
      <x:c r="L1479" s="7" t="n">
        <x:v>2020</x:v>
      </x:c>
      <x:c r="M1479" s="11" t="n">
        <x:v>87337</x:v>
      </x:c>
      <x:c r="N1479" s="7" t="n">
        <x:v>1</x:v>
      </x:c>
      <x:c r="O1479" s="7" t="n">
        <x:v>0</x:v>
      </x:c>
      <x:c r="P1479" s="9" t="n">
        <x:v>4.19</x:v>
      </x:c>
      <x:c r="Q1479" s="7" t="n">
        <x:f>'Guide'!$B$5-L1479</x:f>
        <x:v>6</x:v>
      </x:c>
      <x:c r="R1479" s="9" t="n">
        <x:f>K1479-P1479</x:f>
        <x:v>5.81</x:v>
      </x:c>
      <x:c r="S1479" s="10" t="n">
        <x:f>IF(K1479&gt;0,R1479/K1479,"")</x:f>
        <x:v>0.581</x:v>
      </x:c>
    </x:row>
    <x:row r="1480">
      <x:c r="A1480" s="7" t="n">
        <x:v>1476</x:v>
      </x:c>
      <x:c r="B1480" s="7" t="str">
        <x:v>Tata</x:v>
      </x:c>
      <x:c r="C1480" s="7" t="str">
        <x:v>Altroz</x:v>
      </x:c>
      <x:c r="D1480" s="7" t="str">
        <x:v>XZA DCA</x:v>
      </x:c>
      <x:c r="E1480" s="7" t="str">
        <x:v>Petrol</x:v>
      </x:c>
      <x:c r="F1480" s="7" t="str">
        <x:v>Automatic</x:v>
      </x:c>
      <x:c r="G1480" s="7" t="str">
        <x:v>Hatchback</x:v>
      </x:c>
      <x:c r="H1480" s="7" t="n">
        <x:v>1199</x:v>
      </x:c>
      <x:c r="I1480" s="7" t="n">
        <x:v>87</x:v>
      </x:c>
      <x:c r="J1480" s="9" t="n">
        <x:v>18.5</x:v>
      </x:c>
      <x:c r="K1480" s="9" t="n">
        <x:v>10</x:v>
      </x:c>
      <x:c r="L1480" s="7" t="n">
        <x:v>2025</x:v>
      </x:c>
      <x:c r="M1480" s="11" t="n">
        <x:v>12611</x:v>
      </x:c>
      <x:c r="N1480" s="7" t="n">
        <x:v>1</x:v>
      </x:c>
      <x:c r="O1480" s="7" t="n">
        <x:v>0</x:v>
      </x:c>
      <x:c r="P1480" s="9" t="n">
        <x:v>8.73</x:v>
      </x:c>
      <x:c r="Q1480" s="7" t="n">
        <x:f>'Guide'!$B$5-L1480</x:f>
        <x:v>1</x:v>
      </x:c>
      <x:c r="R1480" s="9" t="n">
        <x:f>K1480-P1480</x:f>
        <x:v>1.2699999999999996</x:v>
      </x:c>
      <x:c r="S1480" s="10" t="n">
        <x:f>IF(K1480&gt;0,R1480/K1480,"")</x:f>
        <x:v>0.12699999999999995</x:v>
      </x:c>
    </x:row>
    <x:row r="1481">
      <x:c r="A1481" s="7" t="n">
        <x:v>1477</x:v>
      </x:c>
      <x:c r="B1481" s="7" t="str">
        <x:v>Tata</x:v>
      </x:c>
      <x:c r="C1481" s="7" t="str">
        <x:v>Altroz</x:v>
      </x:c>
      <x:c r="D1481" s="7" t="str">
        <x:v>XZA DCA</x:v>
      </x:c>
      <x:c r="E1481" s="7" t="str">
        <x:v>Petrol</x:v>
      </x:c>
      <x:c r="F1481" s="7" t="str">
        <x:v>Automatic</x:v>
      </x:c>
      <x:c r="G1481" s="7" t="str">
        <x:v>Hatchback</x:v>
      </x:c>
      <x:c r="H1481" s="7" t="n">
        <x:v>1199</x:v>
      </x:c>
      <x:c r="I1481" s="7" t="n">
        <x:v>87</x:v>
      </x:c>
      <x:c r="J1481" s="9" t="n">
        <x:v>18.5</x:v>
      </x:c>
      <x:c r="K1481" s="9" t="n">
        <x:v>10</x:v>
      </x:c>
      <x:c r="L1481" s="7" t="n">
        <x:v>2026</x:v>
      </x:c>
      <x:c r="M1481" s="11" t="n">
        <x:v>4893</x:v>
      </x:c>
      <x:c r="N1481" s="7" t="n">
        <x:v>2</x:v>
      </x:c>
      <x:c r="O1481" s="7" t="n">
        <x:v>0</x:v>
      </x:c>
      <x:c r="P1481" s="9" t="n">
        <x:v>9.24</x:v>
      </x:c>
      <x:c r="Q1481" s="7" t="n">
        <x:f>'Guide'!$B$5-L1481</x:f>
        <x:v>0</x:v>
      </x:c>
      <x:c r="R1481" s="9" t="n">
        <x:f>K1481-P1481</x:f>
        <x:v>0.7599999999999998</x:v>
      </x:c>
      <x:c r="S1481" s="10" t="n">
        <x:f>IF(K1481&gt;0,R1481/K1481,"")</x:f>
        <x:v>0.07599999999999998</x:v>
      </x:c>
    </x:row>
    <x:row r="1482">
      <x:c r="A1482" s="7" t="n">
        <x:v>1478</x:v>
      </x:c>
      <x:c r="B1482" s="7" t="str">
        <x:v>Tata</x:v>
      </x:c>
      <x:c r="C1482" s="7" t="str">
        <x:v>Altroz</x:v>
      </x:c>
      <x:c r="D1482" s="7" t="str">
        <x:v>XZA DCA</x:v>
      </x:c>
      <x:c r="E1482" s="7" t="str">
        <x:v>Petrol</x:v>
      </x:c>
      <x:c r="F1482" s="7" t="str">
        <x:v>Automatic</x:v>
      </x:c>
      <x:c r="G1482" s="7" t="str">
        <x:v>Hatchback</x:v>
      </x:c>
      <x:c r="H1482" s="7" t="n">
        <x:v>1199</x:v>
      </x:c>
      <x:c r="I1482" s="7" t="n">
        <x:v>87</x:v>
      </x:c>
      <x:c r="J1482" s="9" t="n">
        <x:v>18.5</x:v>
      </x:c>
      <x:c r="K1482" s="9" t="n">
        <x:v>10</x:v>
      </x:c>
      <x:c r="L1482" s="7" t="n">
        <x:v>2026</x:v>
      </x:c>
      <x:c r="M1482" s="11" t="n">
        <x:v>6840</x:v>
      </x:c>
      <x:c r="N1482" s="7" t="n">
        <x:v>2</x:v>
      </x:c>
      <x:c r="O1482" s="7" t="n">
        <x:v>0</x:v>
      </x:c>
      <x:c r="P1482" s="9" t="n">
        <x:v>9.54</x:v>
      </x:c>
      <x:c r="Q1482" s="7" t="n">
        <x:f>'Guide'!$B$5-L1482</x:f>
        <x:v>0</x:v>
      </x:c>
      <x:c r="R1482" s="9" t="n">
        <x:f>K1482-P1482</x:f>
        <x:v>0.46000000000000085</x:v>
      </x:c>
      <x:c r="S1482" s="10" t="n">
        <x:f>IF(K1482&gt;0,R1482/K1482,"")</x:f>
        <x:v>0.04600000000000008</x:v>
      </x:c>
    </x:row>
    <x:row r="1483">
      <x:c r="A1483" s="7" t="n">
        <x:v>1479</x:v>
      </x:c>
      <x:c r="B1483" s="7" t="str">
        <x:v>Tata</x:v>
      </x:c>
      <x:c r="C1483" s="7" t="str">
        <x:v>Altroz</x:v>
      </x:c>
      <x:c r="D1483" s="7" t="str">
        <x:v>XZA DCA</x:v>
      </x:c>
      <x:c r="E1483" s="7" t="str">
        <x:v>Petrol</x:v>
      </x:c>
      <x:c r="F1483" s="7" t="str">
        <x:v>Automatic</x:v>
      </x:c>
      <x:c r="G1483" s="7" t="str">
        <x:v>Hatchback</x:v>
      </x:c>
      <x:c r="H1483" s="7" t="n">
        <x:v>1199</x:v>
      </x:c>
      <x:c r="I1483" s="7" t="n">
        <x:v>87</x:v>
      </x:c>
      <x:c r="J1483" s="9" t="n">
        <x:v>18.5</x:v>
      </x:c>
      <x:c r="K1483" s="9" t="n">
        <x:v>10</x:v>
      </x:c>
      <x:c r="L1483" s="7" t="n">
        <x:v>2023</x:v>
      </x:c>
      <x:c r="M1483" s="11" t="n">
        <x:v>44126</x:v>
      </x:c>
      <x:c r="N1483" s="7" t="n">
        <x:v>1</x:v>
      </x:c>
      <x:c r="O1483" s="7" t="n">
        <x:v>0</x:v>
      </x:c>
      <x:c r="P1483" s="9" t="n">
        <x:v>7.34</x:v>
      </x:c>
      <x:c r="Q1483" s="7" t="n">
        <x:f>'Guide'!$B$5-L1483</x:f>
        <x:v>3</x:v>
      </x:c>
      <x:c r="R1483" s="9" t="n">
        <x:f>K1483-P1483</x:f>
        <x:v>2.66</x:v>
      </x:c>
      <x:c r="S1483" s="10" t="n">
        <x:f>IF(K1483&gt;0,R1483/K1483,"")</x:f>
        <x:v>0.266</x:v>
      </x:c>
    </x:row>
    <x:row r="1484">
      <x:c r="A1484" s="7" t="n">
        <x:v>1480</x:v>
      </x:c>
      <x:c r="B1484" s="7" t="str">
        <x:v>Tata</x:v>
      </x:c>
      <x:c r="C1484" s="7" t="str">
        <x:v>Altroz</x:v>
      </x:c>
      <x:c r="D1484" s="7" t="str">
        <x:v>XZA DCA</x:v>
      </x:c>
      <x:c r="E1484" s="7" t="str">
        <x:v>Petrol</x:v>
      </x:c>
      <x:c r="F1484" s="7" t="str">
        <x:v>Automatic</x:v>
      </x:c>
      <x:c r="G1484" s="7" t="str">
        <x:v>Hatchback</x:v>
      </x:c>
      <x:c r="H1484" s="7" t="n">
        <x:v>1199</x:v>
      </x:c>
      <x:c r="I1484" s="7" t="n">
        <x:v>87</x:v>
      </x:c>
      <x:c r="J1484" s="9" t="n">
        <x:v>18.5</x:v>
      </x:c>
      <x:c r="K1484" s="9" t="n">
        <x:v>10</x:v>
      </x:c>
      <x:c r="L1484" s="7" t="n">
        <x:v>2022</x:v>
      </x:c>
      <x:c r="M1484" s="11" t="n">
        <x:v>76778</x:v>
      </x:c>
      <x:c r="N1484" s="7" t="n">
        <x:v>2</x:v>
      </x:c>
      <x:c r="O1484" s="7" t="n">
        <x:v>1</x:v>
      </x:c>
      <x:c r="P1484" s="9" t="n">
        <x:v>4.76</x:v>
      </x:c>
      <x:c r="Q1484" s="7" t="n">
        <x:f>'Guide'!$B$5-L1484</x:f>
        <x:v>4</x:v>
      </x:c>
      <x:c r="R1484" s="9" t="n">
        <x:f>K1484-P1484</x:f>
        <x:v>5.24</x:v>
      </x:c>
      <x:c r="S1484" s="10" t="n">
        <x:f>IF(K1484&gt;0,R1484/K1484,"")</x:f>
        <x:v>0.524</x:v>
      </x:c>
    </x:row>
    <x:row r="1485">
      <x:c r="A1485" s="7" t="n">
        <x:v>1481</x:v>
      </x:c>
      <x:c r="B1485" s="7" t="str">
        <x:v>Tata</x:v>
      </x:c>
      <x:c r="C1485" s="7" t="str">
        <x:v>Altroz</x:v>
      </x:c>
      <x:c r="D1485" s="7" t="str">
        <x:v>XZA DCA</x:v>
      </x:c>
      <x:c r="E1485" s="7" t="str">
        <x:v>Petrol</x:v>
      </x:c>
      <x:c r="F1485" s="7" t="str">
        <x:v>Automatic</x:v>
      </x:c>
      <x:c r="G1485" s="7" t="str">
        <x:v>Hatchback</x:v>
      </x:c>
      <x:c r="H1485" s="7" t="n">
        <x:v>1199</x:v>
      </x:c>
      <x:c r="I1485" s="7" t="n">
        <x:v>87</x:v>
      </x:c>
      <x:c r="J1485" s="9" t="n">
        <x:v>18.5</x:v>
      </x:c>
      <x:c r="K1485" s="9" t="n">
        <x:v>10</x:v>
      </x:c>
      <x:c r="L1485" s="7" t="n">
        <x:v>2024</x:v>
      </x:c>
      <x:c r="M1485" s="11" t="n">
        <x:v>33212</x:v>
      </x:c>
      <x:c r="N1485" s="7" t="n">
        <x:v>1</x:v>
      </x:c>
      <x:c r="O1485" s="7" t="n">
        <x:v>0</x:v>
      </x:c>
      <x:c r="P1485" s="9" t="n">
        <x:v>7.79</x:v>
      </x:c>
      <x:c r="Q1485" s="7" t="n">
        <x:f>'Guide'!$B$5-L1485</x:f>
        <x:v>2</x:v>
      </x:c>
      <x:c r="R1485" s="9" t="n">
        <x:f>K1485-P1485</x:f>
        <x:v>2.21</x:v>
      </x:c>
      <x:c r="S1485" s="10" t="n">
        <x:f>IF(K1485&gt;0,R1485/K1485,"")</x:f>
        <x:v>0.221</x:v>
      </x:c>
    </x:row>
    <x:row r="1486">
      <x:c r="A1486" s="7" t="n">
        <x:v>1482</x:v>
      </x:c>
      <x:c r="B1486" s="7" t="str">
        <x:v>Tata</x:v>
      </x:c>
      <x:c r="C1486" s="7" t="str">
        <x:v>Altroz</x:v>
      </x:c>
      <x:c r="D1486" s="7" t="str">
        <x:v>XZA DCA</x:v>
      </x:c>
      <x:c r="E1486" s="7" t="str">
        <x:v>Petrol</x:v>
      </x:c>
      <x:c r="F1486" s="7" t="str">
        <x:v>Automatic</x:v>
      </x:c>
      <x:c r="G1486" s="7" t="str">
        <x:v>Hatchback</x:v>
      </x:c>
      <x:c r="H1486" s="7" t="n">
        <x:v>1199</x:v>
      </x:c>
      <x:c r="I1486" s="7" t="n">
        <x:v>87</x:v>
      </x:c>
      <x:c r="J1486" s="9" t="n">
        <x:v>18.5</x:v>
      </x:c>
      <x:c r="K1486" s="9" t="n">
        <x:v>10</x:v>
      </x:c>
      <x:c r="L1486" s="7" t="n">
        <x:v>2025</x:v>
      </x:c>
      <x:c r="M1486" s="11" t="n">
        <x:v>13167</x:v>
      </x:c>
      <x:c r="N1486" s="7" t="n">
        <x:v>1</x:v>
      </x:c>
      <x:c r="O1486" s="7" t="n">
        <x:v>0</x:v>
      </x:c>
      <x:c r="P1486" s="9" t="n">
        <x:v>8.66</x:v>
      </x:c>
      <x:c r="Q1486" s="7" t="n">
        <x:f>'Guide'!$B$5-L1486</x:f>
        <x:v>1</x:v>
      </x:c>
      <x:c r="R1486" s="9" t="n">
        <x:f>K1486-P1486</x:f>
        <x:v>1.3399999999999999</x:v>
      </x:c>
      <x:c r="S1486" s="10" t="n">
        <x:f>IF(K1486&gt;0,R1486/K1486,"")</x:f>
        <x:v>0.13399999999999998</x:v>
      </x:c>
    </x:row>
    <x:row r="1487">
      <x:c r="A1487" s="7" t="n">
        <x:v>1483</x:v>
      </x:c>
      <x:c r="B1487" s="7" t="str">
        <x:v>Tata</x:v>
      </x:c>
      <x:c r="C1487" s="7" t="str">
        <x:v>Altroz</x:v>
      </x:c>
      <x:c r="D1487" s="7" t="str">
        <x:v>XZA DCA</x:v>
      </x:c>
      <x:c r="E1487" s="7" t="str">
        <x:v>Petrol</x:v>
      </x:c>
      <x:c r="F1487" s="7" t="str">
        <x:v>Automatic</x:v>
      </x:c>
      <x:c r="G1487" s="7" t="str">
        <x:v>Hatchback</x:v>
      </x:c>
      <x:c r="H1487" s="7" t="n">
        <x:v>1199</x:v>
      </x:c>
      <x:c r="I1487" s="7" t="n">
        <x:v>87</x:v>
      </x:c>
      <x:c r="J1487" s="9" t="n">
        <x:v>18.5</x:v>
      </x:c>
      <x:c r="K1487" s="9" t="n">
        <x:v>10</x:v>
      </x:c>
      <x:c r="L1487" s="7" t="n">
        <x:v>2022</x:v>
      </x:c>
      <x:c r="M1487" s="11" t="n">
        <x:v>85939</x:v>
      </x:c>
      <x:c r="N1487" s="7" t="n">
        <x:v>1</x:v>
      </x:c>
      <x:c r="O1487" s="7" t="n">
        <x:v>0</x:v>
      </x:c>
      <x:c r="P1487" s="9" t="n">
        <x:v>5.86</x:v>
      </x:c>
      <x:c r="Q1487" s="7" t="n">
        <x:f>'Guide'!$B$5-L1487</x:f>
        <x:v>4</x:v>
      </x:c>
      <x:c r="R1487" s="9" t="n">
        <x:f>K1487-P1487</x:f>
        <x:v>4.14</x:v>
      </x:c>
      <x:c r="S1487" s="10" t="n">
        <x:f>IF(K1487&gt;0,R1487/K1487,"")</x:f>
        <x:v>0.414</x:v>
      </x:c>
    </x:row>
    <x:row r="1488">
      <x:c r="A1488" s="7" t="n">
        <x:v>1484</x:v>
      </x:c>
      <x:c r="B1488" s="7" t="str">
        <x:v>Tata</x:v>
      </x:c>
      <x:c r="C1488" s="7" t="str">
        <x:v>Altroz</x:v>
      </x:c>
      <x:c r="D1488" s="7" t="str">
        <x:v>XZA DCA</x:v>
      </x:c>
      <x:c r="E1488" s="7" t="str">
        <x:v>Petrol</x:v>
      </x:c>
      <x:c r="F1488" s="7" t="str">
        <x:v>Automatic</x:v>
      </x:c>
      <x:c r="G1488" s="7" t="str">
        <x:v>Hatchback</x:v>
      </x:c>
      <x:c r="H1488" s="7" t="n">
        <x:v>1199</x:v>
      </x:c>
      <x:c r="I1488" s="7" t="n">
        <x:v>87</x:v>
      </x:c>
      <x:c r="J1488" s="9" t="n">
        <x:v>18.5</x:v>
      </x:c>
      <x:c r="K1488" s="9" t="n">
        <x:v>10</x:v>
      </x:c>
      <x:c r="L1488" s="7" t="n">
        <x:v>2021</x:v>
      </x:c>
      <x:c r="M1488" s="11" t="n">
        <x:v>51059</x:v>
      </x:c>
      <x:c r="N1488" s="7" t="n">
        <x:v>1</x:v>
      </x:c>
      <x:c r="O1488" s="7" t="n">
        <x:v>0</x:v>
      </x:c>
      <x:c r="P1488" s="9" t="n">
        <x:v>5.68</x:v>
      </x:c>
      <x:c r="Q1488" s="7" t="n">
        <x:f>'Guide'!$B$5-L1488</x:f>
        <x:v>5</x:v>
      </x:c>
      <x:c r="R1488" s="9" t="n">
        <x:f>K1488-P1488</x:f>
        <x:v>4.32</x:v>
      </x:c>
      <x:c r="S1488" s="10" t="n">
        <x:f>IF(K1488&gt;0,R1488/K1488,"")</x:f>
        <x:v>0.43200000000000005</x:v>
      </x:c>
    </x:row>
    <x:row r="1489">
      <x:c r="A1489" s="7" t="n">
        <x:v>1485</x:v>
      </x:c>
      <x:c r="B1489" s="7" t="str">
        <x:v>Tata</x:v>
      </x:c>
      <x:c r="C1489" s="7" t="str">
        <x:v>Altroz</x:v>
      </x:c>
      <x:c r="D1489" s="7" t="str">
        <x:v>XZA DCA</x:v>
      </x:c>
      <x:c r="E1489" s="7" t="str">
        <x:v>Petrol</x:v>
      </x:c>
      <x:c r="F1489" s="7" t="str">
        <x:v>Automatic</x:v>
      </x:c>
      <x:c r="G1489" s="7" t="str">
        <x:v>Hatchback</x:v>
      </x:c>
      <x:c r="H1489" s="7" t="n">
        <x:v>1199</x:v>
      </x:c>
      <x:c r="I1489" s="7" t="n">
        <x:v>87</x:v>
      </x:c>
      <x:c r="J1489" s="9" t="n">
        <x:v>18.5</x:v>
      </x:c>
      <x:c r="K1489" s="9" t="n">
        <x:v>10</x:v>
      </x:c>
      <x:c r="L1489" s="7" t="n">
        <x:v>2026</x:v>
      </x:c>
      <x:c r="M1489" s="11" t="n">
        <x:v>8398</x:v>
      </x:c>
      <x:c r="N1489" s="7" t="n">
        <x:v>2</x:v>
      </x:c>
      <x:c r="O1489" s="7" t="n">
        <x:v>0</x:v>
      </x:c>
      <x:c r="P1489" s="9" t="n">
        <x:v>9.63</x:v>
      </x:c>
      <x:c r="Q1489" s="7" t="n">
        <x:f>'Guide'!$B$5-L1489</x:f>
        <x:v>0</x:v>
      </x:c>
      <x:c r="R1489" s="9" t="n">
        <x:f>K1489-P1489</x:f>
        <x:v>0.3699999999999992</x:v>
      </x:c>
      <x:c r="S1489" s="10" t="n">
        <x:f>IF(K1489&gt;0,R1489/K1489,"")</x:f>
        <x:v>0.03699999999999992</x:v>
      </x:c>
    </x:row>
    <x:row r="1490">
      <x:c r="A1490" s="7" t="n">
        <x:v>1486</x:v>
      </x:c>
      <x:c r="B1490" s="7" t="str">
        <x:v>Tata</x:v>
      </x:c>
      <x:c r="C1490" s="7" t="str">
        <x:v>Altroz</x:v>
      </x:c>
      <x:c r="D1490" s="7" t="str">
        <x:v>XZA DCA</x:v>
      </x:c>
      <x:c r="E1490" s="7" t="str">
        <x:v>Petrol</x:v>
      </x:c>
      <x:c r="F1490" s="7" t="str">
        <x:v>Automatic</x:v>
      </x:c>
      <x:c r="G1490" s="7" t="str">
        <x:v>Hatchback</x:v>
      </x:c>
      <x:c r="H1490" s="7" t="n">
        <x:v>1199</x:v>
      </x:c>
      <x:c r="I1490" s="7" t="n">
        <x:v>87</x:v>
      </x:c>
      <x:c r="J1490" s="9" t="n">
        <x:v>18.5</x:v>
      </x:c>
      <x:c r="K1490" s="9" t="n">
        <x:v>10</x:v>
      </x:c>
      <x:c r="L1490" s="7" t="n">
        <x:v>2022</x:v>
      </x:c>
      <x:c r="M1490" s="11" t="n">
        <x:v>40586</x:v>
      </x:c>
      <x:c r="N1490" s="7" t="n">
        <x:v>1</x:v>
      </x:c>
      <x:c r="O1490" s="7" t="n">
        <x:v>0</x:v>
      </x:c>
      <x:c r="P1490" s="9" t="n">
        <x:v>6.65</x:v>
      </x:c>
      <x:c r="Q1490" s="7" t="n">
        <x:f>'Guide'!$B$5-L1490</x:f>
        <x:v>4</x:v>
      </x:c>
      <x:c r="R1490" s="9" t="n">
        <x:f>K1490-P1490</x:f>
        <x:v>3.3499999999999996</x:v>
      </x:c>
      <x:c r="S1490" s="10" t="n">
        <x:f>IF(K1490&gt;0,R1490/K1490,"")</x:f>
        <x:v>0.33499999999999996</x:v>
      </x:c>
    </x:row>
    <x:row r="1491">
      <x:c r="A1491" s="7" t="n">
        <x:v>1487</x:v>
      </x:c>
      <x:c r="B1491" s="7" t="str">
        <x:v>Tata</x:v>
      </x:c>
      <x:c r="C1491" s="7" t="str">
        <x:v>Altroz</x:v>
      </x:c>
      <x:c r="D1491" s="7" t="str">
        <x:v>XZA DCA</x:v>
      </x:c>
      <x:c r="E1491" s="7" t="str">
        <x:v>Petrol</x:v>
      </x:c>
      <x:c r="F1491" s="7" t="str">
        <x:v>Automatic</x:v>
      </x:c>
      <x:c r="G1491" s="7" t="str">
        <x:v>Hatchback</x:v>
      </x:c>
      <x:c r="H1491" s="7" t="n">
        <x:v>1199</x:v>
      </x:c>
      <x:c r="I1491" s="7" t="n">
        <x:v>87</x:v>
      </x:c>
      <x:c r="J1491" s="9" t="n">
        <x:v>18.5</x:v>
      </x:c>
      <x:c r="K1491" s="9" t="n">
        <x:v>10</x:v>
      </x:c>
      <x:c r="L1491" s="7" t="n">
        <x:v>2023</x:v>
      </x:c>
      <x:c r="M1491" s="11" t="n">
        <x:v>46002</x:v>
      </x:c>
      <x:c r="N1491" s="7" t="n">
        <x:v>1</x:v>
      </x:c>
      <x:c r="O1491" s="7" t="n">
        <x:v>0</x:v>
      </x:c>
      <x:c r="P1491" s="9" t="n">
        <x:v>6.68</x:v>
      </x:c>
      <x:c r="Q1491" s="7" t="n">
        <x:f>'Guide'!$B$5-L1491</x:f>
        <x:v>3</x:v>
      </x:c>
      <x:c r="R1491" s="9" t="n">
        <x:f>K1491-P1491</x:f>
        <x:v>3.3200000000000003</x:v>
      </x:c>
      <x:c r="S1491" s="10" t="n">
        <x:f>IF(K1491&gt;0,R1491/K1491,"")</x:f>
        <x:v>0.332</x:v>
      </x:c>
    </x:row>
    <x:row r="1492">
      <x:c r="A1492" s="7" t="n">
        <x:v>1488</x:v>
      </x:c>
      <x:c r="B1492" s="7" t="str">
        <x:v>Tata</x:v>
      </x:c>
      <x:c r="C1492" s="7" t="str">
        <x:v>Altroz</x:v>
      </x:c>
      <x:c r="D1492" s="7" t="str">
        <x:v>XZA DCA</x:v>
      </x:c>
      <x:c r="E1492" s="7" t="str">
        <x:v>Petrol</x:v>
      </x:c>
      <x:c r="F1492" s="7" t="str">
        <x:v>Automatic</x:v>
      </x:c>
      <x:c r="G1492" s="7" t="str">
        <x:v>Hatchback</x:v>
      </x:c>
      <x:c r="H1492" s="7" t="n">
        <x:v>1199</x:v>
      </x:c>
      <x:c r="I1492" s="7" t="n">
        <x:v>87</x:v>
      </x:c>
      <x:c r="J1492" s="9" t="n">
        <x:v>18.5</x:v>
      </x:c>
      <x:c r="K1492" s="9" t="n">
        <x:v>10</x:v>
      </x:c>
      <x:c r="L1492" s="7" t="n">
        <x:v>2022</x:v>
      </x:c>
      <x:c r="M1492" s="11" t="n">
        <x:v>62419</x:v>
      </x:c>
      <x:c r="N1492" s="7" t="n">
        <x:v>2</x:v>
      </x:c>
      <x:c r="O1492" s="7" t="n">
        <x:v>0</x:v>
      </x:c>
      <x:c r="P1492" s="9" t="n">
        <x:v>5.93</x:v>
      </x:c>
      <x:c r="Q1492" s="7" t="n">
        <x:f>'Guide'!$B$5-L1492</x:f>
        <x:v>4</x:v>
      </x:c>
      <x:c r="R1492" s="9" t="n">
        <x:f>K1492-P1492</x:f>
        <x:v>4.07</x:v>
      </x:c>
      <x:c r="S1492" s="10" t="n">
        <x:f>IF(K1492&gt;0,R1492/K1492,"")</x:f>
        <x:v>0.40700000000000003</x:v>
      </x:c>
    </x:row>
    <x:row r="1493">
      <x:c r="A1493" s="7" t="n">
        <x:v>1489</x:v>
      </x:c>
      <x:c r="B1493" s="7" t="str">
        <x:v>Tata</x:v>
      </x:c>
      <x:c r="C1493" s="7" t="str">
        <x:v>Altroz</x:v>
      </x:c>
      <x:c r="D1493" s="7" t="str">
        <x:v>XZA DCA</x:v>
      </x:c>
      <x:c r="E1493" s="7" t="str">
        <x:v>Petrol</x:v>
      </x:c>
      <x:c r="F1493" s="7" t="str">
        <x:v>Automatic</x:v>
      </x:c>
      <x:c r="G1493" s="7" t="str">
        <x:v>Hatchback</x:v>
      </x:c>
      <x:c r="H1493" s="7" t="n">
        <x:v>1199</x:v>
      </x:c>
      <x:c r="I1493" s="7" t="n">
        <x:v>87</x:v>
      </x:c>
      <x:c r="J1493" s="9" t="n">
        <x:v>18.5</x:v>
      </x:c>
      <x:c r="K1493" s="9" t="n">
        <x:v>10</x:v>
      </x:c>
      <x:c r="L1493" s="7" t="n">
        <x:v>2025</x:v>
      </x:c>
      <x:c r="M1493" s="11" t="n">
        <x:v>15545</x:v>
      </x:c>
      <x:c r="N1493" s="7" t="n">
        <x:v>2</x:v>
      </x:c>
      <x:c r="O1493" s="7" t="n">
        <x:v>0</x:v>
      </x:c>
      <x:c r="P1493" s="9" t="n">
        <x:v>8.48</x:v>
      </x:c>
      <x:c r="Q1493" s="7" t="n">
        <x:f>'Guide'!$B$5-L1493</x:f>
        <x:v>1</x:v>
      </x:c>
      <x:c r="R1493" s="9" t="n">
        <x:f>K1493-P1493</x:f>
        <x:v>1.5199999999999996</x:v>
      </x:c>
      <x:c r="S1493" s="10" t="n">
        <x:f>IF(K1493&gt;0,R1493/K1493,"")</x:f>
        <x:v>0.15199999999999997</x:v>
      </x:c>
    </x:row>
    <x:row r="1494">
      <x:c r="A1494" s="7" t="n">
        <x:v>1490</x:v>
      </x:c>
      <x:c r="B1494" s="7" t="str">
        <x:v>Tata</x:v>
      </x:c>
      <x:c r="C1494" s="7" t="str">
        <x:v>Altroz</x:v>
      </x:c>
      <x:c r="D1494" s="7" t="str">
        <x:v>XZA DCA</x:v>
      </x:c>
      <x:c r="E1494" s="7" t="str">
        <x:v>Petrol</x:v>
      </x:c>
      <x:c r="F1494" s="7" t="str">
        <x:v>Automatic</x:v>
      </x:c>
      <x:c r="G1494" s="7" t="str">
        <x:v>Hatchback</x:v>
      </x:c>
      <x:c r="H1494" s="7" t="n">
        <x:v>1199</x:v>
      </x:c>
      <x:c r="I1494" s="7" t="n">
        <x:v>87</x:v>
      </x:c>
      <x:c r="J1494" s="9" t="n">
        <x:v>18.5</x:v>
      </x:c>
      <x:c r="K1494" s="9" t="n">
        <x:v>10</x:v>
      </x:c>
      <x:c r="L1494" s="7" t="n">
        <x:v>2022</x:v>
      </x:c>
      <x:c r="M1494" s="11" t="n">
        <x:v>84468</x:v>
      </x:c>
      <x:c r="N1494" s="7" t="n">
        <x:v>1</x:v>
      </x:c>
      <x:c r="O1494" s="7" t="n">
        <x:v>0</x:v>
      </x:c>
      <x:c r="P1494" s="9" t="n">
        <x:v>5.55</x:v>
      </x:c>
      <x:c r="Q1494" s="7" t="n">
        <x:f>'Guide'!$B$5-L1494</x:f>
        <x:v>4</x:v>
      </x:c>
      <x:c r="R1494" s="9" t="n">
        <x:f>K1494-P1494</x:f>
        <x:v>4.45</x:v>
      </x:c>
      <x:c r="S1494" s="10" t="n">
        <x:f>IF(K1494&gt;0,R1494/K1494,"")</x:f>
        <x:v>0.445</x:v>
      </x:c>
    </x:row>
    <x:row r="1495">
      <x:c r="A1495" s="7" t="n">
        <x:v>1491</x:v>
      </x:c>
      <x:c r="B1495" s="7" t="str">
        <x:v>Tata</x:v>
      </x:c>
      <x:c r="C1495" s="7" t="str">
        <x:v>Altroz</x:v>
      </x:c>
      <x:c r="D1495" s="7" t="str">
        <x:v>XZA DCA</x:v>
      </x:c>
      <x:c r="E1495" s="7" t="str">
        <x:v>Petrol</x:v>
      </x:c>
      <x:c r="F1495" s="7" t="str">
        <x:v>Automatic</x:v>
      </x:c>
      <x:c r="G1495" s="7" t="str">
        <x:v>Hatchback</x:v>
      </x:c>
      <x:c r="H1495" s="7" t="n">
        <x:v>1199</x:v>
      </x:c>
      <x:c r="I1495" s="7" t="n">
        <x:v>87</x:v>
      </x:c>
      <x:c r="J1495" s="9" t="n">
        <x:v>18.5</x:v>
      </x:c>
      <x:c r="K1495" s="9" t="n">
        <x:v>10</x:v>
      </x:c>
      <x:c r="L1495" s="7" t="n">
        <x:v>2024</x:v>
      </x:c>
      <x:c r="M1495" s="11" t="n">
        <x:v>29806</x:v>
      </x:c>
      <x:c r="N1495" s="7" t="n">
        <x:v>1</x:v>
      </x:c>
      <x:c r="O1495" s="7" t="n">
        <x:v>0</x:v>
      </x:c>
      <x:c r="P1495" s="9" t="n">
        <x:v>8.14</x:v>
      </x:c>
      <x:c r="Q1495" s="7" t="n">
        <x:f>'Guide'!$B$5-L1495</x:f>
        <x:v>2</x:v>
      </x:c>
      <x:c r="R1495" s="9" t="n">
        <x:f>K1495-P1495</x:f>
        <x:v>1.8599999999999994</x:v>
      </x:c>
      <x:c r="S1495" s="10" t="n">
        <x:f>IF(K1495&gt;0,R1495/K1495,"")</x:f>
        <x:v>0.18599999999999994</x:v>
      </x:c>
    </x:row>
    <x:row r="1496">
      <x:c r="A1496" s="7" t="n">
        <x:v>1492</x:v>
      </x:c>
      <x:c r="B1496" s="7" t="str">
        <x:v>Tata</x:v>
      </x:c>
      <x:c r="C1496" s="7" t="str">
        <x:v>Altroz</x:v>
      </x:c>
      <x:c r="D1496" s="7" t="str">
        <x:v>XZA DCA</x:v>
      </x:c>
      <x:c r="E1496" s="7" t="str">
        <x:v>Petrol</x:v>
      </x:c>
      <x:c r="F1496" s="7" t="str">
        <x:v>Automatic</x:v>
      </x:c>
      <x:c r="G1496" s="7" t="str">
        <x:v>Hatchback</x:v>
      </x:c>
      <x:c r="H1496" s="7" t="n">
        <x:v>1199</x:v>
      </x:c>
      <x:c r="I1496" s="7" t="n">
        <x:v>87</x:v>
      </x:c>
      <x:c r="J1496" s="9" t="n">
        <x:v>18.5</x:v>
      </x:c>
      <x:c r="K1496" s="9" t="n">
        <x:v>10</x:v>
      </x:c>
      <x:c r="L1496" s="7" t="n">
        <x:v>2023</x:v>
      </x:c>
      <x:c r="M1496" s="11" t="n">
        <x:v>38740</x:v>
      </x:c>
      <x:c r="N1496" s="7" t="n">
        <x:v>1</x:v>
      </x:c>
      <x:c r="O1496" s="7" t="n">
        <x:v>0</x:v>
      </x:c>
      <x:c r="P1496" s="9" t="n">
        <x:v>7.13</x:v>
      </x:c>
      <x:c r="Q1496" s="7" t="n">
        <x:f>'Guide'!$B$5-L1496</x:f>
        <x:v>3</x:v>
      </x:c>
      <x:c r="R1496" s="9" t="n">
        <x:f>K1496-P1496</x:f>
        <x:v>2.87</x:v>
      </x:c>
      <x:c r="S1496" s="10" t="n">
        <x:f>IF(K1496&gt;0,R1496/K1496,"")</x:f>
        <x:v>0.28700000000000003</x:v>
      </x:c>
    </x:row>
    <x:row r="1497">
      <x:c r="A1497" s="7" t="n">
        <x:v>1493</x:v>
      </x:c>
      <x:c r="B1497" s="7" t="str">
        <x:v>Tata</x:v>
      </x:c>
      <x:c r="C1497" s="7" t="str">
        <x:v>Altroz</x:v>
      </x:c>
      <x:c r="D1497" s="7" t="str">
        <x:v>XZA DCA</x:v>
      </x:c>
      <x:c r="E1497" s="7" t="str">
        <x:v>Petrol</x:v>
      </x:c>
      <x:c r="F1497" s="7" t="str">
        <x:v>Automatic</x:v>
      </x:c>
      <x:c r="G1497" s="7" t="str">
        <x:v>Hatchback</x:v>
      </x:c>
      <x:c r="H1497" s="7" t="n">
        <x:v>1199</x:v>
      </x:c>
      <x:c r="I1497" s="7" t="n">
        <x:v>87</x:v>
      </x:c>
      <x:c r="J1497" s="9" t="n">
        <x:v>18.5</x:v>
      </x:c>
      <x:c r="K1497" s="9" t="n">
        <x:v>10</x:v>
      </x:c>
      <x:c r="L1497" s="7" t="n">
        <x:v>2025</x:v>
      </x:c>
      <x:c r="M1497" s="11" t="n">
        <x:v>25038</x:v>
      </x:c>
      <x:c r="N1497" s="7" t="n">
        <x:v>1</x:v>
      </x:c>
      <x:c r="O1497" s="7" t="n">
        <x:v>0</x:v>
      </x:c>
      <x:c r="P1497" s="9" t="n">
        <x:v>8.62</x:v>
      </x:c>
      <x:c r="Q1497" s="7" t="n">
        <x:f>'Guide'!$B$5-L1497</x:f>
        <x:v>1</x:v>
      </x:c>
      <x:c r="R1497" s="9" t="n">
        <x:f>K1497-P1497</x:f>
        <x:v>1.3800000000000008</x:v>
      </x:c>
      <x:c r="S1497" s="10" t="n">
        <x:f>IF(K1497&gt;0,R1497/K1497,"")</x:f>
        <x:v>0.13800000000000007</x:v>
      </x:c>
    </x:row>
    <x:row r="1498">
      <x:c r="A1498" s="7" t="n">
        <x:v>1494</x:v>
      </x:c>
      <x:c r="B1498" s="7" t="str">
        <x:v>Tata</x:v>
      </x:c>
      <x:c r="C1498" s="7" t="str">
        <x:v>Altroz</x:v>
      </x:c>
      <x:c r="D1498" s="7" t="str">
        <x:v>XZA DCA</x:v>
      </x:c>
      <x:c r="E1498" s="7" t="str">
        <x:v>Petrol</x:v>
      </x:c>
      <x:c r="F1498" s="7" t="str">
        <x:v>Automatic</x:v>
      </x:c>
      <x:c r="G1498" s="7" t="str">
        <x:v>Hatchback</x:v>
      </x:c>
      <x:c r="H1498" s="7" t="n">
        <x:v>1199</x:v>
      </x:c>
      <x:c r="I1498" s="7" t="n">
        <x:v>87</x:v>
      </x:c>
      <x:c r="J1498" s="9" t="n">
        <x:v>18.5</x:v>
      </x:c>
      <x:c r="K1498" s="9" t="n">
        <x:v>10</x:v>
      </x:c>
      <x:c r="L1498" s="7" t="n">
        <x:v>2021</x:v>
      </x:c>
      <x:c r="M1498" s="11" t="n">
        <x:v>84115</x:v>
      </x:c>
      <x:c r="N1498" s="7" t="n">
        <x:v>1</x:v>
      </x:c>
      <x:c r="O1498" s="7" t="n">
        <x:v>0</x:v>
      </x:c>
      <x:c r="P1498" s="9" t="n">
        <x:v>4.96</x:v>
      </x:c>
      <x:c r="Q1498" s="7" t="n">
        <x:f>'Guide'!$B$5-L1498</x:f>
        <x:v>5</x:v>
      </x:c>
      <x:c r="R1498" s="9" t="n">
        <x:f>K1498-P1498</x:f>
        <x:v>5.04</x:v>
      </x:c>
      <x:c r="S1498" s="10" t="n">
        <x:f>IF(K1498&gt;0,R1498/K1498,"")</x:f>
        <x:v>0.504</x:v>
      </x:c>
    </x:row>
    <x:row r="1499">
      <x:c r="A1499" s="7" t="n">
        <x:v>1495</x:v>
      </x:c>
      <x:c r="B1499" s="7" t="str">
        <x:v>Tata</x:v>
      </x:c>
      <x:c r="C1499" s="7" t="str">
        <x:v>Altroz</x:v>
      </x:c>
      <x:c r="D1499" s="7" t="str">
        <x:v>XZA DCA</x:v>
      </x:c>
      <x:c r="E1499" s="7" t="str">
        <x:v>Petrol</x:v>
      </x:c>
      <x:c r="F1499" s="7" t="str">
        <x:v>Automatic</x:v>
      </x:c>
      <x:c r="G1499" s="7" t="str">
        <x:v>Hatchback</x:v>
      </x:c>
      <x:c r="H1499" s="7" t="n">
        <x:v>1199</x:v>
      </x:c>
      <x:c r="I1499" s="7" t="n">
        <x:v>87</x:v>
      </x:c>
      <x:c r="J1499" s="9" t="n">
        <x:v>18.5</x:v>
      </x:c>
      <x:c r="K1499" s="9" t="n">
        <x:v>10</x:v>
      </x:c>
      <x:c r="L1499" s="7" t="n">
        <x:v>2021</x:v>
      </x:c>
      <x:c r="M1499" s="11" t="n">
        <x:v>70561</x:v>
      </x:c>
      <x:c r="N1499" s="7" t="n">
        <x:v>1</x:v>
      </x:c>
      <x:c r="O1499" s="7" t="n">
        <x:v>0</x:v>
      </x:c>
      <x:c r="P1499" s="9" t="n">
        <x:v>5.47</x:v>
      </x:c>
      <x:c r="Q1499" s="7" t="n">
        <x:f>'Guide'!$B$5-L1499</x:f>
        <x:v>5</x:v>
      </x:c>
      <x:c r="R1499" s="9" t="n">
        <x:f>K1499-P1499</x:f>
        <x:v>4.53</x:v>
      </x:c>
      <x:c r="S1499" s="10" t="n">
        <x:f>IF(K1499&gt;0,R1499/K1499,"")</x:f>
        <x:v>0.453</x:v>
      </x:c>
    </x:row>
    <x:row r="1500">
      <x:c r="A1500" s="7" t="n">
        <x:v>1496</x:v>
      </x:c>
      <x:c r="B1500" s="7" t="str">
        <x:v>Tata</x:v>
      </x:c>
      <x:c r="C1500" s="7" t="str">
        <x:v>Altroz</x:v>
      </x:c>
      <x:c r="D1500" s="7" t="str">
        <x:v>XZA DCA</x:v>
      </x:c>
      <x:c r="E1500" s="7" t="str">
        <x:v>Petrol</x:v>
      </x:c>
      <x:c r="F1500" s="7" t="str">
        <x:v>Automatic</x:v>
      </x:c>
      <x:c r="G1500" s="7" t="str">
        <x:v>Hatchback</x:v>
      </x:c>
      <x:c r="H1500" s="7" t="n">
        <x:v>1199</x:v>
      </x:c>
      <x:c r="I1500" s="7" t="n">
        <x:v>87</x:v>
      </x:c>
      <x:c r="J1500" s="9" t="n">
        <x:v>18.5</x:v>
      </x:c>
      <x:c r="K1500" s="9" t="n">
        <x:v>10</x:v>
      </x:c>
      <x:c r="L1500" s="7" t="n">
        <x:v>2024</x:v>
      </x:c>
      <x:c r="M1500" s="11" t="n">
        <x:v>43401</x:v>
      </x:c>
      <x:c r="N1500" s="7" t="n">
        <x:v>1</x:v>
      </x:c>
      <x:c r="O1500" s="7" t="n">
        <x:v>0</x:v>
      </x:c>
      <x:c r="P1500" s="9" t="n">
        <x:v>7.74</x:v>
      </x:c>
      <x:c r="Q1500" s="7" t="n">
        <x:f>'Guide'!$B$5-L1500</x:f>
        <x:v>2</x:v>
      </x:c>
      <x:c r="R1500" s="9" t="n">
        <x:f>K1500-P1500</x:f>
        <x:v>2.26</x:v>
      </x:c>
      <x:c r="S1500" s="10" t="n">
        <x:f>IF(K1500&gt;0,R1500/K1500,"")</x:f>
        <x:v>0.22599999999999998</x:v>
      </x:c>
    </x:row>
    <x:row r="1501">
      <x:c r="A1501" s="7" t="n">
        <x:v>1497</x:v>
      </x:c>
      <x:c r="B1501" s="7" t="str">
        <x:v>Tata</x:v>
      </x:c>
      <x:c r="C1501" s="7" t="str">
        <x:v>Altroz</x:v>
      </x:c>
      <x:c r="D1501" s="7" t="str">
        <x:v>XZA DCA</x:v>
      </x:c>
      <x:c r="E1501" s="7" t="str">
        <x:v>Petrol</x:v>
      </x:c>
      <x:c r="F1501" s="7" t="str">
        <x:v>Automatic</x:v>
      </x:c>
      <x:c r="G1501" s="7" t="str">
        <x:v>Hatchback</x:v>
      </x:c>
      <x:c r="H1501" s="7" t="n">
        <x:v>1199</x:v>
      </x:c>
      <x:c r="I1501" s="7" t="n">
        <x:v>87</x:v>
      </x:c>
      <x:c r="J1501" s="9" t="n">
        <x:v>18.5</x:v>
      </x:c>
      <x:c r="K1501" s="9" t="n">
        <x:v>10</x:v>
      </x:c>
      <x:c r="L1501" s="7" t="n">
        <x:v>2021</x:v>
      </x:c>
      <x:c r="M1501" s="11" t="n">
        <x:v>101253</x:v>
      </x:c>
      <x:c r="N1501" s="7" t="n">
        <x:v>1</x:v>
      </x:c>
      <x:c r="O1501" s="7" t="n">
        <x:v>0</x:v>
      </x:c>
      <x:c r="P1501" s="9" t="n">
        <x:v>4.41</x:v>
      </x:c>
      <x:c r="Q1501" s="7" t="n">
        <x:f>'Guide'!$B$5-L1501</x:f>
        <x:v>5</x:v>
      </x:c>
      <x:c r="R1501" s="9" t="n">
        <x:f>K1501-P1501</x:f>
        <x:v>5.59</x:v>
      </x:c>
      <x:c r="S1501" s="10" t="n">
        <x:f>IF(K1501&gt;0,R1501/K1501,"")</x:f>
        <x:v>0.5589999999999999</x:v>
      </x:c>
    </x:row>
    <x:row r="1502">
      <x:c r="A1502" s="7" t="n">
        <x:v>1498</x:v>
      </x:c>
      <x:c r="B1502" s="7" t="str">
        <x:v>Tata</x:v>
      </x:c>
      <x:c r="C1502" s="7" t="str">
        <x:v>Altroz</x:v>
      </x:c>
      <x:c r="D1502" s="7" t="str">
        <x:v>XZA DCA</x:v>
      </x:c>
      <x:c r="E1502" s="7" t="str">
        <x:v>Petrol</x:v>
      </x:c>
      <x:c r="F1502" s="7" t="str">
        <x:v>Automatic</x:v>
      </x:c>
      <x:c r="G1502" s="7" t="str">
        <x:v>Hatchback</x:v>
      </x:c>
      <x:c r="H1502" s="7" t="n">
        <x:v>1199</x:v>
      </x:c>
      <x:c r="I1502" s="7" t="n">
        <x:v>87</x:v>
      </x:c>
      <x:c r="J1502" s="9" t="n">
        <x:v>18.5</x:v>
      </x:c>
      <x:c r="K1502" s="9" t="n">
        <x:v>10</x:v>
      </x:c>
      <x:c r="L1502" s="7" t="n">
        <x:v>2020</x:v>
      </x:c>
      <x:c r="M1502" s="11" t="n">
        <x:v>53287</x:v>
      </x:c>
      <x:c r="N1502" s="7" t="n">
        <x:v>2</x:v>
      </x:c>
      <x:c r="O1502" s="7" t="n">
        <x:v>0</x:v>
      </x:c>
      <x:c r="P1502" s="9" t="n">
        <x:v>3.89</x:v>
      </x:c>
      <x:c r="Q1502" s="7" t="n">
        <x:f>'Guide'!$B$5-L1502</x:f>
        <x:v>6</x:v>
      </x:c>
      <x:c r="R1502" s="9" t="n">
        <x:f>K1502-P1502</x:f>
        <x:v>6.109999999999999</x:v>
      </x:c>
      <x:c r="S1502" s="10" t="n">
        <x:f>IF(K1502&gt;0,R1502/K1502,"")</x:f>
        <x:v>0.611</x:v>
      </x:c>
    </x:row>
    <x:row r="1503">
      <x:c r="A1503" s="7" t="n">
        <x:v>1499</x:v>
      </x:c>
      <x:c r="B1503" s="7" t="str">
        <x:v>Tata</x:v>
      </x:c>
      <x:c r="C1503" s="7" t="str">
        <x:v>Altroz</x:v>
      </x:c>
      <x:c r="D1503" s="7" t="str">
        <x:v>XZA DCA</x:v>
      </x:c>
      <x:c r="E1503" s="7" t="str">
        <x:v>Petrol</x:v>
      </x:c>
      <x:c r="F1503" s="7" t="str">
        <x:v>Automatic</x:v>
      </x:c>
      <x:c r="G1503" s="7" t="str">
        <x:v>Hatchback</x:v>
      </x:c>
      <x:c r="H1503" s="7" t="n">
        <x:v>1199</x:v>
      </x:c>
      <x:c r="I1503" s="7" t="n">
        <x:v>87</x:v>
      </x:c>
      <x:c r="J1503" s="9" t="n">
        <x:v>18.5</x:v>
      </x:c>
      <x:c r="K1503" s="9" t="n">
        <x:v>10</x:v>
      </x:c>
      <x:c r="L1503" s="7" t="n">
        <x:v>2026</x:v>
      </x:c>
      <x:c r="M1503" s="11" t="n">
        <x:v>7659</x:v>
      </x:c>
      <x:c r="N1503" s="7" t="n">
        <x:v>1</x:v>
      </x:c>
      <x:c r="O1503" s="7" t="n">
        <x:v>0</x:v>
      </x:c>
      <x:c r="P1503" s="9" t="n">
        <x:v>9.57</x:v>
      </x:c>
      <x:c r="Q1503" s="7" t="n">
        <x:f>'Guide'!$B$5-L1503</x:f>
        <x:v>0</x:v>
      </x:c>
      <x:c r="R1503" s="9" t="n">
        <x:f>K1503-P1503</x:f>
        <x:v>0.4299999999999997</x:v>
      </x:c>
      <x:c r="S1503" s="10" t="n">
        <x:f>IF(K1503&gt;0,R1503/K1503,"")</x:f>
        <x:v>0.04299999999999997</x:v>
      </x:c>
    </x:row>
    <x:row r="1504">
      <x:c r="A1504" s="7" t="n">
        <x:v>1500</x:v>
      </x:c>
      <x:c r="B1504" s="7" t="str">
        <x:v>Tata</x:v>
      </x:c>
      <x:c r="C1504" s="7" t="str">
        <x:v>Altroz</x:v>
      </x:c>
      <x:c r="D1504" s="7" t="str">
        <x:v>XZA DCA</x:v>
      </x:c>
      <x:c r="E1504" s="7" t="str">
        <x:v>Petrol</x:v>
      </x:c>
      <x:c r="F1504" s="7" t="str">
        <x:v>Automatic</x:v>
      </x:c>
      <x:c r="G1504" s="7" t="str">
        <x:v>Hatchback</x:v>
      </x:c>
      <x:c r="H1504" s="7" t="n">
        <x:v>1199</x:v>
      </x:c>
      <x:c r="I1504" s="7" t="n">
        <x:v>87</x:v>
      </x:c>
      <x:c r="J1504" s="9" t="n">
        <x:v>18.5</x:v>
      </x:c>
      <x:c r="K1504" s="9" t="n">
        <x:v>10</x:v>
      </x:c>
      <x:c r="L1504" s="7" t="n">
        <x:v>2021</x:v>
      </x:c>
      <x:c r="M1504" s="11" t="n">
        <x:v>55465</x:v>
      </x:c>
      <x:c r="N1504" s="7" t="n">
        <x:v>1</x:v>
      </x:c>
      <x:c r="O1504" s="7" t="n">
        <x:v>0</x:v>
      </x:c>
      <x:c r="P1504" s="9" t="n">
        <x:v>5.25</x:v>
      </x:c>
      <x:c r="Q1504" s="7" t="n">
        <x:f>'Guide'!$B$5-L1504</x:f>
        <x:v>5</x:v>
      </x:c>
      <x:c r="R1504" s="9" t="n">
        <x:f>K1504-P1504</x:f>
        <x:v>4.75</x:v>
      </x:c>
      <x:c r="S1504" s="10" t="n">
        <x:f>IF(K1504&gt;0,R1504/K1504,"")</x:f>
        <x:v>0.475</x:v>
      </x:c>
    </x:row>
    <x:row r="1505">
      <x:c r="A1505" s="7" t="n">
        <x:v>1501</x:v>
      </x:c>
      <x:c r="B1505" s="7" t="str">
        <x:v>Tata</x:v>
      </x:c>
      <x:c r="C1505" s="7" t="str">
        <x:v>Altroz</x:v>
      </x:c>
      <x:c r="D1505" s="7" t="str">
        <x:v>XZA DCA</x:v>
      </x:c>
      <x:c r="E1505" s="7" t="str">
        <x:v>Petrol</x:v>
      </x:c>
      <x:c r="F1505" s="7" t="str">
        <x:v>Automatic</x:v>
      </x:c>
      <x:c r="G1505" s="7" t="str">
        <x:v>Hatchback</x:v>
      </x:c>
      <x:c r="H1505" s="7" t="n">
        <x:v>1199</x:v>
      </x:c>
      <x:c r="I1505" s="7" t="n">
        <x:v>87</x:v>
      </x:c>
      <x:c r="J1505" s="9" t="n">
        <x:v>18.5</x:v>
      </x:c>
      <x:c r="K1505" s="9" t="n">
        <x:v>10</x:v>
      </x:c>
      <x:c r="L1505" s="7" t="n">
        <x:v>2023</x:v>
      </x:c>
      <x:c r="M1505" s="11" t="n">
        <x:v>55774</x:v>
      </x:c>
      <x:c r="N1505" s="7" t="n">
        <x:v>1</x:v>
      </x:c>
      <x:c r="O1505" s="7" t="n">
        <x:v>1</x:v>
      </x:c>
      <x:c r="P1505" s="9" t="n">
        <x:v>6.03</x:v>
      </x:c>
      <x:c r="Q1505" s="7" t="n">
        <x:f>'Guide'!$B$5-L1505</x:f>
        <x:v>3</x:v>
      </x:c>
      <x:c r="R1505" s="9" t="n">
        <x:f>K1505-P1505</x:f>
        <x:v>3.9699999999999998</x:v>
      </x:c>
      <x:c r="S1505" s="10" t="n">
        <x:f>IF(K1505&gt;0,R1505/K1505,"")</x:f>
        <x:v>0.39699999999999996</x:v>
      </x:c>
    </x:row>
    <x:row r="1506">
      <x:c r="A1506" s="7" t="n">
        <x:v>1502</x:v>
      </x:c>
      <x:c r="B1506" s="7" t="str">
        <x:v>Tata</x:v>
      </x:c>
      <x:c r="C1506" s="7" t="str">
        <x:v>Altroz</x:v>
      </x:c>
      <x:c r="D1506" s="7" t="str">
        <x:v>XZA DCA</x:v>
      </x:c>
      <x:c r="E1506" s="7" t="str">
        <x:v>Petrol</x:v>
      </x:c>
      <x:c r="F1506" s="7" t="str">
        <x:v>Automatic</x:v>
      </x:c>
      <x:c r="G1506" s="7" t="str">
        <x:v>Hatchback</x:v>
      </x:c>
      <x:c r="H1506" s="7" t="n">
        <x:v>1199</x:v>
      </x:c>
      <x:c r="I1506" s="7" t="n">
        <x:v>87</x:v>
      </x:c>
      <x:c r="J1506" s="9" t="n">
        <x:v>18.5</x:v>
      </x:c>
      <x:c r="K1506" s="9" t="n">
        <x:v>10</x:v>
      </x:c>
      <x:c r="L1506" s="7" t="n">
        <x:v>2024</x:v>
      </x:c>
      <x:c r="M1506" s="11" t="n">
        <x:v>28079</x:v>
      </x:c>
      <x:c r="N1506" s="7" t="n">
        <x:v>1</x:v>
      </x:c>
      <x:c r="O1506" s="7" t="n">
        <x:v>1</x:v>
      </x:c>
      <x:c r="P1506" s="9" t="n">
        <x:v>7.58</x:v>
      </x:c>
      <x:c r="Q1506" s="7" t="n">
        <x:f>'Guide'!$B$5-L1506</x:f>
        <x:v>2</x:v>
      </x:c>
      <x:c r="R1506" s="9" t="n">
        <x:f>K1506-P1506</x:f>
        <x:v>2.42</x:v>
      </x:c>
      <x:c r="S1506" s="10" t="n">
        <x:f>IF(K1506&gt;0,R1506/K1506,"")</x:f>
        <x:v>0.242</x:v>
      </x:c>
    </x:row>
    <x:row r="1507">
      <x:c r="A1507" s="7" t="n">
        <x:v>1503</x:v>
      </x:c>
      <x:c r="B1507" s="7" t="str">
        <x:v>Tata</x:v>
      </x:c>
      <x:c r="C1507" s="7" t="str">
        <x:v>Altroz</x:v>
      </x:c>
      <x:c r="D1507" s="7" t="str">
        <x:v>XZA DCA</x:v>
      </x:c>
      <x:c r="E1507" s="7" t="str">
        <x:v>Petrol</x:v>
      </x:c>
      <x:c r="F1507" s="7" t="str">
        <x:v>Automatic</x:v>
      </x:c>
      <x:c r="G1507" s="7" t="str">
        <x:v>Hatchback</x:v>
      </x:c>
      <x:c r="H1507" s="7" t="n">
        <x:v>1199</x:v>
      </x:c>
      <x:c r="I1507" s="7" t="n">
        <x:v>87</x:v>
      </x:c>
      <x:c r="J1507" s="9" t="n">
        <x:v>18.5</x:v>
      </x:c>
      <x:c r="K1507" s="9" t="n">
        <x:v>10</x:v>
      </x:c>
      <x:c r="L1507" s="7" t="n">
        <x:v>2025</x:v>
      </x:c>
      <x:c r="M1507" s="11" t="n">
        <x:v>24168</x:v>
      </x:c>
      <x:c r="N1507" s="7" t="n">
        <x:v>1</x:v>
      </x:c>
      <x:c r="O1507" s="7" t="n">
        <x:v>0</x:v>
      </x:c>
      <x:c r="P1507" s="9" t="n">
        <x:v>9.27</x:v>
      </x:c>
      <x:c r="Q1507" s="7" t="n">
        <x:f>'Guide'!$B$5-L1507</x:f>
        <x:v>1</x:v>
      </x:c>
      <x:c r="R1507" s="9" t="n">
        <x:f>K1507-P1507</x:f>
        <x:v>0.7300000000000004</x:v>
      </x:c>
      <x:c r="S1507" s="10" t="n">
        <x:f>IF(K1507&gt;0,R1507/K1507,"")</x:f>
        <x:v>0.07300000000000004</x:v>
      </x:c>
    </x:row>
    <x:row r="1508">
      <x:c r="A1508" s="7" t="n">
        <x:v>1504</x:v>
      </x:c>
      <x:c r="B1508" s="7" t="str">
        <x:v>Tata</x:v>
      </x:c>
      <x:c r="C1508" s="7" t="str">
        <x:v>Altroz</x:v>
      </x:c>
      <x:c r="D1508" s="7" t="str">
        <x:v>XZA DCA</x:v>
      </x:c>
      <x:c r="E1508" s="7" t="str">
        <x:v>Petrol</x:v>
      </x:c>
      <x:c r="F1508" s="7" t="str">
        <x:v>Automatic</x:v>
      </x:c>
      <x:c r="G1508" s="7" t="str">
        <x:v>Hatchback</x:v>
      </x:c>
      <x:c r="H1508" s="7" t="n">
        <x:v>1199</x:v>
      </x:c>
      <x:c r="I1508" s="7" t="n">
        <x:v>87</x:v>
      </x:c>
      <x:c r="J1508" s="9" t="n">
        <x:v>18.5</x:v>
      </x:c>
      <x:c r="K1508" s="9" t="n">
        <x:v>10</x:v>
      </x:c>
      <x:c r="L1508" s="7" t="n">
        <x:v>2023</x:v>
      </x:c>
      <x:c r="M1508" s="11" t="n">
        <x:v>65808</x:v>
      </x:c>
      <x:c r="N1508" s="7" t="n">
        <x:v>3</x:v>
      </x:c>
      <x:c r="O1508" s="7" t="n">
        <x:v>0</x:v>
      </x:c>
      <x:c r="P1508" s="9" t="n">
        <x:v>5.81</x:v>
      </x:c>
      <x:c r="Q1508" s="7" t="n">
        <x:f>'Guide'!$B$5-L1508</x:f>
        <x:v>3</x:v>
      </x:c>
      <x:c r="R1508" s="9" t="n">
        <x:f>K1508-P1508</x:f>
        <x:v>4.19</x:v>
      </x:c>
      <x:c r="S1508" s="10" t="n">
        <x:f>IF(K1508&gt;0,R1508/K1508,"")</x:f>
        <x:v>0.41900000000000004</x:v>
      </x:c>
    </x:row>
    <x:row r="1509">
      <x:c r="A1509" s="7" t="n">
        <x:v>1505</x:v>
      </x:c>
      <x:c r="B1509" s="7" t="str">
        <x:v>Tata</x:v>
      </x:c>
      <x:c r="C1509" s="7" t="str">
        <x:v>Altroz</x:v>
      </x:c>
      <x:c r="D1509" s="7" t="str">
        <x:v>XZA DCA</x:v>
      </x:c>
      <x:c r="E1509" s="7" t="str">
        <x:v>Petrol</x:v>
      </x:c>
      <x:c r="F1509" s="7" t="str">
        <x:v>Automatic</x:v>
      </x:c>
      <x:c r="G1509" s="7" t="str">
        <x:v>Hatchback</x:v>
      </x:c>
      <x:c r="H1509" s="7" t="n">
        <x:v>1199</x:v>
      </x:c>
      <x:c r="I1509" s="7" t="n">
        <x:v>87</x:v>
      </x:c>
      <x:c r="J1509" s="9" t="n">
        <x:v>18.5</x:v>
      </x:c>
      <x:c r="K1509" s="9" t="n">
        <x:v>10</x:v>
      </x:c>
      <x:c r="L1509" s="7" t="n">
        <x:v>2021</x:v>
      </x:c>
      <x:c r="M1509" s="11" t="n">
        <x:v>82789</x:v>
      </x:c>
      <x:c r="N1509" s="7" t="n">
        <x:v>1</x:v>
      </x:c>
      <x:c r="O1509" s="7" t="n">
        <x:v>0</x:v>
      </x:c>
      <x:c r="P1509" s="9" t="n">
        <x:v>4.88</x:v>
      </x:c>
      <x:c r="Q1509" s="7" t="n">
        <x:f>'Guide'!$B$5-L1509</x:f>
        <x:v>5</x:v>
      </x:c>
      <x:c r="R1509" s="9" t="n">
        <x:f>K1509-P1509</x:f>
        <x:v>5.12</x:v>
      </x:c>
      <x:c r="S1509" s="10" t="n">
        <x:f>IF(K1509&gt;0,R1509/K1509,"")</x:f>
        <x:v>0.512</x:v>
      </x:c>
    </x:row>
    <x:row r="1510">
      <x:c r="A1510" s="7" t="n">
        <x:v>1506</x:v>
      </x:c>
      <x:c r="B1510" s="7" t="str">
        <x:v>Tata</x:v>
      </x:c>
      <x:c r="C1510" s="7" t="str">
        <x:v>Altroz</x:v>
      </x:c>
      <x:c r="D1510" s="7" t="str">
        <x:v>XZA DCA</x:v>
      </x:c>
      <x:c r="E1510" s="7" t="str">
        <x:v>Petrol</x:v>
      </x:c>
      <x:c r="F1510" s="7" t="str">
        <x:v>Automatic</x:v>
      </x:c>
      <x:c r="G1510" s="7" t="str">
        <x:v>Hatchback</x:v>
      </x:c>
      <x:c r="H1510" s="7" t="n">
        <x:v>1199</x:v>
      </x:c>
      <x:c r="I1510" s="7" t="n">
        <x:v>87</x:v>
      </x:c>
      <x:c r="J1510" s="9" t="n">
        <x:v>18.5</x:v>
      </x:c>
      <x:c r="K1510" s="9" t="n">
        <x:v>10</x:v>
      </x:c>
      <x:c r="L1510" s="7" t="n">
        <x:v>2020</x:v>
      </x:c>
      <x:c r="M1510" s="11" t="n">
        <x:v>117836</x:v>
      </x:c>
      <x:c r="N1510" s="7" t="n">
        <x:v>3</x:v>
      </x:c>
      <x:c r="O1510" s="7" t="n">
        <x:v>0</x:v>
      </x:c>
      <x:c r="P1510" s="9" t="n">
        <x:v>2.96</x:v>
      </x:c>
      <x:c r="Q1510" s="7" t="n">
        <x:f>'Guide'!$B$5-L1510</x:f>
        <x:v>6</x:v>
      </x:c>
      <x:c r="R1510" s="9" t="n">
        <x:f>K1510-P1510</x:f>
        <x:v>7.04</x:v>
      </x:c>
      <x:c r="S1510" s="10" t="n">
        <x:f>IF(K1510&gt;0,R1510/K1510,"")</x:f>
        <x:v>0.704</x:v>
      </x:c>
    </x:row>
    <x:row r="1511">
      <x:c r="A1511" s="7" t="n">
        <x:v>1507</x:v>
      </x:c>
      <x:c r="B1511" s="7" t="str">
        <x:v>Tata</x:v>
      </x:c>
      <x:c r="C1511" s="7" t="str">
        <x:v>Altroz</x:v>
      </x:c>
      <x:c r="D1511" s="7" t="str">
        <x:v>XZA DCA</x:v>
      </x:c>
      <x:c r="E1511" s="7" t="str">
        <x:v>Petrol</x:v>
      </x:c>
      <x:c r="F1511" s="7" t="str">
        <x:v>Automatic</x:v>
      </x:c>
      <x:c r="G1511" s="7" t="str">
        <x:v>Hatchback</x:v>
      </x:c>
      <x:c r="H1511" s="7" t="n">
        <x:v>1199</x:v>
      </x:c>
      <x:c r="I1511" s="7" t="n">
        <x:v>87</x:v>
      </x:c>
      <x:c r="J1511" s="9" t="n">
        <x:v>18.5</x:v>
      </x:c>
      <x:c r="K1511" s="9" t="n">
        <x:v>10</x:v>
      </x:c>
      <x:c r="L1511" s="7" t="n">
        <x:v>2021</x:v>
      </x:c>
      <x:c r="M1511" s="11" t="n">
        <x:v>80792</x:v>
      </x:c>
      <x:c r="N1511" s="7" t="n">
        <x:v>1</x:v>
      </x:c>
      <x:c r="O1511" s="7" t="n">
        <x:v>0</x:v>
      </x:c>
      <x:c r="P1511" s="9" t="n">
        <x:v>4.76</x:v>
      </x:c>
      <x:c r="Q1511" s="7" t="n">
        <x:f>'Guide'!$B$5-L1511</x:f>
        <x:v>5</x:v>
      </x:c>
      <x:c r="R1511" s="9" t="n">
        <x:f>K1511-P1511</x:f>
        <x:v>5.24</x:v>
      </x:c>
      <x:c r="S1511" s="10" t="n">
        <x:f>IF(K1511&gt;0,R1511/K1511,"")</x:f>
        <x:v>0.524</x:v>
      </x:c>
    </x:row>
    <x:row r="1512">
      <x:c r="A1512" s="7" t="n">
        <x:v>1508</x:v>
      </x:c>
      <x:c r="B1512" s="7" t="str">
        <x:v>Tata</x:v>
      </x:c>
      <x:c r="C1512" s="7" t="str">
        <x:v>Altroz</x:v>
      </x:c>
      <x:c r="D1512" s="7" t="str">
        <x:v>XZA DCA</x:v>
      </x:c>
      <x:c r="E1512" s="7" t="str">
        <x:v>Petrol</x:v>
      </x:c>
      <x:c r="F1512" s="7" t="str">
        <x:v>Automatic</x:v>
      </x:c>
      <x:c r="G1512" s="7" t="str">
        <x:v>Hatchback</x:v>
      </x:c>
      <x:c r="H1512" s="7" t="n">
        <x:v>1199</x:v>
      </x:c>
      <x:c r="I1512" s="7" t="n">
        <x:v>87</x:v>
      </x:c>
      <x:c r="J1512" s="9" t="n">
        <x:v>18.5</x:v>
      </x:c>
      <x:c r="K1512" s="9" t="n">
        <x:v>10</x:v>
      </x:c>
      <x:c r="L1512" s="7" t="n">
        <x:v>2025</x:v>
      </x:c>
      <x:c r="M1512" s="11" t="n">
        <x:v>15054</x:v>
      </x:c>
      <x:c r="N1512" s="7" t="n">
        <x:v>1</x:v>
      </x:c>
      <x:c r="O1512" s="7" t="n">
        <x:v>0</x:v>
      </x:c>
      <x:c r="P1512" s="9" t="n">
        <x:v>9.28</x:v>
      </x:c>
      <x:c r="Q1512" s="7" t="n">
        <x:f>'Guide'!$B$5-L1512</x:f>
        <x:v>1</x:v>
      </x:c>
      <x:c r="R1512" s="9" t="n">
        <x:f>K1512-P1512</x:f>
        <x:v>0.7200000000000006</x:v>
      </x:c>
      <x:c r="S1512" s="10" t="n">
        <x:f>IF(K1512&gt;0,R1512/K1512,"")</x:f>
        <x:v>0.07200000000000006</x:v>
      </x:c>
    </x:row>
    <x:row r="1513">
      <x:c r="A1513" s="7" t="n">
        <x:v>1509</x:v>
      </x:c>
      <x:c r="B1513" s="7" t="str">
        <x:v>Tata</x:v>
      </x:c>
      <x:c r="C1513" s="7" t="str">
        <x:v>Altroz</x:v>
      </x:c>
      <x:c r="D1513" s="7" t="str">
        <x:v>XZA DCA</x:v>
      </x:c>
      <x:c r="E1513" s="7" t="str">
        <x:v>Petrol</x:v>
      </x:c>
      <x:c r="F1513" s="7" t="str">
        <x:v>Automatic</x:v>
      </x:c>
      <x:c r="G1513" s="7" t="str">
        <x:v>Hatchback</x:v>
      </x:c>
      <x:c r="H1513" s="7" t="n">
        <x:v>1199</x:v>
      </x:c>
      <x:c r="I1513" s="7" t="n">
        <x:v>87</x:v>
      </x:c>
      <x:c r="J1513" s="9" t="n">
        <x:v>18.5</x:v>
      </x:c>
      <x:c r="K1513" s="9" t="n">
        <x:v>10</x:v>
      </x:c>
      <x:c r="L1513" s="7" t="n">
        <x:v>2020</x:v>
      </x:c>
      <x:c r="M1513" s="11" t="n">
        <x:v>104703</x:v>
      </x:c>
      <x:c r="N1513" s="7" t="n">
        <x:v>2</x:v>
      </x:c>
      <x:c r="O1513" s="7" t="n">
        <x:v>0</x:v>
      </x:c>
      <x:c r="P1513" s="9" t="n">
        <x:v>3.15</x:v>
      </x:c>
      <x:c r="Q1513" s="7" t="n">
        <x:f>'Guide'!$B$5-L1513</x:f>
        <x:v>6</x:v>
      </x:c>
      <x:c r="R1513" s="9" t="n">
        <x:f>K1513-P1513</x:f>
        <x:v>6.85</x:v>
      </x:c>
      <x:c r="S1513" s="10" t="n">
        <x:f>IF(K1513&gt;0,R1513/K1513,"")</x:f>
        <x:v>0.6849999999999999</x:v>
      </x:c>
    </x:row>
    <x:row r="1514">
      <x:c r="A1514" s="7" t="n">
        <x:v>1510</x:v>
      </x:c>
      <x:c r="B1514" s="7" t="str">
        <x:v>Tata</x:v>
      </x:c>
      <x:c r="C1514" s="7" t="str">
        <x:v>Altroz</x:v>
      </x:c>
      <x:c r="D1514" s="7" t="str">
        <x:v>XZA DCA</x:v>
      </x:c>
      <x:c r="E1514" s="7" t="str">
        <x:v>Petrol</x:v>
      </x:c>
      <x:c r="F1514" s="7" t="str">
        <x:v>Automatic</x:v>
      </x:c>
      <x:c r="G1514" s="7" t="str">
        <x:v>Hatchback</x:v>
      </x:c>
      <x:c r="H1514" s="7" t="n">
        <x:v>1199</x:v>
      </x:c>
      <x:c r="I1514" s="7" t="n">
        <x:v>87</x:v>
      </x:c>
      <x:c r="J1514" s="9" t="n">
        <x:v>18.5</x:v>
      </x:c>
      <x:c r="K1514" s="9" t="n">
        <x:v>10</x:v>
      </x:c>
      <x:c r="L1514" s="7" t="n">
        <x:v>2022</x:v>
      </x:c>
      <x:c r="M1514" s="11" t="n">
        <x:v>81954</x:v>
      </x:c>
      <x:c r="N1514" s="7" t="n">
        <x:v>2</x:v>
      </x:c>
      <x:c r="O1514" s="7" t="n">
        <x:v>0</x:v>
      </x:c>
      <x:c r="P1514" s="9" t="n">
        <x:v>5.77</x:v>
      </x:c>
      <x:c r="Q1514" s="7" t="n">
        <x:f>'Guide'!$B$5-L1514</x:f>
        <x:v>4</x:v>
      </x:c>
      <x:c r="R1514" s="9" t="n">
        <x:f>K1514-P1514</x:f>
        <x:v>4.23</x:v>
      </x:c>
      <x:c r="S1514" s="10" t="n">
        <x:f>IF(K1514&gt;0,R1514/K1514,"")</x:f>
        <x:v>0.42300000000000004</x:v>
      </x:c>
    </x:row>
    <x:row r="1515">
      <x:c r="A1515" s="7" t="n">
        <x:v>1511</x:v>
      </x:c>
      <x:c r="B1515" s="7" t="str">
        <x:v>Tata</x:v>
      </x:c>
      <x:c r="C1515" s="7" t="str">
        <x:v>Altroz</x:v>
      </x:c>
      <x:c r="D1515" s="7" t="str">
        <x:v>XZA DCA</x:v>
      </x:c>
      <x:c r="E1515" s="7" t="str">
        <x:v>Petrol</x:v>
      </x:c>
      <x:c r="F1515" s="7" t="str">
        <x:v>Automatic</x:v>
      </x:c>
      <x:c r="G1515" s="7" t="str">
        <x:v>Hatchback</x:v>
      </x:c>
      <x:c r="H1515" s="7" t="n">
        <x:v>1199</x:v>
      </x:c>
      <x:c r="I1515" s="7" t="n">
        <x:v>87</x:v>
      </x:c>
      <x:c r="J1515" s="9" t="n">
        <x:v>18.5</x:v>
      </x:c>
      <x:c r="K1515" s="9" t="n">
        <x:v>10</x:v>
      </x:c>
      <x:c r="L1515" s="7" t="n">
        <x:v>2025</x:v>
      </x:c>
      <x:c r="M1515" s="11" t="n">
        <x:v>17206</x:v>
      </x:c>
      <x:c r="N1515" s="7" t="n">
        <x:v>1</x:v>
      </x:c>
      <x:c r="O1515" s="7" t="n">
        <x:v>0</x:v>
      </x:c>
      <x:c r="P1515" s="9" t="n">
        <x:v>8.69</x:v>
      </x:c>
      <x:c r="Q1515" s="7" t="n">
        <x:f>'Guide'!$B$5-L1515</x:f>
        <x:v>1</x:v>
      </x:c>
      <x:c r="R1515" s="9" t="n">
        <x:f>K1515-P1515</x:f>
        <x:v>1.3100000000000005</x:v>
      </x:c>
      <x:c r="S1515" s="10" t="n">
        <x:f>IF(K1515&gt;0,R1515/K1515,"")</x:f>
        <x:v>0.13100000000000006</x:v>
      </x:c>
    </x:row>
    <x:row r="1516">
      <x:c r="A1516" s="7" t="n">
        <x:v>1512</x:v>
      </x:c>
      <x:c r="B1516" s="7" t="str">
        <x:v>Tata</x:v>
      </x:c>
      <x:c r="C1516" s="7" t="str">
        <x:v>Altroz</x:v>
      </x:c>
      <x:c r="D1516" s="7" t="str">
        <x:v>XZA DCA</x:v>
      </x:c>
      <x:c r="E1516" s="7" t="str">
        <x:v>Petrol</x:v>
      </x:c>
      <x:c r="F1516" s="7" t="str">
        <x:v>Automatic</x:v>
      </x:c>
      <x:c r="G1516" s="7" t="str">
        <x:v>Hatchback</x:v>
      </x:c>
      <x:c r="H1516" s="7" t="n">
        <x:v>1199</x:v>
      </x:c>
      <x:c r="I1516" s="7" t="n">
        <x:v>87</x:v>
      </x:c>
      <x:c r="J1516" s="9" t="n">
        <x:v>18.5</x:v>
      </x:c>
      <x:c r="K1516" s="9" t="n">
        <x:v>10</x:v>
      </x:c>
      <x:c r="L1516" s="7" t="n">
        <x:v>2020</x:v>
      </x:c>
      <x:c r="M1516" s="11" t="n">
        <x:v>77513</x:v>
      </x:c>
      <x:c r="N1516" s="7" t="n">
        <x:v>2</x:v>
      </x:c>
      <x:c r="O1516" s="7" t="n">
        <x:v>1</x:v>
      </x:c>
      <x:c r="P1516" s="9" t="n">
        <x:v>3.14</x:v>
      </x:c>
      <x:c r="Q1516" s="7" t="n">
        <x:f>'Guide'!$B$5-L1516</x:f>
        <x:v>6</x:v>
      </x:c>
      <x:c r="R1516" s="9" t="n">
        <x:f>K1516-P1516</x:f>
        <x:v>6.859999999999999</x:v>
      </x:c>
      <x:c r="S1516" s="10" t="n">
        <x:f>IF(K1516&gt;0,R1516/K1516,"")</x:f>
        <x:v>0.6859999999999999</x:v>
      </x:c>
    </x:row>
    <x:row r="1517">
      <x:c r="A1517" s="7" t="n">
        <x:v>1513</x:v>
      </x:c>
      <x:c r="B1517" s="7" t="str">
        <x:v>Tata</x:v>
      </x:c>
      <x:c r="C1517" s="7" t="str">
        <x:v>Altroz</x:v>
      </x:c>
      <x:c r="D1517" s="7" t="str">
        <x:v>XZA DCA</x:v>
      </x:c>
      <x:c r="E1517" s="7" t="str">
        <x:v>Petrol</x:v>
      </x:c>
      <x:c r="F1517" s="7" t="str">
        <x:v>Automatic</x:v>
      </x:c>
      <x:c r="G1517" s="7" t="str">
        <x:v>Hatchback</x:v>
      </x:c>
      <x:c r="H1517" s="7" t="n">
        <x:v>1199</x:v>
      </x:c>
      <x:c r="I1517" s="7" t="n">
        <x:v>87</x:v>
      </x:c>
      <x:c r="J1517" s="9" t="n">
        <x:v>18.5</x:v>
      </x:c>
      <x:c r="K1517" s="9" t="n">
        <x:v>10</x:v>
      </x:c>
      <x:c r="L1517" s="7" t="n">
        <x:v>2021</x:v>
      </x:c>
      <x:c r="M1517" s="11" t="n">
        <x:v>64222</x:v>
      </x:c>
      <x:c r="N1517" s="7" t="n">
        <x:v>1</x:v>
      </x:c>
      <x:c r="O1517" s="7" t="n">
        <x:v>0</x:v>
      </x:c>
      <x:c r="P1517" s="9" t="n">
        <x:v>5.54</x:v>
      </x:c>
      <x:c r="Q1517" s="7" t="n">
        <x:f>'Guide'!$B$5-L1517</x:f>
        <x:v>5</x:v>
      </x:c>
      <x:c r="R1517" s="9" t="n">
        <x:f>K1517-P1517</x:f>
        <x:v>4.46</x:v>
      </x:c>
      <x:c r="S1517" s="10" t="n">
        <x:f>IF(K1517&gt;0,R1517/K1517,"")</x:f>
        <x:v>0.446</x:v>
      </x:c>
    </x:row>
    <x:row r="1518">
      <x:c r="A1518" s="7" t="n">
        <x:v>1514</x:v>
      </x:c>
      <x:c r="B1518" s="7" t="str">
        <x:v>Tata</x:v>
      </x:c>
      <x:c r="C1518" s="7" t="str">
        <x:v>Altroz</x:v>
      </x:c>
      <x:c r="D1518" s="7" t="str">
        <x:v>XZA DCA</x:v>
      </x:c>
      <x:c r="E1518" s="7" t="str">
        <x:v>Petrol</x:v>
      </x:c>
      <x:c r="F1518" s="7" t="str">
        <x:v>Automatic</x:v>
      </x:c>
      <x:c r="G1518" s="7" t="str">
        <x:v>Hatchback</x:v>
      </x:c>
      <x:c r="H1518" s="7" t="n">
        <x:v>1199</x:v>
      </x:c>
      <x:c r="I1518" s="7" t="n">
        <x:v>87</x:v>
      </x:c>
      <x:c r="J1518" s="9" t="n">
        <x:v>18.5</x:v>
      </x:c>
      <x:c r="K1518" s="9" t="n">
        <x:v>10</x:v>
      </x:c>
      <x:c r="L1518" s="7" t="n">
        <x:v>2021</x:v>
      </x:c>
      <x:c r="M1518" s="11" t="n">
        <x:v>104714</x:v>
      </x:c>
      <x:c r="N1518" s="7" t="n">
        <x:v>1</x:v>
      </x:c>
      <x:c r="O1518" s="7" t="n">
        <x:v>0</x:v>
      </x:c>
      <x:c r="P1518" s="9" t="n">
        <x:v>4.57</x:v>
      </x:c>
      <x:c r="Q1518" s="7" t="n">
        <x:f>'Guide'!$B$5-L1518</x:f>
        <x:v>5</x:v>
      </x:c>
      <x:c r="R1518" s="9" t="n">
        <x:f>K1518-P1518</x:f>
        <x:v>5.43</x:v>
      </x:c>
      <x:c r="S1518" s="10" t="n">
        <x:f>IF(K1518&gt;0,R1518/K1518,"")</x:f>
        <x:v>0.5429999999999999</x:v>
      </x:c>
    </x:row>
    <x:row r="1519">
      <x:c r="A1519" s="7" t="n">
        <x:v>1515</x:v>
      </x:c>
      <x:c r="B1519" s="7" t="str">
        <x:v>Tata</x:v>
      </x:c>
      <x:c r="C1519" s="7" t="str">
        <x:v>Altroz</x:v>
      </x:c>
      <x:c r="D1519" s="7" t="str">
        <x:v>XZA DCA</x:v>
      </x:c>
      <x:c r="E1519" s="7" t="str">
        <x:v>Petrol</x:v>
      </x:c>
      <x:c r="F1519" s="7" t="str">
        <x:v>Automatic</x:v>
      </x:c>
      <x:c r="G1519" s="7" t="str">
        <x:v>Hatchback</x:v>
      </x:c>
      <x:c r="H1519" s="7" t="n">
        <x:v>1199</x:v>
      </x:c>
      <x:c r="I1519" s="7" t="n">
        <x:v>87</x:v>
      </x:c>
      <x:c r="J1519" s="9" t="n">
        <x:v>18.5</x:v>
      </x:c>
      <x:c r="K1519" s="9" t="n">
        <x:v>10</x:v>
      </x:c>
      <x:c r="L1519" s="7" t="n">
        <x:v>2024</x:v>
      </x:c>
      <x:c r="M1519" s="11" t="n">
        <x:v>45786</x:v>
      </x:c>
      <x:c r="N1519" s="7" t="n">
        <x:v>2</x:v>
      </x:c>
      <x:c r="O1519" s="7" t="n">
        <x:v>0</x:v>
      </x:c>
      <x:c r="P1519" s="9" t="n">
        <x:v>7.12</x:v>
      </x:c>
      <x:c r="Q1519" s="7" t="n">
        <x:f>'Guide'!$B$5-L1519</x:f>
        <x:v>2</x:v>
      </x:c>
      <x:c r="R1519" s="9" t="n">
        <x:f>K1519-P1519</x:f>
        <x:v>2.88</x:v>
      </x:c>
      <x:c r="S1519" s="10" t="n">
        <x:f>IF(K1519&gt;0,R1519/K1519,"")</x:f>
        <x:v>0.288</x:v>
      </x:c>
    </x:row>
    <x:row r="1520">
      <x:c r="A1520" s="7" t="n">
        <x:v>1516</x:v>
      </x:c>
      <x:c r="B1520" s="7" t="str">
        <x:v>Tata</x:v>
      </x:c>
      <x:c r="C1520" s="7" t="str">
        <x:v>Altroz</x:v>
      </x:c>
      <x:c r="D1520" s="7" t="str">
        <x:v>XZA DCA</x:v>
      </x:c>
      <x:c r="E1520" s="7" t="str">
        <x:v>Petrol</x:v>
      </x:c>
      <x:c r="F1520" s="7" t="str">
        <x:v>Automatic</x:v>
      </x:c>
      <x:c r="G1520" s="7" t="str">
        <x:v>Hatchback</x:v>
      </x:c>
      <x:c r="H1520" s="7" t="n">
        <x:v>1199</x:v>
      </x:c>
      <x:c r="I1520" s="7" t="n">
        <x:v>87</x:v>
      </x:c>
      <x:c r="J1520" s="9" t="n">
        <x:v>18.5</x:v>
      </x:c>
      <x:c r="K1520" s="9" t="n">
        <x:v>10</x:v>
      </x:c>
      <x:c r="L1520" s="7" t="n">
        <x:v>2025</x:v>
      </x:c>
      <x:c r="M1520" s="11" t="n">
        <x:v>12888</x:v>
      </x:c>
      <x:c r="N1520" s="7" t="n">
        <x:v>1</x:v>
      </x:c>
      <x:c r="O1520" s="7" t="n">
        <x:v>0</x:v>
      </x:c>
      <x:c r="P1520" s="9" t="n">
        <x:v>8.89</x:v>
      </x:c>
      <x:c r="Q1520" s="7" t="n">
        <x:f>'Guide'!$B$5-L1520</x:f>
        <x:v>1</x:v>
      </x:c>
      <x:c r="R1520" s="9" t="n">
        <x:f>K1520-P1520</x:f>
        <x:v>1.1099999999999994</x:v>
      </x:c>
      <x:c r="S1520" s="10" t="n">
        <x:f>IF(K1520&gt;0,R1520/K1520,"")</x:f>
        <x:v>0.11099999999999995</x:v>
      </x:c>
    </x:row>
    <x:row r="1521">
      <x:c r="A1521" s="7" t="n">
        <x:v>1517</x:v>
      </x:c>
      <x:c r="B1521" s="7" t="str">
        <x:v>Tata</x:v>
      </x:c>
      <x:c r="C1521" s="7" t="str">
        <x:v>Altroz</x:v>
      </x:c>
      <x:c r="D1521" s="7" t="str">
        <x:v>XZA DCA</x:v>
      </x:c>
      <x:c r="E1521" s="7" t="str">
        <x:v>Petrol</x:v>
      </x:c>
      <x:c r="F1521" s="7" t="str">
        <x:v>Automatic</x:v>
      </x:c>
      <x:c r="G1521" s="7" t="str">
        <x:v>Hatchback</x:v>
      </x:c>
      <x:c r="H1521" s="7" t="n">
        <x:v>1199</x:v>
      </x:c>
      <x:c r="I1521" s="7" t="n">
        <x:v>87</x:v>
      </x:c>
      <x:c r="J1521" s="9" t="n">
        <x:v>18.5</x:v>
      </x:c>
      <x:c r="K1521" s="9" t="n">
        <x:v>10</x:v>
      </x:c>
      <x:c r="L1521" s="7" t="n">
        <x:v>2025</x:v>
      </x:c>
      <x:c r="M1521" s="11" t="n">
        <x:v>18784</x:v>
      </x:c>
      <x:c r="N1521" s="7" t="n">
        <x:v>2</x:v>
      </x:c>
      <x:c r="O1521" s="7" t="n">
        <x:v>0</x:v>
      </x:c>
      <x:c r="P1521" s="9" t="n">
        <x:v>8.7</x:v>
      </x:c>
      <x:c r="Q1521" s="7" t="n">
        <x:f>'Guide'!$B$5-L1521</x:f>
        <x:v>1</x:v>
      </x:c>
      <x:c r="R1521" s="9" t="n">
        <x:f>K1521-P1521</x:f>
        <x:v>1.3000000000000007</x:v>
      </x:c>
      <x:c r="S1521" s="10" t="n">
        <x:f>IF(K1521&gt;0,R1521/K1521,"")</x:f>
        <x:v>0.13000000000000006</x:v>
      </x:c>
    </x:row>
    <x:row r="1522">
      <x:c r="A1522" s="7" t="n">
        <x:v>1518</x:v>
      </x:c>
      <x:c r="B1522" s="7" t="str">
        <x:v>Tata</x:v>
      </x:c>
      <x:c r="C1522" s="7" t="str">
        <x:v>Altroz</x:v>
      </x:c>
      <x:c r="D1522" s="7" t="str">
        <x:v>XZA DCA</x:v>
      </x:c>
      <x:c r="E1522" s="7" t="str">
        <x:v>Petrol</x:v>
      </x:c>
      <x:c r="F1522" s="7" t="str">
        <x:v>Automatic</x:v>
      </x:c>
      <x:c r="G1522" s="7" t="str">
        <x:v>Hatchback</x:v>
      </x:c>
      <x:c r="H1522" s="7" t="n">
        <x:v>1199</x:v>
      </x:c>
      <x:c r="I1522" s="7" t="n">
        <x:v>87</x:v>
      </x:c>
      <x:c r="J1522" s="9" t="n">
        <x:v>18.5</x:v>
      </x:c>
      <x:c r="K1522" s="9" t="n">
        <x:v>10</x:v>
      </x:c>
      <x:c r="L1522" s="7" t="n">
        <x:v>2026</x:v>
      </x:c>
      <x:c r="M1522" s="11" t="n">
        <x:v>7968</x:v>
      </x:c>
      <x:c r="N1522" s="7" t="n">
        <x:v>1</x:v>
      </x:c>
      <x:c r="O1522" s="7" t="n">
        <x:v>0</x:v>
      </x:c>
      <x:c r="P1522" s="9" t="n">
        <x:v>9.83</x:v>
      </x:c>
      <x:c r="Q1522" s="7" t="n">
        <x:f>'Guide'!$B$5-L1522</x:f>
        <x:v>0</x:v>
      </x:c>
      <x:c r="R1522" s="9" t="n">
        <x:f>K1522-P1522</x:f>
        <x:v>0.16999999999999993</x:v>
      </x:c>
      <x:c r="S1522" s="10" t="n">
        <x:f>IF(K1522&gt;0,R1522/K1522,"")</x:f>
        <x:v>0.016999999999999994</x:v>
      </x:c>
    </x:row>
    <x:row r="1523">
      <x:c r="A1523" s="7" t="n">
        <x:v>1519</x:v>
      </x:c>
      <x:c r="B1523" s="7" t="str">
        <x:v>Tata</x:v>
      </x:c>
      <x:c r="C1523" s="7" t="str">
        <x:v>Altroz</x:v>
      </x:c>
      <x:c r="D1523" s="7" t="str">
        <x:v>XZA DCA</x:v>
      </x:c>
      <x:c r="E1523" s="7" t="str">
        <x:v>Petrol</x:v>
      </x:c>
      <x:c r="F1523" s="7" t="str">
        <x:v>Automatic</x:v>
      </x:c>
      <x:c r="G1523" s="7" t="str">
        <x:v>Hatchback</x:v>
      </x:c>
      <x:c r="H1523" s="7" t="n">
        <x:v>1199</x:v>
      </x:c>
      <x:c r="I1523" s="7" t="n">
        <x:v>87</x:v>
      </x:c>
      <x:c r="J1523" s="9" t="n">
        <x:v>18.5</x:v>
      </x:c>
      <x:c r="K1523" s="9" t="n">
        <x:v>10</x:v>
      </x:c>
      <x:c r="L1523" s="7" t="n">
        <x:v>2024</x:v>
      </x:c>
      <x:c r="M1523" s="11" t="n">
        <x:v>23395</x:v>
      </x:c>
      <x:c r="N1523" s="7" t="n">
        <x:v>2</x:v>
      </x:c>
      <x:c r="O1523" s="7" t="n">
        <x:v>0</x:v>
      </x:c>
      <x:c r="P1523" s="9" t="n">
        <x:v>8.07</x:v>
      </x:c>
      <x:c r="Q1523" s="7" t="n">
        <x:f>'Guide'!$B$5-L1523</x:f>
        <x:v>2</x:v>
      </x:c>
      <x:c r="R1523" s="9" t="n">
        <x:f>K1523-P1523</x:f>
        <x:v>1.9299999999999997</x:v>
      </x:c>
      <x:c r="S1523" s="10" t="n">
        <x:f>IF(K1523&gt;0,R1523/K1523,"")</x:f>
        <x:v>0.19299999999999998</x:v>
      </x:c>
    </x:row>
    <x:row r="1524">
      <x:c r="A1524" s="7" t="n">
        <x:v>1520</x:v>
      </x:c>
      <x:c r="B1524" s="7" t="str">
        <x:v>Tata</x:v>
      </x:c>
      <x:c r="C1524" s="7" t="str">
        <x:v>Altroz</x:v>
      </x:c>
      <x:c r="D1524" s="7" t="str">
        <x:v>XZA DCA</x:v>
      </x:c>
      <x:c r="E1524" s="7" t="str">
        <x:v>Petrol</x:v>
      </x:c>
      <x:c r="F1524" s="7" t="str">
        <x:v>Automatic</x:v>
      </x:c>
      <x:c r="G1524" s="7" t="str">
        <x:v>Hatchback</x:v>
      </x:c>
      <x:c r="H1524" s="7" t="n">
        <x:v>1199</x:v>
      </x:c>
      <x:c r="I1524" s="7" t="n">
        <x:v>87</x:v>
      </x:c>
      <x:c r="J1524" s="9" t="n">
        <x:v>18.5</x:v>
      </x:c>
      <x:c r="K1524" s="9" t="n">
        <x:v>10</x:v>
      </x:c>
      <x:c r="L1524" s="7" t="n">
        <x:v>2025</x:v>
      </x:c>
      <x:c r="M1524" s="11" t="n">
        <x:v>12954</x:v>
      </x:c>
      <x:c r="N1524" s="7" t="n">
        <x:v>2</x:v>
      </x:c>
      <x:c r="O1524" s="7" t="n">
        <x:v>0</x:v>
      </x:c>
      <x:c r="P1524" s="9" t="n">
        <x:v>8.85</x:v>
      </x:c>
      <x:c r="Q1524" s="7" t="n">
        <x:f>'Guide'!$B$5-L1524</x:f>
        <x:v>1</x:v>
      </x:c>
      <x:c r="R1524" s="9" t="n">
        <x:f>K1524-P1524</x:f>
        <x:v>1.1500000000000004</x:v>
      </x:c>
      <x:c r="S1524" s="10" t="n">
        <x:f>IF(K1524&gt;0,R1524/K1524,"")</x:f>
        <x:v>0.11500000000000003</x:v>
      </x:c>
    </x:row>
    <x:row r="1525">
      <x:c r="A1525" s="7" t="n">
        <x:v>1521</x:v>
      </x:c>
      <x:c r="B1525" s="7" t="str">
        <x:v>Tata</x:v>
      </x:c>
      <x:c r="C1525" s="7" t="str">
        <x:v>Altroz</x:v>
      </x:c>
      <x:c r="D1525" s="7" t="str">
        <x:v>XZA DCA</x:v>
      </x:c>
      <x:c r="E1525" s="7" t="str">
        <x:v>Petrol</x:v>
      </x:c>
      <x:c r="F1525" s="7" t="str">
        <x:v>Automatic</x:v>
      </x:c>
      <x:c r="G1525" s="7" t="str">
        <x:v>Hatchback</x:v>
      </x:c>
      <x:c r="H1525" s="7" t="n">
        <x:v>1199</x:v>
      </x:c>
      <x:c r="I1525" s="7" t="n">
        <x:v>87</x:v>
      </x:c>
      <x:c r="J1525" s="9" t="n">
        <x:v>18.5</x:v>
      </x:c>
      <x:c r="K1525" s="9" t="n">
        <x:v>10</x:v>
      </x:c>
      <x:c r="L1525" s="7" t="n">
        <x:v>2026</x:v>
      </x:c>
      <x:c r="M1525" s="11" t="n">
        <x:v>9423</x:v>
      </x:c>
      <x:c r="N1525" s="7" t="n">
        <x:v>1</x:v>
      </x:c>
      <x:c r="O1525" s="7" t="n">
        <x:v>0</x:v>
      </x:c>
      <x:c r="P1525" s="9" t="n">
        <x:v>10.13</x:v>
      </x:c>
      <x:c r="Q1525" s="7" t="n">
        <x:f>'Guide'!$B$5-L1525</x:f>
        <x:v>0</x:v>
      </x:c>
      <x:c r="R1525" s="9" t="n">
        <x:f>K1525-P1525</x:f>
        <x:v>-0.13000000000000078</x:v>
      </x:c>
      <x:c r="S1525" s="10" t="n">
        <x:f>IF(K1525&gt;0,R1525/K1525,"")</x:f>
        <x:v>-0.013000000000000077</x:v>
      </x:c>
    </x:row>
    <x:row r="1526">
      <x:c r="A1526" s="7" t="n">
        <x:v>1522</x:v>
      </x:c>
      <x:c r="B1526" s="7" t="str">
        <x:v>Tata</x:v>
      </x:c>
      <x:c r="C1526" s="7" t="str">
        <x:v>Altroz</x:v>
      </x:c>
      <x:c r="D1526" s="7" t="str">
        <x:v>XZA DCA</x:v>
      </x:c>
      <x:c r="E1526" s="7" t="str">
        <x:v>Petrol</x:v>
      </x:c>
      <x:c r="F1526" s="7" t="str">
        <x:v>Automatic</x:v>
      </x:c>
      <x:c r="G1526" s="7" t="str">
        <x:v>Hatchback</x:v>
      </x:c>
      <x:c r="H1526" s="7" t="n">
        <x:v>1199</x:v>
      </x:c>
      <x:c r="I1526" s="7" t="n">
        <x:v>87</x:v>
      </x:c>
      <x:c r="J1526" s="9" t="n">
        <x:v>18.5</x:v>
      </x:c>
      <x:c r="K1526" s="9" t="n">
        <x:v>10</x:v>
      </x:c>
      <x:c r="L1526" s="7" t="n">
        <x:v>2025</x:v>
      </x:c>
      <x:c r="M1526" s="11" t="n">
        <x:v>26878</x:v>
      </x:c>
      <x:c r="N1526" s="7" t="n">
        <x:v>2</x:v>
      </x:c>
      <x:c r="O1526" s="7" t="n">
        <x:v>0</x:v>
      </x:c>
      <x:c r="P1526" s="9" t="n">
        <x:v>8.7</x:v>
      </x:c>
      <x:c r="Q1526" s="7" t="n">
        <x:f>'Guide'!$B$5-L1526</x:f>
        <x:v>1</x:v>
      </x:c>
      <x:c r="R1526" s="9" t="n">
        <x:f>K1526-P1526</x:f>
        <x:v>1.3000000000000007</x:v>
      </x:c>
      <x:c r="S1526" s="10" t="n">
        <x:f>IF(K1526&gt;0,R1526/K1526,"")</x:f>
        <x:v>0.13000000000000006</x:v>
      </x:c>
    </x:row>
    <x:row r="1527">
      <x:c r="A1527" s="7" t="n">
        <x:v>1523</x:v>
      </x:c>
      <x:c r="B1527" s="7" t="str">
        <x:v>Tata</x:v>
      </x:c>
      <x:c r="C1527" s="7" t="str">
        <x:v>Altroz</x:v>
      </x:c>
      <x:c r="D1527" s="7" t="str">
        <x:v>XZA DCA</x:v>
      </x:c>
      <x:c r="E1527" s="7" t="str">
        <x:v>Petrol</x:v>
      </x:c>
      <x:c r="F1527" s="7" t="str">
        <x:v>Automatic</x:v>
      </x:c>
      <x:c r="G1527" s="7" t="str">
        <x:v>Hatchback</x:v>
      </x:c>
      <x:c r="H1527" s="7" t="n">
        <x:v>1199</x:v>
      </x:c>
      <x:c r="I1527" s="7" t="n">
        <x:v>87</x:v>
      </x:c>
      <x:c r="J1527" s="9" t="n">
        <x:v>18.5</x:v>
      </x:c>
      <x:c r="K1527" s="9" t="n">
        <x:v>10</x:v>
      </x:c>
      <x:c r="L1527" s="7" t="n">
        <x:v>2021</x:v>
      </x:c>
      <x:c r="M1527" s="11" t="n">
        <x:v>89080</x:v>
      </x:c>
      <x:c r="N1527" s="7" t="n">
        <x:v>1</x:v>
      </x:c>
      <x:c r="O1527" s="7" t="n">
        <x:v>0</x:v>
      </x:c>
      <x:c r="P1527" s="9" t="n">
        <x:v>4.94</x:v>
      </x:c>
      <x:c r="Q1527" s="7" t="n">
        <x:f>'Guide'!$B$5-L1527</x:f>
        <x:v>5</x:v>
      </x:c>
      <x:c r="R1527" s="9" t="n">
        <x:f>K1527-P1527</x:f>
        <x:v>5.06</x:v>
      </x:c>
      <x:c r="S1527" s="10" t="n">
        <x:f>IF(K1527&gt;0,R1527/K1527,"")</x:f>
        <x:v>0.506</x:v>
      </x:c>
    </x:row>
    <x:row r="1528">
      <x:c r="A1528" s="7" t="n">
        <x:v>1524</x:v>
      </x:c>
      <x:c r="B1528" s="7" t="str">
        <x:v>Tata</x:v>
      </x:c>
      <x:c r="C1528" s="7" t="str">
        <x:v>Altroz</x:v>
      </x:c>
      <x:c r="D1528" s="7" t="str">
        <x:v>XZA DCA</x:v>
      </x:c>
      <x:c r="E1528" s="7" t="str">
        <x:v>Petrol</x:v>
      </x:c>
      <x:c r="F1528" s="7" t="str">
        <x:v>Automatic</x:v>
      </x:c>
      <x:c r="G1528" s="7" t="str">
        <x:v>Hatchback</x:v>
      </x:c>
      <x:c r="H1528" s="7" t="n">
        <x:v>1199</x:v>
      </x:c>
      <x:c r="I1528" s="7" t="n">
        <x:v>87</x:v>
      </x:c>
      <x:c r="J1528" s="9" t="n">
        <x:v>18.5</x:v>
      </x:c>
      <x:c r="K1528" s="9" t="n">
        <x:v>10</x:v>
      </x:c>
      <x:c r="L1528" s="7" t="n">
        <x:v>2021</x:v>
      </x:c>
      <x:c r="M1528" s="11" t="n">
        <x:v>96404</x:v>
      </x:c>
      <x:c r="N1528" s="7" t="n">
        <x:v>1</x:v>
      </x:c>
      <x:c r="O1528" s="7" t="n">
        <x:v>0</x:v>
      </x:c>
      <x:c r="P1528" s="9" t="n">
        <x:v>5.04</x:v>
      </x:c>
      <x:c r="Q1528" s="7" t="n">
        <x:f>'Guide'!$B$5-L1528</x:f>
        <x:v>5</x:v>
      </x:c>
      <x:c r="R1528" s="9" t="n">
        <x:f>K1528-P1528</x:f>
        <x:v>4.96</x:v>
      </x:c>
      <x:c r="S1528" s="10" t="n">
        <x:f>IF(K1528&gt;0,R1528/K1528,"")</x:f>
        <x:v>0.496</x:v>
      </x:c>
    </x:row>
    <x:row r="1529">
      <x:c r="A1529" s="7" t="n">
        <x:v>1525</x:v>
      </x:c>
      <x:c r="B1529" s="7" t="str">
        <x:v>Tata</x:v>
      </x:c>
      <x:c r="C1529" s="7" t="str">
        <x:v>Altroz</x:v>
      </x:c>
      <x:c r="D1529" s="7" t="str">
        <x:v>XZA DCA</x:v>
      </x:c>
      <x:c r="E1529" s="7" t="str">
        <x:v>Petrol</x:v>
      </x:c>
      <x:c r="F1529" s="7" t="str">
        <x:v>Automatic</x:v>
      </x:c>
      <x:c r="G1529" s="7" t="str">
        <x:v>Hatchback</x:v>
      </x:c>
      <x:c r="H1529" s="7" t="n">
        <x:v>1199</x:v>
      </x:c>
      <x:c r="I1529" s="7" t="n">
        <x:v>87</x:v>
      </x:c>
      <x:c r="J1529" s="9" t="n">
        <x:v>18.5</x:v>
      </x:c>
      <x:c r="K1529" s="9" t="n">
        <x:v>10</x:v>
      </x:c>
      <x:c r="L1529" s="7" t="n">
        <x:v>2024</x:v>
      </x:c>
      <x:c r="M1529" s="11" t="n">
        <x:v>35216</x:v>
      </x:c>
      <x:c r="N1529" s="7" t="n">
        <x:v>1</x:v>
      </x:c>
      <x:c r="O1529" s="7" t="n">
        <x:v>0</x:v>
      </x:c>
      <x:c r="P1529" s="9" t="n">
        <x:v>7.85</x:v>
      </x:c>
      <x:c r="Q1529" s="7" t="n">
        <x:f>'Guide'!$B$5-L1529</x:f>
        <x:v>2</x:v>
      </x:c>
      <x:c r="R1529" s="9" t="n">
        <x:f>K1529-P1529</x:f>
        <x:v>2.1500000000000004</x:v>
      </x:c>
      <x:c r="S1529" s="10" t="n">
        <x:f>IF(K1529&gt;0,R1529/K1529,"")</x:f>
        <x:v>0.21500000000000002</x:v>
      </x:c>
    </x:row>
    <x:row r="1530">
      <x:c r="A1530" s="7" t="n">
        <x:v>1526</x:v>
      </x:c>
      <x:c r="B1530" s="7" t="str">
        <x:v>Tata</x:v>
      </x:c>
      <x:c r="C1530" s="7" t="str">
        <x:v>Altroz</x:v>
      </x:c>
      <x:c r="D1530" s="7" t="str">
        <x:v>XZA DCA</x:v>
      </x:c>
      <x:c r="E1530" s="7" t="str">
        <x:v>Petrol</x:v>
      </x:c>
      <x:c r="F1530" s="7" t="str">
        <x:v>Automatic</x:v>
      </x:c>
      <x:c r="G1530" s="7" t="str">
        <x:v>Hatchback</x:v>
      </x:c>
      <x:c r="H1530" s="7" t="n">
        <x:v>1199</x:v>
      </x:c>
      <x:c r="I1530" s="7" t="n">
        <x:v>87</x:v>
      </x:c>
      <x:c r="J1530" s="9" t="n">
        <x:v>18.5</x:v>
      </x:c>
      <x:c r="K1530" s="9" t="n">
        <x:v>10</x:v>
      </x:c>
      <x:c r="L1530" s="7" t="n">
        <x:v>2022</x:v>
      </x:c>
      <x:c r="M1530" s="11" t="n">
        <x:v>61013</x:v>
      </x:c>
      <x:c r="N1530" s="7" t="n">
        <x:v>2</x:v>
      </x:c>
      <x:c r="O1530" s="7" t="n">
        <x:v>0</x:v>
      </x:c>
      <x:c r="P1530" s="9" t="n">
        <x:v>5.5</x:v>
      </x:c>
      <x:c r="Q1530" s="7" t="n">
        <x:f>'Guide'!$B$5-L1530</x:f>
        <x:v>4</x:v>
      </x:c>
      <x:c r="R1530" s="9" t="n">
        <x:f>K1530-P1530</x:f>
        <x:v>4.5</x:v>
      </x:c>
      <x:c r="S1530" s="10" t="n">
        <x:f>IF(K1530&gt;0,R1530/K1530,"")</x:f>
        <x:v>0.45</x:v>
      </x:c>
    </x:row>
    <x:row r="1531">
      <x:c r="A1531" s="7" t="n">
        <x:v>1527</x:v>
      </x:c>
      <x:c r="B1531" s="7" t="str">
        <x:v>Tata</x:v>
      </x:c>
      <x:c r="C1531" s="7" t="str">
        <x:v>Altroz</x:v>
      </x:c>
      <x:c r="D1531" s="7" t="str">
        <x:v>XZA DCA</x:v>
      </x:c>
      <x:c r="E1531" s="7" t="str">
        <x:v>Petrol</x:v>
      </x:c>
      <x:c r="F1531" s="7" t="str">
        <x:v>Automatic</x:v>
      </x:c>
      <x:c r="G1531" s="7" t="str">
        <x:v>Hatchback</x:v>
      </x:c>
      <x:c r="H1531" s="7" t="n">
        <x:v>1199</x:v>
      </x:c>
      <x:c r="I1531" s="7" t="n">
        <x:v>87</x:v>
      </x:c>
      <x:c r="J1531" s="9" t="n">
        <x:v>18.5</x:v>
      </x:c>
      <x:c r="K1531" s="9" t="n">
        <x:v>10</x:v>
      </x:c>
      <x:c r="L1531" s="7" t="n">
        <x:v>2026</x:v>
      </x:c>
      <x:c r="M1531" s="11" t="n">
        <x:v>8426</x:v>
      </x:c>
      <x:c r="N1531" s="7" t="n">
        <x:v>2</x:v>
      </x:c>
      <x:c r="O1531" s="7" t="n">
        <x:v>0</x:v>
      </x:c>
      <x:c r="P1531" s="9" t="n">
        <x:v>9.4</x:v>
      </x:c>
      <x:c r="Q1531" s="7" t="n">
        <x:f>'Guide'!$B$5-L1531</x:f>
        <x:v>0</x:v>
      </x:c>
      <x:c r="R1531" s="9" t="n">
        <x:f>K1531-P1531</x:f>
        <x:v>0.5999999999999996</x:v>
      </x:c>
      <x:c r="S1531" s="10" t="n">
        <x:f>IF(K1531&gt;0,R1531/K1531,"")</x:f>
        <x:v>0.05999999999999996</x:v>
      </x:c>
    </x:row>
    <x:row r="1532">
      <x:c r="A1532" s="7" t="n">
        <x:v>1528</x:v>
      </x:c>
      <x:c r="B1532" s="7" t="str">
        <x:v>Tata</x:v>
      </x:c>
      <x:c r="C1532" s="7" t="str">
        <x:v>Altroz</x:v>
      </x:c>
      <x:c r="D1532" s="7" t="str">
        <x:v>XZA DCA</x:v>
      </x:c>
      <x:c r="E1532" s="7" t="str">
        <x:v>Petrol</x:v>
      </x:c>
      <x:c r="F1532" s="7" t="str">
        <x:v>Automatic</x:v>
      </x:c>
      <x:c r="G1532" s="7" t="str">
        <x:v>Hatchback</x:v>
      </x:c>
      <x:c r="H1532" s="7" t="n">
        <x:v>1199</x:v>
      </x:c>
      <x:c r="I1532" s="7" t="n">
        <x:v>87</x:v>
      </x:c>
      <x:c r="J1532" s="9" t="n">
        <x:v>18.5</x:v>
      </x:c>
      <x:c r="K1532" s="9" t="n">
        <x:v>10</x:v>
      </x:c>
      <x:c r="L1532" s="7" t="n">
        <x:v>2021</x:v>
      </x:c>
      <x:c r="M1532" s="11" t="n">
        <x:v>105086</x:v>
      </x:c>
      <x:c r="N1532" s="7" t="n">
        <x:v>2</x:v>
      </x:c>
      <x:c r="O1532" s="7" t="n">
        <x:v>1</x:v>
      </x:c>
      <x:c r="P1532" s="9" t="n">
        <x:v>3.38</x:v>
      </x:c>
      <x:c r="Q1532" s="7" t="n">
        <x:f>'Guide'!$B$5-L1532</x:f>
        <x:v>5</x:v>
      </x:c>
      <x:c r="R1532" s="9" t="n">
        <x:f>K1532-P1532</x:f>
        <x:v>6.62</x:v>
      </x:c>
      <x:c r="S1532" s="10" t="n">
        <x:f>IF(K1532&gt;0,R1532/K1532,"")</x:f>
        <x:v>0.662</x:v>
      </x:c>
    </x:row>
    <x:row r="1533">
      <x:c r="A1533" s="7" t="n">
        <x:v>1529</x:v>
      </x:c>
      <x:c r="B1533" s="7" t="str">
        <x:v>Tata</x:v>
      </x:c>
      <x:c r="C1533" s="7" t="str">
        <x:v>Altroz</x:v>
      </x:c>
      <x:c r="D1533" s="7" t="str">
        <x:v>XZA DCA</x:v>
      </x:c>
      <x:c r="E1533" s="7" t="str">
        <x:v>Petrol</x:v>
      </x:c>
      <x:c r="F1533" s="7" t="str">
        <x:v>Automatic</x:v>
      </x:c>
      <x:c r="G1533" s="7" t="str">
        <x:v>Hatchback</x:v>
      </x:c>
      <x:c r="H1533" s="7" t="n">
        <x:v>1199</x:v>
      </x:c>
      <x:c r="I1533" s="7" t="n">
        <x:v>87</x:v>
      </x:c>
      <x:c r="J1533" s="9" t="n">
        <x:v>18.5</x:v>
      </x:c>
      <x:c r="K1533" s="9" t="n">
        <x:v>10</x:v>
      </x:c>
      <x:c r="L1533" s="7" t="n">
        <x:v>2020</x:v>
      </x:c>
      <x:c r="M1533" s="11" t="n">
        <x:v>77110</x:v>
      </x:c>
      <x:c r="N1533" s="7" t="n">
        <x:v>1</x:v>
      </x:c>
      <x:c r="O1533" s="7" t="n">
        <x:v>0</x:v>
      </x:c>
      <x:c r="P1533" s="9" t="n">
        <x:v>4.42</x:v>
      </x:c>
      <x:c r="Q1533" s="7" t="n">
        <x:f>'Guide'!$B$5-L1533</x:f>
        <x:v>6</x:v>
      </x:c>
      <x:c r="R1533" s="9" t="n">
        <x:f>K1533-P1533</x:f>
        <x:v>5.58</x:v>
      </x:c>
      <x:c r="S1533" s="10" t="n">
        <x:f>IF(K1533&gt;0,R1533/K1533,"")</x:f>
        <x:v>0.558</x:v>
      </x:c>
    </x:row>
    <x:row r="1534">
      <x:c r="A1534" s="7" t="n">
        <x:v>1530</x:v>
      </x:c>
      <x:c r="B1534" s="7" t="str">
        <x:v>Tata</x:v>
      </x:c>
      <x:c r="C1534" s="7" t="str">
        <x:v>Altroz</x:v>
      </x:c>
      <x:c r="D1534" s="7" t="str">
        <x:v>XZA DCA</x:v>
      </x:c>
      <x:c r="E1534" s="7" t="str">
        <x:v>Petrol</x:v>
      </x:c>
      <x:c r="F1534" s="7" t="str">
        <x:v>Automatic</x:v>
      </x:c>
      <x:c r="G1534" s="7" t="str">
        <x:v>Hatchback</x:v>
      </x:c>
      <x:c r="H1534" s="7" t="n">
        <x:v>1199</x:v>
      </x:c>
      <x:c r="I1534" s="7" t="n">
        <x:v>87</x:v>
      </x:c>
      <x:c r="J1534" s="9" t="n">
        <x:v>18.5</x:v>
      </x:c>
      <x:c r="K1534" s="9" t="n">
        <x:v>10</x:v>
      </x:c>
      <x:c r="L1534" s="7" t="n">
        <x:v>2023</x:v>
      </x:c>
      <x:c r="M1534" s="11" t="n">
        <x:v>57701</x:v>
      </x:c>
      <x:c r="N1534" s="7" t="n">
        <x:v>1</x:v>
      </x:c>
      <x:c r="O1534" s="7" t="n">
        <x:v>0</x:v>
      </x:c>
      <x:c r="P1534" s="9" t="n">
        <x:v>7.04</x:v>
      </x:c>
      <x:c r="Q1534" s="7" t="n">
        <x:f>'Guide'!$B$5-L1534</x:f>
        <x:v>3</x:v>
      </x:c>
      <x:c r="R1534" s="9" t="n">
        <x:f>K1534-P1534</x:f>
        <x:v>2.96</x:v>
      </x:c>
      <x:c r="S1534" s="10" t="n">
        <x:f>IF(K1534&gt;0,R1534/K1534,"")</x:f>
        <x:v>0.296</x:v>
      </x:c>
    </x:row>
    <x:row r="1535">
      <x:c r="A1535" s="7" t="n">
        <x:v>1531</x:v>
      </x:c>
      <x:c r="B1535" s="7" t="str">
        <x:v>Tata</x:v>
      </x:c>
      <x:c r="C1535" s="7" t="str">
        <x:v>Altroz</x:v>
      </x:c>
      <x:c r="D1535" s="7" t="str">
        <x:v>XZA DCA</x:v>
      </x:c>
      <x:c r="E1535" s="7" t="str">
        <x:v>Petrol</x:v>
      </x:c>
      <x:c r="F1535" s="7" t="str">
        <x:v>Automatic</x:v>
      </x:c>
      <x:c r="G1535" s="7" t="str">
        <x:v>Hatchback</x:v>
      </x:c>
      <x:c r="H1535" s="7" t="n">
        <x:v>1199</x:v>
      </x:c>
      <x:c r="I1535" s="7" t="n">
        <x:v>87</x:v>
      </x:c>
      <x:c r="J1535" s="9" t="n">
        <x:v>18.5</x:v>
      </x:c>
      <x:c r="K1535" s="9" t="n">
        <x:v>10</x:v>
      </x:c>
      <x:c r="L1535" s="7" t="n">
        <x:v>2026</x:v>
      </x:c>
      <x:c r="M1535" s="11" t="n">
        <x:v>6382</x:v>
      </x:c>
      <x:c r="N1535" s="7" t="n">
        <x:v>3</x:v>
      </x:c>
      <x:c r="O1535" s="7" t="n">
        <x:v>0</x:v>
      </x:c>
      <x:c r="P1535" s="9" t="n">
        <x:v>8.74</x:v>
      </x:c>
      <x:c r="Q1535" s="7" t="n">
        <x:f>'Guide'!$B$5-L1535</x:f>
        <x:v>0</x:v>
      </x:c>
      <x:c r="R1535" s="9" t="n">
        <x:f>K1535-P1535</x:f>
        <x:v>1.2599999999999998</x:v>
      </x:c>
      <x:c r="S1535" s="10" t="n">
        <x:f>IF(K1535&gt;0,R1535/K1535,"")</x:f>
        <x:v>0.12599999999999997</x:v>
      </x:c>
    </x:row>
    <x:row r="1536">
      <x:c r="A1536" s="7" t="n">
        <x:v>1532</x:v>
      </x:c>
      <x:c r="B1536" s="7" t="str">
        <x:v>Tata</x:v>
      </x:c>
      <x:c r="C1536" s="7" t="str">
        <x:v>Altroz</x:v>
      </x:c>
      <x:c r="D1536" s="7" t="str">
        <x:v>XZA DCA</x:v>
      </x:c>
      <x:c r="E1536" s="7" t="str">
        <x:v>Petrol</x:v>
      </x:c>
      <x:c r="F1536" s="7" t="str">
        <x:v>Automatic</x:v>
      </x:c>
      <x:c r="G1536" s="7" t="str">
        <x:v>Hatchback</x:v>
      </x:c>
      <x:c r="H1536" s="7" t="n">
        <x:v>1199</x:v>
      </x:c>
      <x:c r="I1536" s="7" t="n">
        <x:v>87</x:v>
      </x:c>
      <x:c r="J1536" s="9" t="n">
        <x:v>18.5</x:v>
      </x:c>
      <x:c r="K1536" s="9" t="n">
        <x:v>10</x:v>
      </x:c>
      <x:c r="L1536" s="7" t="n">
        <x:v>2021</x:v>
      </x:c>
      <x:c r="M1536" s="11" t="n">
        <x:v>53982</x:v>
      </x:c>
      <x:c r="N1536" s="7" t="n">
        <x:v>1</x:v>
      </x:c>
      <x:c r="O1536" s="7" t="n">
        <x:v>0</x:v>
      </x:c>
      <x:c r="P1536" s="9" t="n">
        <x:v>5.16</x:v>
      </x:c>
      <x:c r="Q1536" s="7" t="n">
        <x:f>'Guide'!$B$5-L1536</x:f>
        <x:v>5</x:v>
      </x:c>
      <x:c r="R1536" s="9" t="n">
        <x:f>K1536-P1536</x:f>
        <x:v>4.84</x:v>
      </x:c>
      <x:c r="S1536" s="10" t="n">
        <x:f>IF(K1536&gt;0,R1536/K1536,"")</x:f>
        <x:v>0.484</x:v>
      </x:c>
    </x:row>
    <x:row r="1537">
      <x:c r="A1537" s="7" t="n">
        <x:v>1533</x:v>
      </x:c>
      <x:c r="B1537" s="7" t="str">
        <x:v>Tata</x:v>
      </x:c>
      <x:c r="C1537" s="7" t="str">
        <x:v>Altroz</x:v>
      </x:c>
      <x:c r="D1537" s="7" t="str">
        <x:v>XZA DCA</x:v>
      </x:c>
      <x:c r="E1537" s="7" t="str">
        <x:v>Petrol</x:v>
      </x:c>
      <x:c r="F1537" s="7" t="str">
        <x:v>Automatic</x:v>
      </x:c>
      <x:c r="G1537" s="7" t="str">
        <x:v>Hatchback</x:v>
      </x:c>
      <x:c r="H1537" s="7" t="n">
        <x:v>1199</x:v>
      </x:c>
      <x:c r="I1537" s="7" t="n">
        <x:v>87</x:v>
      </x:c>
      <x:c r="J1537" s="9" t="n">
        <x:v>18.5</x:v>
      </x:c>
      <x:c r="K1537" s="9" t="n">
        <x:v>10</x:v>
      </x:c>
      <x:c r="L1537" s="7" t="n">
        <x:v>2022</x:v>
      </x:c>
      <x:c r="M1537" s="11" t="n">
        <x:v>38963</x:v>
      </x:c>
      <x:c r="N1537" s="7" t="n">
        <x:v>1</x:v>
      </x:c>
      <x:c r="O1537" s="7" t="n">
        <x:v>0</x:v>
      </x:c>
      <x:c r="P1537" s="9" t="n">
        <x:v>6.39</x:v>
      </x:c>
      <x:c r="Q1537" s="7" t="n">
        <x:f>'Guide'!$B$5-L1537</x:f>
        <x:v>4</x:v>
      </x:c>
      <x:c r="R1537" s="9" t="n">
        <x:f>K1537-P1537</x:f>
        <x:v>3.6100000000000003</x:v>
      </x:c>
      <x:c r="S1537" s="10" t="n">
        <x:f>IF(K1537&gt;0,R1537/K1537,"")</x:f>
        <x:v>0.36100000000000004</x:v>
      </x:c>
    </x:row>
    <x:row r="1538">
      <x:c r="A1538" s="7" t="n">
        <x:v>1534</x:v>
      </x:c>
      <x:c r="B1538" s="7" t="str">
        <x:v>Tata</x:v>
      </x:c>
      <x:c r="C1538" s="7" t="str">
        <x:v>Altroz</x:v>
      </x:c>
      <x:c r="D1538" s="7" t="str">
        <x:v>XZA DCA</x:v>
      </x:c>
      <x:c r="E1538" s="7" t="str">
        <x:v>Petrol</x:v>
      </x:c>
      <x:c r="F1538" s="7" t="str">
        <x:v>Automatic</x:v>
      </x:c>
      <x:c r="G1538" s="7" t="str">
        <x:v>Hatchback</x:v>
      </x:c>
      <x:c r="H1538" s="7" t="n">
        <x:v>1199</x:v>
      </x:c>
      <x:c r="I1538" s="7" t="n">
        <x:v>87</x:v>
      </x:c>
      <x:c r="J1538" s="9" t="n">
        <x:v>18.5</x:v>
      </x:c>
      <x:c r="K1538" s="9" t="n">
        <x:v>10</x:v>
      </x:c>
      <x:c r="L1538" s="7" t="n">
        <x:v>2021</x:v>
      </x:c>
      <x:c r="M1538" s="11" t="n">
        <x:v>100215</x:v>
      </x:c>
      <x:c r="N1538" s="7" t="n">
        <x:v>1</x:v>
      </x:c>
      <x:c r="O1538" s="7" t="n">
        <x:v>0</x:v>
      </x:c>
      <x:c r="P1538" s="9" t="n">
        <x:v>4.74</x:v>
      </x:c>
      <x:c r="Q1538" s="7" t="n">
        <x:f>'Guide'!$B$5-L1538</x:f>
        <x:v>5</x:v>
      </x:c>
      <x:c r="R1538" s="9" t="n">
        <x:f>K1538-P1538</x:f>
        <x:v>5.26</x:v>
      </x:c>
      <x:c r="S1538" s="10" t="n">
        <x:f>IF(K1538&gt;0,R1538/K1538,"")</x:f>
        <x:v>0.526</x:v>
      </x:c>
    </x:row>
    <x:row r="1539">
      <x:c r="A1539" s="7" t="n">
        <x:v>1535</x:v>
      </x:c>
      <x:c r="B1539" s="7" t="str">
        <x:v>Tata</x:v>
      </x:c>
      <x:c r="C1539" s="7" t="str">
        <x:v>Altroz</x:v>
      </x:c>
      <x:c r="D1539" s="7" t="str">
        <x:v>XZA DCA</x:v>
      </x:c>
      <x:c r="E1539" s="7" t="str">
        <x:v>Petrol</x:v>
      </x:c>
      <x:c r="F1539" s="7" t="str">
        <x:v>Automatic</x:v>
      </x:c>
      <x:c r="G1539" s="7" t="str">
        <x:v>Hatchback</x:v>
      </x:c>
      <x:c r="H1539" s="7" t="n">
        <x:v>1199</x:v>
      </x:c>
      <x:c r="I1539" s="7" t="n">
        <x:v>87</x:v>
      </x:c>
      <x:c r="J1539" s="9" t="n">
        <x:v>18.5</x:v>
      </x:c>
      <x:c r="K1539" s="9" t="n">
        <x:v>10</x:v>
      </x:c>
      <x:c r="L1539" s="7" t="n">
        <x:v>2025</x:v>
      </x:c>
      <x:c r="M1539" s="11" t="n">
        <x:v>27832</x:v>
      </x:c>
      <x:c r="N1539" s="7" t="n">
        <x:v>1</x:v>
      </x:c>
      <x:c r="O1539" s="7" t="n">
        <x:v>0</x:v>
      </x:c>
      <x:c r="P1539" s="9" t="n">
        <x:v>8.66</x:v>
      </x:c>
      <x:c r="Q1539" s="7" t="n">
        <x:f>'Guide'!$B$5-L1539</x:f>
        <x:v>1</x:v>
      </x:c>
      <x:c r="R1539" s="9" t="n">
        <x:f>K1539-P1539</x:f>
        <x:v>1.3399999999999999</x:v>
      </x:c>
      <x:c r="S1539" s="10" t="n">
        <x:f>IF(K1539&gt;0,R1539/K1539,"")</x:f>
        <x:v>0.13399999999999998</x:v>
      </x:c>
    </x:row>
    <x:row r="1540">
      <x:c r="A1540" s="7" t="n">
        <x:v>1536</x:v>
      </x:c>
      <x:c r="B1540" s="7" t="str">
        <x:v>Tata</x:v>
      </x:c>
      <x:c r="C1540" s="7" t="str">
        <x:v>Altroz</x:v>
      </x:c>
      <x:c r="D1540" s="7" t="str">
        <x:v>XZA DCA</x:v>
      </x:c>
      <x:c r="E1540" s="7" t="str">
        <x:v>Petrol</x:v>
      </x:c>
      <x:c r="F1540" s="7" t="str">
        <x:v>Automatic</x:v>
      </x:c>
      <x:c r="G1540" s="7" t="str">
        <x:v>Hatchback</x:v>
      </x:c>
      <x:c r="H1540" s="7" t="n">
        <x:v>1199</x:v>
      </x:c>
      <x:c r="I1540" s="7" t="n">
        <x:v>87</x:v>
      </x:c>
      <x:c r="J1540" s="9" t="n">
        <x:v>18.5</x:v>
      </x:c>
      <x:c r="K1540" s="9" t="n">
        <x:v>10</x:v>
      </x:c>
      <x:c r="L1540" s="7" t="n">
        <x:v>2020</x:v>
      </x:c>
      <x:c r="M1540" s="11" t="n">
        <x:v>116076</x:v>
      </x:c>
      <x:c r="N1540" s="7" t="n">
        <x:v>1</x:v>
      </x:c>
      <x:c r="O1540" s="7" t="n">
        <x:v>0</x:v>
      </x:c>
      <x:c r="P1540" s="9" t="n">
        <x:v>4.08</x:v>
      </x:c>
      <x:c r="Q1540" s="7" t="n">
        <x:f>'Guide'!$B$5-L1540</x:f>
        <x:v>6</x:v>
      </x:c>
      <x:c r="R1540" s="9" t="n">
        <x:f>K1540-P1540</x:f>
        <x:v>5.92</x:v>
      </x:c>
      <x:c r="S1540" s="10" t="n">
        <x:f>IF(K1540&gt;0,R1540/K1540,"")</x:f>
        <x:v>0.592</x:v>
      </x:c>
    </x:row>
    <x:row r="1541">
      <x:c r="A1541" s="7" t="n">
        <x:v>1537</x:v>
      </x:c>
      <x:c r="B1541" s="7" t="str">
        <x:v>Tata</x:v>
      </x:c>
      <x:c r="C1541" s="7" t="str">
        <x:v>Altroz</x:v>
      </x:c>
      <x:c r="D1541" s="7" t="str">
        <x:v>XZA DCA</x:v>
      </x:c>
      <x:c r="E1541" s="7" t="str">
        <x:v>Petrol</x:v>
      </x:c>
      <x:c r="F1541" s="7" t="str">
        <x:v>Automatic</x:v>
      </x:c>
      <x:c r="G1541" s="7" t="str">
        <x:v>Hatchback</x:v>
      </x:c>
      <x:c r="H1541" s="7" t="n">
        <x:v>1199</x:v>
      </x:c>
      <x:c r="I1541" s="7" t="n">
        <x:v>87</x:v>
      </x:c>
      <x:c r="J1541" s="9" t="n">
        <x:v>18.5</x:v>
      </x:c>
      <x:c r="K1541" s="9" t="n">
        <x:v>10</x:v>
      </x:c>
      <x:c r="L1541" s="7" t="n">
        <x:v>2026</x:v>
      </x:c>
      <x:c r="M1541" s="11" t="n">
        <x:v>4662</x:v>
      </x:c>
      <x:c r="N1541" s="7" t="n">
        <x:v>3</x:v>
      </x:c>
      <x:c r="O1541" s="7" t="n">
        <x:v>1</x:v>
      </x:c>
      <x:c r="P1541" s="9" t="n">
        <x:v>8.23</x:v>
      </x:c>
      <x:c r="Q1541" s="7" t="n">
        <x:f>'Guide'!$B$5-L1541</x:f>
        <x:v>0</x:v>
      </x:c>
      <x:c r="R1541" s="9" t="n">
        <x:f>K1541-P1541</x:f>
        <x:v>1.7699999999999996</x:v>
      </x:c>
      <x:c r="S1541" s="10" t="n">
        <x:f>IF(K1541&gt;0,R1541/K1541,"")</x:f>
        <x:v>0.17699999999999996</x:v>
      </x:c>
    </x:row>
    <x:row r="1542">
      <x:c r="A1542" s="7" t="n">
        <x:v>1538</x:v>
      </x:c>
      <x:c r="B1542" s="7" t="str">
        <x:v>Tata</x:v>
      </x:c>
      <x:c r="C1542" s="7" t="str">
        <x:v>Altroz</x:v>
      </x:c>
      <x:c r="D1542" s="7" t="str">
        <x:v>XZA DCA</x:v>
      </x:c>
      <x:c r="E1542" s="7" t="str">
        <x:v>Petrol</x:v>
      </x:c>
      <x:c r="F1542" s="7" t="str">
        <x:v>Automatic</x:v>
      </x:c>
      <x:c r="G1542" s="7" t="str">
        <x:v>Hatchback</x:v>
      </x:c>
      <x:c r="H1542" s="7" t="n">
        <x:v>1199</x:v>
      </x:c>
      <x:c r="I1542" s="7" t="n">
        <x:v>87</x:v>
      </x:c>
      <x:c r="J1542" s="9" t="n">
        <x:v>18.5</x:v>
      </x:c>
      <x:c r="K1542" s="9" t="n">
        <x:v>10</x:v>
      </x:c>
      <x:c r="L1542" s="7" t="n">
        <x:v>2024</x:v>
      </x:c>
      <x:c r="M1542" s="11" t="n">
        <x:v>48786</x:v>
      </x:c>
      <x:c r="N1542" s="7" t="n">
        <x:v>1</x:v>
      </x:c>
      <x:c r="O1542" s="7" t="n">
        <x:v>0</x:v>
      </x:c>
      <x:c r="P1542" s="9" t="n">
        <x:v>7.63</x:v>
      </x:c>
      <x:c r="Q1542" s="7" t="n">
        <x:f>'Guide'!$B$5-L1542</x:f>
        <x:v>2</x:v>
      </x:c>
      <x:c r="R1542" s="9" t="n">
        <x:f>K1542-P1542</x:f>
        <x:v>2.37</x:v>
      </x:c>
      <x:c r="S1542" s="10" t="n">
        <x:f>IF(K1542&gt;0,R1542/K1542,"")</x:f>
        <x:v>0.23700000000000002</x:v>
      </x:c>
    </x:row>
    <x:row r="1543">
      <x:c r="A1543" s="7" t="n">
        <x:v>1539</x:v>
      </x:c>
      <x:c r="B1543" s="7" t="str">
        <x:v>Tata</x:v>
      </x:c>
      <x:c r="C1543" s="7" t="str">
        <x:v>Altroz</x:v>
      </x:c>
      <x:c r="D1543" s="7" t="str">
        <x:v>XZA DCA</x:v>
      </x:c>
      <x:c r="E1543" s="7" t="str">
        <x:v>Petrol</x:v>
      </x:c>
      <x:c r="F1543" s="7" t="str">
        <x:v>Automatic</x:v>
      </x:c>
      <x:c r="G1543" s="7" t="str">
        <x:v>Hatchback</x:v>
      </x:c>
      <x:c r="H1543" s="7" t="n">
        <x:v>1199</x:v>
      </x:c>
      <x:c r="I1543" s="7" t="n">
        <x:v>87</x:v>
      </x:c>
      <x:c r="J1543" s="9" t="n">
        <x:v>18.5</x:v>
      </x:c>
      <x:c r="K1543" s="9" t="n">
        <x:v>10</x:v>
      </x:c>
      <x:c r="L1543" s="7" t="n">
        <x:v>2023</x:v>
      </x:c>
      <x:c r="M1543" s="11" t="n">
        <x:v>33707</x:v>
      </x:c>
      <x:c r="N1543" s="7" t="n">
        <x:v>1</x:v>
      </x:c>
      <x:c r="O1543" s="7" t="n">
        <x:v>0</x:v>
      </x:c>
      <x:c r="P1543" s="9" t="n">
        <x:v>7.11</x:v>
      </x:c>
      <x:c r="Q1543" s="7" t="n">
        <x:f>'Guide'!$B$5-L1543</x:f>
        <x:v>3</x:v>
      </x:c>
      <x:c r="R1543" s="9" t="n">
        <x:f>K1543-P1543</x:f>
        <x:v>2.8899999999999997</x:v>
      </x:c>
      <x:c r="S1543" s="10" t="n">
        <x:f>IF(K1543&gt;0,R1543/K1543,"")</x:f>
        <x:v>0.289</x:v>
      </x:c>
    </x:row>
    <x:row r="1544">
      <x:c r="A1544" s="7" t="n">
        <x:v>1540</x:v>
      </x:c>
      <x:c r="B1544" s="7" t="str">
        <x:v>Tata</x:v>
      </x:c>
      <x:c r="C1544" s="7" t="str">
        <x:v>Altroz</x:v>
      </x:c>
      <x:c r="D1544" s="7" t="str">
        <x:v>XZA DCA</x:v>
      </x:c>
      <x:c r="E1544" s="7" t="str">
        <x:v>Petrol</x:v>
      </x:c>
      <x:c r="F1544" s="7" t="str">
        <x:v>Automatic</x:v>
      </x:c>
      <x:c r="G1544" s="7" t="str">
        <x:v>Hatchback</x:v>
      </x:c>
      <x:c r="H1544" s="7" t="n">
        <x:v>1199</x:v>
      </x:c>
      <x:c r="I1544" s="7" t="n">
        <x:v>87</x:v>
      </x:c>
      <x:c r="J1544" s="9" t="n">
        <x:v>18.5</x:v>
      </x:c>
      <x:c r="K1544" s="9" t="n">
        <x:v>10</x:v>
      </x:c>
      <x:c r="L1544" s="7" t="n">
        <x:v>2024</x:v>
      </x:c>
      <x:c r="M1544" s="11" t="n">
        <x:v>27801</x:v>
      </x:c>
      <x:c r="N1544" s="7" t="n">
        <x:v>2</x:v>
      </x:c>
      <x:c r="O1544" s="7" t="n">
        <x:v>1</x:v>
      </x:c>
      <x:c r="P1544" s="9" t="n">
        <x:v>6.95</x:v>
      </x:c>
      <x:c r="Q1544" s="7" t="n">
        <x:f>'Guide'!$B$5-L1544</x:f>
        <x:v>2</x:v>
      </x:c>
      <x:c r="R1544" s="9" t="n">
        <x:f>K1544-P1544</x:f>
        <x:v>3.05</x:v>
      </x:c>
      <x:c r="S1544" s="10" t="n">
        <x:f>IF(K1544&gt;0,R1544/K1544,"")</x:f>
        <x:v>0.305</x:v>
      </x:c>
    </x:row>
    <x:row r="1545">
      <x:c r="A1545" s="7" t="n">
        <x:v>1541</x:v>
      </x:c>
      <x:c r="B1545" s="7" t="str">
        <x:v>Tata</x:v>
      </x:c>
      <x:c r="C1545" s="7" t="str">
        <x:v>Altroz</x:v>
      </x:c>
      <x:c r="D1545" s="7" t="str">
        <x:v>XZA DCA</x:v>
      </x:c>
      <x:c r="E1545" s="7" t="str">
        <x:v>Petrol</x:v>
      </x:c>
      <x:c r="F1545" s="7" t="str">
        <x:v>Automatic</x:v>
      </x:c>
      <x:c r="G1545" s="7" t="str">
        <x:v>Hatchback</x:v>
      </x:c>
      <x:c r="H1545" s="7" t="n">
        <x:v>1199</x:v>
      </x:c>
      <x:c r="I1545" s="7" t="n">
        <x:v>87</x:v>
      </x:c>
      <x:c r="J1545" s="9" t="n">
        <x:v>18.5</x:v>
      </x:c>
      <x:c r="K1545" s="9" t="n">
        <x:v>10</x:v>
      </x:c>
      <x:c r="L1545" s="7" t="n">
        <x:v>2020</x:v>
      </x:c>
      <x:c r="M1545" s="11" t="n">
        <x:v>99929</x:v>
      </x:c>
      <x:c r="N1545" s="7" t="n">
        <x:v>1</x:v>
      </x:c>
      <x:c r="O1545" s="7" t="n">
        <x:v>0</x:v>
      </x:c>
      <x:c r="P1545" s="9" t="n">
        <x:v>3.66</x:v>
      </x:c>
      <x:c r="Q1545" s="7" t="n">
        <x:f>'Guide'!$B$5-L1545</x:f>
        <x:v>6</x:v>
      </x:c>
      <x:c r="R1545" s="9" t="n">
        <x:f>K1545-P1545</x:f>
        <x:v>6.34</x:v>
      </x:c>
      <x:c r="S1545" s="10" t="n">
        <x:f>IF(K1545&gt;0,R1545/K1545,"")</x:f>
        <x:v>0.634</x:v>
      </x:c>
    </x:row>
    <x:row r="1546">
      <x:c r="A1546" s="7" t="n">
        <x:v>1542</x:v>
      </x:c>
      <x:c r="B1546" s="7" t="str">
        <x:v>Tata</x:v>
      </x:c>
      <x:c r="C1546" s="7" t="str">
        <x:v>Altroz</x:v>
      </x:c>
      <x:c r="D1546" s="7" t="str">
        <x:v>XZA DCA</x:v>
      </x:c>
      <x:c r="E1546" s="7" t="str">
        <x:v>Petrol</x:v>
      </x:c>
      <x:c r="F1546" s="7" t="str">
        <x:v>Automatic</x:v>
      </x:c>
      <x:c r="G1546" s="7" t="str">
        <x:v>Hatchback</x:v>
      </x:c>
      <x:c r="H1546" s="7" t="n">
        <x:v>1199</x:v>
      </x:c>
      <x:c r="I1546" s="7" t="n">
        <x:v>87</x:v>
      </x:c>
      <x:c r="J1546" s="9" t="n">
        <x:v>18.5</x:v>
      </x:c>
      <x:c r="K1546" s="9" t="n">
        <x:v>10</x:v>
      </x:c>
      <x:c r="L1546" s="7" t="n">
        <x:v>2020</x:v>
      </x:c>
      <x:c r="M1546" s="11" t="n">
        <x:v>118152</x:v>
      </x:c>
      <x:c r="N1546" s="7" t="n">
        <x:v>1</x:v>
      </x:c>
      <x:c r="O1546" s="7" t="n">
        <x:v>0</x:v>
      </x:c>
      <x:c r="P1546" s="9" t="n">
        <x:v>3.57</x:v>
      </x:c>
      <x:c r="Q1546" s="7" t="n">
        <x:f>'Guide'!$B$5-L1546</x:f>
        <x:v>6</x:v>
      </x:c>
      <x:c r="R1546" s="9" t="n">
        <x:f>K1546-P1546</x:f>
        <x:v>6.43</x:v>
      </x:c>
      <x:c r="S1546" s="10" t="n">
        <x:f>IF(K1546&gt;0,R1546/K1546,"")</x:f>
        <x:v>0.643</x:v>
      </x:c>
    </x:row>
    <x:row r="1547">
      <x:c r="A1547" s="7" t="n">
        <x:v>1543</x:v>
      </x:c>
      <x:c r="B1547" s="7" t="str">
        <x:v>Tata</x:v>
      </x:c>
      <x:c r="C1547" s="7" t="str">
        <x:v>Altroz</x:v>
      </x:c>
      <x:c r="D1547" s="7" t="str">
        <x:v>XZA DCA</x:v>
      </x:c>
      <x:c r="E1547" s="7" t="str">
        <x:v>Petrol</x:v>
      </x:c>
      <x:c r="F1547" s="7" t="str">
        <x:v>Automatic</x:v>
      </x:c>
      <x:c r="G1547" s="7" t="str">
        <x:v>Hatchback</x:v>
      </x:c>
      <x:c r="H1547" s="7" t="n">
        <x:v>1199</x:v>
      </x:c>
      <x:c r="I1547" s="7" t="n">
        <x:v>87</x:v>
      </x:c>
      <x:c r="J1547" s="9" t="n">
        <x:v>18.5</x:v>
      </x:c>
      <x:c r="K1547" s="9" t="n">
        <x:v>10</x:v>
      </x:c>
      <x:c r="L1547" s="7" t="n">
        <x:v>2025</x:v>
      </x:c>
      <x:c r="M1547" s="11" t="n">
        <x:v>13219</x:v>
      </x:c>
      <x:c r="N1547" s="7" t="n">
        <x:v>1</x:v>
      </x:c>
      <x:c r="O1547" s="7" t="n">
        <x:v>0</x:v>
      </x:c>
      <x:c r="P1547" s="9" t="n">
        <x:v>9.06</x:v>
      </x:c>
      <x:c r="Q1547" s="7" t="n">
        <x:f>'Guide'!$B$5-L1547</x:f>
        <x:v>1</x:v>
      </x:c>
      <x:c r="R1547" s="9" t="n">
        <x:f>K1547-P1547</x:f>
        <x:v>0.9399999999999995</x:v>
      </x:c>
      <x:c r="S1547" s="10" t="n">
        <x:f>IF(K1547&gt;0,R1547/K1547,"")</x:f>
        <x:v>0.09399999999999994</x:v>
      </x:c>
    </x:row>
    <x:row r="1548">
      <x:c r="A1548" s="7" t="n">
        <x:v>1544</x:v>
      </x:c>
      <x:c r="B1548" s="7" t="str">
        <x:v>Tata</x:v>
      </x:c>
      <x:c r="C1548" s="7" t="str">
        <x:v>Altroz</x:v>
      </x:c>
      <x:c r="D1548" s="7" t="str">
        <x:v>XZA DCA</x:v>
      </x:c>
      <x:c r="E1548" s="7" t="str">
        <x:v>Petrol</x:v>
      </x:c>
      <x:c r="F1548" s="7" t="str">
        <x:v>Automatic</x:v>
      </x:c>
      <x:c r="G1548" s="7" t="str">
        <x:v>Hatchback</x:v>
      </x:c>
      <x:c r="H1548" s="7" t="n">
        <x:v>1199</x:v>
      </x:c>
      <x:c r="I1548" s="7" t="n">
        <x:v>87</x:v>
      </x:c>
      <x:c r="J1548" s="9" t="n">
        <x:v>18.5</x:v>
      </x:c>
      <x:c r="K1548" s="9" t="n">
        <x:v>10</x:v>
      </x:c>
      <x:c r="L1548" s="7" t="n">
        <x:v>2026</x:v>
      </x:c>
      <x:c r="M1548" s="11" t="n">
        <x:v>7270</x:v>
      </x:c>
      <x:c r="N1548" s="7" t="n">
        <x:v>1</x:v>
      </x:c>
      <x:c r="O1548" s="7" t="n">
        <x:v>0</x:v>
      </x:c>
      <x:c r="P1548" s="9" t="n">
        <x:v>10.04</x:v>
      </x:c>
      <x:c r="Q1548" s="7" t="n">
        <x:f>'Guide'!$B$5-L1548</x:f>
        <x:v>0</x:v>
      </x:c>
      <x:c r="R1548" s="9" t="n">
        <x:f>K1548-P1548</x:f>
        <x:v>-0.03999999999999915</x:v>
      </x:c>
      <x:c r="S1548" s="10" t="n">
        <x:f>IF(K1548&gt;0,R1548/K1548,"")</x:f>
        <x:v>-0.003999999999999915</x:v>
      </x:c>
    </x:row>
    <x:row r="1549">
      <x:c r="A1549" s="7" t="n">
        <x:v>1545</x:v>
      </x:c>
      <x:c r="B1549" s="7" t="str">
        <x:v>Tata</x:v>
      </x:c>
      <x:c r="C1549" s="7" t="str">
        <x:v>Altroz</x:v>
      </x:c>
      <x:c r="D1549" s="7" t="str">
        <x:v>XZA DCA</x:v>
      </x:c>
      <x:c r="E1549" s="7" t="str">
        <x:v>Petrol</x:v>
      </x:c>
      <x:c r="F1549" s="7" t="str">
        <x:v>Automatic</x:v>
      </x:c>
      <x:c r="G1549" s="7" t="str">
        <x:v>Hatchback</x:v>
      </x:c>
      <x:c r="H1549" s="7" t="n">
        <x:v>1199</x:v>
      </x:c>
      <x:c r="I1549" s="7" t="n">
        <x:v>87</x:v>
      </x:c>
      <x:c r="J1549" s="9" t="n">
        <x:v>18.5</x:v>
      </x:c>
      <x:c r="K1549" s="9" t="n">
        <x:v>10</x:v>
      </x:c>
      <x:c r="L1549" s="7" t="n">
        <x:v>2020</x:v>
      </x:c>
      <x:c r="M1549" s="11" t="n">
        <x:v>105875</x:v>
      </x:c>
      <x:c r="N1549" s="7" t="n">
        <x:v>1</x:v>
      </x:c>
      <x:c r="O1549" s="7" t="n">
        <x:v>0</x:v>
      </x:c>
      <x:c r="P1549" s="9" t="n">
        <x:v>4.11</x:v>
      </x:c>
      <x:c r="Q1549" s="7" t="n">
        <x:f>'Guide'!$B$5-L1549</x:f>
        <x:v>6</x:v>
      </x:c>
      <x:c r="R1549" s="9" t="n">
        <x:f>K1549-P1549</x:f>
        <x:v>5.89</x:v>
      </x:c>
      <x:c r="S1549" s="10" t="n">
        <x:f>IF(K1549&gt;0,R1549/K1549,"")</x:f>
        <x:v>0.589</x:v>
      </x:c>
    </x:row>
    <x:row r="1550">
      <x:c r="A1550" s="7" t="n">
        <x:v>1546</x:v>
      </x:c>
      <x:c r="B1550" s="7" t="str">
        <x:v>Tata</x:v>
      </x:c>
      <x:c r="C1550" s="7" t="str">
        <x:v>Altroz</x:v>
      </x:c>
      <x:c r="D1550" s="7" t="str">
        <x:v>XZA DCA</x:v>
      </x:c>
      <x:c r="E1550" s="7" t="str">
        <x:v>Petrol</x:v>
      </x:c>
      <x:c r="F1550" s="7" t="str">
        <x:v>Automatic</x:v>
      </x:c>
      <x:c r="G1550" s="7" t="str">
        <x:v>Hatchback</x:v>
      </x:c>
      <x:c r="H1550" s="7" t="n">
        <x:v>1199</x:v>
      </x:c>
      <x:c r="I1550" s="7" t="n">
        <x:v>87</x:v>
      </x:c>
      <x:c r="J1550" s="9" t="n">
        <x:v>18.5</x:v>
      </x:c>
      <x:c r="K1550" s="9" t="n">
        <x:v>10</x:v>
      </x:c>
      <x:c r="L1550" s="7" t="n">
        <x:v>2026</x:v>
      </x:c>
      <x:c r="M1550" s="11" t="n">
        <x:v>8748</x:v>
      </x:c>
      <x:c r="N1550" s="7" t="n">
        <x:v>2</x:v>
      </x:c>
      <x:c r="O1550" s="7" t="n">
        <x:v>0</x:v>
      </x:c>
      <x:c r="P1550" s="9" t="n">
        <x:v>9.66</x:v>
      </x:c>
      <x:c r="Q1550" s="7" t="n">
        <x:f>'Guide'!$B$5-L1550</x:f>
        <x:v>0</x:v>
      </x:c>
      <x:c r="R1550" s="9" t="n">
        <x:f>K1550-P1550</x:f>
        <x:v>0.33999999999999986</x:v>
      </x:c>
      <x:c r="S1550" s="10" t="n">
        <x:f>IF(K1550&gt;0,R1550/K1550,"")</x:f>
        <x:v>0.03399999999999999</x:v>
      </x:c>
    </x:row>
    <x:row r="1551">
      <x:c r="A1551" s="7" t="n">
        <x:v>1547</x:v>
      </x:c>
      <x:c r="B1551" s="7" t="str">
        <x:v>Tata</x:v>
      </x:c>
      <x:c r="C1551" s="7" t="str">
        <x:v>Altroz</x:v>
      </x:c>
      <x:c r="D1551" s="7" t="str">
        <x:v>XZA DCA</x:v>
      </x:c>
      <x:c r="E1551" s="7" t="str">
        <x:v>Petrol</x:v>
      </x:c>
      <x:c r="F1551" s="7" t="str">
        <x:v>Automatic</x:v>
      </x:c>
      <x:c r="G1551" s="7" t="str">
        <x:v>Hatchback</x:v>
      </x:c>
      <x:c r="H1551" s="7" t="n">
        <x:v>1199</x:v>
      </x:c>
      <x:c r="I1551" s="7" t="n">
        <x:v>87</x:v>
      </x:c>
      <x:c r="J1551" s="9" t="n">
        <x:v>18.5</x:v>
      </x:c>
      <x:c r="K1551" s="9" t="n">
        <x:v>10</x:v>
      </x:c>
      <x:c r="L1551" s="7" t="n">
        <x:v>2022</x:v>
      </x:c>
      <x:c r="M1551" s="11" t="n">
        <x:v>75701</x:v>
      </x:c>
      <x:c r="N1551" s="7" t="n">
        <x:v>1</x:v>
      </x:c>
      <x:c r="O1551" s="7" t="n">
        <x:v>0</x:v>
      </x:c>
      <x:c r="P1551" s="9" t="n">
        <x:v>6.09</x:v>
      </x:c>
      <x:c r="Q1551" s="7" t="n">
        <x:f>'Guide'!$B$5-L1551</x:f>
        <x:v>4</x:v>
      </x:c>
      <x:c r="R1551" s="9" t="n">
        <x:f>K1551-P1551</x:f>
        <x:v>3.91</x:v>
      </x:c>
      <x:c r="S1551" s="10" t="n">
        <x:f>IF(K1551&gt;0,R1551/K1551,"")</x:f>
        <x:v>0.391</x:v>
      </x:c>
    </x:row>
    <x:row r="1552">
      <x:c r="A1552" s="7" t="n">
        <x:v>1548</x:v>
      </x:c>
      <x:c r="B1552" s="7" t="str">
        <x:v>Tata</x:v>
      </x:c>
      <x:c r="C1552" s="7" t="str">
        <x:v>Altroz</x:v>
      </x:c>
      <x:c r="D1552" s="7" t="str">
        <x:v>XZA DCA</x:v>
      </x:c>
      <x:c r="E1552" s="7" t="str">
        <x:v>Petrol</x:v>
      </x:c>
      <x:c r="F1552" s="7" t="str">
        <x:v>Automatic</x:v>
      </x:c>
      <x:c r="G1552" s="7" t="str">
        <x:v>Hatchback</x:v>
      </x:c>
      <x:c r="H1552" s="7" t="n">
        <x:v>1199</x:v>
      </x:c>
      <x:c r="I1552" s="7" t="n">
        <x:v>87</x:v>
      </x:c>
      <x:c r="J1552" s="9" t="n">
        <x:v>18.5</x:v>
      </x:c>
      <x:c r="K1552" s="9" t="n">
        <x:v>10</x:v>
      </x:c>
      <x:c r="L1552" s="7" t="n">
        <x:v>2022</x:v>
      </x:c>
      <x:c r="M1552" s="11" t="n">
        <x:v>47353</x:v>
      </x:c>
      <x:c r="N1552" s="7" t="n">
        <x:v>2</x:v>
      </x:c>
      <x:c r="O1552" s="7" t="n">
        <x:v>0</x:v>
      </x:c>
      <x:c r="P1552" s="9" t="n">
        <x:v>6.13</x:v>
      </x:c>
      <x:c r="Q1552" s="7" t="n">
        <x:f>'Guide'!$B$5-L1552</x:f>
        <x:v>4</x:v>
      </x:c>
      <x:c r="R1552" s="9" t="n">
        <x:f>K1552-P1552</x:f>
        <x:v>3.87</x:v>
      </x:c>
      <x:c r="S1552" s="10" t="n">
        <x:f>IF(K1552&gt;0,R1552/K1552,"")</x:f>
        <x:v>0.387</x:v>
      </x:c>
    </x:row>
    <x:row r="1553">
      <x:c r="A1553" s="7" t="n">
        <x:v>1549</x:v>
      </x:c>
      <x:c r="B1553" s="7" t="str">
        <x:v>Tata</x:v>
      </x:c>
      <x:c r="C1553" s="7" t="str">
        <x:v>Altroz</x:v>
      </x:c>
      <x:c r="D1553" s="7" t="str">
        <x:v>XZA DCA</x:v>
      </x:c>
      <x:c r="E1553" s="7" t="str">
        <x:v>Petrol</x:v>
      </x:c>
      <x:c r="F1553" s="7" t="str">
        <x:v>Automatic</x:v>
      </x:c>
      <x:c r="G1553" s="7" t="str">
        <x:v>Hatchback</x:v>
      </x:c>
      <x:c r="H1553" s="7" t="n">
        <x:v>1199</x:v>
      </x:c>
      <x:c r="I1553" s="7" t="n">
        <x:v>87</x:v>
      </x:c>
      <x:c r="J1553" s="9" t="n">
        <x:v>18.5</x:v>
      </x:c>
      <x:c r="K1553" s="9" t="n">
        <x:v>10</x:v>
      </x:c>
      <x:c r="L1553" s="7" t="n">
        <x:v>2023</x:v>
      </x:c>
      <x:c r="M1553" s="11" t="n">
        <x:v>35633</x:v>
      </x:c>
      <x:c r="N1553" s="7" t="n">
        <x:v>1</x:v>
      </x:c>
      <x:c r="O1553" s="7" t="n">
        <x:v>1</x:v>
      </x:c>
      <x:c r="P1553" s="9" t="n">
        <x:v>6.1</x:v>
      </x:c>
      <x:c r="Q1553" s="7" t="n">
        <x:f>'Guide'!$B$5-L1553</x:f>
        <x:v>3</x:v>
      </x:c>
      <x:c r="R1553" s="9" t="n">
        <x:f>K1553-P1553</x:f>
        <x:v>3.9000000000000004</x:v>
      </x:c>
      <x:c r="S1553" s="10" t="n">
        <x:f>IF(K1553&gt;0,R1553/K1553,"")</x:f>
        <x:v>0.39</x:v>
      </x:c>
    </x:row>
    <x:row r="1554">
      <x:c r="A1554" s="7" t="n">
        <x:v>1550</x:v>
      </x:c>
      <x:c r="B1554" s="7" t="str">
        <x:v>Tata</x:v>
      </x:c>
      <x:c r="C1554" s="7" t="str">
        <x:v>Altroz</x:v>
      </x:c>
      <x:c r="D1554" s="7" t="str">
        <x:v>XZA DCA</x:v>
      </x:c>
      <x:c r="E1554" s="7" t="str">
        <x:v>Petrol</x:v>
      </x:c>
      <x:c r="F1554" s="7" t="str">
        <x:v>Automatic</x:v>
      </x:c>
      <x:c r="G1554" s="7" t="str">
        <x:v>Hatchback</x:v>
      </x:c>
      <x:c r="H1554" s="7" t="n">
        <x:v>1199</x:v>
      </x:c>
      <x:c r="I1554" s="7" t="n">
        <x:v>87</x:v>
      </x:c>
      <x:c r="J1554" s="9" t="n">
        <x:v>18.5</x:v>
      </x:c>
      <x:c r="K1554" s="9" t="n">
        <x:v>10</x:v>
      </x:c>
      <x:c r="L1554" s="7" t="n">
        <x:v>2020</x:v>
      </x:c>
      <x:c r="M1554" s="11" t="n">
        <x:v>65644</x:v>
      </x:c>
      <x:c r="N1554" s="7" t="n">
        <x:v>2</x:v>
      </x:c>
      <x:c r="O1554" s="7" t="n">
        <x:v>0</x:v>
      </x:c>
      <x:c r="P1554" s="9" t="n">
        <x:v>3.78</x:v>
      </x:c>
      <x:c r="Q1554" s="7" t="n">
        <x:f>'Guide'!$B$5-L1554</x:f>
        <x:v>6</x:v>
      </x:c>
      <x:c r="R1554" s="9" t="n">
        <x:f>K1554-P1554</x:f>
        <x:v>6.220000000000001</x:v>
      </x:c>
      <x:c r="S1554" s="10" t="n">
        <x:f>IF(K1554&gt;0,R1554/K1554,"")</x:f>
        <x:v>0.6220000000000001</x:v>
      </x:c>
    </x:row>
    <x:row r="1555">
      <x:c r="A1555" s="7" t="n">
        <x:v>1551</x:v>
      </x:c>
      <x:c r="B1555" s="7" t="str">
        <x:v>Tata</x:v>
      </x:c>
      <x:c r="C1555" s="7" t="str">
        <x:v>Altroz</x:v>
      </x:c>
      <x:c r="D1555" s="7" t="str">
        <x:v>XZA DCA</x:v>
      </x:c>
      <x:c r="E1555" s="7" t="str">
        <x:v>Petrol</x:v>
      </x:c>
      <x:c r="F1555" s="7" t="str">
        <x:v>Automatic</x:v>
      </x:c>
      <x:c r="G1555" s="7" t="str">
        <x:v>Hatchback</x:v>
      </x:c>
      <x:c r="H1555" s="7" t="n">
        <x:v>1199</x:v>
      </x:c>
      <x:c r="I1555" s="7" t="n">
        <x:v>87</x:v>
      </x:c>
      <x:c r="J1555" s="9" t="n">
        <x:v>18.5</x:v>
      </x:c>
      <x:c r="K1555" s="9" t="n">
        <x:v>10</x:v>
      </x:c>
      <x:c r="L1555" s="7" t="n">
        <x:v>2025</x:v>
      </x:c>
      <x:c r="M1555" s="11" t="n">
        <x:v>16523</x:v>
      </x:c>
      <x:c r="N1555" s="7" t="n">
        <x:v>1</x:v>
      </x:c>
      <x:c r="O1555" s="7" t="n">
        <x:v>1</x:v>
      </x:c>
      <x:c r="P1555" s="9" t="n">
        <x:v>8.45</x:v>
      </x:c>
      <x:c r="Q1555" s="7" t="n">
        <x:f>'Guide'!$B$5-L1555</x:f>
        <x:v>1</x:v>
      </x:c>
      <x:c r="R1555" s="9" t="n">
        <x:f>K1555-P1555</x:f>
        <x:v>1.5500000000000007</x:v>
      </x:c>
      <x:c r="S1555" s="10" t="n">
        <x:f>IF(K1555&gt;0,R1555/K1555,"")</x:f>
        <x:v>0.15500000000000008</x:v>
      </x:c>
    </x:row>
    <x:row r="1556">
      <x:c r="A1556" s="7" t="n">
        <x:v>1552</x:v>
      </x:c>
      <x:c r="B1556" s="7" t="str">
        <x:v>Tata</x:v>
      </x:c>
      <x:c r="C1556" s="7" t="str">
        <x:v>Altroz</x:v>
      </x:c>
      <x:c r="D1556" s="7" t="str">
        <x:v>XZA DCA</x:v>
      </x:c>
      <x:c r="E1556" s="7" t="str">
        <x:v>Petrol</x:v>
      </x:c>
      <x:c r="F1556" s="7" t="str">
        <x:v>Automatic</x:v>
      </x:c>
      <x:c r="G1556" s="7" t="str">
        <x:v>Hatchback</x:v>
      </x:c>
      <x:c r="H1556" s="7" t="n">
        <x:v>1199</x:v>
      </x:c>
      <x:c r="I1556" s="7" t="n">
        <x:v>87</x:v>
      </x:c>
      <x:c r="J1556" s="9" t="n">
        <x:v>18.5</x:v>
      </x:c>
      <x:c r="K1556" s="9" t="n">
        <x:v>10</x:v>
      </x:c>
      <x:c r="L1556" s="7" t="n">
        <x:v>2020</x:v>
      </x:c>
      <x:c r="M1556" s="11" t="n">
        <x:v>128697</x:v>
      </x:c>
      <x:c r="N1556" s="7" t="n">
        <x:v>1</x:v>
      </x:c>
      <x:c r="O1556" s="7" t="n">
        <x:v>0</x:v>
      </x:c>
      <x:c r="P1556" s="9" t="n">
        <x:v>3.73</x:v>
      </x:c>
      <x:c r="Q1556" s="7" t="n">
        <x:f>'Guide'!$B$5-L1556</x:f>
        <x:v>6</x:v>
      </x:c>
      <x:c r="R1556" s="9" t="n">
        <x:f>K1556-P1556</x:f>
        <x:v>6.27</x:v>
      </x:c>
      <x:c r="S1556" s="10" t="n">
        <x:f>IF(K1556&gt;0,R1556/K1556,"")</x:f>
        <x:v>0.627</x:v>
      </x:c>
    </x:row>
    <x:row r="1557">
      <x:c r="A1557" s="7" t="n">
        <x:v>1553</x:v>
      </x:c>
      <x:c r="B1557" s="7" t="str">
        <x:v>Tata</x:v>
      </x:c>
      <x:c r="C1557" s="7" t="str">
        <x:v>Altroz</x:v>
      </x:c>
      <x:c r="D1557" s="7" t="str">
        <x:v>XZA DCA</x:v>
      </x:c>
      <x:c r="E1557" s="7" t="str">
        <x:v>Petrol</x:v>
      </x:c>
      <x:c r="F1557" s="7" t="str">
        <x:v>Automatic</x:v>
      </x:c>
      <x:c r="G1557" s="7" t="str">
        <x:v>Hatchback</x:v>
      </x:c>
      <x:c r="H1557" s="7" t="n">
        <x:v>1199</x:v>
      </x:c>
      <x:c r="I1557" s="7" t="n">
        <x:v>87</x:v>
      </x:c>
      <x:c r="J1557" s="9" t="n">
        <x:v>18.5</x:v>
      </x:c>
      <x:c r="K1557" s="9" t="n">
        <x:v>10</x:v>
      </x:c>
      <x:c r="L1557" s="7" t="n">
        <x:v>2025</x:v>
      </x:c>
      <x:c r="M1557" s="11" t="n">
        <x:v>26401</x:v>
      </x:c>
      <x:c r="N1557" s="7" t="n">
        <x:v>2</x:v>
      </x:c>
      <x:c r="O1557" s="7" t="n">
        <x:v>0</x:v>
      </x:c>
      <x:c r="P1557" s="9" t="n">
        <x:v>8.26</x:v>
      </x:c>
      <x:c r="Q1557" s="7" t="n">
        <x:f>'Guide'!$B$5-L1557</x:f>
        <x:v>1</x:v>
      </x:c>
      <x:c r="R1557" s="9" t="n">
        <x:f>K1557-P1557</x:f>
        <x:v>1.7400000000000002</x:v>
      </x:c>
      <x:c r="S1557" s="10" t="n">
        <x:f>IF(K1557&gt;0,R1557/K1557,"")</x:f>
        <x:v>0.17400000000000002</x:v>
      </x:c>
    </x:row>
    <x:row r="1558">
      <x:c r="A1558" s="7" t="n">
        <x:v>1554</x:v>
      </x:c>
      <x:c r="B1558" s="7" t="str">
        <x:v>Tata</x:v>
      </x:c>
      <x:c r="C1558" s="7" t="str">
        <x:v>Altroz</x:v>
      </x:c>
      <x:c r="D1558" s="7" t="str">
        <x:v>XZA DCA</x:v>
      </x:c>
      <x:c r="E1558" s="7" t="str">
        <x:v>Petrol</x:v>
      </x:c>
      <x:c r="F1558" s="7" t="str">
        <x:v>Automatic</x:v>
      </x:c>
      <x:c r="G1558" s="7" t="str">
        <x:v>Hatchback</x:v>
      </x:c>
      <x:c r="H1558" s="7" t="n">
        <x:v>1199</x:v>
      </x:c>
      <x:c r="I1558" s="7" t="n">
        <x:v>87</x:v>
      </x:c>
      <x:c r="J1558" s="9" t="n">
        <x:v>18.5</x:v>
      </x:c>
      <x:c r="K1558" s="9" t="n">
        <x:v>10</x:v>
      </x:c>
      <x:c r="L1558" s="7" t="n">
        <x:v>2025</x:v>
      </x:c>
      <x:c r="M1558" s="11" t="n">
        <x:v>25561</x:v>
      </x:c>
      <x:c r="N1558" s="7" t="n">
        <x:v>2</x:v>
      </x:c>
      <x:c r="O1558" s="7" t="n">
        <x:v>0</x:v>
      </x:c>
      <x:c r="P1558" s="9" t="n">
        <x:v>8.71</x:v>
      </x:c>
      <x:c r="Q1558" s="7" t="n">
        <x:f>'Guide'!$B$5-L1558</x:f>
        <x:v>1</x:v>
      </x:c>
      <x:c r="R1558" s="9" t="n">
        <x:f>K1558-P1558</x:f>
        <x:v>1.2899999999999991</x:v>
      </x:c>
      <x:c r="S1558" s="10" t="n">
        <x:f>IF(K1558&gt;0,R1558/K1558,"")</x:f>
        <x:v>0.12899999999999992</x:v>
      </x:c>
    </x:row>
    <x:row r="1559">
      <x:c r="A1559" s="7" t="n">
        <x:v>1555</x:v>
      </x:c>
      <x:c r="B1559" s="7" t="str">
        <x:v>Tata</x:v>
      </x:c>
      <x:c r="C1559" s="7" t="str">
        <x:v>Altroz</x:v>
      </x:c>
      <x:c r="D1559" s="7" t="str">
        <x:v>XZA DCA</x:v>
      </x:c>
      <x:c r="E1559" s="7" t="str">
        <x:v>Petrol</x:v>
      </x:c>
      <x:c r="F1559" s="7" t="str">
        <x:v>Automatic</x:v>
      </x:c>
      <x:c r="G1559" s="7" t="str">
        <x:v>Hatchback</x:v>
      </x:c>
      <x:c r="H1559" s="7" t="n">
        <x:v>1199</x:v>
      </x:c>
      <x:c r="I1559" s="7" t="n">
        <x:v>87</x:v>
      </x:c>
      <x:c r="J1559" s="9" t="n">
        <x:v>18.5</x:v>
      </x:c>
      <x:c r="K1559" s="9" t="n">
        <x:v>10</x:v>
      </x:c>
      <x:c r="L1559" s="7" t="n">
        <x:v>2023</x:v>
      </x:c>
      <x:c r="M1559" s="11" t="n">
        <x:v>38995</x:v>
      </x:c>
      <x:c r="N1559" s="7" t="n">
        <x:v>1</x:v>
      </x:c>
      <x:c r="O1559" s="7" t="n">
        <x:v>1</x:v>
      </x:c>
      <x:c r="P1559" s="9" t="n">
        <x:v>6.57</x:v>
      </x:c>
      <x:c r="Q1559" s="7" t="n">
        <x:f>'Guide'!$B$5-L1559</x:f>
        <x:v>3</x:v>
      </x:c>
      <x:c r="R1559" s="9" t="n">
        <x:f>K1559-P1559</x:f>
        <x:v>3.4299999999999997</x:v>
      </x:c>
      <x:c r="S1559" s="10" t="n">
        <x:f>IF(K1559&gt;0,R1559/K1559,"")</x:f>
        <x:v>0.34299999999999997</x:v>
      </x:c>
    </x:row>
    <x:row r="1560">
      <x:c r="A1560" s="7" t="n">
        <x:v>1556</x:v>
      </x:c>
      <x:c r="B1560" s="7" t="str">
        <x:v>Tata</x:v>
      </x:c>
      <x:c r="C1560" s="7" t="str">
        <x:v>Altroz</x:v>
      </x:c>
      <x:c r="D1560" s="7" t="str">
        <x:v>XZA DCA</x:v>
      </x:c>
      <x:c r="E1560" s="7" t="str">
        <x:v>Petrol</x:v>
      </x:c>
      <x:c r="F1560" s="7" t="str">
        <x:v>Automatic</x:v>
      </x:c>
      <x:c r="G1560" s="7" t="str">
        <x:v>Hatchback</x:v>
      </x:c>
      <x:c r="H1560" s="7" t="n">
        <x:v>1199</x:v>
      </x:c>
      <x:c r="I1560" s="7" t="n">
        <x:v>87</x:v>
      </x:c>
      <x:c r="J1560" s="9" t="n">
        <x:v>18.5</x:v>
      </x:c>
      <x:c r="K1560" s="9" t="n">
        <x:v>10</x:v>
      </x:c>
      <x:c r="L1560" s="7" t="n">
        <x:v>2022</x:v>
      </x:c>
      <x:c r="M1560" s="11" t="n">
        <x:v>49929</x:v>
      </x:c>
      <x:c r="N1560" s="7" t="n">
        <x:v>1</x:v>
      </x:c>
      <x:c r="O1560" s="7" t="n">
        <x:v>0</x:v>
      </x:c>
      <x:c r="P1560" s="9" t="n">
        <x:v>6.51</x:v>
      </x:c>
      <x:c r="Q1560" s="7" t="n">
        <x:f>'Guide'!$B$5-L1560</x:f>
        <x:v>4</x:v>
      </x:c>
      <x:c r="R1560" s="9" t="n">
        <x:f>K1560-P1560</x:f>
        <x:v>3.49</x:v>
      </x:c>
      <x:c r="S1560" s="10" t="n">
        <x:f>IF(K1560&gt;0,R1560/K1560,"")</x:f>
        <x:v>0.34900000000000003</x:v>
      </x:c>
    </x:row>
    <x:row r="1561">
      <x:c r="A1561" s="7" t="n">
        <x:v>1557</x:v>
      </x:c>
      <x:c r="B1561" s="7" t="str">
        <x:v>Tata</x:v>
      </x:c>
      <x:c r="C1561" s="7" t="str">
        <x:v>Altroz</x:v>
      </x:c>
      <x:c r="D1561" s="7" t="str">
        <x:v>XZA DCA</x:v>
      </x:c>
      <x:c r="E1561" s="7" t="str">
        <x:v>Petrol</x:v>
      </x:c>
      <x:c r="F1561" s="7" t="str">
        <x:v>Automatic</x:v>
      </x:c>
      <x:c r="G1561" s="7" t="str">
        <x:v>Hatchback</x:v>
      </x:c>
      <x:c r="H1561" s="7" t="n">
        <x:v>1199</x:v>
      </x:c>
      <x:c r="I1561" s="7" t="n">
        <x:v>87</x:v>
      </x:c>
      <x:c r="J1561" s="9" t="n">
        <x:v>18.5</x:v>
      </x:c>
      <x:c r="K1561" s="9" t="n">
        <x:v>10</x:v>
      </x:c>
      <x:c r="L1561" s="7" t="n">
        <x:v>2020</x:v>
      </x:c>
      <x:c r="M1561" s="11" t="n">
        <x:v>91471</x:v>
      </x:c>
      <x:c r="N1561" s="7" t="n">
        <x:v>2</x:v>
      </x:c>
      <x:c r="O1561" s="7" t="n">
        <x:v>0</x:v>
      </x:c>
      <x:c r="P1561" s="9" t="n">
        <x:v>3.99</x:v>
      </x:c>
      <x:c r="Q1561" s="7" t="n">
        <x:f>'Guide'!$B$5-L1561</x:f>
        <x:v>6</x:v>
      </x:c>
      <x:c r="R1561" s="9" t="n">
        <x:f>K1561-P1561</x:f>
        <x:v>6.01</x:v>
      </x:c>
      <x:c r="S1561" s="10" t="n">
        <x:f>IF(K1561&gt;0,R1561/K1561,"")</x:f>
        <x:v>0.601</x:v>
      </x:c>
    </x:row>
    <x:row r="1562">
      <x:c r="A1562" s="7" t="n">
        <x:v>1558</x:v>
      </x:c>
      <x:c r="B1562" s="7" t="str">
        <x:v>Tata</x:v>
      </x:c>
      <x:c r="C1562" s="7" t="str">
        <x:v>Altroz</x:v>
      </x:c>
      <x:c r="D1562" s="7" t="str">
        <x:v>XZA DCA</x:v>
      </x:c>
      <x:c r="E1562" s="7" t="str">
        <x:v>Petrol</x:v>
      </x:c>
      <x:c r="F1562" s="7" t="str">
        <x:v>Automatic</x:v>
      </x:c>
      <x:c r="G1562" s="7" t="str">
        <x:v>Hatchback</x:v>
      </x:c>
      <x:c r="H1562" s="7" t="n">
        <x:v>1199</x:v>
      </x:c>
      <x:c r="I1562" s="7" t="n">
        <x:v>87</x:v>
      </x:c>
      <x:c r="J1562" s="9" t="n">
        <x:v>18.5</x:v>
      </x:c>
      <x:c r="K1562" s="9" t="n">
        <x:v>10</x:v>
      </x:c>
      <x:c r="L1562" s="7" t="n">
        <x:v>2026</x:v>
      </x:c>
      <x:c r="M1562" s="11" t="n">
        <x:v>8971</x:v>
      </x:c>
      <x:c r="N1562" s="7" t="n">
        <x:v>1</x:v>
      </x:c>
      <x:c r="O1562" s="7" t="n">
        <x:v>0</x:v>
      </x:c>
      <x:c r="P1562" s="9" t="n">
        <x:v>9.56</x:v>
      </x:c>
      <x:c r="Q1562" s="7" t="n">
        <x:f>'Guide'!$B$5-L1562</x:f>
        <x:v>0</x:v>
      </x:c>
      <x:c r="R1562" s="9" t="n">
        <x:f>K1562-P1562</x:f>
        <x:v>0.4399999999999995</x:v>
      </x:c>
      <x:c r="S1562" s="10" t="n">
        <x:f>IF(K1562&gt;0,R1562/K1562,"")</x:f>
        <x:v>0.04399999999999995</x:v>
      </x:c>
    </x:row>
    <x:row r="1563">
      <x:c r="A1563" s="7" t="n">
        <x:v>1559</x:v>
      </x:c>
      <x:c r="B1563" s="7" t="str">
        <x:v>Tata</x:v>
      </x:c>
      <x:c r="C1563" s="7" t="str">
        <x:v>Altroz</x:v>
      </x:c>
      <x:c r="D1563" s="7" t="str">
        <x:v>XZA DCA</x:v>
      </x:c>
      <x:c r="E1563" s="7" t="str">
        <x:v>Petrol</x:v>
      </x:c>
      <x:c r="F1563" s="7" t="str">
        <x:v>Automatic</x:v>
      </x:c>
      <x:c r="G1563" s="7" t="str">
        <x:v>Hatchback</x:v>
      </x:c>
      <x:c r="H1563" s="7" t="n">
        <x:v>1199</x:v>
      </x:c>
      <x:c r="I1563" s="7" t="n">
        <x:v>87</x:v>
      </x:c>
      <x:c r="J1563" s="9" t="n">
        <x:v>18.5</x:v>
      </x:c>
      <x:c r="K1563" s="9" t="n">
        <x:v>10</x:v>
      </x:c>
      <x:c r="L1563" s="7" t="n">
        <x:v>2020</x:v>
      </x:c>
      <x:c r="M1563" s="11" t="n">
        <x:v>119781</x:v>
      </x:c>
      <x:c r="N1563" s="7" t="n">
        <x:v>1</x:v>
      </x:c>
      <x:c r="O1563" s="7" t="n">
        <x:v>0</x:v>
      </x:c>
      <x:c r="P1563" s="9" t="n">
        <x:v>3.37</x:v>
      </x:c>
      <x:c r="Q1563" s="7" t="n">
        <x:f>'Guide'!$B$5-L1563</x:f>
        <x:v>6</x:v>
      </x:c>
      <x:c r="R1563" s="9" t="n">
        <x:f>K1563-P1563</x:f>
        <x:v>6.63</x:v>
      </x:c>
      <x:c r="S1563" s="10" t="n">
        <x:f>IF(K1563&gt;0,R1563/K1563,"")</x:f>
        <x:v>0.663</x:v>
      </x:c>
    </x:row>
    <x:row r="1564">
      <x:c r="A1564" s="7" t="n">
        <x:v>1560</x:v>
      </x:c>
      <x:c r="B1564" s="7" t="str">
        <x:v>Tata</x:v>
      </x:c>
      <x:c r="C1564" s="7" t="str">
        <x:v>Altroz</x:v>
      </x:c>
      <x:c r="D1564" s="7" t="str">
        <x:v>XZA DCA</x:v>
      </x:c>
      <x:c r="E1564" s="7" t="str">
        <x:v>Petrol</x:v>
      </x:c>
      <x:c r="F1564" s="7" t="str">
        <x:v>Automatic</x:v>
      </x:c>
      <x:c r="G1564" s="7" t="str">
        <x:v>Hatchback</x:v>
      </x:c>
      <x:c r="H1564" s="7" t="n">
        <x:v>1199</x:v>
      </x:c>
      <x:c r="I1564" s="7" t="n">
        <x:v>87</x:v>
      </x:c>
      <x:c r="J1564" s="9" t="n">
        <x:v>18.5</x:v>
      </x:c>
      <x:c r="K1564" s="9" t="n">
        <x:v>10</x:v>
      </x:c>
      <x:c r="L1564" s="7" t="n">
        <x:v>2021</x:v>
      </x:c>
      <x:c r="M1564" s="11" t="n">
        <x:v>60153</x:v>
      </x:c>
      <x:c r="N1564" s="7" t="n">
        <x:v>1</x:v>
      </x:c>
      <x:c r="O1564" s="7" t="n">
        <x:v>0</x:v>
      </x:c>
      <x:c r="P1564" s="9" t="n">
        <x:v>5.05</x:v>
      </x:c>
      <x:c r="Q1564" s="7" t="n">
        <x:f>'Guide'!$B$5-L1564</x:f>
        <x:v>5</x:v>
      </x:c>
      <x:c r="R1564" s="9" t="n">
        <x:f>K1564-P1564</x:f>
        <x:v>4.95</x:v>
      </x:c>
      <x:c r="S1564" s="10" t="n">
        <x:f>IF(K1564&gt;0,R1564/K1564,"")</x:f>
        <x:v>0.495</x:v>
      </x:c>
    </x:row>
    <x:row r="1565">
      <x:c r="A1565" s="7" t="n">
        <x:v>1561</x:v>
      </x:c>
      <x:c r="B1565" s="7" t="str">
        <x:v>Tata</x:v>
      </x:c>
      <x:c r="C1565" s="7" t="str">
        <x:v>Altroz</x:v>
      </x:c>
      <x:c r="D1565" s="7" t="str">
        <x:v>XZA DCA</x:v>
      </x:c>
      <x:c r="E1565" s="7" t="str">
        <x:v>Petrol</x:v>
      </x:c>
      <x:c r="F1565" s="7" t="str">
        <x:v>Automatic</x:v>
      </x:c>
      <x:c r="G1565" s="7" t="str">
        <x:v>Hatchback</x:v>
      </x:c>
      <x:c r="H1565" s="7" t="n">
        <x:v>1199</x:v>
      </x:c>
      <x:c r="I1565" s="7" t="n">
        <x:v>87</x:v>
      </x:c>
      <x:c r="J1565" s="9" t="n">
        <x:v>18.5</x:v>
      </x:c>
      <x:c r="K1565" s="9" t="n">
        <x:v>10</x:v>
      </x:c>
      <x:c r="L1565" s="7" t="n">
        <x:v>2021</x:v>
      </x:c>
      <x:c r="M1565" s="11" t="n">
        <x:v>105820</x:v>
      </x:c>
      <x:c r="N1565" s="7" t="n">
        <x:v>3</x:v>
      </x:c>
      <x:c r="O1565" s="7" t="n">
        <x:v>0</x:v>
      </x:c>
      <x:c r="P1565" s="9" t="n">
        <x:v>3.58</x:v>
      </x:c>
      <x:c r="Q1565" s="7" t="n">
        <x:f>'Guide'!$B$5-L1565</x:f>
        <x:v>5</x:v>
      </x:c>
      <x:c r="R1565" s="9" t="n">
        <x:f>K1565-P1565</x:f>
        <x:v>6.42</x:v>
      </x:c>
      <x:c r="S1565" s="10" t="n">
        <x:f>IF(K1565&gt;0,R1565/K1565,"")</x:f>
        <x:v>0.642</x:v>
      </x:c>
    </x:row>
    <x:row r="1566">
      <x:c r="A1566" s="7" t="n">
        <x:v>1562</x:v>
      </x:c>
      <x:c r="B1566" s="7" t="str">
        <x:v>Tata</x:v>
      </x:c>
      <x:c r="C1566" s="7" t="str">
        <x:v>Altroz</x:v>
      </x:c>
      <x:c r="D1566" s="7" t="str">
        <x:v>XZA DCA</x:v>
      </x:c>
      <x:c r="E1566" s="7" t="str">
        <x:v>Petrol</x:v>
      </x:c>
      <x:c r="F1566" s="7" t="str">
        <x:v>Automatic</x:v>
      </x:c>
      <x:c r="G1566" s="7" t="str">
        <x:v>Hatchback</x:v>
      </x:c>
      <x:c r="H1566" s="7" t="n">
        <x:v>1199</x:v>
      </x:c>
      <x:c r="I1566" s="7" t="n">
        <x:v>87</x:v>
      </x:c>
      <x:c r="J1566" s="9" t="n">
        <x:v>18.5</x:v>
      </x:c>
      <x:c r="K1566" s="9" t="n">
        <x:v>10</x:v>
      </x:c>
      <x:c r="L1566" s="7" t="n">
        <x:v>2020</x:v>
      </x:c>
      <x:c r="M1566" s="11" t="n">
        <x:v>55802</x:v>
      </x:c>
      <x:c r="N1566" s="7" t="n">
        <x:v>1</x:v>
      </x:c>
      <x:c r="O1566" s="7" t="n">
        <x:v>0</x:v>
      </x:c>
      <x:c r="P1566" s="9" t="n">
        <x:v>4.52</x:v>
      </x:c>
      <x:c r="Q1566" s="7" t="n">
        <x:f>'Guide'!$B$5-L1566</x:f>
        <x:v>6</x:v>
      </x:c>
      <x:c r="R1566" s="9" t="n">
        <x:f>K1566-P1566</x:f>
        <x:v>5.48</x:v>
      </x:c>
      <x:c r="S1566" s="10" t="n">
        <x:f>IF(K1566&gt;0,R1566/K1566,"")</x:f>
        <x:v>0.548</x:v>
      </x:c>
    </x:row>
    <x:row r="1567">
      <x:c r="A1567" s="7" t="n">
        <x:v>1563</x:v>
      </x:c>
      <x:c r="B1567" s="7" t="str">
        <x:v>Tata</x:v>
      </x:c>
      <x:c r="C1567" s="7" t="str">
        <x:v>Altroz</x:v>
      </x:c>
      <x:c r="D1567" s="7" t="str">
        <x:v>XZA DCA</x:v>
      </x:c>
      <x:c r="E1567" s="7" t="str">
        <x:v>Petrol</x:v>
      </x:c>
      <x:c r="F1567" s="7" t="str">
        <x:v>Automatic</x:v>
      </x:c>
      <x:c r="G1567" s="7" t="str">
        <x:v>Hatchback</x:v>
      </x:c>
      <x:c r="H1567" s="7" t="n">
        <x:v>1199</x:v>
      </x:c>
      <x:c r="I1567" s="7" t="n">
        <x:v>87</x:v>
      </x:c>
      <x:c r="J1567" s="9" t="n">
        <x:v>18.5</x:v>
      </x:c>
      <x:c r="K1567" s="9" t="n">
        <x:v>10</x:v>
      </x:c>
      <x:c r="L1567" s="7" t="n">
        <x:v>2020</x:v>
      </x:c>
      <x:c r="M1567" s="11" t="n">
        <x:v>110385</x:v>
      </x:c>
      <x:c r="N1567" s="7" t="n">
        <x:v>1</x:v>
      </x:c>
      <x:c r="O1567" s="7" t="n">
        <x:v>0</x:v>
      </x:c>
      <x:c r="P1567" s="9" t="n">
        <x:v>3.6</x:v>
      </x:c>
      <x:c r="Q1567" s="7" t="n">
        <x:f>'Guide'!$B$5-L1567</x:f>
        <x:v>6</x:v>
      </x:c>
      <x:c r="R1567" s="9" t="n">
        <x:f>K1567-P1567</x:f>
        <x:v>6.4</x:v>
      </x:c>
      <x:c r="S1567" s="10" t="n">
        <x:f>IF(K1567&gt;0,R1567/K1567,"")</x:f>
        <x:v>0.64</x:v>
      </x:c>
    </x:row>
    <x:row r="1568">
      <x:c r="A1568" s="7" t="n">
        <x:v>1564</x:v>
      </x:c>
      <x:c r="B1568" s="7" t="str">
        <x:v>Tata</x:v>
      </x:c>
      <x:c r="C1568" s="7" t="str">
        <x:v>Altroz</x:v>
      </x:c>
      <x:c r="D1568" s="7" t="str">
        <x:v>XZA DCA</x:v>
      </x:c>
      <x:c r="E1568" s="7" t="str">
        <x:v>Petrol</x:v>
      </x:c>
      <x:c r="F1568" s="7" t="str">
        <x:v>Automatic</x:v>
      </x:c>
      <x:c r="G1568" s="7" t="str">
        <x:v>Hatchback</x:v>
      </x:c>
      <x:c r="H1568" s="7" t="n">
        <x:v>1199</x:v>
      </x:c>
      <x:c r="I1568" s="7" t="n">
        <x:v>87</x:v>
      </x:c>
      <x:c r="J1568" s="9" t="n">
        <x:v>18.5</x:v>
      </x:c>
      <x:c r="K1568" s="9" t="n">
        <x:v>10</x:v>
      </x:c>
      <x:c r="L1568" s="7" t="n">
        <x:v>2022</x:v>
      </x:c>
      <x:c r="M1568" s="11" t="n">
        <x:v>77696</x:v>
      </x:c>
      <x:c r="N1568" s="7" t="n">
        <x:v>2</x:v>
      </x:c>
      <x:c r="O1568" s="7" t="n">
        <x:v>0</x:v>
      </x:c>
      <x:c r="P1568" s="9" t="n">
        <x:v>5.19</x:v>
      </x:c>
      <x:c r="Q1568" s="7" t="n">
        <x:f>'Guide'!$B$5-L1568</x:f>
        <x:v>4</x:v>
      </x:c>
      <x:c r="R1568" s="9" t="n">
        <x:f>K1568-P1568</x:f>
        <x:v>4.81</x:v>
      </x:c>
      <x:c r="S1568" s="10" t="n">
        <x:f>IF(K1568&gt;0,R1568/K1568,"")</x:f>
        <x:v>0.481</x:v>
      </x:c>
    </x:row>
    <x:row r="1569">
      <x:c r="A1569" s="7" t="n">
        <x:v>1565</x:v>
      </x:c>
      <x:c r="B1569" s="7" t="str">
        <x:v>Tata</x:v>
      </x:c>
      <x:c r="C1569" s="7" t="str">
        <x:v>Altroz</x:v>
      </x:c>
      <x:c r="D1569" s="7" t="str">
        <x:v>XZA DCA</x:v>
      </x:c>
      <x:c r="E1569" s="7" t="str">
        <x:v>Petrol</x:v>
      </x:c>
      <x:c r="F1569" s="7" t="str">
        <x:v>Automatic</x:v>
      </x:c>
      <x:c r="G1569" s="7" t="str">
        <x:v>Hatchback</x:v>
      </x:c>
      <x:c r="H1569" s="7" t="n">
        <x:v>1199</x:v>
      </x:c>
      <x:c r="I1569" s="7" t="n">
        <x:v>87</x:v>
      </x:c>
      <x:c r="J1569" s="9" t="n">
        <x:v>18.5</x:v>
      </x:c>
      <x:c r="K1569" s="9" t="n">
        <x:v>10</x:v>
      </x:c>
      <x:c r="L1569" s="7" t="n">
        <x:v>2025</x:v>
      </x:c>
      <x:c r="M1569" s="11" t="n">
        <x:v>15314</x:v>
      </x:c>
      <x:c r="N1569" s="7" t="n">
        <x:v>1</x:v>
      </x:c>
      <x:c r="O1569" s="7" t="n">
        <x:v>0</x:v>
      </x:c>
      <x:c r="P1569" s="9" t="n">
        <x:v>9.27</x:v>
      </x:c>
      <x:c r="Q1569" s="7" t="n">
        <x:f>'Guide'!$B$5-L1569</x:f>
        <x:v>1</x:v>
      </x:c>
      <x:c r="R1569" s="9" t="n">
        <x:f>K1569-P1569</x:f>
        <x:v>0.7300000000000004</x:v>
      </x:c>
      <x:c r="S1569" s="10" t="n">
        <x:f>IF(K1569&gt;0,R1569/K1569,"")</x:f>
        <x:v>0.07300000000000004</x:v>
      </x:c>
    </x:row>
    <x:row r="1570">
      <x:c r="A1570" s="7" t="n">
        <x:v>1566</x:v>
      </x:c>
      <x:c r="B1570" s="7" t="str">
        <x:v>Tata</x:v>
      </x:c>
      <x:c r="C1570" s="7" t="str">
        <x:v>Altroz</x:v>
      </x:c>
      <x:c r="D1570" s="7" t="str">
        <x:v>XZA DCA</x:v>
      </x:c>
      <x:c r="E1570" s="7" t="str">
        <x:v>Petrol</x:v>
      </x:c>
      <x:c r="F1570" s="7" t="str">
        <x:v>Automatic</x:v>
      </x:c>
      <x:c r="G1570" s="7" t="str">
        <x:v>Hatchback</x:v>
      </x:c>
      <x:c r="H1570" s="7" t="n">
        <x:v>1199</x:v>
      </x:c>
      <x:c r="I1570" s="7" t="n">
        <x:v>87</x:v>
      </x:c>
      <x:c r="J1570" s="9" t="n">
        <x:v>18.5</x:v>
      </x:c>
      <x:c r="K1570" s="9" t="n">
        <x:v>10</x:v>
      </x:c>
      <x:c r="L1570" s="7" t="n">
        <x:v>2023</x:v>
      </x:c>
      <x:c r="M1570" s="11" t="n">
        <x:v>42376</x:v>
      </x:c>
      <x:c r="N1570" s="7" t="n">
        <x:v>1</x:v>
      </x:c>
      <x:c r="O1570" s="7" t="n">
        <x:v>0</x:v>
      </x:c>
      <x:c r="P1570" s="9" t="n">
        <x:v>7.3</x:v>
      </x:c>
      <x:c r="Q1570" s="7" t="n">
        <x:f>'Guide'!$B$5-L1570</x:f>
        <x:v>3</x:v>
      </x:c>
      <x:c r="R1570" s="9" t="n">
        <x:f>K1570-P1570</x:f>
        <x:v>2.7</x:v>
      </x:c>
      <x:c r="S1570" s="10" t="n">
        <x:f>IF(K1570&gt;0,R1570/K1570,"")</x:f>
        <x:v>0.27</x:v>
      </x:c>
    </x:row>
    <x:row r="1571">
      <x:c r="A1571" s="7" t="n">
        <x:v>1567</x:v>
      </x:c>
      <x:c r="B1571" s="7" t="str">
        <x:v>Tata</x:v>
      </x:c>
      <x:c r="C1571" s="7" t="str">
        <x:v>Altroz</x:v>
      </x:c>
      <x:c r="D1571" s="7" t="str">
        <x:v>XZA DCA</x:v>
      </x:c>
      <x:c r="E1571" s="7" t="str">
        <x:v>Petrol</x:v>
      </x:c>
      <x:c r="F1571" s="7" t="str">
        <x:v>Automatic</x:v>
      </x:c>
      <x:c r="G1571" s="7" t="str">
        <x:v>Hatchback</x:v>
      </x:c>
      <x:c r="H1571" s="7" t="n">
        <x:v>1199</x:v>
      </x:c>
      <x:c r="I1571" s="7" t="n">
        <x:v>87</x:v>
      </x:c>
      <x:c r="J1571" s="9" t="n">
        <x:v>18.5</x:v>
      </x:c>
      <x:c r="K1571" s="9" t="n">
        <x:v>10</x:v>
      </x:c>
      <x:c r="L1571" s="7" t="n">
        <x:v>2023</x:v>
      </x:c>
      <x:c r="M1571" s="11" t="n">
        <x:v>62744</x:v>
      </x:c>
      <x:c r="N1571" s="7" t="n">
        <x:v>1</x:v>
      </x:c>
      <x:c r="O1571" s="7" t="n">
        <x:v>0</x:v>
      </x:c>
      <x:c r="P1571" s="9" t="n">
        <x:v>7.09</x:v>
      </x:c>
      <x:c r="Q1571" s="7" t="n">
        <x:f>'Guide'!$B$5-L1571</x:f>
        <x:v>3</x:v>
      </x:c>
      <x:c r="R1571" s="9" t="n">
        <x:f>K1571-P1571</x:f>
        <x:v>2.91</x:v>
      </x:c>
      <x:c r="S1571" s="10" t="n">
        <x:f>IF(K1571&gt;0,R1571/K1571,"")</x:f>
        <x:v>0.29100000000000004</x:v>
      </x:c>
    </x:row>
    <x:row r="1572">
      <x:c r="A1572" s="7" t="n">
        <x:v>1568</x:v>
      </x:c>
      <x:c r="B1572" s="7" t="str">
        <x:v>Tata</x:v>
      </x:c>
      <x:c r="C1572" s="7" t="str">
        <x:v>Altroz</x:v>
      </x:c>
      <x:c r="D1572" s="7" t="str">
        <x:v>XZA DCA</x:v>
      </x:c>
      <x:c r="E1572" s="7" t="str">
        <x:v>Petrol</x:v>
      </x:c>
      <x:c r="F1572" s="7" t="str">
        <x:v>Automatic</x:v>
      </x:c>
      <x:c r="G1572" s="7" t="str">
        <x:v>Hatchback</x:v>
      </x:c>
      <x:c r="H1572" s="7" t="n">
        <x:v>1199</x:v>
      </x:c>
      <x:c r="I1572" s="7" t="n">
        <x:v>87</x:v>
      </x:c>
      <x:c r="J1572" s="9" t="n">
        <x:v>18.5</x:v>
      </x:c>
      <x:c r="K1572" s="9" t="n">
        <x:v>10</x:v>
      </x:c>
      <x:c r="L1572" s="7" t="n">
        <x:v>2024</x:v>
      </x:c>
      <x:c r="M1572" s="11" t="n">
        <x:v>29875</x:v>
      </x:c>
      <x:c r="N1572" s="7" t="n">
        <x:v>1</x:v>
      </x:c>
      <x:c r="O1572" s="7" t="n">
        <x:v>0</x:v>
      </x:c>
      <x:c r="P1572" s="9" t="n">
        <x:v>8.28</x:v>
      </x:c>
      <x:c r="Q1572" s="7" t="n">
        <x:f>'Guide'!$B$5-L1572</x:f>
        <x:v>2</x:v>
      </x:c>
      <x:c r="R1572" s="9" t="n">
        <x:f>K1572-P1572</x:f>
        <x:v>1.7200000000000006</x:v>
      </x:c>
      <x:c r="S1572" s="10" t="n">
        <x:f>IF(K1572&gt;0,R1572/K1572,"")</x:f>
        <x:v>0.17200000000000007</x:v>
      </x:c>
    </x:row>
    <x:row r="1573">
      <x:c r="A1573" s="7" t="n">
        <x:v>1569</x:v>
      </x:c>
      <x:c r="B1573" s="7" t="str">
        <x:v>Tata</x:v>
      </x:c>
      <x:c r="C1573" s="7" t="str">
        <x:v>Altroz</x:v>
      </x:c>
      <x:c r="D1573" s="7" t="str">
        <x:v>XZA DCA</x:v>
      </x:c>
      <x:c r="E1573" s="7" t="str">
        <x:v>Petrol</x:v>
      </x:c>
      <x:c r="F1573" s="7" t="str">
        <x:v>Automatic</x:v>
      </x:c>
      <x:c r="G1573" s="7" t="str">
        <x:v>Hatchback</x:v>
      </x:c>
      <x:c r="H1573" s="7" t="n">
        <x:v>1199</x:v>
      </x:c>
      <x:c r="I1573" s="7" t="n">
        <x:v>87</x:v>
      </x:c>
      <x:c r="J1573" s="9" t="n">
        <x:v>18.5</x:v>
      </x:c>
      <x:c r="K1573" s="9" t="n">
        <x:v>10</x:v>
      </x:c>
      <x:c r="L1573" s="7" t="n">
        <x:v>2020</x:v>
      </x:c>
      <x:c r="M1573" s="11" t="n">
        <x:v>128693</x:v>
      </x:c>
      <x:c r="N1573" s="7" t="n">
        <x:v>1</x:v>
      </x:c>
      <x:c r="O1573" s="7" t="n">
        <x:v>0</x:v>
      </x:c>
      <x:c r="P1573" s="9" t="n">
        <x:v>3.38</x:v>
      </x:c>
      <x:c r="Q1573" s="7" t="n">
        <x:f>'Guide'!$B$5-L1573</x:f>
        <x:v>6</x:v>
      </x:c>
      <x:c r="R1573" s="9" t="n">
        <x:f>K1573-P1573</x:f>
        <x:v>6.62</x:v>
      </x:c>
      <x:c r="S1573" s="10" t="n">
        <x:f>IF(K1573&gt;0,R1573/K1573,"")</x:f>
        <x:v>0.662</x:v>
      </x:c>
    </x:row>
    <x:row r="1574">
      <x:c r="A1574" s="7" t="n">
        <x:v>1570</x:v>
      </x:c>
      <x:c r="B1574" s="7" t="str">
        <x:v>Tata</x:v>
      </x:c>
      <x:c r="C1574" s="7" t="str">
        <x:v>Altroz</x:v>
      </x:c>
      <x:c r="D1574" s="7" t="str">
        <x:v>XZA DCA</x:v>
      </x:c>
      <x:c r="E1574" s="7" t="str">
        <x:v>Petrol</x:v>
      </x:c>
      <x:c r="F1574" s="7" t="str">
        <x:v>Automatic</x:v>
      </x:c>
      <x:c r="G1574" s="7" t="str">
        <x:v>Hatchback</x:v>
      </x:c>
      <x:c r="H1574" s="7" t="n">
        <x:v>1199</x:v>
      </x:c>
      <x:c r="I1574" s="7" t="n">
        <x:v>87</x:v>
      </x:c>
      <x:c r="J1574" s="9" t="n">
        <x:v>18.5</x:v>
      </x:c>
      <x:c r="K1574" s="9" t="n">
        <x:v>10</x:v>
      </x:c>
      <x:c r="L1574" s="7" t="n">
        <x:v>2021</x:v>
      </x:c>
      <x:c r="M1574" s="11" t="n">
        <x:v>79621</x:v>
      </x:c>
      <x:c r="N1574" s="7" t="n">
        <x:v>1</x:v>
      </x:c>
      <x:c r="O1574" s="7" t="n">
        <x:v>0</x:v>
      </x:c>
      <x:c r="P1574" s="9" t="n">
        <x:v>4.65</x:v>
      </x:c>
      <x:c r="Q1574" s="7" t="n">
        <x:f>'Guide'!$B$5-L1574</x:f>
        <x:v>5</x:v>
      </x:c>
      <x:c r="R1574" s="9" t="n">
        <x:f>K1574-P1574</x:f>
        <x:v>5.35</x:v>
      </x:c>
      <x:c r="S1574" s="10" t="n">
        <x:f>IF(K1574&gt;0,R1574/K1574,"")</x:f>
        <x:v>0.5349999999999999</x:v>
      </x:c>
    </x:row>
    <x:row r="1575">
      <x:c r="A1575" s="7" t="n">
        <x:v>1571</x:v>
      </x:c>
      <x:c r="B1575" s="7" t="str">
        <x:v>Tata</x:v>
      </x:c>
      <x:c r="C1575" s="7" t="str">
        <x:v>Altroz</x:v>
      </x:c>
      <x:c r="D1575" s="7" t="str">
        <x:v>XZA DCA</x:v>
      </x:c>
      <x:c r="E1575" s="7" t="str">
        <x:v>Petrol</x:v>
      </x:c>
      <x:c r="F1575" s="7" t="str">
        <x:v>Automatic</x:v>
      </x:c>
      <x:c r="G1575" s="7" t="str">
        <x:v>Hatchback</x:v>
      </x:c>
      <x:c r="H1575" s="7" t="n">
        <x:v>1199</x:v>
      </x:c>
      <x:c r="I1575" s="7" t="n">
        <x:v>87</x:v>
      </x:c>
      <x:c r="J1575" s="9" t="n">
        <x:v>18.5</x:v>
      </x:c>
      <x:c r="K1575" s="9" t="n">
        <x:v>10</x:v>
      </x:c>
      <x:c r="L1575" s="7" t="n">
        <x:v>2024</x:v>
      </x:c>
      <x:c r="M1575" s="11" t="n">
        <x:v>21631</x:v>
      </x:c>
      <x:c r="N1575" s="7" t="n">
        <x:v>1</x:v>
      </x:c>
      <x:c r="O1575" s="7" t="n">
        <x:v>1</x:v>
      </x:c>
      <x:c r="P1575" s="9" t="n">
        <x:v>7.08</x:v>
      </x:c>
      <x:c r="Q1575" s="7" t="n">
        <x:f>'Guide'!$B$5-L1575</x:f>
        <x:v>2</x:v>
      </x:c>
      <x:c r="R1575" s="9" t="n">
        <x:f>K1575-P1575</x:f>
        <x:v>2.92</x:v>
      </x:c>
      <x:c r="S1575" s="10" t="n">
        <x:f>IF(K1575&gt;0,R1575/K1575,"")</x:f>
        <x:v>0.292</x:v>
      </x:c>
    </x:row>
    <x:row r="1576">
      <x:c r="A1576" s="7" t="n">
        <x:v>1572</x:v>
      </x:c>
      <x:c r="B1576" s="7" t="str">
        <x:v>Tata</x:v>
      </x:c>
      <x:c r="C1576" s="7" t="str">
        <x:v>Altroz</x:v>
      </x:c>
      <x:c r="D1576" s="7" t="str">
        <x:v>XZA DCA</x:v>
      </x:c>
      <x:c r="E1576" s="7" t="str">
        <x:v>Petrol</x:v>
      </x:c>
      <x:c r="F1576" s="7" t="str">
        <x:v>Automatic</x:v>
      </x:c>
      <x:c r="G1576" s="7" t="str">
        <x:v>Hatchback</x:v>
      </x:c>
      <x:c r="H1576" s="7" t="n">
        <x:v>1199</x:v>
      </x:c>
      <x:c r="I1576" s="7" t="n">
        <x:v>87</x:v>
      </x:c>
      <x:c r="J1576" s="9" t="n">
        <x:v>18.5</x:v>
      </x:c>
      <x:c r="K1576" s="9" t="n">
        <x:v>10</x:v>
      </x:c>
      <x:c r="L1576" s="7" t="n">
        <x:v>2024</x:v>
      </x:c>
      <x:c r="M1576" s="11" t="n">
        <x:v>24838</x:v>
      </x:c>
      <x:c r="N1576" s="7" t="n">
        <x:v>2</x:v>
      </x:c>
      <x:c r="O1576" s="7" t="n">
        <x:v>0</x:v>
      </x:c>
      <x:c r="P1576" s="9" t="n">
        <x:v>7.42</x:v>
      </x:c>
      <x:c r="Q1576" s="7" t="n">
        <x:f>'Guide'!$B$5-L1576</x:f>
        <x:v>2</x:v>
      </x:c>
      <x:c r="R1576" s="9" t="n">
        <x:f>K1576-P1576</x:f>
        <x:v>2.58</x:v>
      </x:c>
      <x:c r="S1576" s="10" t="n">
        <x:f>IF(K1576&gt;0,R1576/K1576,"")</x:f>
        <x:v>0.258</x:v>
      </x:c>
    </x:row>
    <x:row r="1577">
      <x:c r="A1577" s="7" t="n">
        <x:v>1573</x:v>
      </x:c>
      <x:c r="B1577" s="7" t="str">
        <x:v>Tata</x:v>
      </x:c>
      <x:c r="C1577" s="7" t="str">
        <x:v>Altroz</x:v>
      </x:c>
      <x:c r="D1577" s="7" t="str">
        <x:v>XZA DCA</x:v>
      </x:c>
      <x:c r="E1577" s="7" t="str">
        <x:v>Petrol</x:v>
      </x:c>
      <x:c r="F1577" s="7" t="str">
        <x:v>Automatic</x:v>
      </x:c>
      <x:c r="G1577" s="7" t="str">
        <x:v>Hatchback</x:v>
      </x:c>
      <x:c r="H1577" s="7" t="n">
        <x:v>1199</x:v>
      </x:c>
      <x:c r="I1577" s="7" t="n">
        <x:v>87</x:v>
      </x:c>
      <x:c r="J1577" s="9" t="n">
        <x:v>18.5</x:v>
      </x:c>
      <x:c r="K1577" s="9" t="n">
        <x:v>10</x:v>
      </x:c>
      <x:c r="L1577" s="7" t="n">
        <x:v>2024</x:v>
      </x:c>
      <x:c r="M1577" s="11" t="n">
        <x:v>49839</x:v>
      </x:c>
      <x:c r="N1577" s="7" t="n">
        <x:v>1</x:v>
      </x:c>
      <x:c r="O1577" s="7" t="n">
        <x:v>0</x:v>
      </x:c>
      <x:c r="P1577" s="9" t="n">
        <x:v>8.19</x:v>
      </x:c>
      <x:c r="Q1577" s="7" t="n">
        <x:f>'Guide'!$B$5-L1577</x:f>
        <x:v>2</x:v>
      </x:c>
      <x:c r="R1577" s="9" t="n">
        <x:f>K1577-P1577</x:f>
        <x:v>1.8100000000000005</x:v>
      </x:c>
      <x:c r="S1577" s="10" t="n">
        <x:f>IF(K1577&gt;0,R1577/K1577,"")</x:f>
        <x:v>0.18100000000000005</x:v>
      </x:c>
    </x:row>
    <x:row r="1578">
      <x:c r="A1578" s="7" t="n">
        <x:v>1574</x:v>
      </x:c>
      <x:c r="B1578" s="7" t="str">
        <x:v>Tata</x:v>
      </x:c>
      <x:c r="C1578" s="7" t="str">
        <x:v>Altroz</x:v>
      </x:c>
      <x:c r="D1578" s="7" t="str">
        <x:v>XZA DCA</x:v>
      </x:c>
      <x:c r="E1578" s="7" t="str">
        <x:v>Petrol</x:v>
      </x:c>
      <x:c r="F1578" s="7" t="str">
        <x:v>Automatic</x:v>
      </x:c>
      <x:c r="G1578" s="7" t="str">
        <x:v>Hatchback</x:v>
      </x:c>
      <x:c r="H1578" s="7" t="n">
        <x:v>1199</x:v>
      </x:c>
      <x:c r="I1578" s="7" t="n">
        <x:v>87</x:v>
      </x:c>
      <x:c r="J1578" s="9" t="n">
        <x:v>18.5</x:v>
      </x:c>
      <x:c r="K1578" s="9" t="n">
        <x:v>10</x:v>
      </x:c>
      <x:c r="L1578" s="7" t="n">
        <x:v>2022</x:v>
      </x:c>
      <x:c r="M1578" s="11" t="n">
        <x:v>73141</x:v>
      </x:c>
      <x:c r="N1578" s="7" t="n">
        <x:v>1</x:v>
      </x:c>
      <x:c r="O1578" s="7" t="n">
        <x:v>0</x:v>
      </x:c>
      <x:c r="P1578" s="9" t="n">
        <x:v>6.02</x:v>
      </x:c>
      <x:c r="Q1578" s="7" t="n">
        <x:f>'Guide'!$B$5-L1578</x:f>
        <x:v>4</x:v>
      </x:c>
      <x:c r="R1578" s="9" t="n">
        <x:f>K1578-P1578</x:f>
        <x:v>3.9800000000000004</x:v>
      </x:c>
      <x:c r="S1578" s="10" t="n">
        <x:f>IF(K1578&gt;0,R1578/K1578,"")</x:f>
        <x:v>0.398</x:v>
      </x:c>
    </x:row>
    <x:row r="1579">
      <x:c r="A1579" s="7" t="n">
        <x:v>1575</x:v>
      </x:c>
      <x:c r="B1579" s="7" t="str">
        <x:v>Tata</x:v>
      </x:c>
      <x:c r="C1579" s="7" t="str">
        <x:v>Altroz</x:v>
      </x:c>
      <x:c r="D1579" s="7" t="str">
        <x:v>XZA DCA</x:v>
      </x:c>
      <x:c r="E1579" s="7" t="str">
        <x:v>Petrol</x:v>
      </x:c>
      <x:c r="F1579" s="7" t="str">
        <x:v>Automatic</x:v>
      </x:c>
      <x:c r="G1579" s="7" t="str">
        <x:v>Hatchback</x:v>
      </x:c>
      <x:c r="H1579" s="7" t="n">
        <x:v>1199</x:v>
      </x:c>
      <x:c r="I1579" s="7" t="n">
        <x:v>87</x:v>
      </x:c>
      <x:c r="J1579" s="9" t="n">
        <x:v>18.5</x:v>
      </x:c>
      <x:c r="K1579" s="9" t="n">
        <x:v>10</x:v>
      </x:c>
      <x:c r="L1579" s="7" t="n">
        <x:v>2023</x:v>
      </x:c>
      <x:c r="M1579" s="11" t="n">
        <x:v>48520</x:v>
      </x:c>
      <x:c r="N1579" s="7" t="n">
        <x:v>1</x:v>
      </x:c>
      <x:c r="O1579" s="7" t="n">
        <x:v>0</x:v>
      </x:c>
      <x:c r="P1579" s="9" t="n">
        <x:v>7.26</x:v>
      </x:c>
      <x:c r="Q1579" s="7" t="n">
        <x:f>'Guide'!$B$5-L1579</x:f>
        <x:v>3</x:v>
      </x:c>
      <x:c r="R1579" s="9" t="n">
        <x:f>K1579-P1579</x:f>
        <x:v>2.74</x:v>
      </x:c>
      <x:c r="S1579" s="10" t="n">
        <x:f>IF(K1579&gt;0,R1579/K1579,"")</x:f>
        <x:v>0.274</x:v>
      </x:c>
    </x:row>
    <x:row r="1580">
      <x:c r="A1580" s="7" t="n">
        <x:v>1576</x:v>
      </x:c>
      <x:c r="B1580" s="7" t="str">
        <x:v>Tata</x:v>
      </x:c>
      <x:c r="C1580" s="7" t="str">
        <x:v>Altroz</x:v>
      </x:c>
      <x:c r="D1580" s="7" t="str">
        <x:v>XZA DCA</x:v>
      </x:c>
      <x:c r="E1580" s="7" t="str">
        <x:v>Petrol</x:v>
      </x:c>
      <x:c r="F1580" s="7" t="str">
        <x:v>Automatic</x:v>
      </x:c>
      <x:c r="G1580" s="7" t="str">
        <x:v>Hatchback</x:v>
      </x:c>
      <x:c r="H1580" s="7" t="n">
        <x:v>1199</x:v>
      </x:c>
      <x:c r="I1580" s="7" t="n">
        <x:v>87</x:v>
      </x:c>
      <x:c r="J1580" s="9" t="n">
        <x:v>18.5</x:v>
      </x:c>
      <x:c r="K1580" s="9" t="n">
        <x:v>10</x:v>
      </x:c>
      <x:c r="L1580" s="7" t="n">
        <x:v>2026</x:v>
      </x:c>
      <x:c r="M1580" s="11" t="n">
        <x:v>9738</x:v>
      </x:c>
      <x:c r="N1580" s="7" t="n">
        <x:v>1</x:v>
      </x:c>
      <x:c r="O1580" s="7" t="n">
        <x:v>0</x:v>
      </x:c>
      <x:c r="P1580" s="9" t="n">
        <x:v>9.49</x:v>
      </x:c>
      <x:c r="Q1580" s="7" t="n">
        <x:f>'Guide'!$B$5-L1580</x:f>
        <x:v>0</x:v>
      </x:c>
      <x:c r="R1580" s="9" t="n">
        <x:f>K1580-P1580</x:f>
        <x:v>0.5099999999999998</x:v>
      </x:c>
      <x:c r="S1580" s="10" t="n">
        <x:f>IF(K1580&gt;0,R1580/K1580,"")</x:f>
        <x:v>0.050999999999999976</x:v>
      </x:c>
    </x:row>
    <x:row r="1581">
      <x:c r="A1581" s="7" t="n">
        <x:v>1577</x:v>
      </x:c>
      <x:c r="B1581" s="7" t="str">
        <x:v>Tata</x:v>
      </x:c>
      <x:c r="C1581" s="7" t="str">
        <x:v>Altroz</x:v>
      </x:c>
      <x:c r="D1581" s="7" t="str">
        <x:v>XZA DCA</x:v>
      </x:c>
      <x:c r="E1581" s="7" t="str">
        <x:v>Petrol</x:v>
      </x:c>
      <x:c r="F1581" s="7" t="str">
        <x:v>Automatic</x:v>
      </x:c>
      <x:c r="G1581" s="7" t="str">
        <x:v>Hatchback</x:v>
      </x:c>
      <x:c r="H1581" s="7" t="n">
        <x:v>1199</x:v>
      </x:c>
      <x:c r="I1581" s="7" t="n">
        <x:v>87</x:v>
      </x:c>
      <x:c r="J1581" s="9" t="n">
        <x:v>18.5</x:v>
      </x:c>
      <x:c r="K1581" s="9" t="n">
        <x:v>10</x:v>
      </x:c>
      <x:c r="L1581" s="7" t="n">
        <x:v>2024</x:v>
      </x:c>
      <x:c r="M1581" s="11" t="n">
        <x:v>25664</x:v>
      </x:c>
      <x:c r="N1581" s="7" t="n">
        <x:v>1</x:v>
      </x:c>
      <x:c r="O1581" s="7" t="n">
        <x:v>1</x:v>
      </x:c>
      <x:c r="P1581" s="9" t="n">
        <x:v>6.99</x:v>
      </x:c>
      <x:c r="Q1581" s="7" t="n">
        <x:f>'Guide'!$B$5-L1581</x:f>
        <x:v>2</x:v>
      </x:c>
      <x:c r="R1581" s="9" t="n">
        <x:f>K1581-P1581</x:f>
        <x:v>3.01</x:v>
      </x:c>
      <x:c r="S1581" s="10" t="n">
        <x:f>IF(K1581&gt;0,R1581/K1581,"")</x:f>
        <x:v>0.301</x:v>
      </x:c>
    </x:row>
    <x:row r="1582">
      <x:c r="A1582" s="7" t="n">
        <x:v>1578</x:v>
      </x:c>
      <x:c r="B1582" s="7" t="str">
        <x:v>Tata</x:v>
      </x:c>
      <x:c r="C1582" s="7" t="str">
        <x:v>Altroz</x:v>
      </x:c>
      <x:c r="D1582" s="7" t="str">
        <x:v>XZA DCA</x:v>
      </x:c>
      <x:c r="E1582" s="7" t="str">
        <x:v>Petrol</x:v>
      </x:c>
      <x:c r="F1582" s="7" t="str">
        <x:v>Automatic</x:v>
      </x:c>
      <x:c r="G1582" s="7" t="str">
        <x:v>Hatchback</x:v>
      </x:c>
      <x:c r="H1582" s="7" t="n">
        <x:v>1199</x:v>
      </x:c>
      <x:c r="I1582" s="7" t="n">
        <x:v>87</x:v>
      </x:c>
      <x:c r="J1582" s="9" t="n">
        <x:v>18.5</x:v>
      </x:c>
      <x:c r="K1582" s="9" t="n">
        <x:v>10</x:v>
      </x:c>
      <x:c r="L1582" s="7" t="n">
        <x:v>2024</x:v>
      </x:c>
      <x:c r="M1582" s="11" t="n">
        <x:v>46919</x:v>
      </x:c>
      <x:c r="N1582" s="7" t="n">
        <x:v>1</x:v>
      </x:c>
      <x:c r="O1582" s="7" t="n">
        <x:v>0</x:v>
      </x:c>
      <x:c r="P1582" s="9" t="n">
        <x:v>7.84</x:v>
      </x:c>
      <x:c r="Q1582" s="7" t="n">
        <x:f>'Guide'!$B$5-L1582</x:f>
        <x:v>2</x:v>
      </x:c>
      <x:c r="R1582" s="9" t="n">
        <x:f>K1582-P1582</x:f>
        <x:v>2.16</x:v>
      </x:c>
      <x:c r="S1582" s="10" t="n">
        <x:f>IF(K1582&gt;0,R1582/K1582,"")</x:f>
        <x:v>0.21600000000000003</x:v>
      </x:c>
    </x:row>
    <x:row r="1583">
      <x:c r="A1583" s="7" t="n">
        <x:v>1579</x:v>
      </x:c>
      <x:c r="B1583" s="7" t="str">
        <x:v>Tata</x:v>
      </x:c>
      <x:c r="C1583" s="7" t="str">
        <x:v>Altroz</x:v>
      </x:c>
      <x:c r="D1583" s="7" t="str">
        <x:v>XZA DCA</x:v>
      </x:c>
      <x:c r="E1583" s="7" t="str">
        <x:v>Petrol</x:v>
      </x:c>
      <x:c r="F1583" s="7" t="str">
        <x:v>Automatic</x:v>
      </x:c>
      <x:c r="G1583" s="7" t="str">
        <x:v>Hatchback</x:v>
      </x:c>
      <x:c r="H1583" s="7" t="n">
        <x:v>1199</x:v>
      </x:c>
      <x:c r="I1583" s="7" t="n">
        <x:v>87</x:v>
      </x:c>
      <x:c r="J1583" s="9" t="n">
        <x:v>18.5</x:v>
      </x:c>
      <x:c r="K1583" s="9" t="n">
        <x:v>10</x:v>
      </x:c>
      <x:c r="L1583" s="7" t="n">
        <x:v>2026</x:v>
      </x:c>
      <x:c r="M1583" s="11" t="n">
        <x:v>6118</x:v>
      </x:c>
      <x:c r="N1583" s="7" t="n">
        <x:v>1</x:v>
      </x:c>
      <x:c r="O1583" s="7" t="n">
        <x:v>0</x:v>
      </x:c>
      <x:c r="P1583" s="9" t="n">
        <x:v>10.19</x:v>
      </x:c>
      <x:c r="Q1583" s="7" t="n">
        <x:f>'Guide'!$B$5-L1583</x:f>
        <x:v>0</x:v>
      </x:c>
      <x:c r="R1583" s="9" t="n">
        <x:f>K1583-P1583</x:f>
        <x:v>-0.1899999999999995</x:v>
      </x:c>
      <x:c r="S1583" s="10" t="n">
        <x:f>IF(K1583&gt;0,R1583/K1583,"")</x:f>
        <x:v>-0.01899999999999995</x:v>
      </x:c>
    </x:row>
    <x:row r="1584">
      <x:c r="A1584" s="7" t="n">
        <x:v>1580</x:v>
      </x:c>
      <x:c r="B1584" s="7" t="str">
        <x:v>Tata</x:v>
      </x:c>
      <x:c r="C1584" s="7" t="str">
        <x:v>Altroz</x:v>
      </x:c>
      <x:c r="D1584" s="7" t="str">
        <x:v>XZA DCA</x:v>
      </x:c>
      <x:c r="E1584" s="7" t="str">
        <x:v>Petrol</x:v>
      </x:c>
      <x:c r="F1584" s="7" t="str">
        <x:v>Automatic</x:v>
      </x:c>
      <x:c r="G1584" s="7" t="str">
        <x:v>Hatchback</x:v>
      </x:c>
      <x:c r="H1584" s="7" t="n">
        <x:v>1199</x:v>
      </x:c>
      <x:c r="I1584" s="7" t="n">
        <x:v>87</x:v>
      </x:c>
      <x:c r="J1584" s="9" t="n">
        <x:v>18.5</x:v>
      </x:c>
      <x:c r="K1584" s="9" t="n">
        <x:v>10</x:v>
      </x:c>
      <x:c r="L1584" s="7" t="n">
        <x:v>2022</x:v>
      </x:c>
      <x:c r="M1584" s="11" t="n">
        <x:v>78632</x:v>
      </x:c>
      <x:c r="N1584" s="7" t="n">
        <x:v>2</x:v>
      </x:c>
      <x:c r="O1584" s="7" t="n">
        <x:v>1</x:v>
      </x:c>
      <x:c r="P1584" s="9" t="n">
        <x:v>4.37</x:v>
      </x:c>
      <x:c r="Q1584" s="7" t="n">
        <x:f>'Guide'!$B$5-L1584</x:f>
        <x:v>4</x:v>
      </x:c>
      <x:c r="R1584" s="9" t="n">
        <x:f>K1584-P1584</x:f>
        <x:v>5.63</x:v>
      </x:c>
      <x:c r="S1584" s="10" t="n">
        <x:f>IF(K1584&gt;0,R1584/K1584,"")</x:f>
        <x:v>0.563</x:v>
      </x:c>
    </x:row>
    <x:row r="1585">
      <x:c r="A1585" s="7" t="n">
        <x:v>1581</x:v>
      </x:c>
      <x:c r="B1585" s="7" t="str">
        <x:v>Tata</x:v>
      </x:c>
      <x:c r="C1585" s="7" t="str">
        <x:v>Altroz</x:v>
      </x:c>
      <x:c r="D1585" s="7" t="str">
        <x:v>XZA DCA</x:v>
      </x:c>
      <x:c r="E1585" s="7" t="str">
        <x:v>Petrol</x:v>
      </x:c>
      <x:c r="F1585" s="7" t="str">
        <x:v>Automatic</x:v>
      </x:c>
      <x:c r="G1585" s="7" t="str">
        <x:v>Hatchback</x:v>
      </x:c>
      <x:c r="H1585" s="7" t="n">
        <x:v>1199</x:v>
      </x:c>
      <x:c r="I1585" s="7" t="n">
        <x:v>87</x:v>
      </x:c>
      <x:c r="J1585" s="9" t="n">
        <x:v>18.5</x:v>
      </x:c>
      <x:c r="K1585" s="9" t="n">
        <x:v>10</x:v>
      </x:c>
      <x:c r="L1585" s="7" t="n">
        <x:v>2025</x:v>
      </x:c>
      <x:c r="M1585" s="11" t="n">
        <x:v>19038</x:v>
      </x:c>
      <x:c r="N1585" s="7" t="n">
        <x:v>1</x:v>
      </x:c>
      <x:c r="O1585" s="7" t="n">
        <x:v>0</x:v>
      </x:c>
      <x:c r="P1585" s="9" t="n">
        <x:v>8.88</x:v>
      </x:c>
      <x:c r="Q1585" s="7" t="n">
        <x:f>'Guide'!$B$5-L1585</x:f>
        <x:v>1</x:v>
      </x:c>
      <x:c r="R1585" s="9" t="n">
        <x:f>K1585-P1585</x:f>
        <x:v>1.1199999999999992</x:v>
      </x:c>
      <x:c r="S1585" s="10" t="n">
        <x:f>IF(K1585&gt;0,R1585/K1585,"")</x:f>
        <x:v>0.11199999999999992</x:v>
      </x:c>
    </x:row>
    <x:row r="1586">
      <x:c r="A1586" s="7" t="n">
        <x:v>1582</x:v>
      </x:c>
      <x:c r="B1586" s="7" t="str">
        <x:v>Tata</x:v>
      </x:c>
      <x:c r="C1586" s="7" t="str">
        <x:v>Altroz</x:v>
      </x:c>
      <x:c r="D1586" s="7" t="str">
        <x:v>XZA DCA</x:v>
      </x:c>
      <x:c r="E1586" s="7" t="str">
        <x:v>Petrol</x:v>
      </x:c>
      <x:c r="F1586" s="7" t="str">
        <x:v>Automatic</x:v>
      </x:c>
      <x:c r="G1586" s="7" t="str">
        <x:v>Hatchback</x:v>
      </x:c>
      <x:c r="H1586" s="7" t="n">
        <x:v>1199</x:v>
      </x:c>
      <x:c r="I1586" s="7" t="n">
        <x:v>87</x:v>
      </x:c>
      <x:c r="J1586" s="9" t="n">
        <x:v>18.5</x:v>
      </x:c>
      <x:c r="K1586" s="9" t="n">
        <x:v>10</x:v>
      </x:c>
      <x:c r="L1586" s="7" t="n">
        <x:v>2024</x:v>
      </x:c>
      <x:c r="M1586" s="11" t="n">
        <x:v>31428</x:v>
      </x:c>
      <x:c r="N1586" s="7" t="n">
        <x:v>1</x:v>
      </x:c>
      <x:c r="O1586" s="7" t="n">
        <x:v>0</x:v>
      </x:c>
      <x:c r="P1586" s="9" t="n">
        <x:v>7.71</x:v>
      </x:c>
      <x:c r="Q1586" s="7" t="n">
        <x:f>'Guide'!$B$5-L1586</x:f>
        <x:v>2</x:v>
      </x:c>
      <x:c r="R1586" s="9" t="n">
        <x:f>K1586-P1586</x:f>
        <x:v>2.29</x:v>
      </x:c>
      <x:c r="S1586" s="10" t="n">
        <x:f>IF(K1586&gt;0,R1586/K1586,"")</x:f>
        <x:v>0.229</x:v>
      </x:c>
    </x:row>
    <x:row r="1587">
      <x:c r="A1587" s="7" t="n">
        <x:v>1583</x:v>
      </x:c>
      <x:c r="B1587" s="7" t="str">
        <x:v>Tata</x:v>
      </x:c>
      <x:c r="C1587" s="7" t="str">
        <x:v>Altroz</x:v>
      </x:c>
      <x:c r="D1587" s="7" t="str">
        <x:v>XZA DCA</x:v>
      </x:c>
      <x:c r="E1587" s="7" t="str">
        <x:v>Petrol</x:v>
      </x:c>
      <x:c r="F1587" s="7" t="str">
        <x:v>Automatic</x:v>
      </x:c>
      <x:c r="G1587" s="7" t="str">
        <x:v>Hatchback</x:v>
      </x:c>
      <x:c r="H1587" s="7" t="n">
        <x:v>1199</x:v>
      </x:c>
      <x:c r="I1587" s="7" t="n">
        <x:v>87</x:v>
      </x:c>
      <x:c r="J1587" s="9" t="n">
        <x:v>18.5</x:v>
      </x:c>
      <x:c r="K1587" s="9" t="n">
        <x:v>10</x:v>
      </x:c>
      <x:c r="L1587" s="7" t="n">
        <x:v>2025</x:v>
      </x:c>
      <x:c r="M1587" s="11" t="n">
        <x:v>22236</x:v>
      </x:c>
      <x:c r="N1587" s="7" t="n">
        <x:v>1</x:v>
      </x:c>
      <x:c r="O1587" s="7" t="n">
        <x:v>0</x:v>
      </x:c>
      <x:c r="P1587" s="9" t="n">
        <x:v>9.11</x:v>
      </x:c>
      <x:c r="Q1587" s="7" t="n">
        <x:f>'Guide'!$B$5-L1587</x:f>
        <x:v>1</x:v>
      </x:c>
      <x:c r="R1587" s="9" t="n">
        <x:f>K1587-P1587</x:f>
        <x:v>0.8900000000000006</x:v>
      </x:c>
      <x:c r="S1587" s="10" t="n">
        <x:f>IF(K1587&gt;0,R1587/K1587,"")</x:f>
        <x:v>0.08900000000000005</x:v>
      </x:c>
    </x:row>
    <x:row r="1588">
      <x:c r="A1588" s="7" t="n">
        <x:v>1584</x:v>
      </x:c>
      <x:c r="B1588" s="7" t="str">
        <x:v>Tata</x:v>
      </x:c>
      <x:c r="C1588" s="7" t="str">
        <x:v>Altroz</x:v>
      </x:c>
      <x:c r="D1588" s="7" t="str">
        <x:v>XZA DCA</x:v>
      </x:c>
      <x:c r="E1588" s="7" t="str">
        <x:v>Petrol</x:v>
      </x:c>
      <x:c r="F1588" s="7" t="str">
        <x:v>Automatic</x:v>
      </x:c>
      <x:c r="G1588" s="7" t="str">
        <x:v>Hatchback</x:v>
      </x:c>
      <x:c r="H1588" s="7" t="n">
        <x:v>1199</x:v>
      </x:c>
      <x:c r="I1588" s="7" t="n">
        <x:v>87</x:v>
      </x:c>
      <x:c r="J1588" s="9" t="n">
        <x:v>18.5</x:v>
      </x:c>
      <x:c r="K1588" s="9" t="n">
        <x:v>10</x:v>
      </x:c>
      <x:c r="L1588" s="7" t="n">
        <x:v>2021</x:v>
      </x:c>
      <x:c r="M1588" s="11" t="n">
        <x:v>79683</x:v>
      </x:c>
      <x:c r="N1588" s="7" t="n">
        <x:v>1</x:v>
      </x:c>
      <x:c r="O1588" s="7" t="n">
        <x:v>0</x:v>
      </x:c>
      <x:c r="P1588" s="9" t="n">
        <x:v>5.42</x:v>
      </x:c>
      <x:c r="Q1588" s="7" t="n">
        <x:f>'Guide'!$B$5-L1588</x:f>
        <x:v>5</x:v>
      </x:c>
      <x:c r="R1588" s="9" t="n">
        <x:f>K1588-P1588</x:f>
        <x:v>4.58</x:v>
      </x:c>
      <x:c r="S1588" s="10" t="n">
        <x:f>IF(K1588&gt;0,R1588/K1588,"")</x:f>
        <x:v>0.458</x:v>
      </x:c>
    </x:row>
    <x:row r="1589">
      <x:c r="A1589" s="7" t="n">
        <x:v>1585</x:v>
      </x:c>
      <x:c r="B1589" s="7" t="str">
        <x:v>Tata</x:v>
      </x:c>
      <x:c r="C1589" s="7" t="str">
        <x:v>Altroz</x:v>
      </x:c>
      <x:c r="D1589" s="7" t="str">
        <x:v>XZA DCA</x:v>
      </x:c>
      <x:c r="E1589" s="7" t="str">
        <x:v>Petrol</x:v>
      </x:c>
      <x:c r="F1589" s="7" t="str">
        <x:v>Automatic</x:v>
      </x:c>
      <x:c r="G1589" s="7" t="str">
        <x:v>Hatchback</x:v>
      </x:c>
      <x:c r="H1589" s="7" t="n">
        <x:v>1199</x:v>
      </x:c>
      <x:c r="I1589" s="7" t="n">
        <x:v>87</x:v>
      </x:c>
      <x:c r="J1589" s="9" t="n">
        <x:v>18.5</x:v>
      </x:c>
      <x:c r="K1589" s="9" t="n">
        <x:v>10</x:v>
      </x:c>
      <x:c r="L1589" s="7" t="n">
        <x:v>2020</x:v>
      </x:c>
      <x:c r="M1589" s="11" t="n">
        <x:v>72653</x:v>
      </x:c>
      <x:c r="N1589" s="7" t="n">
        <x:v>1</x:v>
      </x:c>
      <x:c r="O1589" s="7" t="n">
        <x:v>0</x:v>
      </x:c>
      <x:c r="P1589" s="9" t="n">
        <x:v>4.06</x:v>
      </x:c>
      <x:c r="Q1589" s="7" t="n">
        <x:f>'Guide'!$B$5-L1589</x:f>
        <x:v>6</x:v>
      </x:c>
      <x:c r="R1589" s="9" t="n">
        <x:f>K1589-P1589</x:f>
        <x:v>5.94</x:v>
      </x:c>
      <x:c r="S1589" s="10" t="n">
        <x:f>IF(K1589&gt;0,R1589/K1589,"")</x:f>
        <x:v>0.5940000000000001</x:v>
      </x:c>
    </x:row>
    <x:row r="1590">
      <x:c r="A1590" s="7" t="n">
        <x:v>1586</x:v>
      </x:c>
      <x:c r="B1590" s="7" t="str">
        <x:v>Tata</x:v>
      </x:c>
      <x:c r="C1590" s="7" t="str">
        <x:v>Altroz</x:v>
      </x:c>
      <x:c r="D1590" s="7" t="str">
        <x:v>XZA DCA</x:v>
      </x:c>
      <x:c r="E1590" s="7" t="str">
        <x:v>Petrol</x:v>
      </x:c>
      <x:c r="F1590" s="7" t="str">
        <x:v>Automatic</x:v>
      </x:c>
      <x:c r="G1590" s="7" t="str">
        <x:v>Hatchback</x:v>
      </x:c>
      <x:c r="H1590" s="7" t="n">
        <x:v>1199</x:v>
      </x:c>
      <x:c r="I1590" s="7" t="n">
        <x:v>87</x:v>
      </x:c>
      <x:c r="J1590" s="9" t="n">
        <x:v>18.5</x:v>
      </x:c>
      <x:c r="K1590" s="9" t="n">
        <x:v>10</x:v>
      </x:c>
      <x:c r="L1590" s="7" t="n">
        <x:v>2024</x:v>
      </x:c>
      <x:c r="M1590" s="11" t="n">
        <x:v>32849</x:v>
      </x:c>
      <x:c r="N1590" s="7" t="n">
        <x:v>1</x:v>
      </x:c>
      <x:c r="O1590" s="7" t="n">
        <x:v>0</x:v>
      </x:c>
      <x:c r="P1590" s="9" t="n">
        <x:v>8.2</x:v>
      </x:c>
      <x:c r="Q1590" s="7" t="n">
        <x:f>'Guide'!$B$5-L1590</x:f>
        <x:v>2</x:v>
      </x:c>
      <x:c r="R1590" s="9" t="n">
        <x:f>K1590-P1590</x:f>
        <x:v>1.8000000000000007</x:v>
      </x:c>
      <x:c r="S1590" s="10" t="n">
        <x:f>IF(K1590&gt;0,R1590/K1590,"")</x:f>
        <x:v>0.18000000000000008</x:v>
      </x:c>
    </x:row>
    <x:row r="1591">
      <x:c r="A1591" s="7" t="n">
        <x:v>1587</x:v>
      </x:c>
      <x:c r="B1591" s="7" t="str">
        <x:v>Tata</x:v>
      </x:c>
      <x:c r="C1591" s="7" t="str">
        <x:v>Altroz</x:v>
      </x:c>
      <x:c r="D1591" s="7" t="str">
        <x:v>XZA DCA</x:v>
      </x:c>
      <x:c r="E1591" s="7" t="str">
        <x:v>Petrol</x:v>
      </x:c>
      <x:c r="F1591" s="7" t="str">
        <x:v>Automatic</x:v>
      </x:c>
      <x:c r="G1591" s="7" t="str">
        <x:v>Hatchback</x:v>
      </x:c>
      <x:c r="H1591" s="7" t="n">
        <x:v>1199</x:v>
      </x:c>
      <x:c r="I1591" s="7" t="n">
        <x:v>87</x:v>
      </x:c>
      <x:c r="J1591" s="9" t="n">
        <x:v>18.5</x:v>
      </x:c>
      <x:c r="K1591" s="9" t="n">
        <x:v>10</x:v>
      </x:c>
      <x:c r="L1591" s="7" t="n">
        <x:v>2026</x:v>
      </x:c>
      <x:c r="M1591" s="11" t="n">
        <x:v>5079</x:v>
      </x:c>
      <x:c r="N1591" s="7" t="n">
        <x:v>1</x:v>
      </x:c>
      <x:c r="O1591" s="7" t="n">
        <x:v>0</x:v>
      </x:c>
      <x:c r="P1591" s="9" t="n">
        <x:v>10.27</x:v>
      </x:c>
      <x:c r="Q1591" s="7" t="n">
        <x:f>'Guide'!$B$5-L1591</x:f>
        <x:v>0</x:v>
      </x:c>
      <x:c r="R1591" s="9" t="n">
        <x:f>K1591-P1591</x:f>
        <x:v>-0.2699999999999996</x:v>
      </x:c>
      <x:c r="S1591" s="10" t="n">
        <x:f>IF(K1591&gt;0,R1591/K1591,"")</x:f>
        <x:v>-0.026999999999999958</x:v>
      </x:c>
    </x:row>
    <x:row r="1592">
      <x:c r="A1592" s="7" t="n">
        <x:v>1588</x:v>
      </x:c>
      <x:c r="B1592" s="7" t="str">
        <x:v>Tata</x:v>
      </x:c>
      <x:c r="C1592" s="7" t="str">
        <x:v>Altroz</x:v>
      </x:c>
      <x:c r="D1592" s="7" t="str">
        <x:v>XZA DCA</x:v>
      </x:c>
      <x:c r="E1592" s="7" t="str">
        <x:v>Petrol</x:v>
      </x:c>
      <x:c r="F1592" s="7" t="str">
        <x:v>Automatic</x:v>
      </x:c>
      <x:c r="G1592" s="7" t="str">
        <x:v>Hatchback</x:v>
      </x:c>
      <x:c r="H1592" s="7" t="n">
        <x:v>1199</x:v>
      </x:c>
      <x:c r="I1592" s="7" t="n">
        <x:v>87</x:v>
      </x:c>
      <x:c r="J1592" s="9" t="n">
        <x:v>18.5</x:v>
      </x:c>
      <x:c r="K1592" s="9" t="n">
        <x:v>10</x:v>
      </x:c>
      <x:c r="L1592" s="7" t="n">
        <x:v>2023</x:v>
      </x:c>
      <x:c r="M1592" s="11" t="n">
        <x:v>51065</x:v>
      </x:c>
      <x:c r="N1592" s="7" t="n">
        <x:v>1</x:v>
      </x:c>
      <x:c r="O1592" s="7" t="n">
        <x:v>0</x:v>
      </x:c>
      <x:c r="P1592" s="9" t="n">
        <x:v>6.7</x:v>
      </x:c>
      <x:c r="Q1592" s="7" t="n">
        <x:f>'Guide'!$B$5-L1592</x:f>
        <x:v>3</x:v>
      </x:c>
      <x:c r="R1592" s="9" t="n">
        <x:f>K1592-P1592</x:f>
        <x:v>3.3</x:v>
      </x:c>
      <x:c r="S1592" s="10" t="n">
        <x:f>IF(K1592&gt;0,R1592/K1592,"")</x:f>
        <x:v>0.32999999999999996</x:v>
      </x:c>
    </x:row>
    <x:row r="1593">
      <x:c r="A1593" s="7" t="n">
        <x:v>1589</x:v>
      </x:c>
      <x:c r="B1593" s="7" t="str">
        <x:v>Tata</x:v>
      </x:c>
      <x:c r="C1593" s="7" t="str">
        <x:v>Altroz</x:v>
      </x:c>
      <x:c r="D1593" s="7" t="str">
        <x:v>XZA DCA</x:v>
      </x:c>
      <x:c r="E1593" s="7" t="str">
        <x:v>Petrol</x:v>
      </x:c>
      <x:c r="F1593" s="7" t="str">
        <x:v>Automatic</x:v>
      </x:c>
      <x:c r="G1593" s="7" t="str">
        <x:v>Hatchback</x:v>
      </x:c>
      <x:c r="H1593" s="7" t="n">
        <x:v>1199</x:v>
      </x:c>
      <x:c r="I1593" s="7" t="n">
        <x:v>87</x:v>
      </x:c>
      <x:c r="J1593" s="9" t="n">
        <x:v>18.5</x:v>
      </x:c>
      <x:c r="K1593" s="9" t="n">
        <x:v>10</x:v>
      </x:c>
      <x:c r="L1593" s="7" t="n">
        <x:v>2024</x:v>
      </x:c>
      <x:c r="M1593" s="11" t="n">
        <x:v>37458</x:v>
      </x:c>
      <x:c r="N1593" s="7" t="n">
        <x:v>2</x:v>
      </x:c>
      <x:c r="O1593" s="7" t="n">
        <x:v>0</x:v>
      </x:c>
      <x:c r="P1593" s="9" t="n">
        <x:v>7.82</x:v>
      </x:c>
      <x:c r="Q1593" s="7" t="n">
        <x:f>'Guide'!$B$5-L1593</x:f>
        <x:v>2</x:v>
      </x:c>
      <x:c r="R1593" s="9" t="n">
        <x:f>K1593-P1593</x:f>
        <x:v>2.1799999999999997</x:v>
      </x:c>
      <x:c r="S1593" s="10" t="n">
        <x:f>IF(K1593&gt;0,R1593/K1593,"")</x:f>
        <x:v>0.21799999999999997</x:v>
      </x:c>
    </x:row>
    <x:row r="1594">
      <x:c r="A1594" s="7" t="n">
        <x:v>1590</x:v>
      </x:c>
      <x:c r="B1594" s="7" t="str">
        <x:v>Tata</x:v>
      </x:c>
      <x:c r="C1594" s="7" t="str">
        <x:v>Altroz</x:v>
      </x:c>
      <x:c r="D1594" s="7" t="str">
        <x:v>XZA DCA</x:v>
      </x:c>
      <x:c r="E1594" s="7" t="str">
        <x:v>Petrol</x:v>
      </x:c>
      <x:c r="F1594" s="7" t="str">
        <x:v>Automatic</x:v>
      </x:c>
      <x:c r="G1594" s="7" t="str">
        <x:v>Hatchback</x:v>
      </x:c>
      <x:c r="H1594" s="7" t="n">
        <x:v>1199</x:v>
      </x:c>
      <x:c r="I1594" s="7" t="n">
        <x:v>87</x:v>
      </x:c>
      <x:c r="J1594" s="9" t="n">
        <x:v>18.5</x:v>
      </x:c>
      <x:c r="K1594" s="9" t="n">
        <x:v>10</x:v>
      </x:c>
      <x:c r="L1594" s="7" t="n">
        <x:v>2022</x:v>
      </x:c>
      <x:c r="M1594" s="11" t="n">
        <x:v>73175</x:v>
      </x:c>
      <x:c r="N1594" s="7" t="n">
        <x:v>1</x:v>
      </x:c>
      <x:c r="O1594" s="7" t="n">
        <x:v>0</x:v>
      </x:c>
      <x:c r="P1594" s="9" t="n">
        <x:v>5.9</x:v>
      </x:c>
      <x:c r="Q1594" s="7" t="n">
        <x:f>'Guide'!$B$5-L1594</x:f>
        <x:v>4</x:v>
      </x:c>
      <x:c r="R1594" s="9" t="n">
        <x:f>K1594-P1594</x:f>
        <x:v>4.1</x:v>
      </x:c>
      <x:c r="S1594" s="10" t="n">
        <x:f>IF(K1594&gt;0,R1594/K1594,"")</x:f>
        <x:v>0.41</x:v>
      </x:c>
    </x:row>
    <x:row r="1595">
      <x:c r="A1595" s="7" t="n">
        <x:v>1591</x:v>
      </x:c>
      <x:c r="B1595" s="7" t="str">
        <x:v>Tata</x:v>
      </x:c>
      <x:c r="C1595" s="7" t="str">
        <x:v>Altroz</x:v>
      </x:c>
      <x:c r="D1595" s="7" t="str">
        <x:v>XZA DCA</x:v>
      </x:c>
      <x:c r="E1595" s="7" t="str">
        <x:v>Petrol</x:v>
      </x:c>
      <x:c r="F1595" s="7" t="str">
        <x:v>Automatic</x:v>
      </x:c>
      <x:c r="G1595" s="7" t="str">
        <x:v>Hatchback</x:v>
      </x:c>
      <x:c r="H1595" s="7" t="n">
        <x:v>1199</x:v>
      </x:c>
      <x:c r="I1595" s="7" t="n">
        <x:v>87</x:v>
      </x:c>
      <x:c r="J1595" s="9" t="n">
        <x:v>18.5</x:v>
      </x:c>
      <x:c r="K1595" s="9" t="n">
        <x:v>10</x:v>
      </x:c>
      <x:c r="L1595" s="7" t="n">
        <x:v>2025</x:v>
      </x:c>
      <x:c r="M1595" s="11" t="n">
        <x:v>23931</x:v>
      </x:c>
      <x:c r="N1595" s="7" t="n">
        <x:v>2</x:v>
      </x:c>
      <x:c r="O1595" s="7" t="n">
        <x:v>0</x:v>
      </x:c>
      <x:c r="P1595" s="9" t="n">
        <x:v>8.71</x:v>
      </x:c>
      <x:c r="Q1595" s="7" t="n">
        <x:f>'Guide'!$B$5-L1595</x:f>
        <x:v>1</x:v>
      </x:c>
      <x:c r="R1595" s="9" t="n">
        <x:f>K1595-P1595</x:f>
        <x:v>1.2899999999999991</x:v>
      </x:c>
      <x:c r="S1595" s="10" t="n">
        <x:f>IF(K1595&gt;0,R1595/K1595,"")</x:f>
        <x:v>0.12899999999999992</x:v>
      </x:c>
    </x:row>
    <x:row r="1596">
      <x:c r="A1596" s="7" t="n">
        <x:v>1592</x:v>
      </x:c>
      <x:c r="B1596" s="7" t="str">
        <x:v>Tata</x:v>
      </x:c>
      <x:c r="C1596" s="7" t="str">
        <x:v>Altroz</x:v>
      </x:c>
      <x:c r="D1596" s="7" t="str">
        <x:v>XZA DCA</x:v>
      </x:c>
      <x:c r="E1596" s="7" t="str">
        <x:v>Petrol</x:v>
      </x:c>
      <x:c r="F1596" s="7" t="str">
        <x:v>Automatic</x:v>
      </x:c>
      <x:c r="G1596" s="7" t="str">
        <x:v>Hatchback</x:v>
      </x:c>
      <x:c r="H1596" s="7" t="n">
        <x:v>1199</x:v>
      </x:c>
      <x:c r="I1596" s="7" t="n">
        <x:v>87</x:v>
      </x:c>
      <x:c r="J1596" s="9" t="n">
        <x:v>18.5</x:v>
      </x:c>
      <x:c r="K1596" s="9" t="n">
        <x:v>10</x:v>
      </x:c>
      <x:c r="L1596" s="7" t="n">
        <x:v>2022</x:v>
      </x:c>
      <x:c r="M1596" s="11" t="n">
        <x:v>65188</x:v>
      </x:c>
      <x:c r="N1596" s="7" t="n">
        <x:v>2</x:v>
      </x:c>
      <x:c r="O1596" s="7" t="n">
        <x:v>1</x:v>
      </x:c>
      <x:c r="P1596" s="9" t="n">
        <x:v>4.74</x:v>
      </x:c>
      <x:c r="Q1596" s="7" t="n">
        <x:f>'Guide'!$B$5-L1596</x:f>
        <x:v>4</x:v>
      </x:c>
      <x:c r="R1596" s="9" t="n">
        <x:f>K1596-P1596</x:f>
        <x:v>5.26</x:v>
      </x:c>
      <x:c r="S1596" s="10" t="n">
        <x:f>IF(K1596&gt;0,R1596/K1596,"")</x:f>
        <x:v>0.526</x:v>
      </x:c>
    </x:row>
    <x:row r="1597">
      <x:c r="A1597" s="7" t="n">
        <x:v>1593</x:v>
      </x:c>
      <x:c r="B1597" s="7" t="str">
        <x:v>Tata</x:v>
      </x:c>
      <x:c r="C1597" s="7" t="str">
        <x:v>Altroz</x:v>
      </x:c>
      <x:c r="D1597" s="7" t="str">
        <x:v>XZA DCA</x:v>
      </x:c>
      <x:c r="E1597" s="7" t="str">
        <x:v>Petrol</x:v>
      </x:c>
      <x:c r="F1597" s="7" t="str">
        <x:v>Automatic</x:v>
      </x:c>
      <x:c r="G1597" s="7" t="str">
        <x:v>Hatchback</x:v>
      </x:c>
      <x:c r="H1597" s="7" t="n">
        <x:v>1199</x:v>
      </x:c>
      <x:c r="I1597" s="7" t="n">
        <x:v>87</x:v>
      </x:c>
      <x:c r="J1597" s="9" t="n">
        <x:v>18.5</x:v>
      </x:c>
      <x:c r="K1597" s="9" t="n">
        <x:v>10</x:v>
      </x:c>
      <x:c r="L1597" s="7" t="n">
        <x:v>2020</x:v>
      </x:c>
      <x:c r="M1597" s="11" t="n">
        <x:v>78215</x:v>
      </x:c>
      <x:c r="N1597" s="7" t="n">
        <x:v>1</x:v>
      </x:c>
      <x:c r="O1597" s="7" t="n">
        <x:v>0</x:v>
      </x:c>
      <x:c r="P1597" s="9" t="n">
        <x:v>4.12</x:v>
      </x:c>
      <x:c r="Q1597" s="7" t="n">
        <x:f>'Guide'!$B$5-L1597</x:f>
        <x:v>6</x:v>
      </x:c>
      <x:c r="R1597" s="9" t="n">
        <x:f>K1597-P1597</x:f>
        <x:v>5.88</x:v>
      </x:c>
      <x:c r="S1597" s="10" t="n">
        <x:f>IF(K1597&gt;0,R1597/K1597,"")</x:f>
        <x:v>0.588</x:v>
      </x:c>
    </x:row>
    <x:row r="1598">
      <x:c r="A1598" s="7" t="n">
        <x:v>1594</x:v>
      </x:c>
      <x:c r="B1598" s="7" t="str">
        <x:v>Tata</x:v>
      </x:c>
      <x:c r="C1598" s="7" t="str">
        <x:v>Altroz</x:v>
      </x:c>
      <x:c r="D1598" s="7" t="str">
        <x:v>XZA DCA</x:v>
      </x:c>
      <x:c r="E1598" s="7" t="str">
        <x:v>Petrol</x:v>
      </x:c>
      <x:c r="F1598" s="7" t="str">
        <x:v>Automatic</x:v>
      </x:c>
      <x:c r="G1598" s="7" t="str">
        <x:v>Hatchback</x:v>
      </x:c>
      <x:c r="H1598" s="7" t="n">
        <x:v>1199</x:v>
      </x:c>
      <x:c r="I1598" s="7" t="n">
        <x:v>87</x:v>
      </x:c>
      <x:c r="J1598" s="9" t="n">
        <x:v>18.5</x:v>
      </x:c>
      <x:c r="K1598" s="9" t="n">
        <x:v>10</x:v>
      </x:c>
      <x:c r="L1598" s="7" t="n">
        <x:v>2021</x:v>
      </x:c>
      <x:c r="M1598" s="11" t="n">
        <x:v>56173</x:v>
      </x:c>
      <x:c r="N1598" s="7" t="n">
        <x:v>1</x:v>
      </x:c>
      <x:c r="O1598" s="7" t="n">
        <x:v>0</x:v>
      </x:c>
      <x:c r="P1598" s="9" t="n">
        <x:v>5.53</x:v>
      </x:c>
      <x:c r="Q1598" s="7" t="n">
        <x:f>'Guide'!$B$5-L1598</x:f>
        <x:v>5</x:v>
      </x:c>
      <x:c r="R1598" s="9" t="n">
        <x:f>K1598-P1598</x:f>
        <x:v>4.47</x:v>
      </x:c>
      <x:c r="S1598" s="10" t="n">
        <x:f>IF(K1598&gt;0,R1598/K1598,"")</x:f>
        <x:v>0.44699999999999995</x:v>
      </x:c>
    </x:row>
    <x:row r="1599">
      <x:c r="A1599" s="7" t="n">
        <x:v>1595</x:v>
      </x:c>
      <x:c r="B1599" s="7" t="str">
        <x:v>Tata</x:v>
      </x:c>
      <x:c r="C1599" s="7" t="str">
        <x:v>Altroz</x:v>
      </x:c>
      <x:c r="D1599" s="7" t="str">
        <x:v>XZA DCA</x:v>
      </x:c>
      <x:c r="E1599" s="7" t="str">
        <x:v>Petrol</x:v>
      </x:c>
      <x:c r="F1599" s="7" t="str">
        <x:v>Automatic</x:v>
      </x:c>
      <x:c r="G1599" s="7" t="str">
        <x:v>Hatchback</x:v>
      </x:c>
      <x:c r="H1599" s="7" t="n">
        <x:v>1199</x:v>
      </x:c>
      <x:c r="I1599" s="7" t="n">
        <x:v>87</x:v>
      </x:c>
      <x:c r="J1599" s="9" t="n">
        <x:v>18.5</x:v>
      </x:c>
      <x:c r="K1599" s="9" t="n">
        <x:v>10</x:v>
      </x:c>
      <x:c r="L1599" s="7" t="n">
        <x:v>2023</x:v>
      </x:c>
      <x:c r="M1599" s="11" t="n">
        <x:v>30972</x:v>
      </x:c>
      <x:c r="N1599" s="7" t="n">
        <x:v>2</x:v>
      </x:c>
      <x:c r="O1599" s="7" t="n">
        <x:v>0</x:v>
      </x:c>
      <x:c r="P1599" s="9" t="n">
        <x:v>6.64</x:v>
      </x:c>
      <x:c r="Q1599" s="7" t="n">
        <x:f>'Guide'!$B$5-L1599</x:f>
        <x:v>3</x:v>
      </x:c>
      <x:c r="R1599" s="9" t="n">
        <x:f>K1599-P1599</x:f>
        <x:v>3.3600000000000003</x:v>
      </x:c>
      <x:c r="S1599" s="10" t="n">
        <x:f>IF(K1599&gt;0,R1599/K1599,"")</x:f>
        <x:v>0.336</x:v>
      </x:c>
    </x:row>
    <x:row r="1600">
      <x:c r="A1600" s="7" t="n">
        <x:v>1596</x:v>
      </x:c>
      <x:c r="B1600" s="7" t="str">
        <x:v>Tata</x:v>
      </x:c>
      <x:c r="C1600" s="7" t="str">
        <x:v>Altroz</x:v>
      </x:c>
      <x:c r="D1600" s="7" t="str">
        <x:v>XZA DCA</x:v>
      </x:c>
      <x:c r="E1600" s="7" t="str">
        <x:v>Petrol</x:v>
      </x:c>
      <x:c r="F1600" s="7" t="str">
        <x:v>Automatic</x:v>
      </x:c>
      <x:c r="G1600" s="7" t="str">
        <x:v>Hatchback</x:v>
      </x:c>
      <x:c r="H1600" s="7" t="n">
        <x:v>1199</x:v>
      </x:c>
      <x:c r="I1600" s="7" t="n">
        <x:v>87</x:v>
      </x:c>
      <x:c r="J1600" s="9" t="n">
        <x:v>18.5</x:v>
      </x:c>
      <x:c r="K1600" s="9" t="n">
        <x:v>10</x:v>
      </x:c>
      <x:c r="L1600" s="7" t="n">
        <x:v>2025</x:v>
      </x:c>
      <x:c r="M1600" s="11" t="n">
        <x:v>17298</x:v>
      </x:c>
      <x:c r="N1600" s="7" t="n">
        <x:v>1</x:v>
      </x:c>
      <x:c r="O1600" s="7" t="n">
        <x:v>0</x:v>
      </x:c>
      <x:c r="P1600" s="9" t="n">
        <x:v>8.75</x:v>
      </x:c>
      <x:c r="Q1600" s="7" t="n">
        <x:f>'Guide'!$B$5-L1600</x:f>
        <x:v>1</x:v>
      </x:c>
      <x:c r="R1600" s="9" t="n">
        <x:f>K1600-P1600</x:f>
        <x:v>1.25</x:v>
      </x:c>
      <x:c r="S1600" s="10" t="n">
        <x:f>IF(K1600&gt;0,R1600/K1600,"")</x:f>
        <x:v>0.125</x:v>
      </x:c>
    </x:row>
    <x:row r="1601">
      <x:c r="A1601" s="7" t="n">
        <x:v>1597</x:v>
      </x:c>
      <x:c r="B1601" s="7" t="str">
        <x:v>Tata</x:v>
      </x:c>
      <x:c r="C1601" s="7" t="str">
        <x:v>Altroz</x:v>
      </x:c>
      <x:c r="D1601" s="7" t="str">
        <x:v>XZA DCA</x:v>
      </x:c>
      <x:c r="E1601" s="7" t="str">
        <x:v>Petrol</x:v>
      </x:c>
      <x:c r="F1601" s="7" t="str">
        <x:v>Automatic</x:v>
      </x:c>
      <x:c r="G1601" s="7" t="str">
        <x:v>Hatchback</x:v>
      </x:c>
      <x:c r="H1601" s="7" t="n">
        <x:v>1199</x:v>
      </x:c>
      <x:c r="I1601" s="7" t="n">
        <x:v>87</x:v>
      </x:c>
      <x:c r="J1601" s="9" t="n">
        <x:v>18.5</x:v>
      </x:c>
      <x:c r="K1601" s="9" t="n">
        <x:v>10</x:v>
      </x:c>
      <x:c r="L1601" s="7" t="n">
        <x:v>2025</x:v>
      </x:c>
      <x:c r="M1601" s="11" t="n">
        <x:v>13613</x:v>
      </x:c>
      <x:c r="N1601" s="7" t="n">
        <x:v>1</x:v>
      </x:c>
      <x:c r="O1601" s="7" t="n">
        <x:v>0</x:v>
      </x:c>
      <x:c r="P1601" s="9" t="n">
        <x:v>8.86</x:v>
      </x:c>
      <x:c r="Q1601" s="7" t="n">
        <x:f>'Guide'!$B$5-L1601</x:f>
        <x:v>1</x:v>
      </x:c>
      <x:c r="R1601" s="9" t="n">
        <x:f>K1601-P1601</x:f>
        <x:v>1.1400000000000006</x:v>
      </x:c>
      <x:c r="S1601" s="10" t="n">
        <x:f>IF(K1601&gt;0,R1601/K1601,"")</x:f>
        <x:v>0.11400000000000006</x:v>
      </x:c>
    </x:row>
    <x:row r="1602">
      <x:c r="A1602" s="7" t="n">
        <x:v>1598</x:v>
      </x:c>
      <x:c r="B1602" s="7" t="str">
        <x:v>Tata</x:v>
      </x:c>
      <x:c r="C1602" s="7" t="str">
        <x:v>Altroz</x:v>
      </x:c>
      <x:c r="D1602" s="7" t="str">
        <x:v>XZA DCA</x:v>
      </x:c>
      <x:c r="E1602" s="7" t="str">
        <x:v>Petrol</x:v>
      </x:c>
      <x:c r="F1602" s="7" t="str">
        <x:v>Automatic</x:v>
      </x:c>
      <x:c r="G1602" s="7" t="str">
        <x:v>Hatchback</x:v>
      </x:c>
      <x:c r="H1602" s="7" t="n">
        <x:v>1199</x:v>
      </x:c>
      <x:c r="I1602" s="7" t="n">
        <x:v>87</x:v>
      </x:c>
      <x:c r="J1602" s="9" t="n">
        <x:v>18.5</x:v>
      </x:c>
      <x:c r="K1602" s="9" t="n">
        <x:v>10</x:v>
      </x:c>
      <x:c r="L1602" s="7" t="n">
        <x:v>2022</x:v>
      </x:c>
      <x:c r="M1602" s="11" t="n">
        <x:v>68543</x:v>
      </x:c>
      <x:c r="N1602" s="7" t="n">
        <x:v>1</x:v>
      </x:c>
      <x:c r="O1602" s="7" t="n">
        <x:v>0</x:v>
      </x:c>
      <x:c r="P1602" s="9" t="n">
        <x:v>5.72</x:v>
      </x:c>
      <x:c r="Q1602" s="7" t="n">
        <x:f>'Guide'!$B$5-L1602</x:f>
        <x:v>4</x:v>
      </x:c>
      <x:c r="R1602" s="9" t="n">
        <x:f>K1602-P1602</x:f>
        <x:v>4.28</x:v>
      </x:c>
      <x:c r="S1602" s="10" t="n">
        <x:f>IF(K1602&gt;0,R1602/K1602,"")</x:f>
        <x:v>0.42800000000000005</x:v>
      </x:c>
    </x:row>
    <x:row r="1603">
      <x:c r="A1603" s="7" t="n">
        <x:v>1599</x:v>
      </x:c>
      <x:c r="B1603" s="7" t="str">
        <x:v>Tata</x:v>
      </x:c>
      <x:c r="C1603" s="7" t="str">
        <x:v>Altroz</x:v>
      </x:c>
      <x:c r="D1603" s="7" t="str">
        <x:v>XZA DCA</x:v>
      </x:c>
      <x:c r="E1603" s="7" t="str">
        <x:v>Petrol</x:v>
      </x:c>
      <x:c r="F1603" s="7" t="str">
        <x:v>Automatic</x:v>
      </x:c>
      <x:c r="G1603" s="7" t="str">
        <x:v>Hatchback</x:v>
      </x:c>
      <x:c r="H1603" s="7" t="n">
        <x:v>1199</x:v>
      </x:c>
      <x:c r="I1603" s="7" t="n">
        <x:v>87</x:v>
      </x:c>
      <x:c r="J1603" s="9" t="n">
        <x:v>18.5</x:v>
      </x:c>
      <x:c r="K1603" s="9" t="n">
        <x:v>10</x:v>
      </x:c>
      <x:c r="L1603" s="7" t="n">
        <x:v>2024</x:v>
      </x:c>
      <x:c r="M1603" s="11" t="n">
        <x:v>42724</x:v>
      </x:c>
      <x:c r="N1603" s="7" t="n">
        <x:v>1</x:v>
      </x:c>
      <x:c r="O1603" s="7" t="n">
        <x:v>0</x:v>
      </x:c>
      <x:c r="P1603" s="9" t="n">
        <x:v>7.95</x:v>
      </x:c>
      <x:c r="Q1603" s="7" t="n">
        <x:f>'Guide'!$B$5-L1603</x:f>
        <x:v>2</x:v>
      </x:c>
      <x:c r="R1603" s="9" t="n">
        <x:f>K1603-P1603</x:f>
        <x:v>2.05</x:v>
      </x:c>
      <x:c r="S1603" s="10" t="n">
        <x:f>IF(K1603&gt;0,R1603/K1603,"")</x:f>
        <x:v>0.205</x:v>
      </x:c>
    </x:row>
    <x:row r="1604">
      <x:c r="A1604" s="7" t="n">
        <x:v>1600</x:v>
      </x:c>
      <x:c r="B1604" s="7" t="str">
        <x:v>Tata</x:v>
      </x:c>
      <x:c r="C1604" s="7" t="str">
        <x:v>Altroz</x:v>
      </x:c>
      <x:c r="D1604" s="7" t="str">
        <x:v>XZA DCA</x:v>
      </x:c>
      <x:c r="E1604" s="7" t="str">
        <x:v>Petrol</x:v>
      </x:c>
      <x:c r="F1604" s="7" t="str">
        <x:v>Automatic</x:v>
      </x:c>
      <x:c r="G1604" s="7" t="str">
        <x:v>Hatchback</x:v>
      </x:c>
      <x:c r="H1604" s="7" t="n">
        <x:v>1199</x:v>
      </x:c>
      <x:c r="I1604" s="7" t="n">
        <x:v>87</x:v>
      </x:c>
      <x:c r="J1604" s="9" t="n">
        <x:v>18.5</x:v>
      </x:c>
      <x:c r="K1604" s="9" t="n">
        <x:v>10</x:v>
      </x:c>
      <x:c r="L1604" s="7" t="n">
        <x:v>2023</x:v>
      </x:c>
      <x:c r="M1604" s="11" t="n">
        <x:v>50792</x:v>
      </x:c>
      <x:c r="N1604" s="7" t="n">
        <x:v>1</x:v>
      </x:c>
      <x:c r="O1604" s="7" t="n">
        <x:v>0</x:v>
      </x:c>
      <x:c r="P1604" s="9" t="n">
        <x:v>7.09</x:v>
      </x:c>
      <x:c r="Q1604" s="7" t="n">
        <x:f>'Guide'!$B$5-L1604</x:f>
        <x:v>3</x:v>
      </x:c>
      <x:c r="R1604" s="9" t="n">
        <x:f>K1604-P1604</x:f>
        <x:v>2.91</x:v>
      </x:c>
      <x:c r="S1604" s="10" t="n">
        <x:f>IF(K1604&gt;0,R1604/K1604,"")</x:f>
        <x:v>0.29100000000000004</x:v>
      </x:c>
    </x:row>
    <x:row r="1605">
      <x:c r="A1605" s="7" t="n">
        <x:v>1601</x:v>
      </x:c>
      <x:c r="B1605" s="7" t="str">
        <x:v>Tata</x:v>
      </x:c>
      <x:c r="C1605" s="7" t="str">
        <x:v>Altroz</x:v>
      </x:c>
      <x:c r="D1605" s="7" t="str">
        <x:v>XT Diesel</x:v>
      </x:c>
      <x:c r="E1605" s="7" t="str">
        <x:v>Diesel</x:v>
      </x:c>
      <x:c r="F1605" s="7" t="str">
        <x:v>Manual</x:v>
      </x:c>
      <x:c r="G1605" s="7" t="str">
        <x:v>Hatchback</x:v>
      </x:c>
      <x:c r="H1605" s="7" t="n">
        <x:v>1497</x:v>
      </x:c>
      <x:c r="I1605" s="7" t="n">
        <x:v>89</x:v>
      </x:c>
      <x:c r="J1605" s="9" t="n">
        <x:v>23.6</x:v>
      </x:c>
      <x:c r="K1605" s="9" t="n">
        <x:v>9.5</x:v>
      </x:c>
      <x:c r="L1605" s="7" t="n">
        <x:v>2020</x:v>
      </x:c>
      <x:c r="M1605" s="11" t="n">
        <x:v>122767</x:v>
      </x:c>
      <x:c r="N1605" s="7" t="n">
        <x:v>1</x:v>
      </x:c>
      <x:c r="O1605" s="7" t="n">
        <x:v>0</x:v>
      </x:c>
      <x:c r="P1605" s="9" t="n">
        <x:v>3.73</x:v>
      </x:c>
      <x:c r="Q1605" s="7" t="n">
        <x:f>'Guide'!$B$5-L1605</x:f>
        <x:v>6</x:v>
      </x:c>
      <x:c r="R1605" s="9" t="n">
        <x:f>K1605-P1605</x:f>
        <x:v>5.77</x:v>
      </x:c>
      <x:c r="S1605" s="10" t="n">
        <x:f>IF(K1605&gt;0,R1605/K1605,"")</x:f>
        <x:v>0.6073684210526316</x:v>
      </x:c>
    </x:row>
    <x:row r="1606">
      <x:c r="A1606" s="7" t="n">
        <x:v>1602</x:v>
      </x:c>
      <x:c r="B1606" s="7" t="str">
        <x:v>Tata</x:v>
      </x:c>
      <x:c r="C1606" s="7" t="str">
        <x:v>Altroz</x:v>
      </x:c>
      <x:c r="D1606" s="7" t="str">
        <x:v>XT Diesel</x:v>
      </x:c>
      <x:c r="E1606" s="7" t="str">
        <x:v>Diesel</x:v>
      </x:c>
      <x:c r="F1606" s="7" t="str">
        <x:v>Manual</x:v>
      </x:c>
      <x:c r="G1606" s="7" t="str">
        <x:v>Hatchback</x:v>
      </x:c>
      <x:c r="H1606" s="7" t="n">
        <x:v>1497</x:v>
      </x:c>
      <x:c r="I1606" s="7" t="n">
        <x:v>89</x:v>
      </x:c>
      <x:c r="J1606" s="9" t="n">
        <x:v>23.6</x:v>
      </x:c>
      <x:c r="K1606" s="9" t="n">
        <x:v>9.5</x:v>
      </x:c>
      <x:c r="L1606" s="7" t="n">
        <x:v>2024</x:v>
      </x:c>
      <x:c r="M1606" s="11" t="n">
        <x:v>28605</x:v>
      </x:c>
      <x:c r="N1606" s="7" t="n">
        <x:v>1</x:v>
      </x:c>
      <x:c r="O1606" s="7" t="n">
        <x:v>0</x:v>
      </x:c>
      <x:c r="P1606" s="9" t="n">
        <x:v>7.38</x:v>
      </x:c>
      <x:c r="Q1606" s="7" t="n">
        <x:f>'Guide'!$B$5-L1606</x:f>
        <x:v>2</x:v>
      </x:c>
      <x:c r="R1606" s="9" t="n">
        <x:f>K1606-P1606</x:f>
        <x:v>2.12</x:v>
      </x:c>
      <x:c r="S1606" s="10" t="n">
        <x:f>IF(K1606&gt;0,R1606/K1606,"")</x:f>
        <x:v>0.2231578947368421</x:v>
      </x:c>
    </x:row>
    <x:row r="1607">
      <x:c r="A1607" s="7" t="n">
        <x:v>1603</x:v>
      </x:c>
      <x:c r="B1607" s="7" t="str">
        <x:v>Tata</x:v>
      </x:c>
      <x:c r="C1607" s="7" t="str">
        <x:v>Altroz</x:v>
      </x:c>
      <x:c r="D1607" s="7" t="str">
        <x:v>XT Diesel</x:v>
      </x:c>
      <x:c r="E1607" s="7" t="str">
        <x:v>Diesel</x:v>
      </x:c>
      <x:c r="F1607" s="7" t="str">
        <x:v>Manual</x:v>
      </x:c>
      <x:c r="G1607" s="7" t="str">
        <x:v>Hatchback</x:v>
      </x:c>
      <x:c r="H1607" s="7" t="n">
        <x:v>1497</x:v>
      </x:c>
      <x:c r="I1607" s="7" t="n">
        <x:v>89</x:v>
      </x:c>
      <x:c r="J1607" s="9" t="n">
        <x:v>23.6</x:v>
      </x:c>
      <x:c r="K1607" s="9" t="n">
        <x:v>9.5</x:v>
      </x:c>
      <x:c r="L1607" s="7" t="n">
        <x:v>2026</x:v>
      </x:c>
      <x:c r="M1607" s="11" t="n">
        <x:v>4384</x:v>
      </x:c>
      <x:c r="N1607" s="7" t="n">
        <x:v>1</x:v>
      </x:c>
      <x:c r="O1607" s="7" t="n">
        <x:v>0</x:v>
      </x:c>
      <x:c r="P1607" s="9" t="n">
        <x:v>9.73</x:v>
      </x:c>
      <x:c r="Q1607" s="7" t="n">
        <x:f>'Guide'!$B$5-L1607</x:f>
        <x:v>0</x:v>
      </x:c>
      <x:c r="R1607" s="9" t="n">
        <x:f>K1607-P1607</x:f>
        <x:v>-0.23000000000000043</x:v>
      </x:c>
      <x:c r="S1607" s="10" t="n">
        <x:f>IF(K1607&gt;0,R1607/K1607,"")</x:f>
        <x:v>-0.02421052631578952</x:v>
      </x:c>
    </x:row>
    <x:row r="1608">
      <x:c r="A1608" s="7" t="n">
        <x:v>1604</x:v>
      </x:c>
      <x:c r="B1608" s="7" t="str">
        <x:v>Tata</x:v>
      </x:c>
      <x:c r="C1608" s="7" t="str">
        <x:v>Altroz</x:v>
      </x:c>
      <x:c r="D1608" s="7" t="str">
        <x:v>XT Diesel</x:v>
      </x:c>
      <x:c r="E1608" s="7" t="str">
        <x:v>Diesel</x:v>
      </x:c>
      <x:c r="F1608" s="7" t="str">
        <x:v>Manual</x:v>
      </x:c>
      <x:c r="G1608" s="7" t="str">
        <x:v>Hatchback</x:v>
      </x:c>
      <x:c r="H1608" s="7" t="n">
        <x:v>1497</x:v>
      </x:c>
      <x:c r="I1608" s="7" t="n">
        <x:v>89</x:v>
      </x:c>
      <x:c r="J1608" s="9" t="n">
        <x:v>23.6</x:v>
      </x:c>
      <x:c r="K1608" s="9" t="n">
        <x:v>9.5</x:v>
      </x:c>
      <x:c r="L1608" s="7" t="n">
        <x:v>2023</x:v>
      </x:c>
      <x:c r="M1608" s="11" t="n">
        <x:v>58469</x:v>
      </x:c>
      <x:c r="N1608" s="7" t="n">
        <x:v>2</x:v>
      </x:c>
      <x:c r="O1608" s="7" t="n">
        <x:v>1</x:v>
      </x:c>
      <x:c r="P1608" s="9" t="n">
        <x:v>5.32</x:v>
      </x:c>
      <x:c r="Q1608" s="7" t="n">
        <x:f>'Guide'!$B$5-L1608</x:f>
        <x:v>3</x:v>
      </x:c>
      <x:c r="R1608" s="9" t="n">
        <x:f>K1608-P1608</x:f>
        <x:v>4.18</x:v>
      </x:c>
      <x:c r="S1608" s="10" t="n">
        <x:f>IF(K1608&gt;0,R1608/K1608,"")</x:f>
        <x:v>0.43999999999999995</x:v>
      </x:c>
    </x:row>
    <x:row r="1609">
      <x:c r="A1609" s="7" t="n">
        <x:v>1605</x:v>
      </x:c>
      <x:c r="B1609" s="7" t="str">
        <x:v>Tata</x:v>
      </x:c>
      <x:c r="C1609" s="7" t="str">
        <x:v>Altroz</x:v>
      </x:c>
      <x:c r="D1609" s="7" t="str">
        <x:v>XT Diesel</x:v>
      </x:c>
      <x:c r="E1609" s="7" t="str">
        <x:v>Diesel</x:v>
      </x:c>
      <x:c r="F1609" s="7" t="str">
        <x:v>Manual</x:v>
      </x:c>
      <x:c r="G1609" s="7" t="str">
        <x:v>Hatchback</x:v>
      </x:c>
      <x:c r="H1609" s="7" t="n">
        <x:v>1497</x:v>
      </x:c>
      <x:c r="I1609" s="7" t="n">
        <x:v>89</x:v>
      </x:c>
      <x:c r="J1609" s="9" t="n">
        <x:v>23.6</x:v>
      </x:c>
      <x:c r="K1609" s="9" t="n">
        <x:v>9.5</x:v>
      </x:c>
      <x:c r="L1609" s="7" t="n">
        <x:v>2024</x:v>
      </x:c>
      <x:c r="M1609" s="11" t="n">
        <x:v>34402</x:v>
      </x:c>
      <x:c r="N1609" s="7" t="n">
        <x:v>1</x:v>
      </x:c>
      <x:c r="O1609" s="7" t="n">
        <x:v>0</x:v>
      </x:c>
      <x:c r="P1609" s="9" t="n">
        <x:v>7.95</x:v>
      </x:c>
      <x:c r="Q1609" s="7" t="n">
        <x:f>'Guide'!$B$5-L1609</x:f>
        <x:v>2</x:v>
      </x:c>
      <x:c r="R1609" s="9" t="n">
        <x:f>K1609-P1609</x:f>
        <x:v>1.5499999999999998</x:v>
      </x:c>
      <x:c r="S1609" s="10" t="n">
        <x:f>IF(K1609&gt;0,R1609/K1609,"")</x:f>
        <x:v>0.16315789473684209</x:v>
      </x:c>
    </x:row>
    <x:row r="1610">
      <x:c r="A1610" s="7" t="n">
        <x:v>1606</x:v>
      </x:c>
      <x:c r="B1610" s="7" t="str">
        <x:v>Tata</x:v>
      </x:c>
      <x:c r="C1610" s="7" t="str">
        <x:v>Altroz</x:v>
      </x:c>
      <x:c r="D1610" s="7" t="str">
        <x:v>XT Diesel</x:v>
      </x:c>
      <x:c r="E1610" s="7" t="str">
        <x:v>Diesel</x:v>
      </x:c>
      <x:c r="F1610" s="7" t="str">
        <x:v>Manual</x:v>
      </x:c>
      <x:c r="G1610" s="7" t="str">
        <x:v>Hatchback</x:v>
      </x:c>
      <x:c r="H1610" s="7" t="n">
        <x:v>1497</x:v>
      </x:c>
      <x:c r="I1610" s="7" t="n">
        <x:v>89</x:v>
      </x:c>
      <x:c r="J1610" s="9" t="n">
        <x:v>23.6</x:v>
      </x:c>
      <x:c r="K1610" s="9" t="n">
        <x:v>9.5</x:v>
      </x:c>
      <x:c r="L1610" s="7" t="n">
        <x:v>2021</x:v>
      </x:c>
      <x:c r="M1610" s="11" t="n">
        <x:v>57014</x:v>
      </x:c>
      <x:c r="N1610" s="7" t="n">
        <x:v>1</x:v>
      </x:c>
      <x:c r="O1610" s="7" t="n">
        <x:v>0</x:v>
      </x:c>
      <x:c r="P1610" s="9" t="n">
        <x:v>4.85</x:v>
      </x:c>
      <x:c r="Q1610" s="7" t="n">
        <x:f>'Guide'!$B$5-L1610</x:f>
        <x:v>5</x:v>
      </x:c>
      <x:c r="R1610" s="9" t="n">
        <x:f>K1610-P1610</x:f>
        <x:v>4.65</x:v>
      </x:c>
      <x:c r="S1610" s="10" t="n">
        <x:f>IF(K1610&gt;0,R1610/K1610,"")</x:f>
        <x:v>0.48947368421052634</x:v>
      </x:c>
    </x:row>
    <x:row r="1611">
      <x:c r="A1611" s="7" t="n">
        <x:v>1607</x:v>
      </x:c>
      <x:c r="B1611" s="7" t="str">
        <x:v>Tata</x:v>
      </x:c>
      <x:c r="C1611" s="7" t="str">
        <x:v>Altroz</x:v>
      </x:c>
      <x:c r="D1611" s="7" t="str">
        <x:v>XT Diesel</x:v>
      </x:c>
      <x:c r="E1611" s="7" t="str">
        <x:v>Diesel</x:v>
      </x:c>
      <x:c r="F1611" s="7" t="str">
        <x:v>Manual</x:v>
      </x:c>
      <x:c r="G1611" s="7" t="str">
        <x:v>Hatchback</x:v>
      </x:c>
      <x:c r="H1611" s="7" t="n">
        <x:v>1497</x:v>
      </x:c>
      <x:c r="I1611" s="7" t="n">
        <x:v>89</x:v>
      </x:c>
      <x:c r="J1611" s="9" t="n">
        <x:v>23.6</x:v>
      </x:c>
      <x:c r="K1611" s="9" t="n">
        <x:v>9.5</x:v>
      </x:c>
      <x:c r="L1611" s="7" t="n">
        <x:v>2021</x:v>
      </x:c>
      <x:c r="M1611" s="11" t="n">
        <x:v>98710</x:v>
      </x:c>
      <x:c r="N1611" s="7" t="n">
        <x:v>2</x:v>
      </x:c>
      <x:c r="O1611" s="7" t="n">
        <x:v>0</x:v>
      </x:c>
      <x:c r="P1611" s="9" t="n">
        <x:v>3.91</x:v>
      </x:c>
      <x:c r="Q1611" s="7" t="n">
        <x:f>'Guide'!$B$5-L1611</x:f>
        <x:v>5</x:v>
      </x:c>
      <x:c r="R1611" s="9" t="n">
        <x:f>K1611-P1611</x:f>
        <x:v>5.59</x:v>
      </x:c>
      <x:c r="S1611" s="10" t="n">
        <x:f>IF(K1611&gt;0,R1611/K1611,"")</x:f>
        <x:v>0.588421052631579</x:v>
      </x:c>
    </x:row>
    <x:row r="1612">
      <x:c r="A1612" s="7" t="n">
        <x:v>1608</x:v>
      </x:c>
      <x:c r="B1612" s="7" t="str">
        <x:v>Tata</x:v>
      </x:c>
      <x:c r="C1612" s="7" t="str">
        <x:v>Altroz</x:v>
      </x:c>
      <x:c r="D1612" s="7" t="str">
        <x:v>XT Diesel</x:v>
      </x:c>
      <x:c r="E1612" s="7" t="str">
        <x:v>Diesel</x:v>
      </x:c>
      <x:c r="F1612" s="7" t="str">
        <x:v>Manual</x:v>
      </x:c>
      <x:c r="G1612" s="7" t="str">
        <x:v>Hatchback</x:v>
      </x:c>
      <x:c r="H1612" s="7" t="n">
        <x:v>1497</x:v>
      </x:c>
      <x:c r="I1612" s="7" t="n">
        <x:v>89</x:v>
      </x:c>
      <x:c r="J1612" s="9" t="n">
        <x:v>23.6</x:v>
      </x:c>
      <x:c r="K1612" s="9" t="n">
        <x:v>9.5</x:v>
      </x:c>
      <x:c r="L1612" s="7" t="n">
        <x:v>2022</x:v>
      </x:c>
      <x:c r="M1612" s="11" t="n">
        <x:v>80928</x:v>
      </x:c>
      <x:c r="N1612" s="7" t="n">
        <x:v>1</x:v>
      </x:c>
      <x:c r="O1612" s="7" t="n">
        <x:v>0</x:v>
      </x:c>
      <x:c r="P1612" s="9" t="n">
        <x:v>5.24</x:v>
      </x:c>
      <x:c r="Q1612" s="7" t="n">
        <x:f>'Guide'!$B$5-L1612</x:f>
        <x:v>4</x:v>
      </x:c>
      <x:c r="R1612" s="9" t="n">
        <x:f>K1612-P1612</x:f>
        <x:v>4.26</x:v>
      </x:c>
      <x:c r="S1612" s="10" t="n">
        <x:f>IF(K1612&gt;0,R1612/K1612,"")</x:f>
        <x:v>0.44842105263157894</x:v>
      </x:c>
    </x:row>
    <x:row r="1613">
      <x:c r="A1613" s="7" t="n">
        <x:v>1609</x:v>
      </x:c>
      <x:c r="B1613" s="7" t="str">
        <x:v>Tata</x:v>
      </x:c>
      <x:c r="C1613" s="7" t="str">
        <x:v>Altroz</x:v>
      </x:c>
      <x:c r="D1613" s="7" t="str">
        <x:v>XT Diesel</x:v>
      </x:c>
      <x:c r="E1613" s="7" t="str">
        <x:v>Diesel</x:v>
      </x:c>
      <x:c r="F1613" s="7" t="str">
        <x:v>Manual</x:v>
      </x:c>
      <x:c r="G1613" s="7" t="str">
        <x:v>Hatchback</x:v>
      </x:c>
      <x:c r="H1613" s="7" t="n">
        <x:v>1497</x:v>
      </x:c>
      <x:c r="I1613" s="7" t="n">
        <x:v>89</x:v>
      </x:c>
      <x:c r="J1613" s="9" t="n">
        <x:v>23.6</x:v>
      </x:c>
      <x:c r="K1613" s="9" t="n">
        <x:v>9.5</x:v>
      </x:c>
      <x:c r="L1613" s="7" t="n">
        <x:v>2022</x:v>
      </x:c>
      <x:c r="M1613" s="11" t="n">
        <x:v>74260</x:v>
      </x:c>
      <x:c r="N1613" s="7" t="n">
        <x:v>2</x:v>
      </x:c>
      <x:c r="O1613" s="7" t="n">
        <x:v>0</x:v>
      </x:c>
      <x:c r="P1613" s="9" t="n">
        <x:v>5.46</x:v>
      </x:c>
      <x:c r="Q1613" s="7" t="n">
        <x:f>'Guide'!$B$5-L1613</x:f>
        <x:v>4</x:v>
      </x:c>
      <x:c r="R1613" s="9" t="n">
        <x:f>K1613-P1613</x:f>
        <x:v>4.04</x:v>
      </x:c>
      <x:c r="S1613" s="10" t="n">
        <x:f>IF(K1613&gt;0,R1613/K1613,"")</x:f>
        <x:v>0.42526315789473684</x:v>
      </x:c>
    </x:row>
    <x:row r="1614">
      <x:c r="A1614" s="7" t="n">
        <x:v>1610</x:v>
      </x:c>
      <x:c r="B1614" s="7" t="str">
        <x:v>Tata</x:v>
      </x:c>
      <x:c r="C1614" s="7" t="str">
        <x:v>Altroz</x:v>
      </x:c>
      <x:c r="D1614" s="7" t="str">
        <x:v>XT Diesel</x:v>
      </x:c>
      <x:c r="E1614" s="7" t="str">
        <x:v>Diesel</x:v>
      </x:c>
      <x:c r="F1614" s="7" t="str">
        <x:v>Manual</x:v>
      </x:c>
      <x:c r="G1614" s="7" t="str">
        <x:v>Hatchback</x:v>
      </x:c>
      <x:c r="H1614" s="7" t="n">
        <x:v>1497</x:v>
      </x:c>
      <x:c r="I1614" s="7" t="n">
        <x:v>89</x:v>
      </x:c>
      <x:c r="J1614" s="9" t="n">
        <x:v>23.6</x:v>
      </x:c>
      <x:c r="K1614" s="9" t="n">
        <x:v>9.5</x:v>
      </x:c>
      <x:c r="L1614" s="7" t="n">
        <x:v>2025</x:v>
      </x:c>
      <x:c r="M1614" s="11" t="n">
        <x:v>13690</x:v>
      </x:c>
      <x:c r="N1614" s="7" t="n">
        <x:v>1</x:v>
      </x:c>
      <x:c r="O1614" s="7" t="n">
        <x:v>0</x:v>
      </x:c>
      <x:c r="P1614" s="9" t="n">
        <x:v>8.77</x:v>
      </x:c>
      <x:c r="Q1614" s="7" t="n">
        <x:f>'Guide'!$B$5-L1614</x:f>
        <x:v>1</x:v>
      </x:c>
      <x:c r="R1614" s="9" t="n">
        <x:f>K1614-P1614</x:f>
        <x:v>0.7300000000000004</x:v>
      </x:c>
      <x:c r="S1614" s="10" t="n">
        <x:f>IF(K1614&gt;0,R1614/K1614,"")</x:f>
        <x:v>0.07684210526315793</x:v>
      </x:c>
    </x:row>
    <x:row r="1615">
      <x:c r="A1615" s="7" t="n">
        <x:v>1611</x:v>
      </x:c>
      <x:c r="B1615" s="7" t="str">
        <x:v>Tata</x:v>
      </x:c>
      <x:c r="C1615" s="7" t="str">
        <x:v>Altroz</x:v>
      </x:c>
      <x:c r="D1615" s="7" t="str">
        <x:v>XT Diesel</x:v>
      </x:c>
      <x:c r="E1615" s="7" t="str">
        <x:v>Diesel</x:v>
      </x:c>
      <x:c r="F1615" s="7" t="str">
        <x:v>Manual</x:v>
      </x:c>
      <x:c r="G1615" s="7" t="str">
        <x:v>Hatchback</x:v>
      </x:c>
      <x:c r="H1615" s="7" t="n">
        <x:v>1497</x:v>
      </x:c>
      <x:c r="I1615" s="7" t="n">
        <x:v>89</x:v>
      </x:c>
      <x:c r="J1615" s="9" t="n">
        <x:v>23.6</x:v>
      </x:c>
      <x:c r="K1615" s="9" t="n">
        <x:v>9.5</x:v>
      </x:c>
      <x:c r="L1615" s="7" t="n">
        <x:v>2023</x:v>
      </x:c>
      <x:c r="M1615" s="11" t="n">
        <x:v>48490</x:v>
      </x:c>
      <x:c r="N1615" s="7" t="n">
        <x:v>1</x:v>
      </x:c>
      <x:c r="O1615" s="7" t="n">
        <x:v>0</x:v>
      </x:c>
      <x:c r="P1615" s="9" t="n">
        <x:v>6.86</x:v>
      </x:c>
      <x:c r="Q1615" s="7" t="n">
        <x:f>'Guide'!$B$5-L1615</x:f>
        <x:v>3</x:v>
      </x:c>
      <x:c r="R1615" s="9" t="n">
        <x:f>K1615-P1615</x:f>
        <x:v>2.6399999999999997</x:v>
      </x:c>
      <x:c r="S1615" s="10" t="n">
        <x:f>IF(K1615&gt;0,R1615/K1615,"")</x:f>
        <x:v>0.27789473684210525</x:v>
      </x:c>
    </x:row>
    <x:row r="1616">
      <x:c r="A1616" s="7" t="n">
        <x:v>1612</x:v>
      </x:c>
      <x:c r="B1616" s="7" t="str">
        <x:v>Tata</x:v>
      </x:c>
      <x:c r="C1616" s="7" t="str">
        <x:v>Altroz</x:v>
      </x:c>
      <x:c r="D1616" s="7" t="str">
        <x:v>XT Diesel</x:v>
      </x:c>
      <x:c r="E1616" s="7" t="str">
        <x:v>Diesel</x:v>
      </x:c>
      <x:c r="F1616" s="7" t="str">
        <x:v>Manual</x:v>
      </x:c>
      <x:c r="G1616" s="7" t="str">
        <x:v>Hatchback</x:v>
      </x:c>
      <x:c r="H1616" s="7" t="n">
        <x:v>1497</x:v>
      </x:c>
      <x:c r="I1616" s="7" t="n">
        <x:v>89</x:v>
      </x:c>
      <x:c r="J1616" s="9" t="n">
        <x:v>23.6</x:v>
      </x:c>
      <x:c r="K1616" s="9" t="n">
        <x:v>9.5</x:v>
      </x:c>
      <x:c r="L1616" s="7" t="n">
        <x:v>2021</x:v>
      </x:c>
      <x:c r="M1616" s="11" t="n">
        <x:v>96933</x:v>
      </x:c>
      <x:c r="N1616" s="7" t="n">
        <x:v>2</x:v>
      </x:c>
      <x:c r="O1616" s="7" t="n">
        <x:v>0</x:v>
      </x:c>
      <x:c r="P1616" s="9" t="n">
        <x:v>4.37</x:v>
      </x:c>
      <x:c r="Q1616" s="7" t="n">
        <x:f>'Guide'!$B$5-L1616</x:f>
        <x:v>5</x:v>
      </x:c>
      <x:c r="R1616" s="9" t="n">
        <x:f>K1616-P1616</x:f>
        <x:v>5.13</x:v>
      </x:c>
      <x:c r="S1616" s="10" t="n">
        <x:f>IF(K1616&gt;0,R1616/K1616,"")</x:f>
        <x:v>0.54</x:v>
      </x:c>
    </x:row>
    <x:row r="1617">
      <x:c r="A1617" s="7" t="n">
        <x:v>1613</x:v>
      </x:c>
      <x:c r="B1617" s="7" t="str">
        <x:v>Tata</x:v>
      </x:c>
      <x:c r="C1617" s="7" t="str">
        <x:v>Altroz</x:v>
      </x:c>
      <x:c r="D1617" s="7" t="str">
        <x:v>XT Diesel</x:v>
      </x:c>
      <x:c r="E1617" s="7" t="str">
        <x:v>Diesel</x:v>
      </x:c>
      <x:c r="F1617" s="7" t="str">
        <x:v>Manual</x:v>
      </x:c>
      <x:c r="G1617" s="7" t="str">
        <x:v>Hatchback</x:v>
      </x:c>
      <x:c r="H1617" s="7" t="n">
        <x:v>1497</x:v>
      </x:c>
      <x:c r="I1617" s="7" t="n">
        <x:v>89</x:v>
      </x:c>
      <x:c r="J1617" s="9" t="n">
        <x:v>23.6</x:v>
      </x:c>
      <x:c r="K1617" s="9" t="n">
        <x:v>9.5</x:v>
      </x:c>
      <x:c r="L1617" s="7" t="n">
        <x:v>2023</x:v>
      </x:c>
      <x:c r="M1617" s="11" t="n">
        <x:v>60547</x:v>
      </x:c>
      <x:c r="N1617" s="7" t="n">
        <x:v>1</x:v>
      </x:c>
      <x:c r="O1617" s="7" t="n">
        <x:v>0</x:v>
      </x:c>
      <x:c r="P1617" s="9" t="n">
        <x:v>6.21</x:v>
      </x:c>
      <x:c r="Q1617" s="7" t="n">
        <x:f>'Guide'!$B$5-L1617</x:f>
        <x:v>3</x:v>
      </x:c>
      <x:c r="R1617" s="9" t="n">
        <x:f>K1617-P1617</x:f>
        <x:v>3.29</x:v>
      </x:c>
      <x:c r="S1617" s="10" t="n">
        <x:f>IF(K1617&gt;0,R1617/K1617,"")</x:f>
        <x:v>0.3463157894736842</x:v>
      </x:c>
    </x:row>
    <x:row r="1618">
      <x:c r="A1618" s="7" t="n">
        <x:v>1614</x:v>
      </x:c>
      <x:c r="B1618" s="7" t="str">
        <x:v>Tata</x:v>
      </x:c>
      <x:c r="C1618" s="7" t="str">
        <x:v>Altroz</x:v>
      </x:c>
      <x:c r="D1618" s="7" t="str">
        <x:v>XT Diesel</x:v>
      </x:c>
      <x:c r="E1618" s="7" t="str">
        <x:v>Diesel</x:v>
      </x:c>
      <x:c r="F1618" s="7" t="str">
        <x:v>Manual</x:v>
      </x:c>
      <x:c r="G1618" s="7" t="str">
        <x:v>Hatchback</x:v>
      </x:c>
      <x:c r="H1618" s="7" t="n">
        <x:v>1497</x:v>
      </x:c>
      <x:c r="I1618" s="7" t="n">
        <x:v>89</x:v>
      </x:c>
      <x:c r="J1618" s="9" t="n">
        <x:v>23.6</x:v>
      </x:c>
      <x:c r="K1618" s="9" t="n">
        <x:v>9.5</x:v>
      </x:c>
      <x:c r="L1618" s="7" t="n">
        <x:v>2026</x:v>
      </x:c>
      <x:c r="M1618" s="11" t="n">
        <x:v>7764</x:v>
      </x:c>
      <x:c r="N1618" s="7" t="n">
        <x:v>2</x:v>
      </x:c>
      <x:c r="O1618" s="7" t="n">
        <x:v>0</x:v>
      </x:c>
      <x:c r="P1618" s="9" t="n">
        <x:v>9.06</x:v>
      </x:c>
      <x:c r="Q1618" s="7" t="n">
        <x:f>'Guide'!$B$5-L1618</x:f>
        <x:v>0</x:v>
      </x:c>
      <x:c r="R1618" s="9" t="n">
        <x:f>K1618-P1618</x:f>
        <x:v>0.4399999999999995</x:v>
      </x:c>
      <x:c r="S1618" s="10" t="n">
        <x:f>IF(K1618&gt;0,R1618/K1618,"")</x:f>
        <x:v>0.04631578947368416</x:v>
      </x:c>
    </x:row>
    <x:row r="1619">
      <x:c r="A1619" s="7" t="n">
        <x:v>1615</x:v>
      </x:c>
      <x:c r="B1619" s="7" t="str">
        <x:v>Tata</x:v>
      </x:c>
      <x:c r="C1619" s="7" t="str">
        <x:v>Altroz</x:v>
      </x:c>
      <x:c r="D1619" s="7" t="str">
        <x:v>XT Diesel</x:v>
      </x:c>
      <x:c r="E1619" s="7" t="str">
        <x:v>Diesel</x:v>
      </x:c>
      <x:c r="F1619" s="7" t="str">
        <x:v>Manual</x:v>
      </x:c>
      <x:c r="G1619" s="7" t="str">
        <x:v>Hatchback</x:v>
      </x:c>
      <x:c r="H1619" s="7" t="n">
        <x:v>1497</x:v>
      </x:c>
      <x:c r="I1619" s="7" t="n">
        <x:v>89</x:v>
      </x:c>
      <x:c r="J1619" s="9" t="n">
        <x:v>23.6</x:v>
      </x:c>
      <x:c r="K1619" s="9" t="n">
        <x:v>9.5</x:v>
      </x:c>
      <x:c r="L1619" s="7" t="n">
        <x:v>2026</x:v>
      </x:c>
      <x:c r="M1619" s="11" t="n">
        <x:v>4852</x:v>
      </x:c>
      <x:c r="N1619" s="7" t="n">
        <x:v>1</x:v>
      </x:c>
      <x:c r="O1619" s="7" t="n">
        <x:v>0</x:v>
      </x:c>
      <x:c r="P1619" s="9" t="n">
        <x:v>9.41</x:v>
      </x:c>
      <x:c r="Q1619" s="7" t="n">
        <x:f>'Guide'!$B$5-L1619</x:f>
        <x:v>0</x:v>
      </x:c>
      <x:c r="R1619" s="9" t="n">
        <x:f>K1619-P1619</x:f>
        <x:v>0.08999999999999986</x:v>
      </x:c>
      <x:c r="S1619" s="10" t="n">
        <x:f>IF(K1619&gt;0,R1619/K1619,"")</x:f>
        <x:v>0.0094736842105263</x:v>
      </x:c>
    </x:row>
    <x:row r="1620">
      <x:c r="A1620" s="7" t="n">
        <x:v>1616</x:v>
      </x:c>
      <x:c r="B1620" s="7" t="str">
        <x:v>Tata</x:v>
      </x:c>
      <x:c r="C1620" s="7" t="str">
        <x:v>Altroz</x:v>
      </x:c>
      <x:c r="D1620" s="7" t="str">
        <x:v>XT Diesel</x:v>
      </x:c>
      <x:c r="E1620" s="7" t="str">
        <x:v>Diesel</x:v>
      </x:c>
      <x:c r="F1620" s="7" t="str">
        <x:v>Manual</x:v>
      </x:c>
      <x:c r="G1620" s="7" t="str">
        <x:v>Hatchback</x:v>
      </x:c>
      <x:c r="H1620" s="7" t="n">
        <x:v>1497</x:v>
      </x:c>
      <x:c r="I1620" s="7" t="n">
        <x:v>89</x:v>
      </x:c>
      <x:c r="J1620" s="9" t="n">
        <x:v>23.6</x:v>
      </x:c>
      <x:c r="K1620" s="9" t="n">
        <x:v>9.5</x:v>
      </x:c>
      <x:c r="L1620" s="7" t="n">
        <x:v>2026</x:v>
      </x:c>
      <x:c r="M1620" s="11" t="n">
        <x:v>8671</x:v>
      </x:c>
      <x:c r="N1620" s="7" t="n">
        <x:v>1</x:v>
      </x:c>
      <x:c r="O1620" s="7" t="n">
        <x:v>0</x:v>
      </x:c>
      <x:c r="P1620" s="9" t="n">
        <x:v>9.8</x:v>
      </x:c>
      <x:c r="Q1620" s="7" t="n">
        <x:f>'Guide'!$B$5-L1620</x:f>
        <x:v>0</x:v>
      </x:c>
      <x:c r="R1620" s="9" t="n">
        <x:f>K1620-P1620</x:f>
        <x:v>-0.3000000000000007</x:v>
      </x:c>
      <x:c r="S1620" s="10" t="n">
        <x:f>IF(K1620&gt;0,R1620/K1620,"")</x:f>
        <x:v>-0.03157894736842113</x:v>
      </x:c>
    </x:row>
    <x:row r="1621">
      <x:c r="A1621" s="7" t="n">
        <x:v>1617</x:v>
      </x:c>
      <x:c r="B1621" s="7" t="str">
        <x:v>Tata</x:v>
      </x:c>
      <x:c r="C1621" s="7" t="str">
        <x:v>Altroz</x:v>
      </x:c>
      <x:c r="D1621" s="7" t="str">
        <x:v>XT Diesel</x:v>
      </x:c>
      <x:c r="E1621" s="7" t="str">
        <x:v>Diesel</x:v>
      </x:c>
      <x:c r="F1621" s="7" t="str">
        <x:v>Manual</x:v>
      </x:c>
      <x:c r="G1621" s="7" t="str">
        <x:v>Hatchback</x:v>
      </x:c>
      <x:c r="H1621" s="7" t="n">
        <x:v>1497</x:v>
      </x:c>
      <x:c r="I1621" s="7" t="n">
        <x:v>89</x:v>
      </x:c>
      <x:c r="J1621" s="9" t="n">
        <x:v>23.6</x:v>
      </x:c>
      <x:c r="K1621" s="9" t="n">
        <x:v>9.5</x:v>
      </x:c>
      <x:c r="L1621" s="7" t="n">
        <x:v>2021</x:v>
      </x:c>
      <x:c r="M1621" s="11" t="n">
        <x:v>56895</x:v>
      </x:c>
      <x:c r="N1621" s="7" t="n">
        <x:v>2</x:v>
      </x:c>
      <x:c r="O1621" s="7" t="n">
        <x:v>0</x:v>
      </x:c>
      <x:c r="P1621" s="9" t="n">
        <x:v>4.61</x:v>
      </x:c>
      <x:c r="Q1621" s="7" t="n">
        <x:f>'Guide'!$B$5-L1621</x:f>
        <x:v>5</x:v>
      </x:c>
      <x:c r="R1621" s="9" t="n">
        <x:f>K1621-P1621</x:f>
        <x:v>4.89</x:v>
      </x:c>
      <x:c r="S1621" s="10" t="n">
        <x:f>IF(K1621&gt;0,R1621/K1621,"")</x:f>
        <x:v>0.5147368421052632</x:v>
      </x:c>
    </x:row>
    <x:row r="1622">
      <x:c r="A1622" s="7" t="n">
        <x:v>1618</x:v>
      </x:c>
      <x:c r="B1622" s="7" t="str">
        <x:v>Tata</x:v>
      </x:c>
      <x:c r="C1622" s="7" t="str">
        <x:v>Altroz</x:v>
      </x:c>
      <x:c r="D1622" s="7" t="str">
        <x:v>XT Diesel</x:v>
      </x:c>
      <x:c r="E1622" s="7" t="str">
        <x:v>Diesel</x:v>
      </x:c>
      <x:c r="F1622" s="7" t="str">
        <x:v>Manual</x:v>
      </x:c>
      <x:c r="G1622" s="7" t="str">
        <x:v>Hatchback</x:v>
      </x:c>
      <x:c r="H1622" s="7" t="n">
        <x:v>1497</x:v>
      </x:c>
      <x:c r="I1622" s="7" t="n">
        <x:v>89</x:v>
      </x:c>
      <x:c r="J1622" s="9" t="n">
        <x:v>23.6</x:v>
      </x:c>
      <x:c r="K1622" s="9" t="n">
        <x:v>9.5</x:v>
      </x:c>
      <x:c r="L1622" s="7" t="n">
        <x:v>2026</x:v>
      </x:c>
      <x:c r="M1622" s="11" t="n">
        <x:v>8377</x:v>
      </x:c>
      <x:c r="N1622" s="7" t="n">
        <x:v>1</x:v>
      </x:c>
      <x:c r="O1622" s="7" t="n">
        <x:v>0</x:v>
      </x:c>
      <x:c r="P1622" s="9" t="n">
        <x:v>9.18</x:v>
      </x:c>
      <x:c r="Q1622" s="7" t="n">
        <x:f>'Guide'!$B$5-L1622</x:f>
        <x:v>0</x:v>
      </x:c>
      <x:c r="R1622" s="9" t="n">
        <x:f>K1622-P1622</x:f>
        <x:v>0.3200000000000003</x:v>
      </x:c>
      <x:c r="S1622" s="10" t="n">
        <x:f>IF(K1622&gt;0,R1622/K1622,"")</x:f>
        <x:v>0.033684210526315816</x:v>
      </x:c>
    </x:row>
    <x:row r="1623">
      <x:c r="A1623" s="7" t="n">
        <x:v>1619</x:v>
      </x:c>
      <x:c r="B1623" s="7" t="str">
        <x:v>Tata</x:v>
      </x:c>
      <x:c r="C1623" s="7" t="str">
        <x:v>Altroz</x:v>
      </x:c>
      <x:c r="D1623" s="7" t="str">
        <x:v>XT Diesel</x:v>
      </x:c>
      <x:c r="E1623" s="7" t="str">
        <x:v>Diesel</x:v>
      </x:c>
      <x:c r="F1623" s="7" t="str">
        <x:v>Manual</x:v>
      </x:c>
      <x:c r="G1623" s="7" t="str">
        <x:v>Hatchback</x:v>
      </x:c>
      <x:c r="H1623" s="7" t="n">
        <x:v>1497</x:v>
      </x:c>
      <x:c r="I1623" s="7" t="n">
        <x:v>89</x:v>
      </x:c>
      <x:c r="J1623" s="9" t="n">
        <x:v>23.6</x:v>
      </x:c>
      <x:c r="K1623" s="9" t="n">
        <x:v>9.5</x:v>
      </x:c>
      <x:c r="L1623" s="7" t="n">
        <x:v>2026</x:v>
      </x:c>
      <x:c r="M1623" s="11" t="n">
        <x:v>8833</x:v>
      </x:c>
      <x:c r="N1623" s="7" t="n">
        <x:v>1</x:v>
      </x:c>
      <x:c r="O1623" s="7" t="n">
        <x:v>0</x:v>
      </x:c>
      <x:c r="P1623" s="9" t="n">
        <x:v>9.09</x:v>
      </x:c>
      <x:c r="Q1623" s="7" t="n">
        <x:f>'Guide'!$B$5-L1623</x:f>
        <x:v>0</x:v>
      </x:c>
      <x:c r="R1623" s="9" t="n">
        <x:f>K1623-P1623</x:f>
        <x:v>0.41000000000000014</x:v>
      </x:c>
      <x:c r="S1623" s="10" t="n">
        <x:f>IF(K1623&gt;0,R1623/K1623,"")</x:f>
        <x:v>0.04315789473684212</x:v>
      </x:c>
    </x:row>
    <x:row r="1624">
      <x:c r="A1624" s="7" t="n">
        <x:v>1620</x:v>
      </x:c>
      <x:c r="B1624" s="7" t="str">
        <x:v>Tata</x:v>
      </x:c>
      <x:c r="C1624" s="7" t="str">
        <x:v>Altroz</x:v>
      </x:c>
      <x:c r="D1624" s="7" t="str">
        <x:v>XT Diesel</x:v>
      </x:c>
      <x:c r="E1624" s="7" t="str">
        <x:v>Diesel</x:v>
      </x:c>
      <x:c r="F1624" s="7" t="str">
        <x:v>Manual</x:v>
      </x:c>
      <x:c r="G1624" s="7" t="str">
        <x:v>Hatchback</x:v>
      </x:c>
      <x:c r="H1624" s="7" t="n">
        <x:v>1497</x:v>
      </x:c>
      <x:c r="I1624" s="7" t="n">
        <x:v>89</x:v>
      </x:c>
      <x:c r="J1624" s="9" t="n">
        <x:v>23.6</x:v>
      </x:c>
      <x:c r="K1624" s="9" t="n">
        <x:v>9.5</x:v>
      </x:c>
      <x:c r="L1624" s="7" t="n">
        <x:v>2026</x:v>
      </x:c>
      <x:c r="M1624" s="11" t="n">
        <x:v>9692</x:v>
      </x:c>
      <x:c r="N1624" s="7" t="n">
        <x:v>1</x:v>
      </x:c>
      <x:c r="O1624" s="7" t="n">
        <x:v>0</x:v>
      </x:c>
      <x:c r="P1624" s="9" t="n">
        <x:v>9.57</x:v>
      </x:c>
      <x:c r="Q1624" s="7" t="n">
        <x:f>'Guide'!$B$5-L1624</x:f>
        <x:v>0</x:v>
      </x:c>
      <x:c r="R1624" s="9" t="n">
        <x:f>K1624-P1624</x:f>
        <x:v>-0.07000000000000028</x:v>
      </x:c>
      <x:c r="S1624" s="10" t="n">
        <x:f>IF(K1624&gt;0,R1624/K1624,"")</x:f>
        <x:v>-0.007368421052631609</x:v>
      </x:c>
    </x:row>
    <x:row r="1625">
      <x:c r="A1625" s="7" t="n">
        <x:v>1621</x:v>
      </x:c>
      <x:c r="B1625" s="7" t="str">
        <x:v>Tata</x:v>
      </x:c>
      <x:c r="C1625" s="7" t="str">
        <x:v>Altroz</x:v>
      </x:c>
      <x:c r="D1625" s="7" t="str">
        <x:v>XT Diesel</x:v>
      </x:c>
      <x:c r="E1625" s="7" t="str">
        <x:v>Diesel</x:v>
      </x:c>
      <x:c r="F1625" s="7" t="str">
        <x:v>Manual</x:v>
      </x:c>
      <x:c r="G1625" s="7" t="str">
        <x:v>Hatchback</x:v>
      </x:c>
      <x:c r="H1625" s="7" t="n">
        <x:v>1497</x:v>
      </x:c>
      <x:c r="I1625" s="7" t="n">
        <x:v>89</x:v>
      </x:c>
      <x:c r="J1625" s="9" t="n">
        <x:v>23.6</x:v>
      </x:c>
      <x:c r="K1625" s="9" t="n">
        <x:v>9.5</x:v>
      </x:c>
      <x:c r="L1625" s="7" t="n">
        <x:v>2024</x:v>
      </x:c>
      <x:c r="M1625" s="11" t="n">
        <x:v>47331</x:v>
      </x:c>
      <x:c r="N1625" s="7" t="n">
        <x:v>1</x:v>
      </x:c>
      <x:c r="O1625" s="7" t="n">
        <x:v>0</x:v>
      </x:c>
      <x:c r="P1625" s="9" t="n">
        <x:v>7.12</x:v>
      </x:c>
      <x:c r="Q1625" s="7" t="n">
        <x:f>'Guide'!$B$5-L1625</x:f>
        <x:v>2</x:v>
      </x:c>
      <x:c r="R1625" s="9" t="n">
        <x:f>K1625-P1625</x:f>
        <x:v>2.38</x:v>
      </x:c>
      <x:c r="S1625" s="10" t="n">
        <x:f>IF(K1625&gt;0,R1625/K1625,"")</x:f>
        <x:v>0.25052631578947365</x:v>
      </x:c>
    </x:row>
    <x:row r="1626">
      <x:c r="A1626" s="7" t="n">
        <x:v>1622</x:v>
      </x:c>
      <x:c r="B1626" s="7" t="str">
        <x:v>Tata</x:v>
      </x:c>
      <x:c r="C1626" s="7" t="str">
        <x:v>Altroz</x:v>
      </x:c>
      <x:c r="D1626" s="7" t="str">
        <x:v>XT Diesel</x:v>
      </x:c>
      <x:c r="E1626" s="7" t="str">
        <x:v>Diesel</x:v>
      </x:c>
      <x:c r="F1626" s="7" t="str">
        <x:v>Manual</x:v>
      </x:c>
      <x:c r="G1626" s="7" t="str">
        <x:v>Hatchback</x:v>
      </x:c>
      <x:c r="H1626" s="7" t="n">
        <x:v>1497</x:v>
      </x:c>
      <x:c r="I1626" s="7" t="n">
        <x:v>89</x:v>
      </x:c>
      <x:c r="J1626" s="9" t="n">
        <x:v>23.6</x:v>
      </x:c>
      <x:c r="K1626" s="9" t="n">
        <x:v>9.5</x:v>
      </x:c>
      <x:c r="L1626" s="7" t="n">
        <x:v>2025</x:v>
      </x:c>
      <x:c r="M1626" s="11" t="n">
        <x:v>26874</x:v>
      </x:c>
      <x:c r="N1626" s="7" t="n">
        <x:v>2</x:v>
      </x:c>
      <x:c r="O1626" s="7" t="n">
        <x:v>1</x:v>
      </x:c>
      <x:c r="P1626" s="9" t="n">
        <x:v>7.3</x:v>
      </x:c>
      <x:c r="Q1626" s="7" t="n">
        <x:f>'Guide'!$B$5-L1626</x:f>
        <x:v>1</x:v>
      </x:c>
      <x:c r="R1626" s="9" t="n">
        <x:f>K1626-P1626</x:f>
        <x:v>2.2</x:v>
      </x:c>
      <x:c r="S1626" s="10" t="n">
        <x:f>IF(K1626&gt;0,R1626/K1626,"")</x:f>
        <x:v>0.23157894736842108</x:v>
      </x:c>
    </x:row>
    <x:row r="1627">
      <x:c r="A1627" s="7" t="n">
        <x:v>1623</x:v>
      </x:c>
      <x:c r="B1627" s="7" t="str">
        <x:v>Tata</x:v>
      </x:c>
      <x:c r="C1627" s="7" t="str">
        <x:v>Altroz</x:v>
      </x:c>
      <x:c r="D1627" s="7" t="str">
        <x:v>XT Diesel</x:v>
      </x:c>
      <x:c r="E1627" s="7" t="str">
        <x:v>Diesel</x:v>
      </x:c>
      <x:c r="F1627" s="7" t="str">
        <x:v>Manual</x:v>
      </x:c>
      <x:c r="G1627" s="7" t="str">
        <x:v>Hatchback</x:v>
      </x:c>
      <x:c r="H1627" s="7" t="n">
        <x:v>1497</x:v>
      </x:c>
      <x:c r="I1627" s="7" t="n">
        <x:v>89</x:v>
      </x:c>
      <x:c r="J1627" s="9" t="n">
        <x:v>23.6</x:v>
      </x:c>
      <x:c r="K1627" s="9" t="n">
        <x:v>9.5</x:v>
      </x:c>
      <x:c r="L1627" s="7" t="n">
        <x:v>2022</x:v>
      </x:c>
      <x:c r="M1627" s="11" t="n">
        <x:v>72475</x:v>
      </x:c>
      <x:c r="N1627" s="7" t="n">
        <x:v>2</x:v>
      </x:c>
      <x:c r="O1627" s="7" t="n">
        <x:v>1</x:v>
      </x:c>
      <x:c r="P1627" s="9" t="n">
        <x:v>4.74</x:v>
      </x:c>
      <x:c r="Q1627" s="7" t="n">
        <x:f>'Guide'!$B$5-L1627</x:f>
        <x:v>4</x:v>
      </x:c>
      <x:c r="R1627" s="9" t="n">
        <x:f>K1627-P1627</x:f>
        <x:v>4.76</x:v>
      </x:c>
      <x:c r="S1627" s="10" t="n">
        <x:f>IF(K1627&gt;0,R1627/K1627,"")</x:f>
        <x:v>0.5010526315789473</x:v>
      </x:c>
    </x:row>
    <x:row r="1628">
      <x:c r="A1628" s="7" t="n">
        <x:v>1624</x:v>
      </x:c>
      <x:c r="B1628" s="7" t="str">
        <x:v>Tata</x:v>
      </x:c>
      <x:c r="C1628" s="7" t="str">
        <x:v>Altroz</x:v>
      </x:c>
      <x:c r="D1628" s="7" t="str">
        <x:v>XT Diesel</x:v>
      </x:c>
      <x:c r="E1628" s="7" t="str">
        <x:v>Diesel</x:v>
      </x:c>
      <x:c r="F1628" s="7" t="str">
        <x:v>Manual</x:v>
      </x:c>
      <x:c r="G1628" s="7" t="str">
        <x:v>Hatchback</x:v>
      </x:c>
      <x:c r="H1628" s="7" t="n">
        <x:v>1497</x:v>
      </x:c>
      <x:c r="I1628" s="7" t="n">
        <x:v>89</x:v>
      </x:c>
      <x:c r="J1628" s="9" t="n">
        <x:v>23.6</x:v>
      </x:c>
      <x:c r="K1628" s="9" t="n">
        <x:v>9.5</x:v>
      </x:c>
      <x:c r="L1628" s="7" t="n">
        <x:v>2022</x:v>
      </x:c>
      <x:c r="M1628" s="11" t="n">
        <x:v>42769</x:v>
      </x:c>
      <x:c r="N1628" s="7" t="n">
        <x:v>1</x:v>
      </x:c>
      <x:c r="O1628" s="7" t="n">
        <x:v>0</x:v>
      </x:c>
      <x:c r="P1628" s="9" t="n">
        <x:v>5.69</x:v>
      </x:c>
      <x:c r="Q1628" s="7" t="n">
        <x:f>'Guide'!$B$5-L1628</x:f>
        <x:v>4</x:v>
      </x:c>
      <x:c r="R1628" s="9" t="n">
        <x:f>K1628-P1628</x:f>
        <x:v>3.8099999999999996</x:v>
      </x:c>
      <x:c r="S1628" s="10" t="n">
        <x:f>IF(K1628&gt;0,R1628/K1628,"")</x:f>
        <x:v>0.4010526315789473</x:v>
      </x:c>
    </x:row>
    <x:row r="1629">
      <x:c r="A1629" s="7" t="n">
        <x:v>1625</x:v>
      </x:c>
      <x:c r="B1629" s="7" t="str">
        <x:v>Tata</x:v>
      </x:c>
      <x:c r="C1629" s="7" t="str">
        <x:v>Altroz</x:v>
      </x:c>
      <x:c r="D1629" s="7" t="str">
        <x:v>XT Diesel</x:v>
      </x:c>
      <x:c r="E1629" s="7" t="str">
        <x:v>Diesel</x:v>
      </x:c>
      <x:c r="F1629" s="7" t="str">
        <x:v>Manual</x:v>
      </x:c>
      <x:c r="G1629" s="7" t="str">
        <x:v>Hatchback</x:v>
      </x:c>
      <x:c r="H1629" s="7" t="n">
        <x:v>1497</x:v>
      </x:c>
      <x:c r="I1629" s="7" t="n">
        <x:v>89</x:v>
      </x:c>
      <x:c r="J1629" s="9" t="n">
        <x:v>23.6</x:v>
      </x:c>
      <x:c r="K1629" s="9" t="n">
        <x:v>9.5</x:v>
      </x:c>
      <x:c r="L1629" s="7" t="n">
        <x:v>2023</x:v>
      </x:c>
      <x:c r="M1629" s="11" t="n">
        <x:v>35303</x:v>
      </x:c>
      <x:c r="N1629" s="7" t="n">
        <x:v>1</x:v>
      </x:c>
      <x:c r="O1629" s="7" t="n">
        <x:v>0</x:v>
      </x:c>
      <x:c r="P1629" s="9" t="n">
        <x:v>6.67</x:v>
      </x:c>
      <x:c r="Q1629" s="7" t="n">
        <x:f>'Guide'!$B$5-L1629</x:f>
        <x:v>3</x:v>
      </x:c>
      <x:c r="R1629" s="9" t="n">
        <x:f>K1629-P1629</x:f>
        <x:v>2.83</x:v>
      </x:c>
      <x:c r="S1629" s="10" t="n">
        <x:f>IF(K1629&gt;0,R1629/K1629,"")</x:f>
        <x:v>0.29789473684210527</x:v>
      </x:c>
    </x:row>
    <x:row r="1630">
      <x:c r="A1630" s="7" t="n">
        <x:v>1626</x:v>
      </x:c>
      <x:c r="B1630" s="7" t="str">
        <x:v>Tata</x:v>
      </x:c>
      <x:c r="C1630" s="7" t="str">
        <x:v>Altroz</x:v>
      </x:c>
      <x:c r="D1630" s="7" t="str">
        <x:v>XT Diesel</x:v>
      </x:c>
      <x:c r="E1630" s="7" t="str">
        <x:v>Diesel</x:v>
      </x:c>
      <x:c r="F1630" s="7" t="str">
        <x:v>Manual</x:v>
      </x:c>
      <x:c r="G1630" s="7" t="str">
        <x:v>Hatchback</x:v>
      </x:c>
      <x:c r="H1630" s="7" t="n">
        <x:v>1497</x:v>
      </x:c>
      <x:c r="I1630" s="7" t="n">
        <x:v>89</x:v>
      </x:c>
      <x:c r="J1630" s="9" t="n">
        <x:v>23.6</x:v>
      </x:c>
      <x:c r="K1630" s="9" t="n">
        <x:v>9.5</x:v>
      </x:c>
      <x:c r="L1630" s="7" t="n">
        <x:v>2023</x:v>
      </x:c>
      <x:c r="M1630" s="11" t="n">
        <x:v>51107</x:v>
      </x:c>
      <x:c r="N1630" s="7" t="n">
        <x:v>1</x:v>
      </x:c>
      <x:c r="O1630" s="7" t="n">
        <x:v>0</x:v>
      </x:c>
      <x:c r="P1630" s="9" t="n">
        <x:v>6.38</x:v>
      </x:c>
      <x:c r="Q1630" s="7" t="n">
        <x:f>'Guide'!$B$5-L1630</x:f>
        <x:v>3</x:v>
      </x:c>
      <x:c r="R1630" s="9" t="n">
        <x:f>K1630-P1630</x:f>
        <x:v>3.12</x:v>
      </x:c>
      <x:c r="S1630" s="10" t="n">
        <x:f>IF(K1630&gt;0,R1630/K1630,"")</x:f>
        <x:v>0.32842105263157895</x:v>
      </x:c>
    </x:row>
    <x:row r="1631">
      <x:c r="A1631" s="7" t="n">
        <x:v>1627</x:v>
      </x:c>
      <x:c r="B1631" s="7" t="str">
        <x:v>Tata</x:v>
      </x:c>
      <x:c r="C1631" s="7" t="str">
        <x:v>Altroz</x:v>
      </x:c>
      <x:c r="D1631" s="7" t="str">
        <x:v>XT Diesel</x:v>
      </x:c>
      <x:c r="E1631" s="7" t="str">
        <x:v>Diesel</x:v>
      </x:c>
      <x:c r="F1631" s="7" t="str">
        <x:v>Manual</x:v>
      </x:c>
      <x:c r="G1631" s="7" t="str">
        <x:v>Hatchback</x:v>
      </x:c>
      <x:c r="H1631" s="7" t="n">
        <x:v>1497</x:v>
      </x:c>
      <x:c r="I1631" s="7" t="n">
        <x:v>89</x:v>
      </x:c>
      <x:c r="J1631" s="9" t="n">
        <x:v>23.6</x:v>
      </x:c>
      <x:c r="K1631" s="9" t="n">
        <x:v>9.5</x:v>
      </x:c>
      <x:c r="L1631" s="7" t="n">
        <x:v>2024</x:v>
      </x:c>
      <x:c r="M1631" s="11" t="n">
        <x:v>33923</x:v>
      </x:c>
      <x:c r="N1631" s="7" t="n">
        <x:v>1</x:v>
      </x:c>
      <x:c r="O1631" s="7" t="n">
        <x:v>0</x:v>
      </x:c>
      <x:c r="P1631" s="9" t="n">
        <x:v>7.29</x:v>
      </x:c>
      <x:c r="Q1631" s="7" t="n">
        <x:f>'Guide'!$B$5-L1631</x:f>
        <x:v>2</x:v>
      </x:c>
      <x:c r="R1631" s="9" t="n">
        <x:f>K1631-P1631</x:f>
        <x:v>2.21</x:v>
      </x:c>
      <x:c r="S1631" s="10" t="n">
        <x:f>IF(K1631&gt;0,R1631/K1631,"")</x:f>
        <x:v>0.2326315789473684</x:v>
      </x:c>
    </x:row>
    <x:row r="1632">
      <x:c r="A1632" s="7" t="n">
        <x:v>1628</x:v>
      </x:c>
      <x:c r="B1632" s="7" t="str">
        <x:v>Tata</x:v>
      </x:c>
      <x:c r="C1632" s="7" t="str">
        <x:v>Altroz</x:v>
      </x:c>
      <x:c r="D1632" s="7" t="str">
        <x:v>XT Diesel</x:v>
      </x:c>
      <x:c r="E1632" s="7" t="str">
        <x:v>Diesel</x:v>
      </x:c>
      <x:c r="F1632" s="7" t="str">
        <x:v>Manual</x:v>
      </x:c>
      <x:c r="G1632" s="7" t="str">
        <x:v>Hatchback</x:v>
      </x:c>
      <x:c r="H1632" s="7" t="n">
        <x:v>1497</x:v>
      </x:c>
      <x:c r="I1632" s="7" t="n">
        <x:v>89</x:v>
      </x:c>
      <x:c r="J1632" s="9" t="n">
        <x:v>23.6</x:v>
      </x:c>
      <x:c r="K1632" s="9" t="n">
        <x:v>9.5</x:v>
      </x:c>
      <x:c r="L1632" s="7" t="n">
        <x:v>2021</x:v>
      </x:c>
      <x:c r="M1632" s="11" t="n">
        <x:v>53789</x:v>
      </x:c>
      <x:c r="N1632" s="7" t="n">
        <x:v>1</x:v>
      </x:c>
      <x:c r="O1632" s="7" t="n">
        <x:v>0</x:v>
      </x:c>
      <x:c r="P1632" s="9" t="n">
        <x:v>4.88</x:v>
      </x:c>
      <x:c r="Q1632" s="7" t="n">
        <x:f>'Guide'!$B$5-L1632</x:f>
        <x:v>5</x:v>
      </x:c>
      <x:c r="R1632" s="9" t="n">
        <x:f>K1632-P1632</x:f>
        <x:v>4.62</x:v>
      </x:c>
      <x:c r="S1632" s="10" t="n">
        <x:f>IF(K1632&gt;0,R1632/K1632,"")</x:f>
        <x:v>0.4863157894736842</x:v>
      </x:c>
    </x:row>
    <x:row r="1633">
      <x:c r="A1633" s="7" t="n">
        <x:v>1629</x:v>
      </x:c>
      <x:c r="B1633" s="7" t="str">
        <x:v>Tata</x:v>
      </x:c>
      <x:c r="C1633" s="7" t="str">
        <x:v>Altroz</x:v>
      </x:c>
      <x:c r="D1633" s="7" t="str">
        <x:v>XT Diesel</x:v>
      </x:c>
      <x:c r="E1633" s="7" t="str">
        <x:v>Diesel</x:v>
      </x:c>
      <x:c r="F1633" s="7" t="str">
        <x:v>Manual</x:v>
      </x:c>
      <x:c r="G1633" s="7" t="str">
        <x:v>Hatchback</x:v>
      </x:c>
      <x:c r="H1633" s="7" t="n">
        <x:v>1497</x:v>
      </x:c>
      <x:c r="I1633" s="7" t="n">
        <x:v>89</x:v>
      </x:c>
      <x:c r="J1633" s="9" t="n">
        <x:v>23.6</x:v>
      </x:c>
      <x:c r="K1633" s="9" t="n">
        <x:v>9.5</x:v>
      </x:c>
      <x:c r="L1633" s="7" t="n">
        <x:v>2023</x:v>
      </x:c>
      <x:c r="M1633" s="11" t="n">
        <x:v>48551</x:v>
      </x:c>
      <x:c r="N1633" s="7" t="n">
        <x:v>1</x:v>
      </x:c>
      <x:c r="O1633" s="7" t="n">
        <x:v>0</x:v>
      </x:c>
      <x:c r="P1633" s="9" t="n">
        <x:v>6.65</x:v>
      </x:c>
      <x:c r="Q1633" s="7" t="n">
        <x:f>'Guide'!$B$5-L1633</x:f>
        <x:v>3</x:v>
      </x:c>
      <x:c r="R1633" s="9" t="n">
        <x:f>K1633-P1633</x:f>
        <x:v>2.8499999999999996</x:v>
      </x:c>
      <x:c r="S1633" s="10" t="n">
        <x:f>IF(K1633&gt;0,R1633/K1633,"")</x:f>
        <x:v>0.3</x:v>
      </x:c>
    </x:row>
    <x:row r="1634">
      <x:c r="A1634" s="7" t="n">
        <x:v>1630</x:v>
      </x:c>
      <x:c r="B1634" s="7" t="str">
        <x:v>Tata</x:v>
      </x:c>
      <x:c r="C1634" s="7" t="str">
        <x:v>Altroz</x:v>
      </x:c>
      <x:c r="D1634" s="7" t="str">
        <x:v>XT Diesel</x:v>
      </x:c>
      <x:c r="E1634" s="7" t="str">
        <x:v>Diesel</x:v>
      </x:c>
      <x:c r="F1634" s="7" t="str">
        <x:v>Manual</x:v>
      </x:c>
      <x:c r="G1634" s="7" t="str">
        <x:v>Hatchback</x:v>
      </x:c>
      <x:c r="H1634" s="7" t="n">
        <x:v>1497</x:v>
      </x:c>
      <x:c r="I1634" s="7" t="n">
        <x:v>89</x:v>
      </x:c>
      <x:c r="J1634" s="9" t="n">
        <x:v>23.6</x:v>
      </x:c>
      <x:c r="K1634" s="9" t="n">
        <x:v>9.5</x:v>
      </x:c>
      <x:c r="L1634" s="7" t="n">
        <x:v>2021</x:v>
      </x:c>
      <x:c r="M1634" s="11" t="n">
        <x:v>88934</x:v>
      </x:c>
      <x:c r="N1634" s="7" t="n">
        <x:v>2</x:v>
      </x:c>
      <x:c r="O1634" s="7" t="n">
        <x:v>0</x:v>
      </x:c>
      <x:c r="P1634" s="9" t="n">
        <x:v>4.53</x:v>
      </x:c>
      <x:c r="Q1634" s="7" t="n">
        <x:f>'Guide'!$B$5-L1634</x:f>
        <x:v>5</x:v>
      </x:c>
      <x:c r="R1634" s="9" t="n">
        <x:f>K1634-P1634</x:f>
        <x:v>4.97</x:v>
      </x:c>
      <x:c r="S1634" s="10" t="n">
        <x:f>IF(K1634&gt;0,R1634/K1634,"")</x:f>
        <x:v>0.523157894736842</x:v>
      </x:c>
    </x:row>
    <x:row r="1635">
      <x:c r="A1635" s="7" t="n">
        <x:v>1631</x:v>
      </x:c>
      <x:c r="B1635" s="7" t="str">
        <x:v>Tata</x:v>
      </x:c>
      <x:c r="C1635" s="7" t="str">
        <x:v>Altroz</x:v>
      </x:c>
      <x:c r="D1635" s="7" t="str">
        <x:v>XT Diesel</x:v>
      </x:c>
      <x:c r="E1635" s="7" t="str">
        <x:v>Diesel</x:v>
      </x:c>
      <x:c r="F1635" s="7" t="str">
        <x:v>Manual</x:v>
      </x:c>
      <x:c r="G1635" s="7" t="str">
        <x:v>Hatchback</x:v>
      </x:c>
      <x:c r="H1635" s="7" t="n">
        <x:v>1497</x:v>
      </x:c>
      <x:c r="I1635" s="7" t="n">
        <x:v>89</x:v>
      </x:c>
      <x:c r="J1635" s="9" t="n">
        <x:v>23.6</x:v>
      </x:c>
      <x:c r="K1635" s="9" t="n">
        <x:v>9.5</x:v>
      </x:c>
      <x:c r="L1635" s="7" t="n">
        <x:v>2021</x:v>
      </x:c>
      <x:c r="M1635" s="11" t="n">
        <x:v>69549</x:v>
      </x:c>
      <x:c r="N1635" s="7" t="n">
        <x:v>1</x:v>
      </x:c>
      <x:c r="O1635" s="7" t="n">
        <x:v>0</x:v>
      </x:c>
      <x:c r="P1635" s="9" t="n">
        <x:v>5.11</x:v>
      </x:c>
      <x:c r="Q1635" s="7" t="n">
        <x:f>'Guide'!$B$5-L1635</x:f>
        <x:v>5</x:v>
      </x:c>
      <x:c r="R1635" s="9" t="n">
        <x:f>K1635-P1635</x:f>
        <x:v>4.39</x:v>
      </x:c>
      <x:c r="S1635" s="10" t="n">
        <x:f>IF(K1635&gt;0,R1635/K1635,"")</x:f>
        <x:v>0.4621052631578947</x:v>
      </x:c>
    </x:row>
    <x:row r="1636">
      <x:c r="A1636" s="7" t="n">
        <x:v>1632</x:v>
      </x:c>
      <x:c r="B1636" s="7" t="str">
        <x:v>Tata</x:v>
      </x:c>
      <x:c r="C1636" s="7" t="str">
        <x:v>Altroz</x:v>
      </x:c>
      <x:c r="D1636" s="7" t="str">
        <x:v>XT Diesel</x:v>
      </x:c>
      <x:c r="E1636" s="7" t="str">
        <x:v>Diesel</x:v>
      </x:c>
      <x:c r="F1636" s="7" t="str">
        <x:v>Manual</x:v>
      </x:c>
      <x:c r="G1636" s="7" t="str">
        <x:v>Hatchback</x:v>
      </x:c>
      <x:c r="H1636" s="7" t="n">
        <x:v>1497</x:v>
      </x:c>
      <x:c r="I1636" s="7" t="n">
        <x:v>89</x:v>
      </x:c>
      <x:c r="J1636" s="9" t="n">
        <x:v>23.6</x:v>
      </x:c>
      <x:c r="K1636" s="9" t="n">
        <x:v>9.5</x:v>
      </x:c>
      <x:c r="L1636" s="7" t="n">
        <x:v>2023</x:v>
      </x:c>
      <x:c r="M1636" s="11" t="n">
        <x:v>44418</x:v>
      </x:c>
      <x:c r="N1636" s="7" t="n">
        <x:v>1</x:v>
      </x:c>
      <x:c r="O1636" s="7" t="n">
        <x:v>0</x:v>
      </x:c>
      <x:c r="P1636" s="9" t="n">
        <x:v>6.63</x:v>
      </x:c>
      <x:c r="Q1636" s="7" t="n">
        <x:f>'Guide'!$B$5-L1636</x:f>
        <x:v>3</x:v>
      </x:c>
      <x:c r="R1636" s="9" t="n">
        <x:f>K1636-P1636</x:f>
        <x:v>2.87</x:v>
      </x:c>
      <x:c r="S1636" s="10" t="n">
        <x:f>IF(K1636&gt;0,R1636/K1636,"")</x:f>
        <x:v>0.30210526315789477</x:v>
      </x:c>
    </x:row>
    <x:row r="1637">
      <x:c r="A1637" s="7" t="n">
        <x:v>1633</x:v>
      </x:c>
      <x:c r="B1637" s="7" t="str">
        <x:v>Tata</x:v>
      </x:c>
      <x:c r="C1637" s="7" t="str">
        <x:v>Altroz</x:v>
      </x:c>
      <x:c r="D1637" s="7" t="str">
        <x:v>XT Diesel</x:v>
      </x:c>
      <x:c r="E1637" s="7" t="str">
        <x:v>Diesel</x:v>
      </x:c>
      <x:c r="F1637" s="7" t="str">
        <x:v>Manual</x:v>
      </x:c>
      <x:c r="G1637" s="7" t="str">
        <x:v>Hatchback</x:v>
      </x:c>
      <x:c r="H1637" s="7" t="n">
        <x:v>1497</x:v>
      </x:c>
      <x:c r="I1637" s="7" t="n">
        <x:v>89</x:v>
      </x:c>
      <x:c r="J1637" s="9" t="n">
        <x:v>23.6</x:v>
      </x:c>
      <x:c r="K1637" s="9" t="n">
        <x:v>9.5</x:v>
      </x:c>
      <x:c r="L1637" s="7" t="n">
        <x:v>2023</x:v>
      </x:c>
      <x:c r="M1637" s="11" t="n">
        <x:v>61494</x:v>
      </x:c>
      <x:c r="N1637" s="7" t="n">
        <x:v>1</x:v>
      </x:c>
      <x:c r="O1637" s="7" t="n">
        <x:v>0</x:v>
      </x:c>
      <x:c r="P1637" s="9" t="n">
        <x:v>6.43</x:v>
      </x:c>
      <x:c r="Q1637" s="7" t="n">
        <x:f>'Guide'!$B$5-L1637</x:f>
        <x:v>3</x:v>
      </x:c>
      <x:c r="R1637" s="9" t="n">
        <x:f>K1637-P1637</x:f>
        <x:v>3.0700000000000003</x:v>
      </x:c>
      <x:c r="S1637" s="10" t="n">
        <x:f>IF(K1637&gt;0,R1637/K1637,"")</x:f>
        <x:v>0.32315789473684214</x:v>
      </x:c>
    </x:row>
    <x:row r="1638">
      <x:c r="A1638" s="7" t="n">
        <x:v>1634</x:v>
      </x:c>
      <x:c r="B1638" s="7" t="str">
        <x:v>Tata</x:v>
      </x:c>
      <x:c r="C1638" s="7" t="str">
        <x:v>Altroz</x:v>
      </x:c>
      <x:c r="D1638" s="7" t="str">
        <x:v>XT Diesel</x:v>
      </x:c>
      <x:c r="E1638" s="7" t="str">
        <x:v>Diesel</x:v>
      </x:c>
      <x:c r="F1638" s="7" t="str">
        <x:v>Manual</x:v>
      </x:c>
      <x:c r="G1638" s="7" t="str">
        <x:v>Hatchback</x:v>
      </x:c>
      <x:c r="H1638" s="7" t="n">
        <x:v>1497</x:v>
      </x:c>
      <x:c r="I1638" s="7" t="n">
        <x:v>89</x:v>
      </x:c>
      <x:c r="J1638" s="9" t="n">
        <x:v>23.6</x:v>
      </x:c>
      <x:c r="K1638" s="9" t="n">
        <x:v>9.5</x:v>
      </x:c>
      <x:c r="L1638" s="7" t="n">
        <x:v>2021</x:v>
      </x:c>
      <x:c r="M1638" s="11" t="n">
        <x:v>97044</x:v>
      </x:c>
      <x:c r="N1638" s="7" t="n">
        <x:v>1</x:v>
      </x:c>
      <x:c r="O1638" s="7" t="n">
        <x:v>0</x:v>
      </x:c>
      <x:c r="P1638" s="9" t="n">
        <x:v>4.26</x:v>
      </x:c>
      <x:c r="Q1638" s="7" t="n">
        <x:f>'Guide'!$B$5-L1638</x:f>
        <x:v>5</x:v>
      </x:c>
      <x:c r="R1638" s="9" t="n">
        <x:f>K1638-P1638</x:f>
        <x:v>5.24</x:v>
      </x:c>
      <x:c r="S1638" s="10" t="n">
        <x:f>IF(K1638&gt;0,R1638/K1638,"")</x:f>
        <x:v>0.5515789473684211</x:v>
      </x:c>
    </x:row>
    <x:row r="1639">
      <x:c r="A1639" s="7" t="n">
        <x:v>1635</x:v>
      </x:c>
      <x:c r="B1639" s="7" t="str">
        <x:v>Tata</x:v>
      </x:c>
      <x:c r="C1639" s="7" t="str">
        <x:v>Altroz</x:v>
      </x:c>
      <x:c r="D1639" s="7" t="str">
        <x:v>XT Diesel</x:v>
      </x:c>
      <x:c r="E1639" s="7" t="str">
        <x:v>Diesel</x:v>
      </x:c>
      <x:c r="F1639" s="7" t="str">
        <x:v>Manual</x:v>
      </x:c>
      <x:c r="G1639" s="7" t="str">
        <x:v>Hatchback</x:v>
      </x:c>
      <x:c r="H1639" s="7" t="n">
        <x:v>1497</x:v>
      </x:c>
      <x:c r="I1639" s="7" t="n">
        <x:v>89</x:v>
      </x:c>
      <x:c r="J1639" s="9" t="n">
        <x:v>23.6</x:v>
      </x:c>
      <x:c r="K1639" s="9" t="n">
        <x:v>9.5</x:v>
      </x:c>
      <x:c r="L1639" s="7" t="n">
        <x:v>2021</x:v>
      </x:c>
      <x:c r="M1639" s="11" t="n">
        <x:v>50756</x:v>
      </x:c>
      <x:c r="N1639" s="7" t="n">
        <x:v>1</x:v>
      </x:c>
      <x:c r="O1639" s="7" t="n">
        <x:v>0</x:v>
      </x:c>
      <x:c r="P1639" s="9" t="n">
        <x:v>4.84</x:v>
      </x:c>
      <x:c r="Q1639" s="7" t="n">
        <x:f>'Guide'!$B$5-L1639</x:f>
        <x:v>5</x:v>
      </x:c>
      <x:c r="R1639" s="9" t="n">
        <x:f>K1639-P1639</x:f>
        <x:v>4.66</x:v>
      </x:c>
      <x:c r="S1639" s="10" t="n">
        <x:f>IF(K1639&gt;0,R1639/K1639,"")</x:f>
        <x:v>0.4905263157894737</x:v>
      </x:c>
    </x:row>
    <x:row r="1640">
      <x:c r="A1640" s="7" t="n">
        <x:v>1636</x:v>
      </x:c>
      <x:c r="B1640" s="7" t="str">
        <x:v>Tata</x:v>
      </x:c>
      <x:c r="C1640" s="7" t="str">
        <x:v>Altroz</x:v>
      </x:c>
      <x:c r="D1640" s="7" t="str">
        <x:v>XT Diesel</x:v>
      </x:c>
      <x:c r="E1640" s="7" t="str">
        <x:v>Diesel</x:v>
      </x:c>
      <x:c r="F1640" s="7" t="str">
        <x:v>Manual</x:v>
      </x:c>
      <x:c r="G1640" s="7" t="str">
        <x:v>Hatchback</x:v>
      </x:c>
      <x:c r="H1640" s="7" t="n">
        <x:v>1497</x:v>
      </x:c>
      <x:c r="I1640" s="7" t="n">
        <x:v>89</x:v>
      </x:c>
      <x:c r="J1640" s="9" t="n">
        <x:v>23.6</x:v>
      </x:c>
      <x:c r="K1640" s="9" t="n">
        <x:v>9.5</x:v>
      </x:c>
      <x:c r="L1640" s="7" t="n">
        <x:v>2023</x:v>
      </x:c>
      <x:c r="M1640" s="11" t="n">
        <x:v>67086</x:v>
      </x:c>
      <x:c r="N1640" s="7" t="n">
        <x:v>2</x:v>
      </x:c>
      <x:c r="O1640" s="7" t="n">
        <x:v>1</x:v>
      </x:c>
      <x:c r="P1640" s="9" t="n">
        <x:v>5.03</x:v>
      </x:c>
      <x:c r="Q1640" s="7" t="n">
        <x:f>'Guide'!$B$5-L1640</x:f>
        <x:v>3</x:v>
      </x:c>
      <x:c r="R1640" s="9" t="n">
        <x:f>K1640-P1640</x:f>
        <x:v>4.47</x:v>
      </x:c>
      <x:c r="S1640" s="10" t="n">
        <x:f>IF(K1640&gt;0,R1640/K1640,"")</x:f>
        <x:v>0.4705263157894737</x:v>
      </x:c>
    </x:row>
    <x:row r="1641">
      <x:c r="A1641" s="7" t="n">
        <x:v>1637</x:v>
      </x:c>
      <x:c r="B1641" s="7" t="str">
        <x:v>Tata</x:v>
      </x:c>
      <x:c r="C1641" s="7" t="str">
        <x:v>Altroz</x:v>
      </x:c>
      <x:c r="D1641" s="7" t="str">
        <x:v>XT Diesel</x:v>
      </x:c>
      <x:c r="E1641" s="7" t="str">
        <x:v>Diesel</x:v>
      </x:c>
      <x:c r="F1641" s="7" t="str">
        <x:v>Manual</x:v>
      </x:c>
      <x:c r="G1641" s="7" t="str">
        <x:v>Hatchback</x:v>
      </x:c>
      <x:c r="H1641" s="7" t="n">
        <x:v>1497</x:v>
      </x:c>
      <x:c r="I1641" s="7" t="n">
        <x:v>89</x:v>
      </x:c>
      <x:c r="J1641" s="9" t="n">
        <x:v>23.6</x:v>
      </x:c>
      <x:c r="K1641" s="9" t="n">
        <x:v>9.5</x:v>
      </x:c>
      <x:c r="L1641" s="7" t="n">
        <x:v>2023</x:v>
      </x:c>
      <x:c r="M1641" s="11" t="n">
        <x:v>30768</x:v>
      </x:c>
      <x:c r="N1641" s="7" t="n">
        <x:v>1</x:v>
      </x:c>
      <x:c r="O1641" s="7" t="n">
        <x:v>1</x:v>
      </x:c>
      <x:c r="P1641" s="9" t="n">
        <x:v>5.85</x:v>
      </x:c>
      <x:c r="Q1641" s="7" t="n">
        <x:f>'Guide'!$B$5-L1641</x:f>
        <x:v>3</x:v>
      </x:c>
      <x:c r="R1641" s="9" t="n">
        <x:f>K1641-P1641</x:f>
        <x:v>3.6500000000000004</x:v>
      </x:c>
      <x:c r="S1641" s="10" t="n">
        <x:f>IF(K1641&gt;0,R1641/K1641,"")</x:f>
        <x:v>0.3842105263157895</x:v>
      </x:c>
    </x:row>
    <x:row r="1642">
      <x:c r="A1642" s="7" t="n">
        <x:v>1638</x:v>
      </x:c>
      <x:c r="B1642" s="7" t="str">
        <x:v>Tata</x:v>
      </x:c>
      <x:c r="C1642" s="7" t="str">
        <x:v>Altroz</x:v>
      </x:c>
      <x:c r="D1642" s="7" t="str">
        <x:v>XT Diesel</x:v>
      </x:c>
      <x:c r="E1642" s="7" t="str">
        <x:v>Diesel</x:v>
      </x:c>
      <x:c r="F1642" s="7" t="str">
        <x:v>Manual</x:v>
      </x:c>
      <x:c r="G1642" s="7" t="str">
        <x:v>Hatchback</x:v>
      </x:c>
      <x:c r="H1642" s="7" t="n">
        <x:v>1497</x:v>
      </x:c>
      <x:c r="I1642" s="7" t="n">
        <x:v>89</x:v>
      </x:c>
      <x:c r="J1642" s="9" t="n">
        <x:v>23.6</x:v>
      </x:c>
      <x:c r="K1642" s="9" t="n">
        <x:v>9.5</x:v>
      </x:c>
      <x:c r="L1642" s="7" t="n">
        <x:v>2024</x:v>
      </x:c>
      <x:c r="M1642" s="11" t="n">
        <x:v>34999</x:v>
      </x:c>
      <x:c r="N1642" s="7" t="n">
        <x:v>2</x:v>
      </x:c>
      <x:c r="O1642" s="7" t="n">
        <x:v>0</x:v>
      </x:c>
      <x:c r="P1642" s="9" t="n">
        <x:v>7.52</x:v>
      </x:c>
      <x:c r="Q1642" s="7" t="n">
        <x:f>'Guide'!$B$5-L1642</x:f>
        <x:v>2</x:v>
      </x:c>
      <x:c r="R1642" s="9" t="n">
        <x:f>K1642-P1642</x:f>
        <x:v>1.9800000000000004</x:v>
      </x:c>
      <x:c r="S1642" s="10" t="n">
        <x:f>IF(K1642&gt;0,R1642/K1642,"")</x:f>
        <x:v>0.20842105263157898</x:v>
      </x:c>
    </x:row>
    <x:row r="1643">
      <x:c r="A1643" s="7" t="n">
        <x:v>1639</x:v>
      </x:c>
      <x:c r="B1643" s="7" t="str">
        <x:v>Tata</x:v>
      </x:c>
      <x:c r="C1643" s="7" t="str">
        <x:v>Altroz</x:v>
      </x:c>
      <x:c r="D1643" s="7" t="str">
        <x:v>XT Diesel</x:v>
      </x:c>
      <x:c r="E1643" s="7" t="str">
        <x:v>Diesel</x:v>
      </x:c>
      <x:c r="F1643" s="7" t="str">
        <x:v>Manual</x:v>
      </x:c>
      <x:c r="G1643" s="7" t="str">
        <x:v>Hatchback</x:v>
      </x:c>
      <x:c r="H1643" s="7" t="n">
        <x:v>1497</x:v>
      </x:c>
      <x:c r="I1643" s="7" t="n">
        <x:v>89</x:v>
      </x:c>
      <x:c r="J1643" s="9" t="n">
        <x:v>23.6</x:v>
      </x:c>
      <x:c r="K1643" s="9" t="n">
        <x:v>9.5</x:v>
      </x:c>
      <x:c r="L1643" s="7" t="n">
        <x:v>2023</x:v>
      </x:c>
      <x:c r="M1643" s="11" t="n">
        <x:v>66059</x:v>
      </x:c>
      <x:c r="N1643" s="7" t="n">
        <x:v>2</x:v>
      </x:c>
      <x:c r="O1643" s="7" t="n">
        <x:v>0</x:v>
      </x:c>
      <x:c r="P1643" s="9" t="n">
        <x:v>5.84</x:v>
      </x:c>
      <x:c r="Q1643" s="7" t="n">
        <x:f>'Guide'!$B$5-L1643</x:f>
        <x:v>3</x:v>
      </x:c>
      <x:c r="R1643" s="9" t="n">
        <x:f>K1643-P1643</x:f>
        <x:v>3.66</x:v>
      </x:c>
      <x:c r="S1643" s="10" t="n">
        <x:f>IF(K1643&gt;0,R1643/K1643,"")</x:f>
        <x:v>0.38526315789473686</x:v>
      </x:c>
    </x:row>
    <x:row r="1644">
      <x:c r="A1644" s="7" t="n">
        <x:v>1640</x:v>
      </x:c>
      <x:c r="B1644" s="7" t="str">
        <x:v>Tata</x:v>
      </x:c>
      <x:c r="C1644" s="7" t="str">
        <x:v>Altroz</x:v>
      </x:c>
      <x:c r="D1644" s="7" t="str">
        <x:v>XT Diesel</x:v>
      </x:c>
      <x:c r="E1644" s="7" t="str">
        <x:v>Diesel</x:v>
      </x:c>
      <x:c r="F1644" s="7" t="str">
        <x:v>Manual</x:v>
      </x:c>
      <x:c r="G1644" s="7" t="str">
        <x:v>Hatchback</x:v>
      </x:c>
      <x:c r="H1644" s="7" t="n">
        <x:v>1497</x:v>
      </x:c>
      <x:c r="I1644" s="7" t="n">
        <x:v>89</x:v>
      </x:c>
      <x:c r="J1644" s="9" t="n">
        <x:v>23.6</x:v>
      </x:c>
      <x:c r="K1644" s="9" t="n">
        <x:v>9.5</x:v>
      </x:c>
      <x:c r="L1644" s="7" t="n">
        <x:v>2026</x:v>
      </x:c>
      <x:c r="M1644" s="11" t="n">
        <x:v>7989</x:v>
      </x:c>
      <x:c r="N1644" s="7" t="n">
        <x:v>1</x:v>
      </x:c>
      <x:c r="O1644" s="7" t="n">
        <x:v>0</x:v>
      </x:c>
      <x:c r="P1644" s="9" t="n">
        <x:v>9.5</x:v>
      </x:c>
      <x:c r="Q1644" s="7" t="n">
        <x:f>'Guide'!$B$5-L1644</x:f>
        <x:v>0</x:v>
      </x:c>
      <x:c r="R1644" s="9" t="n">
        <x:f>K1644-P1644</x:f>
        <x:v>0</x:v>
      </x:c>
      <x:c r="S1644" s="10" t="n">
        <x:f>IF(K1644&gt;0,R1644/K1644,"")</x:f>
        <x:v>0</x:v>
      </x:c>
    </x:row>
    <x:row r="1645">
      <x:c r="A1645" s="7" t="n">
        <x:v>1641</x:v>
      </x:c>
      <x:c r="B1645" s="7" t="str">
        <x:v>Tata</x:v>
      </x:c>
      <x:c r="C1645" s="7" t="str">
        <x:v>Altroz</x:v>
      </x:c>
      <x:c r="D1645" s="7" t="str">
        <x:v>XT Diesel</x:v>
      </x:c>
      <x:c r="E1645" s="7" t="str">
        <x:v>Diesel</x:v>
      </x:c>
      <x:c r="F1645" s="7" t="str">
        <x:v>Manual</x:v>
      </x:c>
      <x:c r="G1645" s="7" t="str">
        <x:v>Hatchback</x:v>
      </x:c>
      <x:c r="H1645" s="7" t="n">
        <x:v>1497</x:v>
      </x:c>
      <x:c r="I1645" s="7" t="n">
        <x:v>89</x:v>
      </x:c>
      <x:c r="J1645" s="9" t="n">
        <x:v>23.6</x:v>
      </x:c>
      <x:c r="K1645" s="9" t="n">
        <x:v>9.5</x:v>
      </x:c>
      <x:c r="L1645" s="7" t="n">
        <x:v>2025</x:v>
      </x:c>
      <x:c r="M1645" s="11" t="n">
        <x:v>24069</x:v>
      </x:c>
      <x:c r="N1645" s="7" t="n">
        <x:v>1</x:v>
      </x:c>
      <x:c r="O1645" s="7" t="n">
        <x:v>1</x:v>
      </x:c>
      <x:c r="P1645" s="9" t="n">
        <x:v>7.93</x:v>
      </x:c>
      <x:c r="Q1645" s="7" t="n">
        <x:f>'Guide'!$B$5-L1645</x:f>
        <x:v>1</x:v>
      </x:c>
      <x:c r="R1645" s="9" t="n">
        <x:f>K1645-P1645</x:f>
        <x:v>1.5700000000000003</x:v>
      </x:c>
      <x:c r="S1645" s="10" t="n">
        <x:f>IF(K1645&gt;0,R1645/K1645,"")</x:f>
        <x:v>0.16526315789473686</x:v>
      </x:c>
    </x:row>
    <x:row r="1646">
      <x:c r="A1646" s="7" t="n">
        <x:v>1642</x:v>
      </x:c>
      <x:c r="B1646" s="7" t="str">
        <x:v>Tata</x:v>
      </x:c>
      <x:c r="C1646" s="7" t="str">
        <x:v>Altroz</x:v>
      </x:c>
      <x:c r="D1646" s="7" t="str">
        <x:v>XT Diesel</x:v>
      </x:c>
      <x:c r="E1646" s="7" t="str">
        <x:v>Diesel</x:v>
      </x:c>
      <x:c r="F1646" s="7" t="str">
        <x:v>Manual</x:v>
      </x:c>
      <x:c r="G1646" s="7" t="str">
        <x:v>Hatchback</x:v>
      </x:c>
      <x:c r="H1646" s="7" t="n">
        <x:v>1497</x:v>
      </x:c>
      <x:c r="I1646" s="7" t="n">
        <x:v>89</x:v>
      </x:c>
      <x:c r="J1646" s="9" t="n">
        <x:v>23.6</x:v>
      </x:c>
      <x:c r="K1646" s="9" t="n">
        <x:v>9.5</x:v>
      </x:c>
      <x:c r="L1646" s="7" t="n">
        <x:v>2025</x:v>
      </x:c>
      <x:c r="M1646" s="11" t="n">
        <x:v>21888</x:v>
      </x:c>
      <x:c r="N1646" s="7" t="n">
        <x:v>1</x:v>
      </x:c>
      <x:c r="O1646" s="7" t="n">
        <x:v>0</x:v>
      </x:c>
      <x:c r="P1646" s="9" t="n">
        <x:v>8.33</x:v>
      </x:c>
      <x:c r="Q1646" s="7" t="n">
        <x:f>'Guide'!$B$5-L1646</x:f>
        <x:v>1</x:v>
      </x:c>
      <x:c r="R1646" s="9" t="n">
        <x:f>K1646-P1646</x:f>
        <x:v>1.17</x:v>
      </x:c>
      <x:c r="S1646" s="10" t="n">
        <x:f>IF(K1646&gt;0,R1646/K1646,"")</x:f>
        <x:v>0.12315789473684209</x:v>
      </x:c>
    </x:row>
    <x:row r="1647">
      <x:c r="A1647" s="7" t="n">
        <x:v>1643</x:v>
      </x:c>
      <x:c r="B1647" s="7" t="str">
        <x:v>Tata</x:v>
      </x:c>
      <x:c r="C1647" s="7" t="str">
        <x:v>Altroz</x:v>
      </x:c>
      <x:c r="D1647" s="7" t="str">
        <x:v>XT Diesel</x:v>
      </x:c>
      <x:c r="E1647" s="7" t="str">
        <x:v>Diesel</x:v>
      </x:c>
      <x:c r="F1647" s="7" t="str">
        <x:v>Manual</x:v>
      </x:c>
      <x:c r="G1647" s="7" t="str">
        <x:v>Hatchback</x:v>
      </x:c>
      <x:c r="H1647" s="7" t="n">
        <x:v>1497</x:v>
      </x:c>
      <x:c r="I1647" s="7" t="n">
        <x:v>89</x:v>
      </x:c>
      <x:c r="J1647" s="9" t="n">
        <x:v>23.6</x:v>
      </x:c>
      <x:c r="K1647" s="9" t="n">
        <x:v>9.5</x:v>
      </x:c>
      <x:c r="L1647" s="7" t="n">
        <x:v>2021</x:v>
      </x:c>
      <x:c r="M1647" s="11" t="n">
        <x:v>51555</x:v>
      </x:c>
      <x:c r="N1647" s="7" t="n">
        <x:v>1</x:v>
      </x:c>
      <x:c r="O1647" s="7" t="n">
        <x:v>1</x:v>
      </x:c>
      <x:c r="P1647" s="9" t="n">
        <x:v>4.36</x:v>
      </x:c>
      <x:c r="Q1647" s="7" t="n">
        <x:f>'Guide'!$B$5-L1647</x:f>
        <x:v>5</x:v>
      </x:c>
      <x:c r="R1647" s="9" t="n">
        <x:f>K1647-P1647</x:f>
        <x:v>5.14</x:v>
      </x:c>
      <x:c r="S1647" s="10" t="n">
        <x:f>IF(K1647&gt;0,R1647/K1647,"")</x:f>
        <x:v>0.5410526315789473</x:v>
      </x:c>
    </x:row>
    <x:row r="1648">
      <x:c r="A1648" s="7" t="n">
        <x:v>1644</x:v>
      </x:c>
      <x:c r="B1648" s="7" t="str">
        <x:v>Tata</x:v>
      </x:c>
      <x:c r="C1648" s="7" t="str">
        <x:v>Altroz</x:v>
      </x:c>
      <x:c r="D1648" s="7" t="str">
        <x:v>XT Diesel</x:v>
      </x:c>
      <x:c r="E1648" s="7" t="str">
        <x:v>Diesel</x:v>
      </x:c>
      <x:c r="F1648" s="7" t="str">
        <x:v>Manual</x:v>
      </x:c>
      <x:c r="G1648" s="7" t="str">
        <x:v>Hatchback</x:v>
      </x:c>
      <x:c r="H1648" s="7" t="n">
        <x:v>1497</x:v>
      </x:c>
      <x:c r="I1648" s="7" t="n">
        <x:v>89</x:v>
      </x:c>
      <x:c r="J1648" s="9" t="n">
        <x:v>23.6</x:v>
      </x:c>
      <x:c r="K1648" s="9" t="n">
        <x:v>9.5</x:v>
      </x:c>
      <x:c r="L1648" s="7" t="n">
        <x:v>2026</x:v>
      </x:c>
      <x:c r="M1648" s="11" t="n">
        <x:v>6014</x:v>
      </x:c>
      <x:c r="N1648" s="7" t="n">
        <x:v>2</x:v>
      </x:c>
      <x:c r="O1648" s="7" t="n">
        <x:v>0</x:v>
      </x:c>
      <x:c r="P1648" s="9" t="n">
        <x:v>9.26</x:v>
      </x:c>
      <x:c r="Q1648" s="7" t="n">
        <x:f>'Guide'!$B$5-L1648</x:f>
        <x:v>0</x:v>
      </x:c>
      <x:c r="R1648" s="9" t="n">
        <x:f>K1648-P1648</x:f>
        <x:v>0.2400000000000002</x:v>
      </x:c>
      <x:c r="S1648" s="10" t="n">
        <x:f>IF(K1648&gt;0,R1648/K1648,"")</x:f>
        <x:v>0.025263157894736866</x:v>
      </x:c>
    </x:row>
    <x:row r="1649">
      <x:c r="A1649" s="7" t="n">
        <x:v>1645</x:v>
      </x:c>
      <x:c r="B1649" s="7" t="str">
        <x:v>Tata</x:v>
      </x:c>
      <x:c r="C1649" s="7" t="str">
        <x:v>Altroz</x:v>
      </x:c>
      <x:c r="D1649" s="7" t="str">
        <x:v>XT Diesel</x:v>
      </x:c>
      <x:c r="E1649" s="7" t="str">
        <x:v>Diesel</x:v>
      </x:c>
      <x:c r="F1649" s="7" t="str">
        <x:v>Manual</x:v>
      </x:c>
      <x:c r="G1649" s="7" t="str">
        <x:v>Hatchback</x:v>
      </x:c>
      <x:c r="H1649" s="7" t="n">
        <x:v>1497</x:v>
      </x:c>
      <x:c r="I1649" s="7" t="n">
        <x:v>89</x:v>
      </x:c>
      <x:c r="J1649" s="9" t="n">
        <x:v>23.6</x:v>
      </x:c>
      <x:c r="K1649" s="9" t="n">
        <x:v>9.5</x:v>
      </x:c>
      <x:c r="L1649" s="7" t="n">
        <x:v>2022</x:v>
      </x:c>
      <x:c r="M1649" s="11" t="n">
        <x:v>59393</x:v>
      </x:c>
      <x:c r="N1649" s="7" t="n">
        <x:v>1</x:v>
      </x:c>
      <x:c r="O1649" s="7" t="n">
        <x:v>0</x:v>
      </x:c>
      <x:c r="P1649" s="9" t="n">
        <x:v>5.6</x:v>
      </x:c>
      <x:c r="Q1649" s="7" t="n">
        <x:f>'Guide'!$B$5-L1649</x:f>
        <x:v>4</x:v>
      </x:c>
      <x:c r="R1649" s="9" t="n">
        <x:f>K1649-P1649</x:f>
        <x:v>3.9000000000000004</x:v>
      </x:c>
      <x:c r="S1649" s="10" t="n">
        <x:f>IF(K1649&gt;0,R1649/K1649,"")</x:f>
        <x:v>0.41052631578947374</x:v>
      </x:c>
    </x:row>
    <x:row r="1650">
      <x:c r="A1650" s="7" t="n">
        <x:v>1646</x:v>
      </x:c>
      <x:c r="B1650" s="7" t="str">
        <x:v>Tata</x:v>
      </x:c>
      <x:c r="C1650" s="7" t="str">
        <x:v>Altroz</x:v>
      </x:c>
      <x:c r="D1650" s="7" t="str">
        <x:v>XT Diesel</x:v>
      </x:c>
      <x:c r="E1650" s="7" t="str">
        <x:v>Diesel</x:v>
      </x:c>
      <x:c r="F1650" s="7" t="str">
        <x:v>Manual</x:v>
      </x:c>
      <x:c r="G1650" s="7" t="str">
        <x:v>Hatchback</x:v>
      </x:c>
      <x:c r="H1650" s="7" t="n">
        <x:v>1497</x:v>
      </x:c>
      <x:c r="I1650" s="7" t="n">
        <x:v>89</x:v>
      </x:c>
      <x:c r="J1650" s="9" t="n">
        <x:v>23.6</x:v>
      </x:c>
      <x:c r="K1650" s="9" t="n">
        <x:v>9.5</x:v>
      </x:c>
      <x:c r="L1650" s="7" t="n">
        <x:v>2020</x:v>
      </x:c>
      <x:c r="M1650" s="11" t="n">
        <x:v>100182</x:v>
      </x:c>
      <x:c r="N1650" s="7" t="n">
        <x:v>2</x:v>
      </x:c>
      <x:c r="O1650" s="7" t="n">
        <x:v>0</x:v>
      </x:c>
      <x:c r="P1650" s="9" t="n">
        <x:v>3.46</x:v>
      </x:c>
      <x:c r="Q1650" s="7" t="n">
        <x:f>'Guide'!$B$5-L1650</x:f>
        <x:v>6</x:v>
      </x:c>
      <x:c r="R1650" s="9" t="n">
        <x:f>K1650-P1650</x:f>
        <x:v>6.04</x:v>
      </x:c>
      <x:c r="S1650" s="10" t="n">
        <x:f>IF(K1650&gt;0,R1650/K1650,"")</x:f>
        <x:v>0.6357894736842106</x:v>
      </x:c>
    </x:row>
    <x:row r="1651">
      <x:c r="A1651" s="7" t="n">
        <x:v>1647</x:v>
      </x:c>
      <x:c r="B1651" s="7" t="str">
        <x:v>Tata</x:v>
      </x:c>
      <x:c r="C1651" s="7" t="str">
        <x:v>Altroz</x:v>
      </x:c>
      <x:c r="D1651" s="7" t="str">
        <x:v>XT Diesel</x:v>
      </x:c>
      <x:c r="E1651" s="7" t="str">
        <x:v>Diesel</x:v>
      </x:c>
      <x:c r="F1651" s="7" t="str">
        <x:v>Manual</x:v>
      </x:c>
      <x:c r="G1651" s="7" t="str">
        <x:v>Hatchback</x:v>
      </x:c>
      <x:c r="H1651" s="7" t="n">
        <x:v>1497</x:v>
      </x:c>
      <x:c r="I1651" s="7" t="n">
        <x:v>89</x:v>
      </x:c>
      <x:c r="J1651" s="9" t="n">
        <x:v>23.6</x:v>
      </x:c>
      <x:c r="K1651" s="9" t="n">
        <x:v>9.5</x:v>
      </x:c>
      <x:c r="L1651" s="7" t="n">
        <x:v>2022</x:v>
      </x:c>
      <x:c r="M1651" s="11" t="n">
        <x:v>45464</x:v>
      </x:c>
      <x:c r="N1651" s="7" t="n">
        <x:v>1</x:v>
      </x:c>
      <x:c r="O1651" s="7" t="n">
        <x:v>0</x:v>
      </x:c>
      <x:c r="P1651" s="9" t="n">
        <x:v>6.17</x:v>
      </x:c>
      <x:c r="Q1651" s="7" t="n">
        <x:f>'Guide'!$B$5-L1651</x:f>
        <x:v>4</x:v>
      </x:c>
      <x:c r="R1651" s="9" t="n">
        <x:f>K1651-P1651</x:f>
        <x:v>3.33</x:v>
      </x:c>
      <x:c r="S1651" s="10" t="n">
        <x:f>IF(K1651&gt;0,R1651/K1651,"")</x:f>
        <x:v>0.3505263157894737</x:v>
      </x:c>
    </x:row>
    <x:row r="1652">
      <x:c r="A1652" s="7" t="n">
        <x:v>1648</x:v>
      </x:c>
      <x:c r="B1652" s="7" t="str">
        <x:v>Tata</x:v>
      </x:c>
      <x:c r="C1652" s="7" t="str">
        <x:v>Altroz</x:v>
      </x:c>
      <x:c r="D1652" s="7" t="str">
        <x:v>XT Diesel</x:v>
      </x:c>
      <x:c r="E1652" s="7" t="str">
        <x:v>Diesel</x:v>
      </x:c>
      <x:c r="F1652" s="7" t="str">
        <x:v>Manual</x:v>
      </x:c>
      <x:c r="G1652" s="7" t="str">
        <x:v>Hatchback</x:v>
      </x:c>
      <x:c r="H1652" s="7" t="n">
        <x:v>1497</x:v>
      </x:c>
      <x:c r="I1652" s="7" t="n">
        <x:v>89</x:v>
      </x:c>
      <x:c r="J1652" s="9" t="n">
        <x:v>23.6</x:v>
      </x:c>
      <x:c r="K1652" s="9" t="n">
        <x:v>9.5</x:v>
      </x:c>
      <x:c r="L1652" s="7" t="n">
        <x:v>2022</x:v>
      </x:c>
      <x:c r="M1652" s="11" t="n">
        <x:v>59832</x:v>
      </x:c>
      <x:c r="N1652" s="7" t="n">
        <x:v>1</x:v>
      </x:c>
      <x:c r="O1652" s="7" t="n">
        <x:v>0</x:v>
      </x:c>
      <x:c r="P1652" s="9" t="n">
        <x:v>5.86</x:v>
      </x:c>
      <x:c r="Q1652" s="7" t="n">
        <x:f>'Guide'!$B$5-L1652</x:f>
        <x:v>4</x:v>
      </x:c>
      <x:c r="R1652" s="9" t="n">
        <x:f>K1652-P1652</x:f>
        <x:v>3.6399999999999997</x:v>
      </x:c>
      <x:c r="S1652" s="10" t="n">
        <x:f>IF(K1652&gt;0,R1652/K1652,"")</x:f>
        <x:v>0.3831578947368421</x:v>
      </x:c>
    </x:row>
    <x:row r="1653">
      <x:c r="A1653" s="7" t="n">
        <x:v>1649</x:v>
      </x:c>
      <x:c r="B1653" s="7" t="str">
        <x:v>Tata</x:v>
      </x:c>
      <x:c r="C1653" s="7" t="str">
        <x:v>Altroz</x:v>
      </x:c>
      <x:c r="D1653" s="7" t="str">
        <x:v>XT Diesel</x:v>
      </x:c>
      <x:c r="E1653" s="7" t="str">
        <x:v>Diesel</x:v>
      </x:c>
      <x:c r="F1653" s="7" t="str">
        <x:v>Manual</x:v>
      </x:c>
      <x:c r="G1653" s="7" t="str">
        <x:v>Hatchback</x:v>
      </x:c>
      <x:c r="H1653" s="7" t="n">
        <x:v>1497</x:v>
      </x:c>
      <x:c r="I1653" s="7" t="n">
        <x:v>89</x:v>
      </x:c>
      <x:c r="J1653" s="9" t="n">
        <x:v>23.6</x:v>
      </x:c>
      <x:c r="K1653" s="9" t="n">
        <x:v>9.5</x:v>
      </x:c>
      <x:c r="L1653" s="7" t="n">
        <x:v>2023</x:v>
      </x:c>
      <x:c r="M1653" s="11" t="n">
        <x:v>51094</x:v>
      </x:c>
      <x:c r="N1653" s="7" t="n">
        <x:v>1</x:v>
      </x:c>
      <x:c r="O1653" s="7" t="n">
        <x:v>0</x:v>
      </x:c>
      <x:c r="P1653" s="9" t="n">
        <x:v>6.71</x:v>
      </x:c>
      <x:c r="Q1653" s="7" t="n">
        <x:f>'Guide'!$B$5-L1653</x:f>
        <x:v>3</x:v>
      </x:c>
      <x:c r="R1653" s="9" t="n">
        <x:f>K1653-P1653</x:f>
        <x:v>2.79</x:v>
      </x:c>
      <x:c r="S1653" s="10" t="n">
        <x:f>IF(K1653&gt;0,R1653/K1653,"")</x:f>
        <x:v>0.29368421052631577</x:v>
      </x:c>
    </x:row>
    <x:row r="1654">
      <x:c r="A1654" s="7" t="n">
        <x:v>1650</x:v>
      </x:c>
      <x:c r="B1654" s="7" t="str">
        <x:v>Tata</x:v>
      </x:c>
      <x:c r="C1654" s="7" t="str">
        <x:v>Altroz</x:v>
      </x:c>
      <x:c r="D1654" s="7" t="str">
        <x:v>XT Diesel</x:v>
      </x:c>
      <x:c r="E1654" s="7" t="str">
        <x:v>Diesel</x:v>
      </x:c>
      <x:c r="F1654" s="7" t="str">
        <x:v>Manual</x:v>
      </x:c>
      <x:c r="G1654" s="7" t="str">
        <x:v>Hatchback</x:v>
      </x:c>
      <x:c r="H1654" s="7" t="n">
        <x:v>1497</x:v>
      </x:c>
      <x:c r="I1654" s="7" t="n">
        <x:v>89</x:v>
      </x:c>
      <x:c r="J1654" s="9" t="n">
        <x:v>23.6</x:v>
      </x:c>
      <x:c r="K1654" s="9" t="n">
        <x:v>9.5</x:v>
      </x:c>
      <x:c r="L1654" s="7" t="n">
        <x:v>2024</x:v>
      </x:c>
      <x:c r="M1654" s="11" t="n">
        <x:v>35899</x:v>
      </x:c>
      <x:c r="N1654" s="7" t="n">
        <x:v>2</x:v>
      </x:c>
      <x:c r="O1654" s="7" t="n">
        <x:v>0</x:v>
      </x:c>
      <x:c r="P1654" s="9" t="n">
        <x:v>7.19</x:v>
      </x:c>
      <x:c r="Q1654" s="7" t="n">
        <x:f>'Guide'!$B$5-L1654</x:f>
        <x:v>2</x:v>
      </x:c>
      <x:c r="R1654" s="9" t="n">
        <x:f>K1654-P1654</x:f>
        <x:v>2.3099999999999996</x:v>
      </x:c>
      <x:c r="S1654" s="10" t="n">
        <x:f>IF(K1654&gt;0,R1654/K1654,"")</x:f>
        <x:v>0.24315789473684207</x:v>
      </x:c>
    </x:row>
    <x:row r="1655">
      <x:c r="A1655" s="7" t="n">
        <x:v>1651</x:v>
      </x:c>
      <x:c r="B1655" s="7" t="str">
        <x:v>Tata</x:v>
      </x:c>
      <x:c r="C1655" s="7" t="str">
        <x:v>Altroz</x:v>
      </x:c>
      <x:c r="D1655" s="7" t="str">
        <x:v>XT Diesel</x:v>
      </x:c>
      <x:c r="E1655" s="7" t="str">
        <x:v>Diesel</x:v>
      </x:c>
      <x:c r="F1655" s="7" t="str">
        <x:v>Manual</x:v>
      </x:c>
      <x:c r="G1655" s="7" t="str">
        <x:v>Hatchback</x:v>
      </x:c>
      <x:c r="H1655" s="7" t="n">
        <x:v>1497</x:v>
      </x:c>
      <x:c r="I1655" s="7" t="n">
        <x:v>89</x:v>
      </x:c>
      <x:c r="J1655" s="9" t="n">
        <x:v>23.6</x:v>
      </x:c>
      <x:c r="K1655" s="9" t="n">
        <x:v>9.5</x:v>
      </x:c>
      <x:c r="L1655" s="7" t="n">
        <x:v>2025</x:v>
      </x:c>
      <x:c r="M1655" s="11" t="n">
        <x:v>25708</x:v>
      </x:c>
      <x:c r="N1655" s="7" t="n">
        <x:v>1</x:v>
      </x:c>
      <x:c r="O1655" s="7" t="n">
        <x:v>0</x:v>
      </x:c>
      <x:c r="P1655" s="9" t="n">
        <x:v>8.81</x:v>
      </x:c>
      <x:c r="Q1655" s="7" t="n">
        <x:f>'Guide'!$B$5-L1655</x:f>
        <x:v>1</x:v>
      </x:c>
      <x:c r="R1655" s="9" t="n">
        <x:f>K1655-P1655</x:f>
        <x:v>0.6899999999999995</x:v>
      </x:c>
      <x:c r="S1655" s="10" t="n">
        <x:f>IF(K1655&gt;0,R1655/K1655,"")</x:f>
        <x:v>0.07263157894736837</x:v>
      </x:c>
    </x:row>
    <x:row r="1656">
      <x:c r="A1656" s="7" t="n">
        <x:v>1652</x:v>
      </x:c>
      <x:c r="B1656" s="7" t="str">
        <x:v>Tata</x:v>
      </x:c>
      <x:c r="C1656" s="7" t="str">
        <x:v>Altroz</x:v>
      </x:c>
      <x:c r="D1656" s="7" t="str">
        <x:v>XT Diesel</x:v>
      </x:c>
      <x:c r="E1656" s="7" t="str">
        <x:v>Diesel</x:v>
      </x:c>
      <x:c r="F1656" s="7" t="str">
        <x:v>Manual</x:v>
      </x:c>
      <x:c r="G1656" s="7" t="str">
        <x:v>Hatchback</x:v>
      </x:c>
      <x:c r="H1656" s="7" t="n">
        <x:v>1497</x:v>
      </x:c>
      <x:c r="I1656" s="7" t="n">
        <x:v>89</x:v>
      </x:c>
      <x:c r="J1656" s="9" t="n">
        <x:v>23.6</x:v>
      </x:c>
      <x:c r="K1656" s="9" t="n">
        <x:v>9.5</x:v>
      </x:c>
      <x:c r="L1656" s="7" t="n">
        <x:v>2023</x:v>
      </x:c>
      <x:c r="M1656" s="11" t="n">
        <x:v>47814</x:v>
      </x:c>
      <x:c r="N1656" s="7" t="n">
        <x:v>1</x:v>
      </x:c>
      <x:c r="O1656" s="7" t="n">
        <x:v>0</x:v>
      </x:c>
      <x:c r="P1656" s="9" t="n">
        <x:v>6.32</x:v>
      </x:c>
      <x:c r="Q1656" s="7" t="n">
        <x:f>'Guide'!$B$5-L1656</x:f>
        <x:v>3</x:v>
      </x:c>
      <x:c r="R1656" s="9" t="n">
        <x:f>K1656-P1656</x:f>
        <x:v>3.1799999999999997</x:v>
      </x:c>
      <x:c r="S1656" s="10" t="n">
        <x:f>IF(K1656&gt;0,R1656/K1656,"")</x:f>
        <x:v>0.3347368421052631</x:v>
      </x:c>
    </x:row>
    <x:row r="1657">
      <x:c r="A1657" s="7" t="n">
        <x:v>1653</x:v>
      </x:c>
      <x:c r="B1657" s="7" t="str">
        <x:v>Tata</x:v>
      </x:c>
      <x:c r="C1657" s="7" t="str">
        <x:v>Altroz</x:v>
      </x:c>
      <x:c r="D1657" s="7" t="str">
        <x:v>XT Diesel</x:v>
      </x:c>
      <x:c r="E1657" s="7" t="str">
        <x:v>Diesel</x:v>
      </x:c>
      <x:c r="F1657" s="7" t="str">
        <x:v>Manual</x:v>
      </x:c>
      <x:c r="G1657" s="7" t="str">
        <x:v>Hatchback</x:v>
      </x:c>
      <x:c r="H1657" s="7" t="n">
        <x:v>1497</x:v>
      </x:c>
      <x:c r="I1657" s="7" t="n">
        <x:v>89</x:v>
      </x:c>
      <x:c r="J1657" s="9" t="n">
        <x:v>23.6</x:v>
      </x:c>
      <x:c r="K1657" s="9" t="n">
        <x:v>9.5</x:v>
      </x:c>
      <x:c r="L1657" s="7" t="n">
        <x:v>2026</x:v>
      </x:c>
      <x:c r="M1657" s="11" t="n">
        <x:v>9511</x:v>
      </x:c>
      <x:c r="N1657" s="7" t="n">
        <x:v>2</x:v>
      </x:c>
      <x:c r="O1657" s="7" t="n">
        <x:v>0</x:v>
      </x:c>
      <x:c r="P1657" s="9" t="n">
        <x:v>8.74</x:v>
      </x:c>
      <x:c r="Q1657" s="7" t="n">
        <x:f>'Guide'!$B$5-L1657</x:f>
        <x:v>0</x:v>
      </x:c>
      <x:c r="R1657" s="9" t="n">
        <x:f>K1657-P1657</x:f>
        <x:v>0.7599999999999998</x:v>
      </x:c>
      <x:c r="S1657" s="10" t="n">
        <x:f>IF(K1657&gt;0,R1657/K1657,"")</x:f>
        <x:v>0.07999999999999997</x:v>
      </x:c>
    </x:row>
    <x:row r="1658">
      <x:c r="A1658" s="7" t="n">
        <x:v>1654</x:v>
      </x:c>
      <x:c r="B1658" s="7" t="str">
        <x:v>Tata</x:v>
      </x:c>
      <x:c r="C1658" s="7" t="str">
        <x:v>Altroz</x:v>
      </x:c>
      <x:c r="D1658" s="7" t="str">
        <x:v>XT Diesel</x:v>
      </x:c>
      <x:c r="E1658" s="7" t="str">
        <x:v>Diesel</x:v>
      </x:c>
      <x:c r="F1658" s="7" t="str">
        <x:v>Manual</x:v>
      </x:c>
      <x:c r="G1658" s="7" t="str">
        <x:v>Hatchback</x:v>
      </x:c>
      <x:c r="H1658" s="7" t="n">
        <x:v>1497</x:v>
      </x:c>
      <x:c r="I1658" s="7" t="n">
        <x:v>89</x:v>
      </x:c>
      <x:c r="J1658" s="9" t="n">
        <x:v>23.6</x:v>
      </x:c>
      <x:c r="K1658" s="9" t="n">
        <x:v>9.5</x:v>
      </x:c>
      <x:c r="L1658" s="7" t="n">
        <x:v>2024</x:v>
      </x:c>
      <x:c r="M1658" s="11" t="n">
        <x:v>42233</x:v>
      </x:c>
      <x:c r="N1658" s="7" t="n">
        <x:v>1</x:v>
      </x:c>
      <x:c r="O1658" s="7" t="n">
        <x:v>0</x:v>
      </x:c>
      <x:c r="P1658" s="9" t="n">
        <x:v>7.79</x:v>
      </x:c>
      <x:c r="Q1658" s="7" t="n">
        <x:f>'Guide'!$B$5-L1658</x:f>
        <x:v>2</x:v>
      </x:c>
      <x:c r="R1658" s="9" t="n">
        <x:f>K1658-P1658</x:f>
        <x:v>1.71</x:v>
      </x:c>
      <x:c r="S1658" s="10" t="n">
        <x:f>IF(K1658&gt;0,R1658/K1658,"")</x:f>
        <x:v>0.18</x:v>
      </x:c>
    </x:row>
    <x:row r="1659">
      <x:c r="A1659" s="7" t="n">
        <x:v>1655</x:v>
      </x:c>
      <x:c r="B1659" s="7" t="str">
        <x:v>Tata</x:v>
      </x:c>
      <x:c r="C1659" s="7" t="str">
        <x:v>Altroz</x:v>
      </x:c>
      <x:c r="D1659" s="7" t="str">
        <x:v>XT Diesel</x:v>
      </x:c>
      <x:c r="E1659" s="7" t="str">
        <x:v>Diesel</x:v>
      </x:c>
      <x:c r="F1659" s="7" t="str">
        <x:v>Manual</x:v>
      </x:c>
      <x:c r="G1659" s="7" t="str">
        <x:v>Hatchback</x:v>
      </x:c>
      <x:c r="H1659" s="7" t="n">
        <x:v>1497</x:v>
      </x:c>
      <x:c r="I1659" s="7" t="n">
        <x:v>89</x:v>
      </x:c>
      <x:c r="J1659" s="9" t="n">
        <x:v>23.6</x:v>
      </x:c>
      <x:c r="K1659" s="9" t="n">
        <x:v>9.5</x:v>
      </x:c>
      <x:c r="L1659" s="7" t="n">
        <x:v>2025</x:v>
      </x:c>
      <x:c r="M1659" s="11" t="n">
        <x:v>26733</x:v>
      </x:c>
      <x:c r="N1659" s="7" t="n">
        <x:v>1</x:v>
      </x:c>
      <x:c r="O1659" s="7" t="n">
        <x:v>0</x:v>
      </x:c>
      <x:c r="P1659" s="9" t="n">
        <x:v>8.05</x:v>
      </x:c>
      <x:c r="Q1659" s="7" t="n">
        <x:f>'Guide'!$B$5-L1659</x:f>
        <x:v>1</x:v>
      </x:c>
      <x:c r="R1659" s="9" t="n">
        <x:f>K1659-P1659</x:f>
        <x:v>1.4499999999999993</x:v>
      </x:c>
      <x:c r="S1659" s="10" t="n">
        <x:f>IF(K1659&gt;0,R1659/K1659,"")</x:f>
        <x:v>0.15263157894736834</x:v>
      </x:c>
    </x:row>
    <x:row r="1660">
      <x:c r="A1660" s="7" t="n">
        <x:v>1656</x:v>
      </x:c>
      <x:c r="B1660" s="7" t="str">
        <x:v>Tata</x:v>
      </x:c>
      <x:c r="C1660" s="7" t="str">
        <x:v>Altroz</x:v>
      </x:c>
      <x:c r="D1660" s="7" t="str">
        <x:v>XT Diesel</x:v>
      </x:c>
      <x:c r="E1660" s="7" t="str">
        <x:v>Diesel</x:v>
      </x:c>
      <x:c r="F1660" s="7" t="str">
        <x:v>Manual</x:v>
      </x:c>
      <x:c r="G1660" s="7" t="str">
        <x:v>Hatchback</x:v>
      </x:c>
      <x:c r="H1660" s="7" t="n">
        <x:v>1497</x:v>
      </x:c>
      <x:c r="I1660" s="7" t="n">
        <x:v>89</x:v>
      </x:c>
      <x:c r="J1660" s="9" t="n">
        <x:v>23.6</x:v>
      </x:c>
      <x:c r="K1660" s="9" t="n">
        <x:v>9.5</x:v>
      </x:c>
      <x:c r="L1660" s="7" t="n">
        <x:v>2023</x:v>
      </x:c>
      <x:c r="M1660" s="11" t="n">
        <x:v>47623</x:v>
      </x:c>
      <x:c r="N1660" s="7" t="n">
        <x:v>1</x:v>
      </x:c>
      <x:c r="O1660" s="7" t="n">
        <x:v>0</x:v>
      </x:c>
      <x:c r="P1660" s="9" t="n">
        <x:v>6.31</x:v>
      </x:c>
      <x:c r="Q1660" s="7" t="n">
        <x:f>'Guide'!$B$5-L1660</x:f>
        <x:v>3</x:v>
      </x:c>
      <x:c r="R1660" s="9" t="n">
        <x:f>K1660-P1660</x:f>
        <x:v>3.1900000000000004</x:v>
      </x:c>
      <x:c r="S1660" s="10" t="n">
        <x:f>IF(K1660&gt;0,R1660/K1660,"")</x:f>
        <x:v>0.3357894736842106</x:v>
      </x:c>
    </x:row>
    <x:row r="1661">
      <x:c r="A1661" s="7" t="n">
        <x:v>1657</x:v>
      </x:c>
      <x:c r="B1661" s="7" t="str">
        <x:v>Tata</x:v>
      </x:c>
      <x:c r="C1661" s="7" t="str">
        <x:v>Altroz</x:v>
      </x:c>
      <x:c r="D1661" s="7" t="str">
        <x:v>XT Diesel</x:v>
      </x:c>
      <x:c r="E1661" s="7" t="str">
        <x:v>Diesel</x:v>
      </x:c>
      <x:c r="F1661" s="7" t="str">
        <x:v>Manual</x:v>
      </x:c>
      <x:c r="G1661" s="7" t="str">
        <x:v>Hatchback</x:v>
      </x:c>
      <x:c r="H1661" s="7" t="n">
        <x:v>1497</x:v>
      </x:c>
      <x:c r="I1661" s="7" t="n">
        <x:v>89</x:v>
      </x:c>
      <x:c r="J1661" s="9" t="n">
        <x:v>23.6</x:v>
      </x:c>
      <x:c r="K1661" s="9" t="n">
        <x:v>9.5</x:v>
      </x:c>
      <x:c r="L1661" s="7" t="n">
        <x:v>2022</x:v>
      </x:c>
      <x:c r="M1661" s="11" t="n">
        <x:v>62615</x:v>
      </x:c>
      <x:c r="N1661" s="7" t="n">
        <x:v>1</x:v>
      </x:c>
      <x:c r="O1661" s="7" t="n">
        <x:v>1</x:v>
      </x:c>
      <x:c r="P1661" s="9" t="n">
        <x:v>5.01</x:v>
      </x:c>
      <x:c r="Q1661" s="7" t="n">
        <x:f>'Guide'!$B$5-L1661</x:f>
        <x:v>4</x:v>
      </x:c>
      <x:c r="R1661" s="9" t="n">
        <x:f>K1661-P1661</x:f>
        <x:v>4.49</x:v>
      </x:c>
      <x:c r="S1661" s="10" t="n">
        <x:f>IF(K1661&gt;0,R1661/K1661,"")</x:f>
        <x:v>0.47263157894736846</x:v>
      </x:c>
    </x:row>
    <x:row r="1662">
      <x:c r="A1662" s="7" t="n">
        <x:v>1658</x:v>
      </x:c>
      <x:c r="B1662" s="7" t="str">
        <x:v>Tata</x:v>
      </x:c>
      <x:c r="C1662" s="7" t="str">
        <x:v>Altroz</x:v>
      </x:c>
      <x:c r="D1662" s="7" t="str">
        <x:v>XT Diesel</x:v>
      </x:c>
      <x:c r="E1662" s="7" t="str">
        <x:v>Diesel</x:v>
      </x:c>
      <x:c r="F1662" s="7" t="str">
        <x:v>Manual</x:v>
      </x:c>
      <x:c r="G1662" s="7" t="str">
        <x:v>Hatchback</x:v>
      </x:c>
      <x:c r="H1662" s="7" t="n">
        <x:v>1497</x:v>
      </x:c>
      <x:c r="I1662" s="7" t="n">
        <x:v>89</x:v>
      </x:c>
      <x:c r="J1662" s="9" t="n">
        <x:v>23.6</x:v>
      </x:c>
      <x:c r="K1662" s="9" t="n">
        <x:v>9.5</x:v>
      </x:c>
      <x:c r="L1662" s="7" t="n">
        <x:v>2024</x:v>
      </x:c>
      <x:c r="M1662" s="11" t="n">
        <x:v>25264</x:v>
      </x:c>
      <x:c r="N1662" s="7" t="n">
        <x:v>2</x:v>
      </x:c>
      <x:c r="O1662" s="7" t="n">
        <x:v>0</x:v>
      </x:c>
      <x:c r="P1662" s="9" t="n">
        <x:v>7.61</x:v>
      </x:c>
      <x:c r="Q1662" s="7" t="n">
        <x:f>'Guide'!$B$5-L1662</x:f>
        <x:v>2</x:v>
      </x:c>
      <x:c r="R1662" s="9" t="n">
        <x:f>K1662-P1662</x:f>
        <x:v>1.8899999999999997</x:v>
      </x:c>
      <x:c r="S1662" s="10" t="n">
        <x:f>IF(K1662&gt;0,R1662/K1662,"")</x:f>
        <x:v>0.1989473684210526</x:v>
      </x:c>
    </x:row>
    <x:row r="1663">
      <x:c r="A1663" s="7" t="n">
        <x:v>1659</x:v>
      </x:c>
      <x:c r="B1663" s="7" t="str">
        <x:v>Tata</x:v>
      </x:c>
      <x:c r="C1663" s="7" t="str">
        <x:v>Altroz</x:v>
      </x:c>
      <x:c r="D1663" s="7" t="str">
        <x:v>XT Diesel</x:v>
      </x:c>
      <x:c r="E1663" s="7" t="str">
        <x:v>Diesel</x:v>
      </x:c>
      <x:c r="F1663" s="7" t="str">
        <x:v>Manual</x:v>
      </x:c>
      <x:c r="G1663" s="7" t="str">
        <x:v>Hatchback</x:v>
      </x:c>
      <x:c r="H1663" s="7" t="n">
        <x:v>1497</x:v>
      </x:c>
      <x:c r="I1663" s="7" t="n">
        <x:v>89</x:v>
      </x:c>
      <x:c r="J1663" s="9" t="n">
        <x:v>23.6</x:v>
      </x:c>
      <x:c r="K1663" s="9" t="n">
        <x:v>9.5</x:v>
      </x:c>
      <x:c r="L1663" s="7" t="n">
        <x:v>2024</x:v>
      </x:c>
      <x:c r="M1663" s="11" t="n">
        <x:v>29142</x:v>
      </x:c>
      <x:c r="N1663" s="7" t="n">
        <x:v>1</x:v>
      </x:c>
      <x:c r="O1663" s="7" t="n">
        <x:v>0</x:v>
      </x:c>
      <x:c r="P1663" s="9" t="n">
        <x:v>7.5</x:v>
      </x:c>
      <x:c r="Q1663" s="7" t="n">
        <x:f>'Guide'!$B$5-L1663</x:f>
        <x:v>2</x:v>
      </x:c>
      <x:c r="R1663" s="9" t="n">
        <x:f>K1663-P1663</x:f>
        <x:v>2</x:v>
      </x:c>
      <x:c r="S1663" s="10" t="n">
        <x:f>IF(K1663&gt;0,R1663/K1663,"")</x:f>
        <x:v>0.21052631578947367</x:v>
      </x:c>
    </x:row>
    <x:row r="1664">
      <x:c r="A1664" s="7" t="n">
        <x:v>1660</x:v>
      </x:c>
      <x:c r="B1664" s="7" t="str">
        <x:v>Tata</x:v>
      </x:c>
      <x:c r="C1664" s="7" t="str">
        <x:v>Altroz</x:v>
      </x:c>
      <x:c r="D1664" s="7" t="str">
        <x:v>XT Diesel</x:v>
      </x:c>
      <x:c r="E1664" s="7" t="str">
        <x:v>Diesel</x:v>
      </x:c>
      <x:c r="F1664" s="7" t="str">
        <x:v>Manual</x:v>
      </x:c>
      <x:c r="G1664" s="7" t="str">
        <x:v>Hatchback</x:v>
      </x:c>
      <x:c r="H1664" s="7" t="n">
        <x:v>1497</x:v>
      </x:c>
      <x:c r="I1664" s="7" t="n">
        <x:v>89</x:v>
      </x:c>
      <x:c r="J1664" s="9" t="n">
        <x:v>23.6</x:v>
      </x:c>
      <x:c r="K1664" s="9" t="n">
        <x:v>9.5</x:v>
      </x:c>
      <x:c r="L1664" s="7" t="n">
        <x:v>2024</x:v>
      </x:c>
      <x:c r="M1664" s="11" t="n">
        <x:v>22598</x:v>
      </x:c>
      <x:c r="N1664" s="7" t="n">
        <x:v>1</x:v>
      </x:c>
      <x:c r="O1664" s="7" t="n">
        <x:v>0</x:v>
      </x:c>
      <x:c r="P1664" s="9" t="n">
        <x:v>7.6</x:v>
      </x:c>
      <x:c r="Q1664" s="7" t="n">
        <x:f>'Guide'!$B$5-L1664</x:f>
        <x:v>2</x:v>
      </x:c>
      <x:c r="R1664" s="9" t="n">
        <x:f>K1664-P1664</x:f>
        <x:v>1.9000000000000004</x:v>
      </x:c>
      <x:c r="S1664" s="10" t="n">
        <x:f>IF(K1664&gt;0,R1664/K1664,"")</x:f>
        <x:v>0.20000000000000004</x:v>
      </x:c>
    </x:row>
    <x:row r="1665">
      <x:c r="A1665" s="7" t="n">
        <x:v>1661</x:v>
      </x:c>
      <x:c r="B1665" s="7" t="str">
        <x:v>Tata</x:v>
      </x:c>
      <x:c r="C1665" s="7" t="str">
        <x:v>Altroz</x:v>
      </x:c>
      <x:c r="D1665" s="7" t="str">
        <x:v>XT Diesel</x:v>
      </x:c>
      <x:c r="E1665" s="7" t="str">
        <x:v>Diesel</x:v>
      </x:c>
      <x:c r="F1665" s="7" t="str">
        <x:v>Manual</x:v>
      </x:c>
      <x:c r="G1665" s="7" t="str">
        <x:v>Hatchback</x:v>
      </x:c>
      <x:c r="H1665" s="7" t="n">
        <x:v>1497</x:v>
      </x:c>
      <x:c r="I1665" s="7" t="n">
        <x:v>89</x:v>
      </x:c>
      <x:c r="J1665" s="9" t="n">
        <x:v>23.6</x:v>
      </x:c>
      <x:c r="K1665" s="9" t="n">
        <x:v>9.5</x:v>
      </x:c>
      <x:c r="L1665" s="7" t="n">
        <x:v>2025</x:v>
      </x:c>
      <x:c r="M1665" s="11" t="n">
        <x:v>19932</x:v>
      </x:c>
      <x:c r="N1665" s="7" t="n">
        <x:v>1</x:v>
      </x:c>
      <x:c r="O1665" s="7" t="n">
        <x:v>0</x:v>
      </x:c>
      <x:c r="P1665" s="9" t="n">
        <x:v>8.29</x:v>
      </x:c>
      <x:c r="Q1665" s="7" t="n">
        <x:f>'Guide'!$B$5-L1665</x:f>
        <x:v>1</x:v>
      </x:c>
      <x:c r="R1665" s="9" t="n">
        <x:f>K1665-P1665</x:f>
        <x:v>1.2100000000000009</x:v>
      </x:c>
      <x:c r="S1665" s="10" t="n">
        <x:f>IF(K1665&gt;0,R1665/K1665,"")</x:f>
        <x:v>0.12736842105263166</x:v>
      </x:c>
    </x:row>
    <x:row r="1666">
      <x:c r="A1666" s="7" t="n">
        <x:v>1662</x:v>
      </x:c>
      <x:c r="B1666" s="7" t="str">
        <x:v>Tata</x:v>
      </x:c>
      <x:c r="C1666" s="7" t="str">
        <x:v>Altroz</x:v>
      </x:c>
      <x:c r="D1666" s="7" t="str">
        <x:v>XT Diesel</x:v>
      </x:c>
      <x:c r="E1666" s="7" t="str">
        <x:v>Diesel</x:v>
      </x:c>
      <x:c r="F1666" s="7" t="str">
        <x:v>Manual</x:v>
      </x:c>
      <x:c r="G1666" s="7" t="str">
        <x:v>Hatchback</x:v>
      </x:c>
      <x:c r="H1666" s="7" t="n">
        <x:v>1497</x:v>
      </x:c>
      <x:c r="I1666" s="7" t="n">
        <x:v>89</x:v>
      </x:c>
      <x:c r="J1666" s="9" t="n">
        <x:v>23.6</x:v>
      </x:c>
      <x:c r="K1666" s="9" t="n">
        <x:v>9.5</x:v>
      </x:c>
      <x:c r="L1666" s="7" t="n">
        <x:v>2022</x:v>
      </x:c>
      <x:c r="M1666" s="11" t="n">
        <x:v>62368</x:v>
      </x:c>
      <x:c r="N1666" s="7" t="n">
        <x:v>2</x:v>
      </x:c>
      <x:c r="O1666" s="7" t="n">
        <x:v>1</x:v>
      </x:c>
      <x:c r="P1666" s="9" t="n">
        <x:v>4.34</x:v>
      </x:c>
      <x:c r="Q1666" s="7" t="n">
        <x:f>'Guide'!$B$5-L1666</x:f>
        <x:v>4</x:v>
      </x:c>
      <x:c r="R1666" s="9" t="n">
        <x:f>K1666-P1666</x:f>
        <x:v>5.16</x:v>
      </x:c>
      <x:c r="S1666" s="10" t="n">
        <x:f>IF(K1666&gt;0,R1666/K1666,"")</x:f>
        <x:v>0.5431578947368422</x:v>
      </x:c>
    </x:row>
    <x:row r="1667">
      <x:c r="A1667" s="7" t="n">
        <x:v>1663</x:v>
      </x:c>
      <x:c r="B1667" s="7" t="str">
        <x:v>Tata</x:v>
      </x:c>
      <x:c r="C1667" s="7" t="str">
        <x:v>Altroz</x:v>
      </x:c>
      <x:c r="D1667" s="7" t="str">
        <x:v>XT Diesel</x:v>
      </x:c>
      <x:c r="E1667" s="7" t="str">
        <x:v>Diesel</x:v>
      </x:c>
      <x:c r="F1667" s="7" t="str">
        <x:v>Manual</x:v>
      </x:c>
      <x:c r="G1667" s="7" t="str">
        <x:v>Hatchback</x:v>
      </x:c>
      <x:c r="H1667" s="7" t="n">
        <x:v>1497</x:v>
      </x:c>
      <x:c r="I1667" s="7" t="n">
        <x:v>89</x:v>
      </x:c>
      <x:c r="J1667" s="9" t="n">
        <x:v>23.6</x:v>
      </x:c>
      <x:c r="K1667" s="9" t="n">
        <x:v>9.5</x:v>
      </x:c>
      <x:c r="L1667" s="7" t="n">
        <x:v>2023</x:v>
      </x:c>
      <x:c r="M1667" s="11" t="n">
        <x:v>52131</x:v>
      </x:c>
      <x:c r="N1667" s="7" t="n">
        <x:v>2</x:v>
      </x:c>
      <x:c r="O1667" s="7" t="n">
        <x:v>0</x:v>
      </x:c>
      <x:c r="P1667" s="9" t="n">
        <x:v>6.11</x:v>
      </x:c>
      <x:c r="Q1667" s="7" t="n">
        <x:f>'Guide'!$B$5-L1667</x:f>
        <x:v>3</x:v>
      </x:c>
      <x:c r="R1667" s="9" t="n">
        <x:f>K1667-P1667</x:f>
        <x:v>3.3899999999999997</x:v>
      </x:c>
      <x:c r="S1667" s="10" t="n">
        <x:f>IF(K1667&gt;0,R1667/K1667,"")</x:f>
        <x:v>0.35684210526315785</x:v>
      </x:c>
    </x:row>
    <x:row r="1668">
      <x:c r="A1668" s="7" t="n">
        <x:v>1664</x:v>
      </x:c>
      <x:c r="B1668" s="7" t="str">
        <x:v>Tata</x:v>
      </x:c>
      <x:c r="C1668" s="7" t="str">
        <x:v>Altroz</x:v>
      </x:c>
      <x:c r="D1668" s="7" t="str">
        <x:v>XT Diesel</x:v>
      </x:c>
      <x:c r="E1668" s="7" t="str">
        <x:v>Diesel</x:v>
      </x:c>
      <x:c r="F1668" s="7" t="str">
        <x:v>Manual</x:v>
      </x:c>
      <x:c r="G1668" s="7" t="str">
        <x:v>Hatchback</x:v>
      </x:c>
      <x:c r="H1668" s="7" t="n">
        <x:v>1497</x:v>
      </x:c>
      <x:c r="I1668" s="7" t="n">
        <x:v>89</x:v>
      </x:c>
      <x:c r="J1668" s="9" t="n">
        <x:v>23.6</x:v>
      </x:c>
      <x:c r="K1668" s="9" t="n">
        <x:v>9.5</x:v>
      </x:c>
      <x:c r="L1668" s="7" t="n">
        <x:v>2024</x:v>
      </x:c>
      <x:c r="M1668" s="11" t="n">
        <x:v>36408</x:v>
      </x:c>
      <x:c r="N1668" s="7" t="n">
        <x:v>1</x:v>
      </x:c>
      <x:c r="O1668" s="7" t="n">
        <x:v>0</x:v>
      </x:c>
      <x:c r="P1668" s="9" t="n">
        <x:v>7.7</x:v>
      </x:c>
      <x:c r="Q1668" s="7" t="n">
        <x:f>'Guide'!$B$5-L1668</x:f>
        <x:v>2</x:v>
      </x:c>
      <x:c r="R1668" s="9" t="n">
        <x:f>K1668-P1668</x:f>
        <x:v>1.7999999999999998</x:v>
      </x:c>
      <x:c r="S1668" s="10" t="n">
        <x:f>IF(K1668&gt;0,R1668/K1668,"")</x:f>
        <x:v>0.1894736842105263</x:v>
      </x:c>
    </x:row>
    <x:row r="1669">
      <x:c r="A1669" s="7" t="n">
        <x:v>1665</x:v>
      </x:c>
      <x:c r="B1669" s="7" t="str">
        <x:v>Tata</x:v>
      </x:c>
      <x:c r="C1669" s="7" t="str">
        <x:v>Altroz</x:v>
      </x:c>
      <x:c r="D1669" s="7" t="str">
        <x:v>XT Diesel</x:v>
      </x:c>
      <x:c r="E1669" s="7" t="str">
        <x:v>Diesel</x:v>
      </x:c>
      <x:c r="F1669" s="7" t="str">
        <x:v>Manual</x:v>
      </x:c>
      <x:c r="G1669" s="7" t="str">
        <x:v>Hatchback</x:v>
      </x:c>
      <x:c r="H1669" s="7" t="n">
        <x:v>1497</x:v>
      </x:c>
      <x:c r="I1669" s="7" t="n">
        <x:v>89</x:v>
      </x:c>
      <x:c r="J1669" s="9" t="n">
        <x:v>23.6</x:v>
      </x:c>
      <x:c r="K1669" s="9" t="n">
        <x:v>9.5</x:v>
      </x:c>
      <x:c r="L1669" s="7" t="n">
        <x:v>2023</x:v>
      </x:c>
      <x:c r="M1669" s="11" t="n">
        <x:v>46139</x:v>
      </x:c>
      <x:c r="N1669" s="7" t="n">
        <x:v>1</x:v>
      </x:c>
      <x:c r="O1669" s="7" t="n">
        <x:v>1</x:v>
      </x:c>
      <x:c r="P1669" s="9" t="n">
        <x:v>6</x:v>
      </x:c>
      <x:c r="Q1669" s="7" t="n">
        <x:f>'Guide'!$B$5-L1669</x:f>
        <x:v>3</x:v>
      </x:c>
      <x:c r="R1669" s="9" t="n">
        <x:f>K1669-P1669</x:f>
        <x:v>3.5</x:v>
      </x:c>
      <x:c r="S1669" s="10" t="n">
        <x:f>IF(K1669&gt;0,R1669/K1669,"")</x:f>
        <x:v>0.3684210526315789</x:v>
      </x:c>
    </x:row>
    <x:row r="1670">
      <x:c r="A1670" s="7" t="n">
        <x:v>1666</x:v>
      </x:c>
      <x:c r="B1670" s="7" t="str">
        <x:v>Tata</x:v>
      </x:c>
      <x:c r="C1670" s="7" t="str">
        <x:v>Altroz</x:v>
      </x:c>
      <x:c r="D1670" s="7" t="str">
        <x:v>XT Diesel</x:v>
      </x:c>
      <x:c r="E1670" s="7" t="str">
        <x:v>Diesel</x:v>
      </x:c>
      <x:c r="F1670" s="7" t="str">
        <x:v>Manual</x:v>
      </x:c>
      <x:c r="G1670" s="7" t="str">
        <x:v>Hatchback</x:v>
      </x:c>
      <x:c r="H1670" s="7" t="n">
        <x:v>1497</x:v>
      </x:c>
      <x:c r="I1670" s="7" t="n">
        <x:v>89</x:v>
      </x:c>
      <x:c r="J1670" s="9" t="n">
        <x:v>23.6</x:v>
      </x:c>
      <x:c r="K1670" s="9" t="n">
        <x:v>9.5</x:v>
      </x:c>
      <x:c r="L1670" s="7" t="n">
        <x:v>2021</x:v>
      </x:c>
      <x:c r="M1670" s="11" t="n">
        <x:v>100478</x:v>
      </x:c>
      <x:c r="N1670" s="7" t="n">
        <x:v>1</x:v>
      </x:c>
      <x:c r="O1670" s="7" t="n">
        <x:v>0</x:v>
      </x:c>
      <x:c r="P1670" s="9" t="n">
        <x:v>4.19</x:v>
      </x:c>
      <x:c r="Q1670" s="7" t="n">
        <x:f>'Guide'!$B$5-L1670</x:f>
        <x:v>5</x:v>
      </x:c>
      <x:c r="R1670" s="9" t="n">
        <x:f>K1670-P1670</x:f>
        <x:v>5.31</x:v>
      </x:c>
      <x:c r="S1670" s="10" t="n">
        <x:f>IF(K1670&gt;0,R1670/K1670,"")</x:f>
        <x:v>0.5589473684210526</x:v>
      </x:c>
    </x:row>
    <x:row r="1671">
      <x:c r="A1671" s="7" t="n">
        <x:v>1667</x:v>
      </x:c>
      <x:c r="B1671" s="7" t="str">
        <x:v>Tata</x:v>
      </x:c>
      <x:c r="C1671" s="7" t="str">
        <x:v>Altroz</x:v>
      </x:c>
      <x:c r="D1671" s="7" t="str">
        <x:v>XT Diesel</x:v>
      </x:c>
      <x:c r="E1671" s="7" t="str">
        <x:v>Diesel</x:v>
      </x:c>
      <x:c r="F1671" s="7" t="str">
        <x:v>Manual</x:v>
      </x:c>
      <x:c r="G1671" s="7" t="str">
        <x:v>Hatchback</x:v>
      </x:c>
      <x:c r="H1671" s="7" t="n">
        <x:v>1497</x:v>
      </x:c>
      <x:c r="I1671" s="7" t="n">
        <x:v>89</x:v>
      </x:c>
      <x:c r="J1671" s="9" t="n">
        <x:v>23.6</x:v>
      </x:c>
      <x:c r="K1671" s="9" t="n">
        <x:v>9.5</x:v>
      </x:c>
      <x:c r="L1671" s="7" t="n">
        <x:v>2022</x:v>
      </x:c>
      <x:c r="M1671" s="11" t="n">
        <x:v>86971</x:v>
      </x:c>
      <x:c r="N1671" s="7" t="n">
        <x:v>2</x:v>
      </x:c>
      <x:c r="O1671" s="7" t="n">
        <x:v>0</x:v>
      </x:c>
      <x:c r="P1671" s="9" t="n">
        <x:v>4.95</x:v>
      </x:c>
      <x:c r="Q1671" s="7" t="n">
        <x:f>'Guide'!$B$5-L1671</x:f>
        <x:v>4</x:v>
      </x:c>
      <x:c r="R1671" s="9" t="n">
        <x:f>K1671-P1671</x:f>
        <x:v>4.55</x:v>
      </x:c>
      <x:c r="S1671" s="10" t="n">
        <x:f>IF(K1671&gt;0,R1671/K1671,"")</x:f>
        <x:v>0.4789473684210526</x:v>
      </x:c>
    </x:row>
    <x:row r="1672">
      <x:c r="A1672" s="7" t="n">
        <x:v>1668</x:v>
      </x:c>
      <x:c r="B1672" s="7" t="str">
        <x:v>Tata</x:v>
      </x:c>
      <x:c r="C1672" s="7" t="str">
        <x:v>Altroz</x:v>
      </x:c>
      <x:c r="D1672" s="7" t="str">
        <x:v>XT Diesel</x:v>
      </x:c>
      <x:c r="E1672" s="7" t="str">
        <x:v>Diesel</x:v>
      </x:c>
      <x:c r="F1672" s="7" t="str">
        <x:v>Manual</x:v>
      </x:c>
      <x:c r="G1672" s="7" t="str">
        <x:v>Hatchback</x:v>
      </x:c>
      <x:c r="H1672" s="7" t="n">
        <x:v>1497</x:v>
      </x:c>
      <x:c r="I1672" s="7" t="n">
        <x:v>89</x:v>
      </x:c>
      <x:c r="J1672" s="9" t="n">
        <x:v>23.6</x:v>
      </x:c>
      <x:c r="K1672" s="9" t="n">
        <x:v>9.5</x:v>
      </x:c>
      <x:c r="L1672" s="7" t="n">
        <x:v>2026</x:v>
      </x:c>
      <x:c r="M1672" s="11" t="n">
        <x:v>8987</x:v>
      </x:c>
      <x:c r="N1672" s="7" t="n">
        <x:v>1</x:v>
      </x:c>
      <x:c r="O1672" s="7" t="n">
        <x:v>0</x:v>
      </x:c>
      <x:c r="P1672" s="9" t="n">
        <x:v>9.48</x:v>
      </x:c>
      <x:c r="Q1672" s="7" t="n">
        <x:f>'Guide'!$B$5-L1672</x:f>
        <x:v>0</x:v>
      </x:c>
      <x:c r="R1672" s="9" t="n">
        <x:f>K1672-P1672</x:f>
        <x:v>0.019999999999999574</x:v>
      </x:c>
      <x:c r="S1672" s="10" t="n">
        <x:f>IF(K1672&gt;0,R1672/K1672,"")</x:f>
        <x:v>0.002105263157894692</x:v>
      </x:c>
    </x:row>
    <x:row r="1673">
      <x:c r="A1673" s="7" t="n">
        <x:v>1669</x:v>
      </x:c>
      <x:c r="B1673" s="7" t="str">
        <x:v>Tata</x:v>
      </x:c>
      <x:c r="C1673" s="7" t="str">
        <x:v>Altroz</x:v>
      </x:c>
      <x:c r="D1673" s="7" t="str">
        <x:v>XT Diesel</x:v>
      </x:c>
      <x:c r="E1673" s="7" t="str">
        <x:v>Diesel</x:v>
      </x:c>
      <x:c r="F1673" s="7" t="str">
        <x:v>Manual</x:v>
      </x:c>
      <x:c r="G1673" s="7" t="str">
        <x:v>Hatchback</x:v>
      </x:c>
      <x:c r="H1673" s="7" t="n">
        <x:v>1497</x:v>
      </x:c>
      <x:c r="I1673" s="7" t="n">
        <x:v>89</x:v>
      </x:c>
      <x:c r="J1673" s="9" t="n">
        <x:v>23.6</x:v>
      </x:c>
      <x:c r="K1673" s="9" t="n">
        <x:v>9.5</x:v>
      </x:c>
      <x:c r="L1673" s="7" t="n">
        <x:v>2024</x:v>
      </x:c>
      <x:c r="M1673" s="11" t="n">
        <x:v>33091</x:v>
      </x:c>
      <x:c r="N1673" s="7" t="n">
        <x:v>1</x:v>
      </x:c>
      <x:c r="O1673" s="7" t="n">
        <x:v>1</x:v>
      </x:c>
      <x:c r="P1673" s="9" t="n">
        <x:v>7.18</x:v>
      </x:c>
      <x:c r="Q1673" s="7" t="n">
        <x:f>'Guide'!$B$5-L1673</x:f>
        <x:v>2</x:v>
      </x:c>
      <x:c r="R1673" s="9" t="n">
        <x:f>K1673-P1673</x:f>
        <x:v>2.3200000000000003</x:v>
      </x:c>
      <x:c r="S1673" s="10" t="n">
        <x:f>IF(K1673&gt;0,R1673/K1673,"")</x:f>
        <x:v>0.24421052631578952</x:v>
      </x:c>
    </x:row>
    <x:row r="1674">
      <x:c r="A1674" s="7" t="n">
        <x:v>1670</x:v>
      </x:c>
      <x:c r="B1674" s="7" t="str">
        <x:v>Tata</x:v>
      </x:c>
      <x:c r="C1674" s="7" t="str">
        <x:v>Altroz</x:v>
      </x:c>
      <x:c r="D1674" s="7" t="str">
        <x:v>XT Diesel</x:v>
      </x:c>
      <x:c r="E1674" s="7" t="str">
        <x:v>Diesel</x:v>
      </x:c>
      <x:c r="F1674" s="7" t="str">
        <x:v>Manual</x:v>
      </x:c>
      <x:c r="G1674" s="7" t="str">
        <x:v>Hatchback</x:v>
      </x:c>
      <x:c r="H1674" s="7" t="n">
        <x:v>1497</x:v>
      </x:c>
      <x:c r="I1674" s="7" t="n">
        <x:v>89</x:v>
      </x:c>
      <x:c r="J1674" s="9" t="n">
        <x:v>23.6</x:v>
      </x:c>
      <x:c r="K1674" s="9" t="n">
        <x:v>9.5</x:v>
      </x:c>
      <x:c r="L1674" s="7" t="n">
        <x:v>2020</x:v>
      </x:c>
      <x:c r="M1674" s="11" t="n">
        <x:v>83609</x:v>
      </x:c>
      <x:c r="N1674" s="7" t="n">
        <x:v>3</x:v>
      </x:c>
      <x:c r="O1674" s="7" t="n">
        <x:v>0</x:v>
      </x:c>
      <x:c r="P1674" s="9" t="n">
        <x:v>3.39</x:v>
      </x:c>
      <x:c r="Q1674" s="7" t="n">
        <x:f>'Guide'!$B$5-L1674</x:f>
        <x:v>6</x:v>
      </x:c>
      <x:c r="R1674" s="9" t="n">
        <x:f>K1674-P1674</x:f>
        <x:v>6.109999999999999</x:v>
      </x:c>
      <x:c r="S1674" s="10" t="n">
        <x:f>IF(K1674&gt;0,R1674/K1674,"")</x:f>
        <x:v>0.643157894736842</x:v>
      </x:c>
    </x:row>
    <x:row r="1675">
      <x:c r="A1675" s="7" t="n">
        <x:v>1671</x:v>
      </x:c>
      <x:c r="B1675" s="7" t="str">
        <x:v>Tata</x:v>
      </x:c>
      <x:c r="C1675" s="7" t="str">
        <x:v>Altroz</x:v>
      </x:c>
      <x:c r="D1675" s="7" t="str">
        <x:v>XT Diesel</x:v>
      </x:c>
      <x:c r="E1675" s="7" t="str">
        <x:v>Diesel</x:v>
      </x:c>
      <x:c r="F1675" s="7" t="str">
        <x:v>Manual</x:v>
      </x:c>
      <x:c r="G1675" s="7" t="str">
        <x:v>Hatchback</x:v>
      </x:c>
      <x:c r="H1675" s="7" t="n">
        <x:v>1497</x:v>
      </x:c>
      <x:c r="I1675" s="7" t="n">
        <x:v>89</x:v>
      </x:c>
      <x:c r="J1675" s="9" t="n">
        <x:v>23.6</x:v>
      </x:c>
      <x:c r="K1675" s="9" t="n">
        <x:v>9.5</x:v>
      </x:c>
      <x:c r="L1675" s="7" t="n">
        <x:v>2026</x:v>
      </x:c>
      <x:c r="M1675" s="11" t="n">
        <x:v>4124</x:v>
      </x:c>
      <x:c r="N1675" s="7" t="n">
        <x:v>2</x:v>
      </x:c>
      <x:c r="O1675" s="7" t="n">
        <x:v>0</x:v>
      </x:c>
      <x:c r="P1675" s="9" t="n">
        <x:v>9.11</x:v>
      </x:c>
      <x:c r="Q1675" s="7" t="n">
        <x:f>'Guide'!$B$5-L1675</x:f>
        <x:v>0</x:v>
      </x:c>
      <x:c r="R1675" s="9" t="n">
        <x:f>K1675-P1675</x:f>
        <x:v>0.39000000000000057</x:v>
      </x:c>
      <x:c r="S1675" s="10" t="n">
        <x:f>IF(K1675&gt;0,R1675/K1675,"")</x:f>
        <x:v>0.04105263157894743</x:v>
      </x:c>
    </x:row>
    <x:row r="1676">
      <x:c r="A1676" s="7" t="n">
        <x:v>1672</x:v>
      </x:c>
      <x:c r="B1676" s="7" t="str">
        <x:v>Tata</x:v>
      </x:c>
      <x:c r="C1676" s="7" t="str">
        <x:v>Altroz</x:v>
      </x:c>
      <x:c r="D1676" s="7" t="str">
        <x:v>XT Diesel</x:v>
      </x:c>
      <x:c r="E1676" s="7" t="str">
        <x:v>Diesel</x:v>
      </x:c>
      <x:c r="F1676" s="7" t="str">
        <x:v>Manual</x:v>
      </x:c>
      <x:c r="G1676" s="7" t="str">
        <x:v>Hatchback</x:v>
      </x:c>
      <x:c r="H1676" s="7" t="n">
        <x:v>1497</x:v>
      </x:c>
      <x:c r="I1676" s="7" t="n">
        <x:v>89</x:v>
      </x:c>
      <x:c r="J1676" s="9" t="n">
        <x:v>23.6</x:v>
      </x:c>
      <x:c r="K1676" s="9" t="n">
        <x:v>9.5</x:v>
      </x:c>
      <x:c r="L1676" s="7" t="n">
        <x:v>2026</x:v>
      </x:c>
      <x:c r="M1676" s="11" t="n">
        <x:v>6698</x:v>
      </x:c>
      <x:c r="N1676" s="7" t="n">
        <x:v>2</x:v>
      </x:c>
      <x:c r="O1676" s="7" t="n">
        <x:v>0</x:v>
      </x:c>
      <x:c r="P1676" s="9" t="n">
        <x:v>9.41</x:v>
      </x:c>
      <x:c r="Q1676" s="7" t="n">
        <x:f>'Guide'!$B$5-L1676</x:f>
        <x:v>0</x:v>
      </x:c>
      <x:c r="R1676" s="9" t="n">
        <x:f>K1676-P1676</x:f>
        <x:v>0.08999999999999986</x:v>
      </x:c>
      <x:c r="S1676" s="10" t="n">
        <x:f>IF(K1676&gt;0,R1676/K1676,"")</x:f>
        <x:v>0.0094736842105263</x:v>
      </x:c>
    </x:row>
    <x:row r="1677">
      <x:c r="A1677" s="7" t="n">
        <x:v>1673</x:v>
      </x:c>
      <x:c r="B1677" s="7" t="str">
        <x:v>Tata</x:v>
      </x:c>
      <x:c r="C1677" s="7" t="str">
        <x:v>Altroz</x:v>
      </x:c>
      <x:c r="D1677" s="7" t="str">
        <x:v>XT Diesel</x:v>
      </x:c>
      <x:c r="E1677" s="7" t="str">
        <x:v>Diesel</x:v>
      </x:c>
      <x:c r="F1677" s="7" t="str">
        <x:v>Manual</x:v>
      </x:c>
      <x:c r="G1677" s="7" t="str">
        <x:v>Hatchback</x:v>
      </x:c>
      <x:c r="H1677" s="7" t="n">
        <x:v>1497</x:v>
      </x:c>
      <x:c r="I1677" s="7" t="n">
        <x:v>89</x:v>
      </x:c>
      <x:c r="J1677" s="9" t="n">
        <x:v>23.6</x:v>
      </x:c>
      <x:c r="K1677" s="9" t="n">
        <x:v>9.5</x:v>
      </x:c>
      <x:c r="L1677" s="7" t="n">
        <x:v>2026</x:v>
      </x:c>
      <x:c r="M1677" s="11" t="n">
        <x:v>5805</x:v>
      </x:c>
      <x:c r="N1677" s="7" t="n">
        <x:v>1</x:v>
      </x:c>
      <x:c r="O1677" s="7" t="n">
        <x:v>0</x:v>
      </x:c>
      <x:c r="P1677" s="9" t="n">
        <x:v>9.74</x:v>
      </x:c>
      <x:c r="Q1677" s="7" t="n">
        <x:f>'Guide'!$B$5-L1677</x:f>
        <x:v>0</x:v>
      </x:c>
      <x:c r="R1677" s="9" t="n">
        <x:f>K1677-P1677</x:f>
        <x:v>-0.2400000000000002</x:v>
      </x:c>
      <x:c r="S1677" s="10" t="n">
        <x:f>IF(K1677&gt;0,R1677/K1677,"")</x:f>
        <x:v>-0.025263157894736866</x:v>
      </x:c>
    </x:row>
    <x:row r="1678">
      <x:c r="A1678" s="7" t="n">
        <x:v>1674</x:v>
      </x:c>
      <x:c r="B1678" s="7" t="str">
        <x:v>Tata</x:v>
      </x:c>
      <x:c r="C1678" s="7" t="str">
        <x:v>Altroz</x:v>
      </x:c>
      <x:c r="D1678" s="7" t="str">
        <x:v>XT Diesel</x:v>
      </x:c>
      <x:c r="E1678" s="7" t="str">
        <x:v>Diesel</x:v>
      </x:c>
      <x:c r="F1678" s="7" t="str">
        <x:v>Manual</x:v>
      </x:c>
      <x:c r="G1678" s="7" t="str">
        <x:v>Hatchback</x:v>
      </x:c>
      <x:c r="H1678" s="7" t="n">
        <x:v>1497</x:v>
      </x:c>
      <x:c r="I1678" s="7" t="n">
        <x:v>89</x:v>
      </x:c>
      <x:c r="J1678" s="9" t="n">
        <x:v>23.6</x:v>
      </x:c>
      <x:c r="K1678" s="9" t="n">
        <x:v>9.5</x:v>
      </x:c>
      <x:c r="L1678" s="7" t="n">
        <x:v>2024</x:v>
      </x:c>
      <x:c r="M1678" s="11" t="n">
        <x:v>22921</x:v>
      </x:c>
      <x:c r="N1678" s="7" t="n">
        <x:v>1</x:v>
      </x:c>
      <x:c r="O1678" s="7" t="n">
        <x:v>0</x:v>
      </x:c>
      <x:c r="P1678" s="9" t="n">
        <x:v>7.58</x:v>
      </x:c>
      <x:c r="Q1678" s="7" t="n">
        <x:f>'Guide'!$B$5-L1678</x:f>
        <x:v>2</x:v>
      </x:c>
      <x:c r="R1678" s="9" t="n">
        <x:f>K1678-P1678</x:f>
        <x:v>1.92</x:v>
      </x:c>
      <x:c r="S1678" s="10" t="n">
        <x:f>IF(K1678&gt;0,R1678/K1678,"")</x:f>
        <x:v>0.20210526315789473</x:v>
      </x:c>
    </x:row>
    <x:row r="1679">
      <x:c r="A1679" s="7" t="n">
        <x:v>1675</x:v>
      </x:c>
      <x:c r="B1679" s="7" t="str">
        <x:v>Tata</x:v>
      </x:c>
      <x:c r="C1679" s="7" t="str">
        <x:v>Altroz</x:v>
      </x:c>
      <x:c r="D1679" s="7" t="str">
        <x:v>XT Diesel</x:v>
      </x:c>
      <x:c r="E1679" s="7" t="str">
        <x:v>Diesel</x:v>
      </x:c>
      <x:c r="F1679" s="7" t="str">
        <x:v>Manual</x:v>
      </x:c>
      <x:c r="G1679" s="7" t="str">
        <x:v>Hatchback</x:v>
      </x:c>
      <x:c r="H1679" s="7" t="n">
        <x:v>1497</x:v>
      </x:c>
      <x:c r="I1679" s="7" t="n">
        <x:v>89</x:v>
      </x:c>
      <x:c r="J1679" s="9" t="n">
        <x:v>23.6</x:v>
      </x:c>
      <x:c r="K1679" s="9" t="n">
        <x:v>9.5</x:v>
      </x:c>
      <x:c r="L1679" s="7" t="n">
        <x:v>2025</x:v>
      </x:c>
      <x:c r="M1679" s="11" t="n">
        <x:v>22787</x:v>
      </x:c>
      <x:c r="N1679" s="7" t="n">
        <x:v>1</x:v>
      </x:c>
      <x:c r="O1679" s="7" t="n">
        <x:v>0</x:v>
      </x:c>
      <x:c r="P1679" s="9" t="n">
        <x:v>8.44</x:v>
      </x:c>
      <x:c r="Q1679" s="7" t="n">
        <x:f>'Guide'!$B$5-L1679</x:f>
        <x:v>1</x:v>
      </x:c>
      <x:c r="R1679" s="9" t="n">
        <x:f>K1679-P1679</x:f>
        <x:v>1.0600000000000005</x:v>
      </x:c>
      <x:c r="S1679" s="10" t="n">
        <x:f>IF(K1679&gt;0,R1679/K1679,"")</x:f>
        <x:v>0.11157894736842111</x:v>
      </x:c>
    </x:row>
    <x:row r="1680">
      <x:c r="A1680" s="7" t="n">
        <x:v>1676</x:v>
      </x:c>
      <x:c r="B1680" s="7" t="str">
        <x:v>Tata</x:v>
      </x:c>
      <x:c r="C1680" s="7" t="str">
        <x:v>Altroz</x:v>
      </x:c>
      <x:c r="D1680" s="7" t="str">
        <x:v>XT Diesel</x:v>
      </x:c>
      <x:c r="E1680" s="7" t="str">
        <x:v>Diesel</x:v>
      </x:c>
      <x:c r="F1680" s="7" t="str">
        <x:v>Manual</x:v>
      </x:c>
      <x:c r="G1680" s="7" t="str">
        <x:v>Hatchback</x:v>
      </x:c>
      <x:c r="H1680" s="7" t="n">
        <x:v>1497</x:v>
      </x:c>
      <x:c r="I1680" s="7" t="n">
        <x:v>89</x:v>
      </x:c>
      <x:c r="J1680" s="9" t="n">
        <x:v>23.6</x:v>
      </x:c>
      <x:c r="K1680" s="9" t="n">
        <x:v>9.5</x:v>
      </x:c>
      <x:c r="L1680" s="7" t="n">
        <x:v>2020</x:v>
      </x:c>
      <x:c r="M1680" s="11" t="n">
        <x:v>106832</x:v>
      </x:c>
      <x:c r="N1680" s="7" t="n">
        <x:v>1</x:v>
      </x:c>
      <x:c r="O1680" s="7" t="n">
        <x:v>1</x:v>
      </x:c>
      <x:c r="P1680" s="9" t="n">
        <x:v>2.82</x:v>
      </x:c>
      <x:c r="Q1680" s="7" t="n">
        <x:f>'Guide'!$B$5-L1680</x:f>
        <x:v>6</x:v>
      </x:c>
      <x:c r="R1680" s="9" t="n">
        <x:f>K1680-P1680</x:f>
        <x:v>6.68</x:v>
      </x:c>
      <x:c r="S1680" s="10" t="n">
        <x:f>IF(K1680&gt;0,R1680/K1680,"")</x:f>
        <x:v>0.7031578947368421</x:v>
      </x:c>
    </x:row>
    <x:row r="1681">
      <x:c r="A1681" s="7" t="n">
        <x:v>1677</x:v>
      </x:c>
      <x:c r="B1681" s="7" t="str">
        <x:v>Tata</x:v>
      </x:c>
      <x:c r="C1681" s="7" t="str">
        <x:v>Altroz</x:v>
      </x:c>
      <x:c r="D1681" s="7" t="str">
        <x:v>XT Diesel</x:v>
      </x:c>
      <x:c r="E1681" s="7" t="str">
        <x:v>Diesel</x:v>
      </x:c>
      <x:c r="F1681" s="7" t="str">
        <x:v>Manual</x:v>
      </x:c>
      <x:c r="G1681" s="7" t="str">
        <x:v>Hatchback</x:v>
      </x:c>
      <x:c r="H1681" s="7" t="n">
        <x:v>1497</x:v>
      </x:c>
      <x:c r="I1681" s="7" t="n">
        <x:v>89</x:v>
      </x:c>
      <x:c r="J1681" s="9" t="n">
        <x:v>23.6</x:v>
      </x:c>
      <x:c r="K1681" s="9" t="n">
        <x:v>9.5</x:v>
      </x:c>
      <x:c r="L1681" s="7" t="n">
        <x:v>2026</x:v>
      </x:c>
      <x:c r="M1681" s="11" t="n">
        <x:v>9411</x:v>
      </x:c>
      <x:c r="N1681" s="7" t="n">
        <x:v>1</x:v>
      </x:c>
      <x:c r="O1681" s="7" t="n">
        <x:v>0</x:v>
      </x:c>
      <x:c r="P1681" s="9" t="n">
        <x:v>9.66</x:v>
      </x:c>
      <x:c r="Q1681" s="7" t="n">
        <x:f>'Guide'!$B$5-L1681</x:f>
        <x:v>0</x:v>
      </x:c>
      <x:c r="R1681" s="9" t="n">
        <x:f>K1681-P1681</x:f>
        <x:v>-0.16000000000000014</x:v>
      </x:c>
      <x:c r="S1681" s="10" t="n">
        <x:f>IF(K1681&gt;0,R1681/K1681,"")</x:f>
        <x:v>-0.016842105263157908</x:v>
      </x:c>
    </x:row>
    <x:row r="1682">
      <x:c r="A1682" s="7" t="n">
        <x:v>1678</x:v>
      </x:c>
      <x:c r="B1682" s="7" t="str">
        <x:v>Tata</x:v>
      </x:c>
      <x:c r="C1682" s="7" t="str">
        <x:v>Altroz</x:v>
      </x:c>
      <x:c r="D1682" s="7" t="str">
        <x:v>XT Diesel</x:v>
      </x:c>
      <x:c r="E1682" s="7" t="str">
        <x:v>Diesel</x:v>
      </x:c>
      <x:c r="F1682" s="7" t="str">
        <x:v>Manual</x:v>
      </x:c>
      <x:c r="G1682" s="7" t="str">
        <x:v>Hatchback</x:v>
      </x:c>
      <x:c r="H1682" s="7" t="n">
        <x:v>1497</x:v>
      </x:c>
      <x:c r="I1682" s="7" t="n">
        <x:v>89</x:v>
      </x:c>
      <x:c r="J1682" s="9" t="n">
        <x:v>23.6</x:v>
      </x:c>
      <x:c r="K1682" s="9" t="n">
        <x:v>9.5</x:v>
      </x:c>
      <x:c r="L1682" s="7" t="n">
        <x:v>2022</x:v>
      </x:c>
      <x:c r="M1682" s="11" t="n">
        <x:v>51696</x:v>
      </x:c>
      <x:c r="N1682" s="7" t="n">
        <x:v>2</x:v>
      </x:c>
      <x:c r="O1682" s="7" t="n">
        <x:v>0</x:v>
      </x:c>
      <x:c r="P1682" s="9" t="n">
        <x:v>5.79</x:v>
      </x:c>
      <x:c r="Q1682" s="7" t="n">
        <x:f>'Guide'!$B$5-L1682</x:f>
        <x:v>4</x:v>
      </x:c>
      <x:c r="R1682" s="9" t="n">
        <x:f>K1682-P1682</x:f>
        <x:v>3.71</x:v>
      </x:c>
      <x:c r="S1682" s="10" t="n">
        <x:f>IF(K1682&gt;0,R1682/K1682,"")</x:f>
        <x:v>0.39052631578947367</x:v>
      </x:c>
    </x:row>
    <x:row r="1683">
      <x:c r="A1683" s="7" t="n">
        <x:v>1679</x:v>
      </x:c>
      <x:c r="B1683" s="7" t="str">
        <x:v>Tata</x:v>
      </x:c>
      <x:c r="C1683" s="7" t="str">
        <x:v>Altroz</x:v>
      </x:c>
      <x:c r="D1683" s="7" t="str">
        <x:v>XT Diesel</x:v>
      </x:c>
      <x:c r="E1683" s="7" t="str">
        <x:v>Diesel</x:v>
      </x:c>
      <x:c r="F1683" s="7" t="str">
        <x:v>Manual</x:v>
      </x:c>
      <x:c r="G1683" s="7" t="str">
        <x:v>Hatchback</x:v>
      </x:c>
      <x:c r="H1683" s="7" t="n">
        <x:v>1497</x:v>
      </x:c>
      <x:c r="I1683" s="7" t="n">
        <x:v>89</x:v>
      </x:c>
      <x:c r="J1683" s="9" t="n">
        <x:v>23.6</x:v>
      </x:c>
      <x:c r="K1683" s="9" t="n">
        <x:v>9.5</x:v>
      </x:c>
      <x:c r="L1683" s="7" t="n">
        <x:v>2022</x:v>
      </x:c>
      <x:c r="M1683" s="11" t="n">
        <x:v>36018</x:v>
      </x:c>
      <x:c r="N1683" s="7" t="n">
        <x:v>1</x:v>
      </x:c>
      <x:c r="O1683" s="7" t="n">
        <x:v>0</x:v>
      </x:c>
      <x:c r="P1683" s="9" t="n">
        <x:v>6.35</x:v>
      </x:c>
      <x:c r="Q1683" s="7" t="n">
        <x:f>'Guide'!$B$5-L1683</x:f>
        <x:v>4</x:v>
      </x:c>
      <x:c r="R1683" s="9" t="n">
        <x:f>K1683-P1683</x:f>
        <x:v>3.1500000000000004</x:v>
      </x:c>
      <x:c r="S1683" s="10" t="n">
        <x:f>IF(K1683&gt;0,R1683/K1683,"")</x:f>
        <x:v>0.3315789473684211</x:v>
      </x:c>
    </x:row>
    <x:row r="1684">
      <x:c r="A1684" s="7" t="n">
        <x:v>1680</x:v>
      </x:c>
      <x:c r="B1684" s="7" t="str">
        <x:v>Tata</x:v>
      </x:c>
      <x:c r="C1684" s="7" t="str">
        <x:v>Altroz</x:v>
      </x:c>
      <x:c r="D1684" s="7" t="str">
        <x:v>XT Diesel</x:v>
      </x:c>
      <x:c r="E1684" s="7" t="str">
        <x:v>Diesel</x:v>
      </x:c>
      <x:c r="F1684" s="7" t="str">
        <x:v>Manual</x:v>
      </x:c>
      <x:c r="G1684" s="7" t="str">
        <x:v>Hatchback</x:v>
      </x:c>
      <x:c r="H1684" s="7" t="n">
        <x:v>1497</x:v>
      </x:c>
      <x:c r="I1684" s="7" t="n">
        <x:v>89</x:v>
      </x:c>
      <x:c r="J1684" s="9" t="n">
        <x:v>23.6</x:v>
      </x:c>
      <x:c r="K1684" s="9" t="n">
        <x:v>9.5</x:v>
      </x:c>
      <x:c r="L1684" s="7" t="n">
        <x:v>2025</x:v>
      </x:c>
      <x:c r="M1684" s="11" t="n">
        <x:v>22179</x:v>
      </x:c>
      <x:c r="N1684" s="7" t="n">
        <x:v>2</x:v>
      </x:c>
      <x:c r="O1684" s="7" t="n">
        <x:v>0</x:v>
      </x:c>
      <x:c r="P1684" s="9" t="n">
        <x:v>7.76</x:v>
      </x:c>
      <x:c r="Q1684" s="7" t="n">
        <x:f>'Guide'!$B$5-L1684</x:f>
        <x:v>1</x:v>
      </x:c>
      <x:c r="R1684" s="9" t="n">
        <x:f>K1684-P1684</x:f>
        <x:v>1.7400000000000002</x:v>
      </x:c>
      <x:c r="S1684" s="10" t="n">
        <x:f>IF(K1684&gt;0,R1684/K1684,"")</x:f>
        <x:v>0.18315789473684213</x:v>
      </x:c>
    </x:row>
    <x:row r="1685">
      <x:c r="A1685" s="7" t="n">
        <x:v>1681</x:v>
      </x:c>
      <x:c r="B1685" s="7" t="str">
        <x:v>Tata</x:v>
      </x:c>
      <x:c r="C1685" s="7" t="str">
        <x:v>Altroz</x:v>
      </x:c>
      <x:c r="D1685" s="7" t="str">
        <x:v>XT Diesel</x:v>
      </x:c>
      <x:c r="E1685" s="7" t="str">
        <x:v>Diesel</x:v>
      </x:c>
      <x:c r="F1685" s="7" t="str">
        <x:v>Manual</x:v>
      </x:c>
      <x:c r="G1685" s="7" t="str">
        <x:v>Hatchback</x:v>
      </x:c>
      <x:c r="H1685" s="7" t="n">
        <x:v>1497</x:v>
      </x:c>
      <x:c r="I1685" s="7" t="n">
        <x:v>89</x:v>
      </x:c>
      <x:c r="J1685" s="9" t="n">
        <x:v>23.6</x:v>
      </x:c>
      <x:c r="K1685" s="9" t="n">
        <x:v>9.5</x:v>
      </x:c>
      <x:c r="L1685" s="7" t="n">
        <x:v>2026</x:v>
      </x:c>
      <x:c r="M1685" s="11" t="n">
        <x:v>6445</x:v>
      </x:c>
      <x:c r="N1685" s="7" t="n">
        <x:v>2</x:v>
      </x:c>
      <x:c r="O1685" s="7" t="n">
        <x:v>0</x:v>
      </x:c>
      <x:c r="P1685" s="9" t="n">
        <x:v>9.08</x:v>
      </x:c>
      <x:c r="Q1685" s="7" t="n">
        <x:f>'Guide'!$B$5-L1685</x:f>
        <x:v>0</x:v>
      </x:c>
      <x:c r="R1685" s="9" t="n">
        <x:f>K1685-P1685</x:f>
        <x:v>0.41999999999999993</x:v>
      </x:c>
      <x:c r="S1685" s="10" t="n">
        <x:f>IF(K1685&gt;0,R1685/K1685,"")</x:f>
        <x:v>0.044210526315789464</x:v>
      </x:c>
    </x:row>
    <x:row r="1686">
      <x:c r="A1686" s="7" t="n">
        <x:v>1682</x:v>
      </x:c>
      <x:c r="B1686" s="7" t="str">
        <x:v>Tata</x:v>
      </x:c>
      <x:c r="C1686" s="7" t="str">
        <x:v>Altroz</x:v>
      </x:c>
      <x:c r="D1686" s="7" t="str">
        <x:v>XT Diesel</x:v>
      </x:c>
      <x:c r="E1686" s="7" t="str">
        <x:v>Diesel</x:v>
      </x:c>
      <x:c r="F1686" s="7" t="str">
        <x:v>Manual</x:v>
      </x:c>
      <x:c r="G1686" s="7" t="str">
        <x:v>Hatchback</x:v>
      </x:c>
      <x:c r="H1686" s="7" t="n">
        <x:v>1497</x:v>
      </x:c>
      <x:c r="I1686" s="7" t="n">
        <x:v>89</x:v>
      </x:c>
      <x:c r="J1686" s="9" t="n">
        <x:v>23.6</x:v>
      </x:c>
      <x:c r="K1686" s="9" t="n">
        <x:v>9.5</x:v>
      </x:c>
      <x:c r="L1686" s="7" t="n">
        <x:v>2020</x:v>
      </x:c>
      <x:c r="M1686" s="11" t="n">
        <x:v>111175</x:v>
      </x:c>
      <x:c r="N1686" s="7" t="n">
        <x:v>1</x:v>
      </x:c>
      <x:c r="O1686" s="7" t="n">
        <x:v>0</x:v>
      </x:c>
      <x:c r="P1686" s="9" t="n">
        <x:v>3.88</x:v>
      </x:c>
      <x:c r="Q1686" s="7" t="n">
        <x:f>'Guide'!$B$5-L1686</x:f>
        <x:v>6</x:v>
      </x:c>
      <x:c r="R1686" s="9" t="n">
        <x:f>K1686-P1686</x:f>
        <x:v>5.62</x:v>
      </x:c>
      <x:c r="S1686" s="10" t="n">
        <x:f>IF(K1686&gt;0,R1686/K1686,"")</x:f>
        <x:v>0.5915789473684211</x:v>
      </x:c>
    </x:row>
    <x:row r="1687">
      <x:c r="A1687" s="7" t="n">
        <x:v>1683</x:v>
      </x:c>
      <x:c r="B1687" s="7" t="str">
        <x:v>Tata</x:v>
      </x:c>
      <x:c r="C1687" s="7" t="str">
        <x:v>Altroz</x:v>
      </x:c>
      <x:c r="D1687" s="7" t="str">
        <x:v>XT Diesel</x:v>
      </x:c>
      <x:c r="E1687" s="7" t="str">
        <x:v>Diesel</x:v>
      </x:c>
      <x:c r="F1687" s="7" t="str">
        <x:v>Manual</x:v>
      </x:c>
      <x:c r="G1687" s="7" t="str">
        <x:v>Hatchback</x:v>
      </x:c>
      <x:c r="H1687" s="7" t="n">
        <x:v>1497</x:v>
      </x:c>
      <x:c r="I1687" s="7" t="n">
        <x:v>89</x:v>
      </x:c>
      <x:c r="J1687" s="9" t="n">
        <x:v>23.6</x:v>
      </x:c>
      <x:c r="K1687" s="9" t="n">
        <x:v>9.5</x:v>
      </x:c>
      <x:c r="L1687" s="7" t="n">
        <x:v>2026</x:v>
      </x:c>
      <x:c r="M1687" s="11" t="n">
        <x:v>7354</x:v>
      </x:c>
      <x:c r="N1687" s="7" t="n">
        <x:v>1</x:v>
      </x:c>
      <x:c r="O1687" s="7" t="n">
        <x:v>0</x:v>
      </x:c>
      <x:c r="P1687" s="9" t="n">
        <x:v>9.81</x:v>
      </x:c>
      <x:c r="Q1687" s="7" t="n">
        <x:f>'Guide'!$B$5-L1687</x:f>
        <x:v>0</x:v>
      </x:c>
      <x:c r="R1687" s="9" t="n">
        <x:f>K1687-P1687</x:f>
        <x:v>-0.3100000000000005</x:v>
      </x:c>
      <x:c r="S1687" s="10" t="n">
        <x:f>IF(K1687&gt;0,R1687/K1687,"")</x:f>
        <x:v>-0.03263157894736848</x:v>
      </x:c>
    </x:row>
    <x:row r="1688">
      <x:c r="A1688" s="7" t="n">
        <x:v>1684</x:v>
      </x:c>
      <x:c r="B1688" s="7" t="str">
        <x:v>Tata</x:v>
      </x:c>
      <x:c r="C1688" s="7" t="str">
        <x:v>Altroz</x:v>
      </x:c>
      <x:c r="D1688" s="7" t="str">
        <x:v>XT Diesel</x:v>
      </x:c>
      <x:c r="E1688" s="7" t="str">
        <x:v>Diesel</x:v>
      </x:c>
      <x:c r="F1688" s="7" t="str">
        <x:v>Manual</x:v>
      </x:c>
      <x:c r="G1688" s="7" t="str">
        <x:v>Hatchback</x:v>
      </x:c>
      <x:c r="H1688" s="7" t="n">
        <x:v>1497</x:v>
      </x:c>
      <x:c r="I1688" s="7" t="n">
        <x:v>89</x:v>
      </x:c>
      <x:c r="J1688" s="9" t="n">
        <x:v>23.6</x:v>
      </x:c>
      <x:c r="K1688" s="9" t="n">
        <x:v>9.5</x:v>
      </x:c>
      <x:c r="L1688" s="7" t="n">
        <x:v>2020</x:v>
      </x:c>
      <x:c r="M1688" s="11" t="n">
        <x:v>87894</x:v>
      </x:c>
      <x:c r="N1688" s="7" t="n">
        <x:v>1</x:v>
      </x:c>
      <x:c r="O1688" s="7" t="n">
        <x:v>0</x:v>
      </x:c>
      <x:c r="P1688" s="9" t="n">
        <x:v>4.1</x:v>
      </x:c>
      <x:c r="Q1688" s="7" t="n">
        <x:f>'Guide'!$B$5-L1688</x:f>
        <x:v>6</x:v>
      </x:c>
      <x:c r="R1688" s="9" t="n">
        <x:f>K1688-P1688</x:f>
        <x:v>5.4</x:v>
      </x:c>
      <x:c r="S1688" s="10" t="n">
        <x:f>IF(K1688&gt;0,R1688/K1688,"")</x:f>
        <x:v>0.5684210526315789</x:v>
      </x:c>
    </x:row>
    <x:row r="1689">
      <x:c r="A1689" s="7" t="n">
        <x:v>1685</x:v>
      </x:c>
      <x:c r="B1689" s="7" t="str">
        <x:v>Tata</x:v>
      </x:c>
      <x:c r="C1689" s="7" t="str">
        <x:v>Altroz</x:v>
      </x:c>
      <x:c r="D1689" s="7" t="str">
        <x:v>XT Diesel</x:v>
      </x:c>
      <x:c r="E1689" s="7" t="str">
        <x:v>Diesel</x:v>
      </x:c>
      <x:c r="F1689" s="7" t="str">
        <x:v>Manual</x:v>
      </x:c>
      <x:c r="G1689" s="7" t="str">
        <x:v>Hatchback</x:v>
      </x:c>
      <x:c r="H1689" s="7" t="n">
        <x:v>1497</x:v>
      </x:c>
      <x:c r="I1689" s="7" t="n">
        <x:v>89</x:v>
      </x:c>
      <x:c r="J1689" s="9" t="n">
        <x:v>23.6</x:v>
      </x:c>
      <x:c r="K1689" s="9" t="n">
        <x:v>9.5</x:v>
      </x:c>
      <x:c r="L1689" s="7" t="n">
        <x:v>2024</x:v>
      </x:c>
      <x:c r="M1689" s="11" t="n">
        <x:v>43111</x:v>
      </x:c>
      <x:c r="N1689" s="7" t="n">
        <x:v>2</x:v>
      </x:c>
      <x:c r="O1689" s="7" t="n">
        <x:v>0</x:v>
      </x:c>
      <x:c r="P1689" s="9" t="n">
        <x:v>7.08</x:v>
      </x:c>
      <x:c r="Q1689" s="7" t="n">
        <x:f>'Guide'!$B$5-L1689</x:f>
        <x:v>2</x:v>
      </x:c>
      <x:c r="R1689" s="9" t="n">
        <x:f>K1689-P1689</x:f>
        <x:v>2.42</x:v>
      </x:c>
      <x:c r="S1689" s="10" t="n">
        <x:f>IF(K1689&gt;0,R1689/K1689,"")</x:f>
        <x:v>0.25473684210526315</x:v>
      </x:c>
    </x:row>
    <x:row r="1690">
      <x:c r="A1690" s="7" t="n">
        <x:v>1686</x:v>
      </x:c>
      <x:c r="B1690" s="7" t="str">
        <x:v>Tata</x:v>
      </x:c>
      <x:c r="C1690" s="7" t="str">
        <x:v>Altroz</x:v>
      </x:c>
      <x:c r="D1690" s="7" t="str">
        <x:v>XT Diesel</x:v>
      </x:c>
      <x:c r="E1690" s="7" t="str">
        <x:v>Diesel</x:v>
      </x:c>
      <x:c r="F1690" s="7" t="str">
        <x:v>Manual</x:v>
      </x:c>
      <x:c r="G1690" s="7" t="str">
        <x:v>Hatchback</x:v>
      </x:c>
      <x:c r="H1690" s="7" t="n">
        <x:v>1497</x:v>
      </x:c>
      <x:c r="I1690" s="7" t="n">
        <x:v>89</x:v>
      </x:c>
      <x:c r="J1690" s="9" t="n">
        <x:v>23.6</x:v>
      </x:c>
      <x:c r="K1690" s="9" t="n">
        <x:v>9.5</x:v>
      </x:c>
      <x:c r="L1690" s="7" t="n">
        <x:v>2022</x:v>
      </x:c>
      <x:c r="M1690" s="11" t="n">
        <x:v>83799</x:v>
      </x:c>
      <x:c r="N1690" s="7" t="n">
        <x:v>1</x:v>
      </x:c>
      <x:c r="O1690" s="7" t="n">
        <x:v>0</x:v>
      </x:c>
      <x:c r="P1690" s="9" t="n">
        <x:v>5.55</x:v>
      </x:c>
      <x:c r="Q1690" s="7" t="n">
        <x:f>'Guide'!$B$5-L1690</x:f>
        <x:v>4</x:v>
      </x:c>
      <x:c r="R1690" s="9" t="n">
        <x:f>K1690-P1690</x:f>
        <x:v>3.95</x:v>
      </x:c>
      <x:c r="S1690" s="10" t="n">
        <x:f>IF(K1690&gt;0,R1690/K1690,"")</x:f>
        <x:v>0.41578947368421054</x:v>
      </x:c>
    </x:row>
    <x:row r="1691">
      <x:c r="A1691" s="7" t="n">
        <x:v>1687</x:v>
      </x:c>
      <x:c r="B1691" s="7" t="str">
        <x:v>Tata</x:v>
      </x:c>
      <x:c r="C1691" s="7" t="str">
        <x:v>Altroz</x:v>
      </x:c>
      <x:c r="D1691" s="7" t="str">
        <x:v>XT Diesel</x:v>
      </x:c>
      <x:c r="E1691" s="7" t="str">
        <x:v>Diesel</x:v>
      </x:c>
      <x:c r="F1691" s="7" t="str">
        <x:v>Manual</x:v>
      </x:c>
      <x:c r="G1691" s="7" t="str">
        <x:v>Hatchback</x:v>
      </x:c>
      <x:c r="H1691" s="7" t="n">
        <x:v>1497</x:v>
      </x:c>
      <x:c r="I1691" s="7" t="n">
        <x:v>89</x:v>
      </x:c>
      <x:c r="J1691" s="9" t="n">
        <x:v>23.6</x:v>
      </x:c>
      <x:c r="K1691" s="9" t="n">
        <x:v>9.5</x:v>
      </x:c>
      <x:c r="L1691" s="7" t="n">
        <x:v>2026</x:v>
      </x:c>
      <x:c r="M1691" s="11" t="n">
        <x:v>8875</x:v>
      </x:c>
      <x:c r="N1691" s="7" t="n">
        <x:v>1</x:v>
      </x:c>
      <x:c r="O1691" s="7" t="n">
        <x:v>0</x:v>
      </x:c>
      <x:c r="P1691" s="9" t="n">
        <x:v>9.35</x:v>
      </x:c>
      <x:c r="Q1691" s="7" t="n">
        <x:f>'Guide'!$B$5-L1691</x:f>
        <x:v>0</x:v>
      </x:c>
      <x:c r="R1691" s="9" t="n">
        <x:f>K1691-P1691</x:f>
        <x:v>0.15000000000000036</x:v>
      </x:c>
      <x:c r="S1691" s="10" t="n">
        <x:f>IF(K1691&gt;0,R1691/K1691,"")</x:f>
        <x:v>0.015789473684210565</x:v>
      </x:c>
    </x:row>
    <x:row r="1692">
      <x:c r="A1692" s="7" t="n">
        <x:v>1688</x:v>
      </x:c>
      <x:c r="B1692" s="7" t="str">
        <x:v>Tata</x:v>
      </x:c>
      <x:c r="C1692" s="7" t="str">
        <x:v>Altroz</x:v>
      </x:c>
      <x:c r="D1692" s="7" t="str">
        <x:v>XT Diesel</x:v>
      </x:c>
      <x:c r="E1692" s="7" t="str">
        <x:v>Diesel</x:v>
      </x:c>
      <x:c r="F1692" s="7" t="str">
        <x:v>Manual</x:v>
      </x:c>
      <x:c r="G1692" s="7" t="str">
        <x:v>Hatchback</x:v>
      </x:c>
      <x:c r="H1692" s="7" t="n">
        <x:v>1497</x:v>
      </x:c>
      <x:c r="I1692" s="7" t="n">
        <x:v>89</x:v>
      </x:c>
      <x:c r="J1692" s="9" t="n">
        <x:v>23.6</x:v>
      </x:c>
      <x:c r="K1692" s="9" t="n">
        <x:v>9.5</x:v>
      </x:c>
      <x:c r="L1692" s="7" t="n">
        <x:v>2025</x:v>
      </x:c>
      <x:c r="M1692" s="11" t="n">
        <x:v>23863</x:v>
      </x:c>
      <x:c r="N1692" s="7" t="n">
        <x:v>2</x:v>
      </x:c>
      <x:c r="O1692" s="7" t="n">
        <x:v>0</x:v>
      </x:c>
      <x:c r="P1692" s="9" t="n">
        <x:v>7.69</x:v>
      </x:c>
      <x:c r="Q1692" s="7" t="n">
        <x:f>'Guide'!$B$5-L1692</x:f>
        <x:v>1</x:v>
      </x:c>
      <x:c r="R1692" s="9" t="n">
        <x:f>K1692-P1692</x:f>
        <x:v>1.8099999999999996</x:v>
      </x:c>
      <x:c r="S1692" s="10" t="n">
        <x:f>IF(K1692&gt;0,R1692/K1692,"")</x:f>
        <x:v>0.19052631578947365</x:v>
      </x:c>
    </x:row>
    <x:row r="1693">
      <x:c r="A1693" s="7" t="n">
        <x:v>1689</x:v>
      </x:c>
      <x:c r="B1693" s="7" t="str">
        <x:v>Tata</x:v>
      </x:c>
      <x:c r="C1693" s="7" t="str">
        <x:v>Altroz</x:v>
      </x:c>
      <x:c r="D1693" s="7" t="str">
        <x:v>XT Diesel</x:v>
      </x:c>
      <x:c r="E1693" s="7" t="str">
        <x:v>Diesel</x:v>
      </x:c>
      <x:c r="F1693" s="7" t="str">
        <x:v>Manual</x:v>
      </x:c>
      <x:c r="G1693" s="7" t="str">
        <x:v>Hatchback</x:v>
      </x:c>
      <x:c r="H1693" s="7" t="n">
        <x:v>1497</x:v>
      </x:c>
      <x:c r="I1693" s="7" t="n">
        <x:v>89</x:v>
      </x:c>
      <x:c r="J1693" s="9" t="n">
        <x:v>23.6</x:v>
      </x:c>
      <x:c r="K1693" s="9" t="n">
        <x:v>9.5</x:v>
      </x:c>
      <x:c r="L1693" s="7" t="n">
        <x:v>2024</x:v>
      </x:c>
      <x:c r="M1693" s="11" t="n">
        <x:v>44190</x:v>
      </x:c>
      <x:c r="N1693" s="7" t="n">
        <x:v>2</x:v>
      </x:c>
      <x:c r="O1693" s="7" t="n">
        <x:v>0</x:v>
      </x:c>
      <x:c r="P1693" s="9" t="n">
        <x:v>7.02</x:v>
      </x:c>
      <x:c r="Q1693" s="7" t="n">
        <x:f>'Guide'!$B$5-L1693</x:f>
        <x:v>2</x:v>
      </x:c>
      <x:c r="R1693" s="9" t="n">
        <x:f>K1693-P1693</x:f>
        <x:v>2.4800000000000004</x:v>
      </x:c>
      <x:c r="S1693" s="10" t="n">
        <x:f>IF(K1693&gt;0,R1693/K1693,"")</x:f>
        <x:v>0.2610526315789474</x:v>
      </x:c>
    </x:row>
    <x:row r="1694">
      <x:c r="A1694" s="7" t="n">
        <x:v>1690</x:v>
      </x:c>
      <x:c r="B1694" s="7" t="str">
        <x:v>Tata</x:v>
      </x:c>
      <x:c r="C1694" s="7" t="str">
        <x:v>Altroz</x:v>
      </x:c>
      <x:c r="D1694" s="7" t="str">
        <x:v>XT Diesel</x:v>
      </x:c>
      <x:c r="E1694" s="7" t="str">
        <x:v>Diesel</x:v>
      </x:c>
      <x:c r="F1694" s="7" t="str">
        <x:v>Manual</x:v>
      </x:c>
      <x:c r="G1694" s="7" t="str">
        <x:v>Hatchback</x:v>
      </x:c>
      <x:c r="H1694" s="7" t="n">
        <x:v>1497</x:v>
      </x:c>
      <x:c r="I1694" s="7" t="n">
        <x:v>89</x:v>
      </x:c>
      <x:c r="J1694" s="9" t="n">
        <x:v>23.6</x:v>
      </x:c>
      <x:c r="K1694" s="9" t="n">
        <x:v>9.5</x:v>
      </x:c>
      <x:c r="L1694" s="7" t="n">
        <x:v>2026</x:v>
      </x:c>
      <x:c r="M1694" s="11" t="n">
        <x:v>4764</x:v>
      </x:c>
      <x:c r="N1694" s="7" t="n">
        <x:v>1</x:v>
      </x:c>
      <x:c r="O1694" s="7" t="n">
        <x:v>0</x:v>
      </x:c>
      <x:c r="P1694" s="9" t="n">
        <x:v>9.19</x:v>
      </x:c>
      <x:c r="Q1694" s="7" t="n">
        <x:f>'Guide'!$B$5-L1694</x:f>
        <x:v>0</x:v>
      </x:c>
      <x:c r="R1694" s="9" t="n">
        <x:f>K1694-P1694</x:f>
        <x:v>0.3100000000000005</x:v>
      </x:c>
      <x:c r="S1694" s="10" t="n">
        <x:f>IF(K1694&gt;0,R1694/K1694,"")</x:f>
        <x:v>0.03263157894736848</x:v>
      </x:c>
    </x:row>
    <x:row r="1695">
      <x:c r="A1695" s="7" t="n">
        <x:v>1691</x:v>
      </x:c>
      <x:c r="B1695" s="7" t="str">
        <x:v>Tata</x:v>
      </x:c>
      <x:c r="C1695" s="7" t="str">
        <x:v>Altroz</x:v>
      </x:c>
      <x:c r="D1695" s="7" t="str">
        <x:v>XT Diesel</x:v>
      </x:c>
      <x:c r="E1695" s="7" t="str">
        <x:v>Diesel</x:v>
      </x:c>
      <x:c r="F1695" s="7" t="str">
        <x:v>Manual</x:v>
      </x:c>
      <x:c r="G1695" s="7" t="str">
        <x:v>Hatchback</x:v>
      </x:c>
      <x:c r="H1695" s="7" t="n">
        <x:v>1497</x:v>
      </x:c>
      <x:c r="I1695" s="7" t="n">
        <x:v>89</x:v>
      </x:c>
      <x:c r="J1695" s="9" t="n">
        <x:v>23.6</x:v>
      </x:c>
      <x:c r="K1695" s="9" t="n">
        <x:v>9.5</x:v>
      </x:c>
      <x:c r="L1695" s="7" t="n">
        <x:v>2021</x:v>
      </x:c>
      <x:c r="M1695" s="11" t="n">
        <x:v>92004</x:v>
      </x:c>
      <x:c r="N1695" s="7" t="n">
        <x:v>3</x:v>
      </x:c>
      <x:c r="O1695" s="7" t="n">
        <x:v>0</x:v>
      </x:c>
      <x:c r="P1695" s="9" t="n">
        <x:v>3.48</x:v>
      </x:c>
      <x:c r="Q1695" s="7" t="n">
        <x:f>'Guide'!$B$5-L1695</x:f>
        <x:v>5</x:v>
      </x:c>
      <x:c r="R1695" s="9" t="n">
        <x:f>K1695-P1695</x:f>
        <x:v>6.02</x:v>
      </x:c>
      <x:c r="S1695" s="10" t="n">
        <x:f>IF(K1695&gt;0,R1695/K1695,"")</x:f>
        <x:v>0.6336842105263157</x:v>
      </x:c>
    </x:row>
    <x:row r="1696">
      <x:c r="A1696" s="7" t="n">
        <x:v>1692</x:v>
      </x:c>
      <x:c r="B1696" s="7" t="str">
        <x:v>Tata</x:v>
      </x:c>
      <x:c r="C1696" s="7" t="str">
        <x:v>Altroz</x:v>
      </x:c>
      <x:c r="D1696" s="7" t="str">
        <x:v>XT Diesel</x:v>
      </x:c>
      <x:c r="E1696" s="7" t="str">
        <x:v>Diesel</x:v>
      </x:c>
      <x:c r="F1696" s="7" t="str">
        <x:v>Manual</x:v>
      </x:c>
      <x:c r="G1696" s="7" t="str">
        <x:v>Hatchback</x:v>
      </x:c>
      <x:c r="H1696" s="7" t="n">
        <x:v>1497</x:v>
      </x:c>
      <x:c r="I1696" s="7" t="n">
        <x:v>89</x:v>
      </x:c>
      <x:c r="J1696" s="9" t="n">
        <x:v>23.6</x:v>
      </x:c>
      <x:c r="K1696" s="9" t="n">
        <x:v>9.5</x:v>
      </x:c>
      <x:c r="L1696" s="7" t="n">
        <x:v>2025</x:v>
      </x:c>
      <x:c r="M1696" s="11" t="n">
        <x:v>13959</x:v>
      </x:c>
      <x:c r="N1696" s="7" t="n">
        <x:v>1</x:v>
      </x:c>
      <x:c r="O1696" s="7" t="n">
        <x:v>0</x:v>
      </x:c>
      <x:c r="P1696" s="9" t="n">
        <x:v>8.39</x:v>
      </x:c>
      <x:c r="Q1696" s="7" t="n">
        <x:f>'Guide'!$B$5-L1696</x:f>
        <x:v>1</x:v>
      </x:c>
      <x:c r="R1696" s="9" t="n">
        <x:f>K1696-P1696</x:f>
        <x:v>1.1099999999999994</x:v>
      </x:c>
      <x:c r="S1696" s="10" t="n">
        <x:f>IF(K1696&gt;0,R1696/K1696,"")</x:f>
        <x:v>0.11684210526315783</x:v>
      </x:c>
    </x:row>
    <x:row r="1697">
      <x:c r="A1697" s="7" t="n">
        <x:v>1693</x:v>
      </x:c>
      <x:c r="B1697" s="7" t="str">
        <x:v>Tata</x:v>
      </x:c>
      <x:c r="C1697" s="7" t="str">
        <x:v>Altroz</x:v>
      </x:c>
      <x:c r="D1697" s="7" t="str">
        <x:v>XT Diesel</x:v>
      </x:c>
      <x:c r="E1697" s="7" t="str">
        <x:v>Diesel</x:v>
      </x:c>
      <x:c r="F1697" s="7" t="str">
        <x:v>Manual</x:v>
      </x:c>
      <x:c r="G1697" s="7" t="str">
        <x:v>Hatchback</x:v>
      </x:c>
      <x:c r="H1697" s="7" t="n">
        <x:v>1497</x:v>
      </x:c>
      <x:c r="I1697" s="7" t="n">
        <x:v>89</x:v>
      </x:c>
      <x:c r="J1697" s="9" t="n">
        <x:v>23.6</x:v>
      </x:c>
      <x:c r="K1697" s="9" t="n">
        <x:v>9.5</x:v>
      </x:c>
      <x:c r="L1697" s="7" t="n">
        <x:v>2025</x:v>
      </x:c>
      <x:c r="M1697" s="11" t="n">
        <x:v>25892</x:v>
      </x:c>
      <x:c r="N1697" s="7" t="n">
        <x:v>2</x:v>
      </x:c>
      <x:c r="O1697" s="7" t="n">
        <x:v>0</x:v>
      </x:c>
      <x:c r="P1697" s="9" t="n">
        <x:v>8.08</x:v>
      </x:c>
      <x:c r="Q1697" s="7" t="n">
        <x:f>'Guide'!$B$5-L1697</x:f>
        <x:v>1</x:v>
      </x:c>
      <x:c r="R1697" s="9" t="n">
        <x:f>K1697-P1697</x:f>
        <x:v>1.42</x:v>
      </x:c>
      <x:c r="S1697" s="10" t="n">
        <x:f>IF(K1697&gt;0,R1697/K1697,"")</x:f>
        <x:v>0.14947368421052631</x:v>
      </x:c>
    </x:row>
    <x:row r="1698">
      <x:c r="A1698" s="7" t="n">
        <x:v>1694</x:v>
      </x:c>
      <x:c r="B1698" s="7" t="str">
        <x:v>Tata</x:v>
      </x:c>
      <x:c r="C1698" s="7" t="str">
        <x:v>Altroz</x:v>
      </x:c>
      <x:c r="D1698" s="7" t="str">
        <x:v>XT Diesel</x:v>
      </x:c>
      <x:c r="E1698" s="7" t="str">
        <x:v>Diesel</x:v>
      </x:c>
      <x:c r="F1698" s="7" t="str">
        <x:v>Manual</x:v>
      </x:c>
      <x:c r="G1698" s="7" t="str">
        <x:v>Hatchback</x:v>
      </x:c>
      <x:c r="H1698" s="7" t="n">
        <x:v>1497</x:v>
      </x:c>
      <x:c r="I1698" s="7" t="n">
        <x:v>89</x:v>
      </x:c>
      <x:c r="J1698" s="9" t="n">
        <x:v>23.6</x:v>
      </x:c>
      <x:c r="K1698" s="9" t="n">
        <x:v>9.5</x:v>
      </x:c>
      <x:c r="L1698" s="7" t="n">
        <x:v>2024</x:v>
      </x:c>
      <x:c r="M1698" s="11" t="n">
        <x:v>38359</x:v>
      </x:c>
      <x:c r="N1698" s="7" t="n">
        <x:v>2</x:v>
      </x:c>
      <x:c r="O1698" s="7" t="n">
        <x:v>0</x:v>
      </x:c>
      <x:c r="P1698" s="9" t="n">
        <x:v>6.99</x:v>
      </x:c>
      <x:c r="Q1698" s="7" t="n">
        <x:f>'Guide'!$B$5-L1698</x:f>
        <x:v>2</x:v>
      </x:c>
      <x:c r="R1698" s="9" t="n">
        <x:f>K1698-P1698</x:f>
        <x:v>2.51</x:v>
      </x:c>
      <x:c r="S1698" s="10" t="n">
        <x:f>IF(K1698&gt;0,R1698/K1698,"")</x:f>
        <x:v>0.26421052631578945</x:v>
      </x:c>
    </x:row>
    <x:row r="1699">
      <x:c r="A1699" s="7" t="n">
        <x:v>1695</x:v>
      </x:c>
      <x:c r="B1699" s="7" t="str">
        <x:v>Tata</x:v>
      </x:c>
      <x:c r="C1699" s="7" t="str">
        <x:v>Altroz</x:v>
      </x:c>
      <x:c r="D1699" s="7" t="str">
        <x:v>XT Diesel</x:v>
      </x:c>
      <x:c r="E1699" s="7" t="str">
        <x:v>Diesel</x:v>
      </x:c>
      <x:c r="F1699" s="7" t="str">
        <x:v>Manual</x:v>
      </x:c>
      <x:c r="G1699" s="7" t="str">
        <x:v>Hatchback</x:v>
      </x:c>
      <x:c r="H1699" s="7" t="n">
        <x:v>1497</x:v>
      </x:c>
      <x:c r="I1699" s="7" t="n">
        <x:v>89</x:v>
      </x:c>
      <x:c r="J1699" s="9" t="n">
        <x:v>23.6</x:v>
      </x:c>
      <x:c r="K1699" s="9" t="n">
        <x:v>9.5</x:v>
      </x:c>
      <x:c r="L1699" s="7" t="n">
        <x:v>2025</x:v>
      </x:c>
      <x:c r="M1699" s="11" t="n">
        <x:v>25295</x:v>
      </x:c>
      <x:c r="N1699" s="7" t="n">
        <x:v>1</x:v>
      </x:c>
      <x:c r="O1699" s="7" t="n">
        <x:v>0</x:v>
      </x:c>
      <x:c r="P1699" s="9" t="n">
        <x:v>8.49</x:v>
      </x:c>
      <x:c r="Q1699" s="7" t="n">
        <x:f>'Guide'!$B$5-L1699</x:f>
        <x:v>1</x:v>
      </x:c>
      <x:c r="R1699" s="9" t="n">
        <x:f>K1699-P1699</x:f>
        <x:v>1.0099999999999998</x:v>
      </x:c>
      <x:c r="S1699" s="10" t="n">
        <x:f>IF(K1699&gt;0,R1699/K1699,"")</x:f>
        <x:v>0.10631578947368418</x:v>
      </x:c>
    </x:row>
    <x:row r="1700">
      <x:c r="A1700" s="7" t="n">
        <x:v>1696</x:v>
      </x:c>
      <x:c r="B1700" s="7" t="str">
        <x:v>Tata</x:v>
      </x:c>
      <x:c r="C1700" s="7" t="str">
        <x:v>Altroz</x:v>
      </x:c>
      <x:c r="D1700" s="7" t="str">
        <x:v>XT Diesel</x:v>
      </x:c>
      <x:c r="E1700" s="7" t="str">
        <x:v>Diesel</x:v>
      </x:c>
      <x:c r="F1700" s="7" t="str">
        <x:v>Manual</x:v>
      </x:c>
      <x:c r="G1700" s="7" t="str">
        <x:v>Hatchback</x:v>
      </x:c>
      <x:c r="H1700" s="7" t="n">
        <x:v>1497</x:v>
      </x:c>
      <x:c r="I1700" s="7" t="n">
        <x:v>89</x:v>
      </x:c>
      <x:c r="J1700" s="9" t="n">
        <x:v>23.6</x:v>
      </x:c>
      <x:c r="K1700" s="9" t="n">
        <x:v>9.5</x:v>
      </x:c>
      <x:c r="L1700" s="7" t="n">
        <x:v>2022</x:v>
      </x:c>
      <x:c r="M1700" s="11" t="n">
        <x:v>77954</x:v>
      </x:c>
      <x:c r="N1700" s="7" t="n">
        <x:v>2</x:v>
      </x:c>
      <x:c r="O1700" s="7" t="n">
        <x:v>0</x:v>
      </x:c>
      <x:c r="P1700" s="9" t="n">
        <x:v>5.05</x:v>
      </x:c>
      <x:c r="Q1700" s="7" t="n">
        <x:f>'Guide'!$B$5-L1700</x:f>
        <x:v>4</x:v>
      </x:c>
      <x:c r="R1700" s="9" t="n">
        <x:f>K1700-P1700</x:f>
        <x:v>4.45</x:v>
      </x:c>
      <x:c r="S1700" s="10" t="n">
        <x:f>IF(K1700&gt;0,R1700/K1700,"")</x:f>
        <x:v>0.46842105263157896</x:v>
      </x:c>
    </x:row>
    <x:row r="1701">
      <x:c r="A1701" s="7" t="n">
        <x:v>1697</x:v>
      </x:c>
      <x:c r="B1701" s="7" t="str">
        <x:v>Tata</x:v>
      </x:c>
      <x:c r="C1701" s="7" t="str">
        <x:v>Altroz</x:v>
      </x:c>
      <x:c r="D1701" s="7" t="str">
        <x:v>XT Diesel</x:v>
      </x:c>
      <x:c r="E1701" s="7" t="str">
        <x:v>Diesel</x:v>
      </x:c>
      <x:c r="F1701" s="7" t="str">
        <x:v>Manual</x:v>
      </x:c>
      <x:c r="G1701" s="7" t="str">
        <x:v>Hatchback</x:v>
      </x:c>
      <x:c r="H1701" s="7" t="n">
        <x:v>1497</x:v>
      </x:c>
      <x:c r="I1701" s="7" t="n">
        <x:v>89</x:v>
      </x:c>
      <x:c r="J1701" s="9" t="n">
        <x:v>23.6</x:v>
      </x:c>
      <x:c r="K1701" s="9" t="n">
        <x:v>9.5</x:v>
      </x:c>
      <x:c r="L1701" s="7" t="n">
        <x:v>2026</x:v>
      </x:c>
      <x:c r="M1701" s="11" t="n">
        <x:v>7127</x:v>
      </x:c>
      <x:c r="N1701" s="7" t="n">
        <x:v>1</x:v>
      </x:c>
      <x:c r="O1701" s="7" t="n">
        <x:v>0</x:v>
      </x:c>
      <x:c r="P1701" s="9" t="n">
        <x:v>9.02</x:v>
      </x:c>
      <x:c r="Q1701" s="7" t="n">
        <x:f>'Guide'!$B$5-L1701</x:f>
        <x:v>0</x:v>
      </x:c>
      <x:c r="R1701" s="9" t="n">
        <x:f>K1701-P1701</x:f>
        <x:v>0.4800000000000004</x:v>
      </x:c>
      <x:c r="S1701" s="10" t="n">
        <x:f>IF(K1701&gt;0,R1701/K1701,"")</x:f>
        <x:v>0.05052631578947373</x:v>
      </x:c>
    </x:row>
    <x:row r="1702">
      <x:c r="A1702" s="7" t="n">
        <x:v>1698</x:v>
      </x:c>
      <x:c r="B1702" s="7" t="str">
        <x:v>Tata</x:v>
      </x:c>
      <x:c r="C1702" s="7" t="str">
        <x:v>Altroz</x:v>
      </x:c>
      <x:c r="D1702" s="7" t="str">
        <x:v>XT Diesel</x:v>
      </x:c>
      <x:c r="E1702" s="7" t="str">
        <x:v>Diesel</x:v>
      </x:c>
      <x:c r="F1702" s="7" t="str">
        <x:v>Manual</x:v>
      </x:c>
      <x:c r="G1702" s="7" t="str">
        <x:v>Hatchback</x:v>
      </x:c>
      <x:c r="H1702" s="7" t="n">
        <x:v>1497</x:v>
      </x:c>
      <x:c r="I1702" s="7" t="n">
        <x:v>89</x:v>
      </x:c>
      <x:c r="J1702" s="9" t="n">
        <x:v>23.6</x:v>
      </x:c>
      <x:c r="K1702" s="9" t="n">
        <x:v>9.5</x:v>
      </x:c>
      <x:c r="L1702" s="7" t="n">
        <x:v>2024</x:v>
      </x:c>
      <x:c r="M1702" s="11" t="n">
        <x:v>42599</x:v>
      </x:c>
      <x:c r="N1702" s="7" t="n">
        <x:v>3</x:v>
      </x:c>
      <x:c r="O1702" s="7" t="n">
        <x:v>0</x:v>
      </x:c>
      <x:c r="P1702" s="9" t="n">
        <x:v>6.34</x:v>
      </x:c>
      <x:c r="Q1702" s="7" t="n">
        <x:f>'Guide'!$B$5-L1702</x:f>
        <x:v>2</x:v>
      </x:c>
      <x:c r="R1702" s="9" t="n">
        <x:f>K1702-P1702</x:f>
        <x:v>3.16</x:v>
      </x:c>
      <x:c r="S1702" s="10" t="n">
        <x:f>IF(K1702&gt;0,R1702/K1702,"")</x:f>
        <x:v>0.33263157894736844</x:v>
      </x:c>
    </x:row>
    <x:row r="1703">
      <x:c r="A1703" s="7" t="n">
        <x:v>1699</x:v>
      </x:c>
      <x:c r="B1703" s="7" t="str">
        <x:v>Tata</x:v>
      </x:c>
      <x:c r="C1703" s="7" t="str">
        <x:v>Altroz</x:v>
      </x:c>
      <x:c r="D1703" s="7" t="str">
        <x:v>XT Diesel</x:v>
      </x:c>
      <x:c r="E1703" s="7" t="str">
        <x:v>Diesel</x:v>
      </x:c>
      <x:c r="F1703" s="7" t="str">
        <x:v>Manual</x:v>
      </x:c>
      <x:c r="G1703" s="7" t="str">
        <x:v>Hatchback</x:v>
      </x:c>
      <x:c r="H1703" s="7" t="n">
        <x:v>1497</x:v>
      </x:c>
      <x:c r="I1703" s="7" t="n">
        <x:v>89</x:v>
      </x:c>
      <x:c r="J1703" s="9" t="n">
        <x:v>23.6</x:v>
      </x:c>
      <x:c r="K1703" s="9" t="n">
        <x:v>9.5</x:v>
      </x:c>
      <x:c r="L1703" s="7" t="n">
        <x:v>2022</x:v>
      </x:c>
      <x:c r="M1703" s="11" t="n">
        <x:v>58462</x:v>
      </x:c>
      <x:c r="N1703" s="7" t="n">
        <x:v>1</x:v>
      </x:c>
      <x:c r="O1703" s="7" t="n">
        <x:v>0</x:v>
      </x:c>
      <x:c r="P1703" s="9" t="n">
        <x:v>6.08</x:v>
      </x:c>
      <x:c r="Q1703" s="7" t="n">
        <x:f>'Guide'!$B$5-L1703</x:f>
        <x:v>4</x:v>
      </x:c>
      <x:c r="R1703" s="9" t="n">
        <x:f>K1703-P1703</x:f>
        <x:v>3.42</x:v>
      </x:c>
      <x:c r="S1703" s="10" t="n">
        <x:f>IF(K1703&gt;0,R1703/K1703,"")</x:f>
        <x:v>0.36</x:v>
      </x:c>
    </x:row>
    <x:row r="1704">
      <x:c r="A1704" s="7" t="n">
        <x:v>1700</x:v>
      </x:c>
      <x:c r="B1704" s="7" t="str">
        <x:v>Tata</x:v>
      </x:c>
      <x:c r="C1704" s="7" t="str">
        <x:v>Altroz</x:v>
      </x:c>
      <x:c r="D1704" s="7" t="str">
        <x:v>XT Diesel</x:v>
      </x:c>
      <x:c r="E1704" s="7" t="str">
        <x:v>Diesel</x:v>
      </x:c>
      <x:c r="F1704" s="7" t="str">
        <x:v>Manual</x:v>
      </x:c>
      <x:c r="G1704" s="7" t="str">
        <x:v>Hatchback</x:v>
      </x:c>
      <x:c r="H1704" s="7" t="n">
        <x:v>1497</x:v>
      </x:c>
      <x:c r="I1704" s="7" t="n">
        <x:v>89</x:v>
      </x:c>
      <x:c r="J1704" s="9" t="n">
        <x:v>23.6</x:v>
      </x:c>
      <x:c r="K1704" s="9" t="n">
        <x:v>9.5</x:v>
      </x:c>
      <x:c r="L1704" s="7" t="n">
        <x:v>2022</x:v>
      </x:c>
      <x:c r="M1704" s="11" t="n">
        <x:v>64214</x:v>
      </x:c>
      <x:c r="N1704" s="7" t="n">
        <x:v>2</x:v>
      </x:c>
      <x:c r="O1704" s="7" t="n">
        <x:v>0</x:v>
      </x:c>
      <x:c r="P1704" s="9" t="n">
        <x:v>5.03</x:v>
      </x:c>
      <x:c r="Q1704" s="7" t="n">
        <x:f>'Guide'!$B$5-L1704</x:f>
        <x:v>4</x:v>
      </x:c>
      <x:c r="R1704" s="9" t="n">
        <x:f>K1704-P1704</x:f>
        <x:v>4.47</x:v>
      </x:c>
      <x:c r="S1704" s="10" t="n">
        <x:f>IF(K1704&gt;0,R1704/K1704,"")</x:f>
        <x:v>0.4705263157894737</x:v>
      </x:c>
    </x:row>
    <x:row r="1705">
      <x:c r="A1705" s="7" t="n">
        <x:v>1701</x:v>
      </x:c>
      <x:c r="B1705" s="7" t="str">
        <x:v>Tata</x:v>
      </x:c>
      <x:c r="C1705" s="7" t="str">
        <x:v>Altroz</x:v>
      </x:c>
      <x:c r="D1705" s="7" t="str">
        <x:v>XT Diesel</x:v>
      </x:c>
      <x:c r="E1705" s="7" t="str">
        <x:v>Diesel</x:v>
      </x:c>
      <x:c r="F1705" s="7" t="str">
        <x:v>Manual</x:v>
      </x:c>
      <x:c r="G1705" s="7" t="str">
        <x:v>Hatchback</x:v>
      </x:c>
      <x:c r="H1705" s="7" t="n">
        <x:v>1497</x:v>
      </x:c>
      <x:c r="I1705" s="7" t="n">
        <x:v>89</x:v>
      </x:c>
      <x:c r="J1705" s="9" t="n">
        <x:v>23.6</x:v>
      </x:c>
      <x:c r="K1705" s="9" t="n">
        <x:v>9.5</x:v>
      </x:c>
      <x:c r="L1705" s="7" t="n">
        <x:v>2022</x:v>
      </x:c>
      <x:c r="M1705" s="11" t="n">
        <x:v>44977</x:v>
      </x:c>
      <x:c r="N1705" s="7" t="n">
        <x:v>1</x:v>
      </x:c>
      <x:c r="O1705" s="7" t="n">
        <x:v>1</x:v>
      </x:c>
      <x:c r="P1705" s="9" t="n">
        <x:v>5.26</x:v>
      </x:c>
      <x:c r="Q1705" s="7" t="n">
        <x:f>'Guide'!$B$5-L1705</x:f>
        <x:v>4</x:v>
      </x:c>
      <x:c r="R1705" s="9" t="n">
        <x:f>K1705-P1705</x:f>
        <x:v>4.24</x:v>
      </x:c>
      <x:c r="S1705" s="10" t="n">
        <x:f>IF(K1705&gt;0,R1705/K1705,"")</x:f>
        <x:v>0.4463157894736842</x:v>
      </x:c>
    </x:row>
    <x:row r="1706">
      <x:c r="A1706" s="7" t="n">
        <x:v>1702</x:v>
      </x:c>
      <x:c r="B1706" s="7" t="str">
        <x:v>Tata</x:v>
      </x:c>
      <x:c r="C1706" s="7" t="str">
        <x:v>Altroz</x:v>
      </x:c>
      <x:c r="D1706" s="7" t="str">
        <x:v>XT Diesel</x:v>
      </x:c>
      <x:c r="E1706" s="7" t="str">
        <x:v>Diesel</x:v>
      </x:c>
      <x:c r="F1706" s="7" t="str">
        <x:v>Manual</x:v>
      </x:c>
      <x:c r="G1706" s="7" t="str">
        <x:v>Hatchback</x:v>
      </x:c>
      <x:c r="H1706" s="7" t="n">
        <x:v>1497</x:v>
      </x:c>
      <x:c r="I1706" s="7" t="n">
        <x:v>89</x:v>
      </x:c>
      <x:c r="J1706" s="9" t="n">
        <x:v>23.6</x:v>
      </x:c>
      <x:c r="K1706" s="9" t="n">
        <x:v>9.5</x:v>
      </x:c>
      <x:c r="L1706" s="7" t="n">
        <x:v>2022</x:v>
      </x:c>
      <x:c r="M1706" s="11" t="n">
        <x:v>40714</x:v>
      </x:c>
      <x:c r="N1706" s="7" t="n">
        <x:v>1</x:v>
      </x:c>
      <x:c r="O1706" s="7" t="n">
        <x:v>0</x:v>
      </x:c>
      <x:c r="P1706" s="9" t="n">
        <x:v>6.15</x:v>
      </x:c>
      <x:c r="Q1706" s="7" t="n">
        <x:f>'Guide'!$B$5-L1706</x:f>
        <x:v>4</x:v>
      </x:c>
      <x:c r="R1706" s="9" t="n">
        <x:f>K1706-P1706</x:f>
        <x:v>3.3499999999999996</x:v>
      </x:c>
      <x:c r="S1706" s="10" t="n">
        <x:f>IF(K1706&gt;0,R1706/K1706,"")</x:f>
        <x:v>0.3526315789473684</x:v>
      </x:c>
    </x:row>
    <x:row r="1707">
      <x:c r="A1707" s="7" t="n">
        <x:v>1703</x:v>
      </x:c>
      <x:c r="B1707" s="7" t="str">
        <x:v>Tata</x:v>
      </x:c>
      <x:c r="C1707" s="7" t="str">
        <x:v>Altroz</x:v>
      </x:c>
      <x:c r="D1707" s="7" t="str">
        <x:v>XT Diesel</x:v>
      </x:c>
      <x:c r="E1707" s="7" t="str">
        <x:v>Diesel</x:v>
      </x:c>
      <x:c r="F1707" s="7" t="str">
        <x:v>Manual</x:v>
      </x:c>
      <x:c r="G1707" s="7" t="str">
        <x:v>Hatchback</x:v>
      </x:c>
      <x:c r="H1707" s="7" t="n">
        <x:v>1497</x:v>
      </x:c>
      <x:c r="I1707" s="7" t="n">
        <x:v>89</x:v>
      </x:c>
      <x:c r="J1707" s="9" t="n">
        <x:v>23.6</x:v>
      </x:c>
      <x:c r="K1707" s="9" t="n">
        <x:v>9.5</x:v>
      </x:c>
      <x:c r="L1707" s="7" t="n">
        <x:v>2022</x:v>
      </x:c>
      <x:c r="M1707" s="11" t="n">
        <x:v>36049</x:v>
      </x:c>
      <x:c r="N1707" s="7" t="n">
        <x:v>1</x:v>
      </x:c>
      <x:c r="O1707" s="7" t="n">
        <x:v>0</x:v>
      </x:c>
      <x:c r="P1707" s="9" t="n">
        <x:v>5.97</x:v>
      </x:c>
      <x:c r="Q1707" s="7" t="n">
        <x:f>'Guide'!$B$5-L1707</x:f>
        <x:v>4</x:v>
      </x:c>
      <x:c r="R1707" s="9" t="n">
        <x:f>K1707-P1707</x:f>
        <x:v>3.5300000000000002</x:v>
      </x:c>
      <x:c r="S1707" s="10" t="n">
        <x:f>IF(K1707&gt;0,R1707/K1707,"")</x:f>
        <x:v>0.37157894736842106</x:v>
      </x:c>
    </x:row>
    <x:row r="1708">
      <x:c r="A1708" s="7" t="n">
        <x:v>1704</x:v>
      </x:c>
      <x:c r="B1708" s="7" t="str">
        <x:v>Tata</x:v>
      </x:c>
      <x:c r="C1708" s="7" t="str">
        <x:v>Altroz</x:v>
      </x:c>
      <x:c r="D1708" s="7" t="str">
        <x:v>XT Diesel</x:v>
      </x:c>
      <x:c r="E1708" s="7" t="str">
        <x:v>Diesel</x:v>
      </x:c>
      <x:c r="F1708" s="7" t="str">
        <x:v>Manual</x:v>
      </x:c>
      <x:c r="G1708" s="7" t="str">
        <x:v>Hatchback</x:v>
      </x:c>
      <x:c r="H1708" s="7" t="n">
        <x:v>1497</x:v>
      </x:c>
      <x:c r="I1708" s="7" t="n">
        <x:v>89</x:v>
      </x:c>
      <x:c r="J1708" s="9" t="n">
        <x:v>23.6</x:v>
      </x:c>
      <x:c r="K1708" s="9" t="n">
        <x:v>9.5</x:v>
      </x:c>
      <x:c r="L1708" s="7" t="n">
        <x:v>2022</x:v>
      </x:c>
      <x:c r="M1708" s="11" t="n">
        <x:v>54430</x:v>
      </x:c>
      <x:c r="N1708" s="7" t="n">
        <x:v>1</x:v>
      </x:c>
      <x:c r="O1708" s="7" t="n">
        <x:v>0</x:v>
      </x:c>
      <x:c r="P1708" s="9" t="n">
        <x:v>6.1</x:v>
      </x:c>
      <x:c r="Q1708" s="7" t="n">
        <x:f>'Guide'!$B$5-L1708</x:f>
        <x:v>4</x:v>
      </x:c>
      <x:c r="R1708" s="9" t="n">
        <x:f>K1708-P1708</x:f>
        <x:v>3.4000000000000004</x:v>
      </x:c>
      <x:c r="S1708" s="10" t="n">
        <x:f>IF(K1708&gt;0,R1708/K1708,"")</x:f>
        <x:v>0.3578947368421053</x:v>
      </x:c>
    </x:row>
    <x:row r="1709">
      <x:c r="A1709" s="7" t="n">
        <x:v>1705</x:v>
      </x:c>
      <x:c r="B1709" s="7" t="str">
        <x:v>Tata</x:v>
      </x:c>
      <x:c r="C1709" s="7" t="str">
        <x:v>Altroz</x:v>
      </x:c>
      <x:c r="D1709" s="7" t="str">
        <x:v>XT Diesel</x:v>
      </x:c>
      <x:c r="E1709" s="7" t="str">
        <x:v>Diesel</x:v>
      </x:c>
      <x:c r="F1709" s="7" t="str">
        <x:v>Manual</x:v>
      </x:c>
      <x:c r="G1709" s="7" t="str">
        <x:v>Hatchback</x:v>
      </x:c>
      <x:c r="H1709" s="7" t="n">
        <x:v>1497</x:v>
      </x:c>
      <x:c r="I1709" s="7" t="n">
        <x:v>89</x:v>
      </x:c>
      <x:c r="J1709" s="9" t="n">
        <x:v>23.6</x:v>
      </x:c>
      <x:c r="K1709" s="9" t="n">
        <x:v>9.5</x:v>
      </x:c>
      <x:c r="L1709" s="7" t="n">
        <x:v>2025</x:v>
      </x:c>
      <x:c r="M1709" s="11" t="n">
        <x:v>13350</x:v>
      </x:c>
      <x:c r="N1709" s="7" t="n">
        <x:v>1</x:v>
      </x:c>
      <x:c r="O1709" s="7" t="n">
        <x:v>0</x:v>
      </x:c>
      <x:c r="P1709" s="9" t="n">
        <x:v>8.47</x:v>
      </x:c>
      <x:c r="Q1709" s="7" t="n">
        <x:f>'Guide'!$B$5-L1709</x:f>
        <x:v>1</x:v>
      </x:c>
      <x:c r="R1709" s="9" t="n">
        <x:f>K1709-P1709</x:f>
        <x:v>1.0299999999999994</x:v>
      </x:c>
      <x:c r="S1709" s="10" t="n">
        <x:f>IF(K1709&gt;0,R1709/K1709,"")</x:f>
        <x:v>0.10842105263157888</x:v>
      </x:c>
    </x:row>
    <x:row r="1710">
      <x:c r="A1710" s="7" t="n">
        <x:v>1706</x:v>
      </x:c>
      <x:c r="B1710" s="7" t="str">
        <x:v>Tata</x:v>
      </x:c>
      <x:c r="C1710" s="7" t="str">
        <x:v>Altroz</x:v>
      </x:c>
      <x:c r="D1710" s="7" t="str">
        <x:v>XT Diesel</x:v>
      </x:c>
      <x:c r="E1710" s="7" t="str">
        <x:v>Diesel</x:v>
      </x:c>
      <x:c r="F1710" s="7" t="str">
        <x:v>Manual</x:v>
      </x:c>
      <x:c r="G1710" s="7" t="str">
        <x:v>Hatchback</x:v>
      </x:c>
      <x:c r="H1710" s="7" t="n">
        <x:v>1497</x:v>
      </x:c>
      <x:c r="I1710" s="7" t="n">
        <x:v>89</x:v>
      </x:c>
      <x:c r="J1710" s="9" t="n">
        <x:v>23.6</x:v>
      </x:c>
      <x:c r="K1710" s="9" t="n">
        <x:v>9.5</x:v>
      </x:c>
      <x:c r="L1710" s="7" t="n">
        <x:v>2021</x:v>
      </x:c>
      <x:c r="M1710" s="11" t="n">
        <x:v>107876</x:v>
      </x:c>
      <x:c r="N1710" s="7" t="n">
        <x:v>1</x:v>
      </x:c>
      <x:c r="O1710" s="7" t="n">
        <x:v>0</x:v>
      </x:c>
      <x:c r="P1710" s="9" t="n">
        <x:v>4.49</x:v>
      </x:c>
      <x:c r="Q1710" s="7" t="n">
        <x:f>'Guide'!$B$5-L1710</x:f>
        <x:v>5</x:v>
      </x:c>
      <x:c r="R1710" s="9" t="n">
        <x:f>K1710-P1710</x:f>
        <x:v>5.01</x:v>
      </x:c>
      <x:c r="S1710" s="10" t="n">
        <x:f>IF(K1710&gt;0,R1710/K1710,"")</x:f>
        <x:v>0.5273684210526316</x:v>
      </x:c>
    </x:row>
    <x:row r="1711">
      <x:c r="A1711" s="7" t="n">
        <x:v>1707</x:v>
      </x:c>
      <x:c r="B1711" s="7" t="str">
        <x:v>Tata</x:v>
      </x:c>
      <x:c r="C1711" s="7" t="str">
        <x:v>Altroz</x:v>
      </x:c>
      <x:c r="D1711" s="7" t="str">
        <x:v>XT Diesel</x:v>
      </x:c>
      <x:c r="E1711" s="7" t="str">
        <x:v>Diesel</x:v>
      </x:c>
      <x:c r="F1711" s="7" t="str">
        <x:v>Manual</x:v>
      </x:c>
      <x:c r="G1711" s="7" t="str">
        <x:v>Hatchback</x:v>
      </x:c>
      <x:c r="H1711" s="7" t="n">
        <x:v>1497</x:v>
      </x:c>
      <x:c r="I1711" s="7" t="n">
        <x:v>89</x:v>
      </x:c>
      <x:c r="J1711" s="9" t="n">
        <x:v>23.6</x:v>
      </x:c>
      <x:c r="K1711" s="9" t="n">
        <x:v>9.5</x:v>
      </x:c>
      <x:c r="L1711" s="7" t="n">
        <x:v>2023</x:v>
      </x:c>
      <x:c r="M1711" s="11" t="n">
        <x:v>64758</x:v>
      </x:c>
      <x:c r="N1711" s="7" t="n">
        <x:v>2</x:v>
      </x:c>
      <x:c r="O1711" s="7" t="n">
        <x:v>1</x:v>
      </x:c>
      <x:c r="P1711" s="9" t="n">
        <x:v>5.49</x:v>
      </x:c>
      <x:c r="Q1711" s="7" t="n">
        <x:f>'Guide'!$B$5-L1711</x:f>
        <x:v>3</x:v>
      </x:c>
      <x:c r="R1711" s="9" t="n">
        <x:f>K1711-P1711</x:f>
        <x:v>4.01</x:v>
      </x:c>
      <x:c r="S1711" s="10" t="n">
        <x:f>IF(K1711&gt;0,R1711/K1711,"")</x:f>
        <x:v>0.4221052631578947</x:v>
      </x:c>
    </x:row>
    <x:row r="1712">
      <x:c r="A1712" s="7" t="n">
        <x:v>1708</x:v>
      </x:c>
      <x:c r="B1712" s="7" t="str">
        <x:v>Tata</x:v>
      </x:c>
      <x:c r="C1712" s="7" t="str">
        <x:v>Altroz</x:v>
      </x:c>
      <x:c r="D1712" s="7" t="str">
        <x:v>XT Diesel</x:v>
      </x:c>
      <x:c r="E1712" s="7" t="str">
        <x:v>Diesel</x:v>
      </x:c>
      <x:c r="F1712" s="7" t="str">
        <x:v>Manual</x:v>
      </x:c>
      <x:c r="G1712" s="7" t="str">
        <x:v>Hatchback</x:v>
      </x:c>
      <x:c r="H1712" s="7" t="n">
        <x:v>1497</x:v>
      </x:c>
      <x:c r="I1712" s="7" t="n">
        <x:v>89</x:v>
      </x:c>
      <x:c r="J1712" s="9" t="n">
        <x:v>23.6</x:v>
      </x:c>
      <x:c r="K1712" s="9" t="n">
        <x:v>9.5</x:v>
      </x:c>
      <x:c r="L1712" s="7" t="n">
        <x:v>2021</x:v>
      </x:c>
      <x:c r="M1712" s="11" t="n">
        <x:v>66435</x:v>
      </x:c>
      <x:c r="N1712" s="7" t="n">
        <x:v>1</x:v>
      </x:c>
      <x:c r="O1712" s="7" t="n">
        <x:v>0</x:v>
      </x:c>
      <x:c r="P1712" s="9" t="n">
        <x:v>4.99</x:v>
      </x:c>
      <x:c r="Q1712" s="7" t="n">
        <x:f>'Guide'!$B$5-L1712</x:f>
        <x:v>5</x:v>
      </x:c>
      <x:c r="R1712" s="9" t="n">
        <x:f>K1712-P1712</x:f>
        <x:v>4.51</x:v>
      </x:c>
      <x:c r="S1712" s="10" t="n">
        <x:f>IF(K1712&gt;0,R1712/K1712,"")</x:f>
        <x:v>0.4747368421052631</x:v>
      </x:c>
    </x:row>
    <x:row r="1713">
      <x:c r="A1713" s="7" t="n">
        <x:v>1709</x:v>
      </x:c>
      <x:c r="B1713" s="7" t="str">
        <x:v>Tata</x:v>
      </x:c>
      <x:c r="C1713" s="7" t="str">
        <x:v>Altroz</x:v>
      </x:c>
      <x:c r="D1713" s="7" t="str">
        <x:v>XT Diesel</x:v>
      </x:c>
      <x:c r="E1713" s="7" t="str">
        <x:v>Diesel</x:v>
      </x:c>
      <x:c r="F1713" s="7" t="str">
        <x:v>Manual</x:v>
      </x:c>
      <x:c r="G1713" s="7" t="str">
        <x:v>Hatchback</x:v>
      </x:c>
      <x:c r="H1713" s="7" t="n">
        <x:v>1497</x:v>
      </x:c>
      <x:c r="I1713" s="7" t="n">
        <x:v>89</x:v>
      </x:c>
      <x:c r="J1713" s="9" t="n">
        <x:v>23.6</x:v>
      </x:c>
      <x:c r="K1713" s="9" t="n">
        <x:v>9.5</x:v>
      </x:c>
      <x:c r="L1713" s="7" t="n">
        <x:v>2025</x:v>
      </x:c>
      <x:c r="M1713" s="11" t="n">
        <x:v>16179</x:v>
      </x:c>
      <x:c r="N1713" s="7" t="n">
        <x:v>3</x:v>
      </x:c>
      <x:c r="O1713" s="7" t="n">
        <x:v>0</x:v>
      </x:c>
      <x:c r="P1713" s="9" t="n">
        <x:v>7.45</x:v>
      </x:c>
      <x:c r="Q1713" s="7" t="n">
        <x:f>'Guide'!$B$5-L1713</x:f>
        <x:v>1</x:v>
      </x:c>
      <x:c r="R1713" s="9" t="n">
        <x:f>K1713-P1713</x:f>
        <x:v>2.05</x:v>
      </x:c>
      <x:c r="S1713" s="10" t="n">
        <x:f>IF(K1713&gt;0,R1713/K1713,"")</x:f>
        <x:v>0.2157894736842105</x:v>
      </x:c>
    </x:row>
    <x:row r="1714">
      <x:c r="A1714" s="7" t="n">
        <x:v>1710</x:v>
      </x:c>
      <x:c r="B1714" s="7" t="str">
        <x:v>Tata</x:v>
      </x:c>
      <x:c r="C1714" s="7" t="str">
        <x:v>Altroz</x:v>
      </x:c>
      <x:c r="D1714" s="7" t="str">
        <x:v>XT Diesel</x:v>
      </x:c>
      <x:c r="E1714" s="7" t="str">
        <x:v>Diesel</x:v>
      </x:c>
      <x:c r="F1714" s="7" t="str">
        <x:v>Manual</x:v>
      </x:c>
      <x:c r="G1714" s="7" t="str">
        <x:v>Hatchback</x:v>
      </x:c>
      <x:c r="H1714" s="7" t="n">
        <x:v>1497</x:v>
      </x:c>
      <x:c r="I1714" s="7" t="n">
        <x:v>89</x:v>
      </x:c>
      <x:c r="J1714" s="9" t="n">
        <x:v>23.6</x:v>
      </x:c>
      <x:c r="K1714" s="9" t="n">
        <x:v>9.5</x:v>
      </x:c>
      <x:c r="L1714" s="7" t="n">
        <x:v>2024</x:v>
      </x:c>
      <x:c r="M1714" s="11" t="n">
        <x:v>48783</x:v>
      </x:c>
      <x:c r="N1714" s="7" t="n">
        <x:v>1</x:v>
      </x:c>
      <x:c r="O1714" s="7" t="n">
        <x:v>0</x:v>
      </x:c>
      <x:c r="P1714" s="9" t="n">
        <x:v>7.22</x:v>
      </x:c>
      <x:c r="Q1714" s="7" t="n">
        <x:f>'Guide'!$B$5-L1714</x:f>
        <x:v>2</x:v>
      </x:c>
      <x:c r="R1714" s="9" t="n">
        <x:f>K1714-P1714</x:f>
        <x:v>2.2800000000000002</x:v>
      </x:c>
      <x:c r="S1714" s="10" t="n">
        <x:f>IF(K1714&gt;0,R1714/K1714,"")</x:f>
        <x:v>0.24000000000000002</x:v>
      </x:c>
    </x:row>
    <x:row r="1715">
      <x:c r="A1715" s="7" t="n">
        <x:v>1711</x:v>
      </x:c>
      <x:c r="B1715" s="7" t="str">
        <x:v>Tata</x:v>
      </x:c>
      <x:c r="C1715" s="7" t="str">
        <x:v>Altroz</x:v>
      </x:c>
      <x:c r="D1715" s="7" t="str">
        <x:v>XT Diesel</x:v>
      </x:c>
      <x:c r="E1715" s="7" t="str">
        <x:v>Diesel</x:v>
      </x:c>
      <x:c r="F1715" s="7" t="str">
        <x:v>Manual</x:v>
      </x:c>
      <x:c r="G1715" s="7" t="str">
        <x:v>Hatchback</x:v>
      </x:c>
      <x:c r="H1715" s="7" t="n">
        <x:v>1497</x:v>
      </x:c>
      <x:c r="I1715" s="7" t="n">
        <x:v>89</x:v>
      </x:c>
      <x:c r="J1715" s="9" t="n">
        <x:v>23.6</x:v>
      </x:c>
      <x:c r="K1715" s="9" t="n">
        <x:v>9.5</x:v>
      </x:c>
      <x:c r="L1715" s="7" t="n">
        <x:v>2024</x:v>
      </x:c>
      <x:c r="M1715" s="11" t="n">
        <x:v>41675</x:v>
      </x:c>
      <x:c r="N1715" s="7" t="n">
        <x:v>1</x:v>
      </x:c>
      <x:c r="O1715" s="7" t="n">
        <x:v>0</x:v>
      </x:c>
      <x:c r="P1715" s="9" t="n">
        <x:v>7.71</x:v>
      </x:c>
      <x:c r="Q1715" s="7" t="n">
        <x:f>'Guide'!$B$5-L1715</x:f>
        <x:v>2</x:v>
      </x:c>
      <x:c r="R1715" s="9" t="n">
        <x:f>K1715-P1715</x:f>
        <x:v>1.79</x:v>
      </x:c>
      <x:c r="S1715" s="10" t="n">
        <x:f>IF(K1715&gt;0,R1715/K1715,"")</x:f>
        <x:v>0.18842105263157896</x:v>
      </x:c>
    </x:row>
    <x:row r="1716">
      <x:c r="A1716" s="7" t="n">
        <x:v>1712</x:v>
      </x:c>
      <x:c r="B1716" s="7" t="str">
        <x:v>Tata</x:v>
      </x:c>
      <x:c r="C1716" s="7" t="str">
        <x:v>Altroz</x:v>
      </x:c>
      <x:c r="D1716" s="7" t="str">
        <x:v>XT Diesel</x:v>
      </x:c>
      <x:c r="E1716" s="7" t="str">
        <x:v>Diesel</x:v>
      </x:c>
      <x:c r="F1716" s="7" t="str">
        <x:v>Manual</x:v>
      </x:c>
      <x:c r="G1716" s="7" t="str">
        <x:v>Hatchback</x:v>
      </x:c>
      <x:c r="H1716" s="7" t="n">
        <x:v>1497</x:v>
      </x:c>
      <x:c r="I1716" s="7" t="n">
        <x:v>89</x:v>
      </x:c>
      <x:c r="J1716" s="9" t="n">
        <x:v>23.6</x:v>
      </x:c>
      <x:c r="K1716" s="9" t="n">
        <x:v>9.5</x:v>
      </x:c>
      <x:c r="L1716" s="7" t="n">
        <x:v>2025</x:v>
      </x:c>
      <x:c r="M1716" s="11" t="n">
        <x:v>23588</x:v>
      </x:c>
      <x:c r="N1716" s="7" t="n">
        <x:v>1</x:v>
      </x:c>
      <x:c r="O1716" s="7" t="n">
        <x:v>0</x:v>
      </x:c>
      <x:c r="P1716" s="9" t="n">
        <x:v>8.4</x:v>
      </x:c>
      <x:c r="Q1716" s="7" t="n">
        <x:f>'Guide'!$B$5-L1716</x:f>
        <x:v>1</x:v>
      </x:c>
      <x:c r="R1716" s="9" t="n">
        <x:f>K1716-P1716</x:f>
        <x:v>1.0999999999999996</x:v>
      </x:c>
      <x:c r="S1716" s="10" t="n">
        <x:f>IF(K1716&gt;0,R1716/K1716,"")</x:f>
        <x:v>0.11578947368421048</x:v>
      </x:c>
    </x:row>
    <x:row r="1717">
      <x:c r="A1717" s="7" t="n">
        <x:v>1713</x:v>
      </x:c>
      <x:c r="B1717" s="7" t="str">
        <x:v>Tata</x:v>
      </x:c>
      <x:c r="C1717" s="7" t="str">
        <x:v>Altroz</x:v>
      </x:c>
      <x:c r="D1717" s="7" t="str">
        <x:v>XT Diesel</x:v>
      </x:c>
      <x:c r="E1717" s="7" t="str">
        <x:v>Diesel</x:v>
      </x:c>
      <x:c r="F1717" s="7" t="str">
        <x:v>Manual</x:v>
      </x:c>
      <x:c r="G1717" s="7" t="str">
        <x:v>Hatchback</x:v>
      </x:c>
      <x:c r="H1717" s="7" t="n">
        <x:v>1497</x:v>
      </x:c>
      <x:c r="I1717" s="7" t="n">
        <x:v>89</x:v>
      </x:c>
      <x:c r="J1717" s="9" t="n">
        <x:v>23.6</x:v>
      </x:c>
      <x:c r="K1717" s="9" t="n">
        <x:v>9.5</x:v>
      </x:c>
      <x:c r="L1717" s="7" t="n">
        <x:v>2020</x:v>
      </x:c>
      <x:c r="M1717" s="11" t="n">
        <x:v>113106</x:v>
      </x:c>
      <x:c r="N1717" s="7" t="n">
        <x:v>2</x:v>
      </x:c>
      <x:c r="O1717" s="7" t="n">
        <x:v>0</x:v>
      </x:c>
      <x:c r="P1717" s="9" t="n">
        <x:v>3.03</x:v>
      </x:c>
      <x:c r="Q1717" s="7" t="n">
        <x:f>'Guide'!$B$5-L1717</x:f>
        <x:v>6</x:v>
      </x:c>
      <x:c r="R1717" s="9" t="n">
        <x:f>K1717-P1717</x:f>
        <x:v>6.470000000000001</x:v>
      </x:c>
      <x:c r="S1717" s="10" t="n">
        <x:f>IF(K1717&gt;0,R1717/K1717,"")</x:f>
        <x:v>0.6810526315789475</x:v>
      </x:c>
    </x:row>
    <x:row r="1718">
      <x:c r="A1718" s="7" t="n">
        <x:v>1714</x:v>
      </x:c>
      <x:c r="B1718" s="7" t="str">
        <x:v>Tata</x:v>
      </x:c>
      <x:c r="C1718" s="7" t="str">
        <x:v>Altroz</x:v>
      </x:c>
      <x:c r="D1718" s="7" t="str">
        <x:v>XT Diesel</x:v>
      </x:c>
      <x:c r="E1718" s="7" t="str">
        <x:v>Diesel</x:v>
      </x:c>
      <x:c r="F1718" s="7" t="str">
        <x:v>Manual</x:v>
      </x:c>
      <x:c r="G1718" s="7" t="str">
        <x:v>Hatchback</x:v>
      </x:c>
      <x:c r="H1718" s="7" t="n">
        <x:v>1497</x:v>
      </x:c>
      <x:c r="I1718" s="7" t="n">
        <x:v>89</x:v>
      </x:c>
      <x:c r="J1718" s="9" t="n">
        <x:v>23.6</x:v>
      </x:c>
      <x:c r="K1718" s="9" t="n">
        <x:v>9.5</x:v>
      </x:c>
      <x:c r="L1718" s="7" t="n">
        <x:v>2025</x:v>
      </x:c>
      <x:c r="M1718" s="11" t="n">
        <x:v>13816</x:v>
      </x:c>
      <x:c r="N1718" s="7" t="n">
        <x:v>2</x:v>
      </x:c>
      <x:c r="O1718" s="7" t="n">
        <x:v>0</x:v>
      </x:c>
      <x:c r="P1718" s="9" t="n">
        <x:v>8.08</x:v>
      </x:c>
      <x:c r="Q1718" s="7" t="n">
        <x:f>'Guide'!$B$5-L1718</x:f>
        <x:v>1</x:v>
      </x:c>
      <x:c r="R1718" s="9" t="n">
        <x:f>K1718-P1718</x:f>
        <x:v>1.42</x:v>
      </x:c>
      <x:c r="S1718" s="10" t="n">
        <x:f>IF(K1718&gt;0,R1718/K1718,"")</x:f>
        <x:v>0.14947368421052631</x:v>
      </x:c>
    </x:row>
    <x:row r="1719">
      <x:c r="A1719" s="7" t="n">
        <x:v>1715</x:v>
      </x:c>
      <x:c r="B1719" s="7" t="str">
        <x:v>Tata</x:v>
      </x:c>
      <x:c r="C1719" s="7" t="str">
        <x:v>Altroz</x:v>
      </x:c>
      <x:c r="D1719" s="7" t="str">
        <x:v>XT Diesel</x:v>
      </x:c>
      <x:c r="E1719" s="7" t="str">
        <x:v>Diesel</x:v>
      </x:c>
      <x:c r="F1719" s="7" t="str">
        <x:v>Manual</x:v>
      </x:c>
      <x:c r="G1719" s="7" t="str">
        <x:v>Hatchback</x:v>
      </x:c>
      <x:c r="H1719" s="7" t="n">
        <x:v>1497</x:v>
      </x:c>
      <x:c r="I1719" s="7" t="n">
        <x:v>89</x:v>
      </x:c>
      <x:c r="J1719" s="9" t="n">
        <x:v>23.6</x:v>
      </x:c>
      <x:c r="K1719" s="9" t="n">
        <x:v>9.5</x:v>
      </x:c>
      <x:c r="L1719" s="7" t="n">
        <x:v>2026</x:v>
      </x:c>
      <x:c r="M1719" s="11" t="n">
        <x:v>6263</x:v>
      </x:c>
      <x:c r="N1719" s="7" t="n">
        <x:v>1</x:v>
      </x:c>
      <x:c r="O1719" s="7" t="n">
        <x:v>0</x:v>
      </x:c>
      <x:c r="P1719" s="9" t="n">
        <x:v>9.12</x:v>
      </x:c>
      <x:c r="Q1719" s="7" t="n">
        <x:f>'Guide'!$B$5-L1719</x:f>
        <x:v>0</x:v>
      </x:c>
      <x:c r="R1719" s="9" t="n">
        <x:f>K1719-P1719</x:f>
        <x:v>0.3800000000000008</x:v>
      </x:c>
      <x:c r="S1719" s="10" t="n">
        <x:f>IF(K1719&gt;0,R1719/K1719,"")</x:f>
        <x:v>0.040000000000000084</x:v>
      </x:c>
    </x:row>
    <x:row r="1720">
      <x:c r="A1720" s="7" t="n">
        <x:v>1716</x:v>
      </x:c>
      <x:c r="B1720" s="7" t="str">
        <x:v>Tata</x:v>
      </x:c>
      <x:c r="C1720" s="7" t="str">
        <x:v>Altroz</x:v>
      </x:c>
      <x:c r="D1720" s="7" t="str">
        <x:v>XT Diesel</x:v>
      </x:c>
      <x:c r="E1720" s="7" t="str">
        <x:v>Diesel</x:v>
      </x:c>
      <x:c r="F1720" s="7" t="str">
        <x:v>Manual</x:v>
      </x:c>
      <x:c r="G1720" s="7" t="str">
        <x:v>Hatchback</x:v>
      </x:c>
      <x:c r="H1720" s="7" t="n">
        <x:v>1497</x:v>
      </x:c>
      <x:c r="I1720" s="7" t="n">
        <x:v>89</x:v>
      </x:c>
      <x:c r="J1720" s="9" t="n">
        <x:v>23.6</x:v>
      </x:c>
      <x:c r="K1720" s="9" t="n">
        <x:v>9.5</x:v>
      </x:c>
      <x:c r="L1720" s="7" t="n">
        <x:v>2021</x:v>
      </x:c>
      <x:c r="M1720" s="11" t="n">
        <x:v>91738</x:v>
      </x:c>
      <x:c r="N1720" s="7" t="n">
        <x:v>1</x:v>
      </x:c>
      <x:c r="O1720" s="7" t="n">
        <x:v>0</x:v>
      </x:c>
      <x:c r="P1720" s="9" t="n">
        <x:v>4.4</x:v>
      </x:c>
      <x:c r="Q1720" s="7" t="n">
        <x:f>'Guide'!$B$5-L1720</x:f>
        <x:v>5</x:v>
      </x:c>
      <x:c r="R1720" s="9" t="n">
        <x:f>K1720-P1720</x:f>
        <x:v>5.1</x:v>
      </x:c>
      <x:c r="S1720" s="10" t="n">
        <x:f>IF(K1720&gt;0,R1720/K1720,"")</x:f>
        <x:v>0.5368421052631579</x:v>
      </x:c>
    </x:row>
    <x:row r="1721">
      <x:c r="A1721" s="7" t="n">
        <x:v>1717</x:v>
      </x:c>
      <x:c r="B1721" s="7" t="str">
        <x:v>Tata</x:v>
      </x:c>
      <x:c r="C1721" s="7" t="str">
        <x:v>Altroz</x:v>
      </x:c>
      <x:c r="D1721" s="7" t="str">
        <x:v>XT Diesel</x:v>
      </x:c>
      <x:c r="E1721" s="7" t="str">
        <x:v>Diesel</x:v>
      </x:c>
      <x:c r="F1721" s="7" t="str">
        <x:v>Manual</x:v>
      </x:c>
      <x:c r="G1721" s="7" t="str">
        <x:v>Hatchback</x:v>
      </x:c>
      <x:c r="H1721" s="7" t="n">
        <x:v>1497</x:v>
      </x:c>
      <x:c r="I1721" s="7" t="n">
        <x:v>89</x:v>
      </x:c>
      <x:c r="J1721" s="9" t="n">
        <x:v>23.6</x:v>
      </x:c>
      <x:c r="K1721" s="9" t="n">
        <x:v>9.5</x:v>
      </x:c>
      <x:c r="L1721" s="7" t="n">
        <x:v>2022</x:v>
      </x:c>
      <x:c r="M1721" s="11" t="n">
        <x:v>82779</x:v>
      </x:c>
      <x:c r="N1721" s="7" t="n">
        <x:v>2</x:v>
      </x:c>
      <x:c r="O1721" s="7" t="n">
        <x:v>0</x:v>
      </x:c>
      <x:c r="P1721" s="9" t="n">
        <x:v>5.32</x:v>
      </x:c>
      <x:c r="Q1721" s="7" t="n">
        <x:f>'Guide'!$B$5-L1721</x:f>
        <x:v>4</x:v>
      </x:c>
      <x:c r="R1721" s="9" t="n">
        <x:f>K1721-P1721</x:f>
        <x:v>4.18</x:v>
      </x:c>
      <x:c r="S1721" s="10" t="n">
        <x:f>IF(K1721&gt;0,R1721/K1721,"")</x:f>
        <x:v>0.43999999999999995</x:v>
      </x:c>
    </x:row>
    <x:row r="1722">
      <x:c r="A1722" s="7" t="n">
        <x:v>1718</x:v>
      </x:c>
      <x:c r="B1722" s="7" t="str">
        <x:v>Tata</x:v>
      </x:c>
      <x:c r="C1722" s="7" t="str">
        <x:v>Altroz</x:v>
      </x:c>
      <x:c r="D1722" s="7" t="str">
        <x:v>XT Diesel</x:v>
      </x:c>
      <x:c r="E1722" s="7" t="str">
        <x:v>Diesel</x:v>
      </x:c>
      <x:c r="F1722" s="7" t="str">
        <x:v>Manual</x:v>
      </x:c>
      <x:c r="G1722" s="7" t="str">
        <x:v>Hatchback</x:v>
      </x:c>
      <x:c r="H1722" s="7" t="n">
        <x:v>1497</x:v>
      </x:c>
      <x:c r="I1722" s="7" t="n">
        <x:v>89</x:v>
      </x:c>
      <x:c r="J1722" s="9" t="n">
        <x:v>23.6</x:v>
      </x:c>
      <x:c r="K1722" s="9" t="n">
        <x:v>9.5</x:v>
      </x:c>
      <x:c r="L1722" s="7" t="n">
        <x:v>2025</x:v>
      </x:c>
      <x:c r="M1722" s="11" t="n">
        <x:v>29429</x:v>
      </x:c>
      <x:c r="N1722" s="7" t="n">
        <x:v>1</x:v>
      </x:c>
      <x:c r="O1722" s="7" t="n">
        <x:v>0</x:v>
      </x:c>
      <x:c r="P1722" s="9" t="n">
        <x:v>8.64</x:v>
      </x:c>
      <x:c r="Q1722" s="7" t="n">
        <x:f>'Guide'!$B$5-L1722</x:f>
        <x:v>1</x:v>
      </x:c>
      <x:c r="R1722" s="9" t="n">
        <x:f>K1722-P1722</x:f>
        <x:v>0.8599999999999994</x:v>
      </x:c>
      <x:c r="S1722" s="10" t="n">
        <x:f>IF(K1722&gt;0,R1722/K1722,"")</x:f>
        <x:v>0.09052631578947362</x:v>
      </x:c>
    </x:row>
    <x:row r="1723">
      <x:c r="A1723" s="7" t="n">
        <x:v>1719</x:v>
      </x:c>
      <x:c r="B1723" s="7" t="str">
        <x:v>Tata</x:v>
      </x:c>
      <x:c r="C1723" s="7" t="str">
        <x:v>Altroz</x:v>
      </x:c>
      <x:c r="D1723" s="7" t="str">
        <x:v>XT Diesel</x:v>
      </x:c>
      <x:c r="E1723" s="7" t="str">
        <x:v>Diesel</x:v>
      </x:c>
      <x:c r="F1723" s="7" t="str">
        <x:v>Manual</x:v>
      </x:c>
      <x:c r="G1723" s="7" t="str">
        <x:v>Hatchback</x:v>
      </x:c>
      <x:c r="H1723" s="7" t="n">
        <x:v>1497</x:v>
      </x:c>
      <x:c r="I1723" s="7" t="n">
        <x:v>89</x:v>
      </x:c>
      <x:c r="J1723" s="9" t="n">
        <x:v>23.6</x:v>
      </x:c>
      <x:c r="K1723" s="9" t="n">
        <x:v>9.5</x:v>
      </x:c>
      <x:c r="L1723" s="7" t="n">
        <x:v>2023</x:v>
      </x:c>
      <x:c r="M1723" s="11" t="n">
        <x:v>55883</x:v>
      </x:c>
      <x:c r="N1723" s="7" t="n">
        <x:v>1</x:v>
      </x:c>
      <x:c r="O1723" s="7" t="n">
        <x:v>0</x:v>
      </x:c>
      <x:c r="P1723" s="9" t="n">
        <x:v>6.64</x:v>
      </x:c>
      <x:c r="Q1723" s="7" t="n">
        <x:f>'Guide'!$B$5-L1723</x:f>
        <x:v>3</x:v>
      </x:c>
      <x:c r="R1723" s="9" t="n">
        <x:f>K1723-P1723</x:f>
        <x:v>2.8600000000000003</x:v>
      </x:c>
      <x:c r="S1723" s="10" t="n">
        <x:f>IF(K1723&gt;0,R1723/K1723,"")</x:f>
        <x:v>0.3010526315789474</x:v>
      </x:c>
    </x:row>
    <x:row r="1724">
      <x:c r="A1724" s="7" t="n">
        <x:v>1720</x:v>
      </x:c>
      <x:c r="B1724" s="7" t="str">
        <x:v>Tata</x:v>
      </x:c>
      <x:c r="C1724" s="7" t="str">
        <x:v>Altroz</x:v>
      </x:c>
      <x:c r="D1724" s="7" t="str">
        <x:v>XT Diesel</x:v>
      </x:c>
      <x:c r="E1724" s="7" t="str">
        <x:v>Diesel</x:v>
      </x:c>
      <x:c r="F1724" s="7" t="str">
        <x:v>Manual</x:v>
      </x:c>
      <x:c r="G1724" s="7" t="str">
        <x:v>Hatchback</x:v>
      </x:c>
      <x:c r="H1724" s="7" t="n">
        <x:v>1497</x:v>
      </x:c>
      <x:c r="I1724" s="7" t="n">
        <x:v>89</x:v>
      </x:c>
      <x:c r="J1724" s="9" t="n">
        <x:v>23.6</x:v>
      </x:c>
      <x:c r="K1724" s="9" t="n">
        <x:v>9.5</x:v>
      </x:c>
      <x:c r="L1724" s="7" t="n">
        <x:v>2024</x:v>
      </x:c>
      <x:c r="M1724" s="11" t="n">
        <x:v>48657</x:v>
      </x:c>
      <x:c r="N1724" s="7" t="n">
        <x:v>1</x:v>
      </x:c>
      <x:c r="O1724" s="7" t="n">
        <x:v>0</x:v>
      </x:c>
      <x:c r="P1724" s="9" t="n">
        <x:v>7.46</x:v>
      </x:c>
      <x:c r="Q1724" s="7" t="n">
        <x:f>'Guide'!$B$5-L1724</x:f>
        <x:v>2</x:v>
      </x:c>
      <x:c r="R1724" s="9" t="n">
        <x:f>K1724-P1724</x:f>
        <x:v>2.04</x:v>
      </x:c>
      <x:c r="S1724" s="10" t="n">
        <x:f>IF(K1724&gt;0,R1724/K1724,"")</x:f>
        <x:v>0.21473684210526317</x:v>
      </x:c>
    </x:row>
    <x:row r="1725">
      <x:c r="A1725" s="7" t="n">
        <x:v>1721</x:v>
      </x:c>
      <x:c r="B1725" s="7" t="str">
        <x:v>Tata</x:v>
      </x:c>
      <x:c r="C1725" s="7" t="str">
        <x:v>Altroz</x:v>
      </x:c>
      <x:c r="D1725" s="7" t="str">
        <x:v>XT Diesel</x:v>
      </x:c>
      <x:c r="E1725" s="7" t="str">
        <x:v>Diesel</x:v>
      </x:c>
      <x:c r="F1725" s="7" t="str">
        <x:v>Manual</x:v>
      </x:c>
      <x:c r="G1725" s="7" t="str">
        <x:v>Hatchback</x:v>
      </x:c>
      <x:c r="H1725" s="7" t="n">
        <x:v>1497</x:v>
      </x:c>
      <x:c r="I1725" s="7" t="n">
        <x:v>89</x:v>
      </x:c>
      <x:c r="J1725" s="9" t="n">
        <x:v>23.6</x:v>
      </x:c>
      <x:c r="K1725" s="9" t="n">
        <x:v>9.5</x:v>
      </x:c>
      <x:c r="L1725" s="7" t="n">
        <x:v>2020</x:v>
      </x:c>
      <x:c r="M1725" s="11" t="n">
        <x:v>98408</x:v>
      </x:c>
      <x:c r="N1725" s="7" t="n">
        <x:v>2</x:v>
      </x:c>
      <x:c r="O1725" s="7" t="n">
        <x:v>0</x:v>
      </x:c>
      <x:c r="P1725" s="9" t="n">
        <x:v>3.3</x:v>
      </x:c>
      <x:c r="Q1725" s="7" t="n">
        <x:f>'Guide'!$B$5-L1725</x:f>
        <x:v>6</x:v>
      </x:c>
      <x:c r="R1725" s="9" t="n">
        <x:f>K1725-P1725</x:f>
        <x:v>6.2</x:v>
      </x:c>
      <x:c r="S1725" s="10" t="n">
        <x:f>IF(K1725&gt;0,R1725/K1725,"")</x:f>
        <x:v>0.6526315789473685</x:v>
      </x:c>
    </x:row>
    <x:row r="1726">
      <x:c r="A1726" s="7" t="n">
        <x:v>1722</x:v>
      </x:c>
      <x:c r="B1726" s="7" t="str">
        <x:v>Tata</x:v>
      </x:c>
      <x:c r="C1726" s="7" t="str">
        <x:v>Altroz</x:v>
      </x:c>
      <x:c r="D1726" s="7" t="str">
        <x:v>XT Diesel</x:v>
      </x:c>
      <x:c r="E1726" s="7" t="str">
        <x:v>Diesel</x:v>
      </x:c>
      <x:c r="F1726" s="7" t="str">
        <x:v>Manual</x:v>
      </x:c>
      <x:c r="G1726" s="7" t="str">
        <x:v>Hatchback</x:v>
      </x:c>
      <x:c r="H1726" s="7" t="n">
        <x:v>1497</x:v>
      </x:c>
      <x:c r="I1726" s="7" t="n">
        <x:v>89</x:v>
      </x:c>
      <x:c r="J1726" s="9" t="n">
        <x:v>23.6</x:v>
      </x:c>
      <x:c r="K1726" s="9" t="n">
        <x:v>9.5</x:v>
      </x:c>
      <x:c r="L1726" s="7" t="n">
        <x:v>2022</x:v>
      </x:c>
      <x:c r="M1726" s="11" t="n">
        <x:v>45045</x:v>
      </x:c>
      <x:c r="N1726" s="7" t="n">
        <x:v>1</x:v>
      </x:c>
      <x:c r="O1726" s="7" t="n">
        <x:v>0</x:v>
      </x:c>
      <x:c r="P1726" s="9" t="n">
        <x:v>6.16</x:v>
      </x:c>
      <x:c r="Q1726" s="7" t="n">
        <x:f>'Guide'!$B$5-L1726</x:f>
        <x:v>4</x:v>
      </x:c>
      <x:c r="R1726" s="9" t="n">
        <x:f>K1726-P1726</x:f>
        <x:v>3.34</x:v>
      </x:c>
      <x:c r="S1726" s="10" t="n">
        <x:f>IF(K1726&gt;0,R1726/K1726,"")</x:f>
        <x:v>0.35157894736842105</x:v>
      </x:c>
    </x:row>
    <x:row r="1727">
      <x:c r="A1727" s="7" t="n">
        <x:v>1723</x:v>
      </x:c>
      <x:c r="B1727" s="7" t="str">
        <x:v>Tata</x:v>
      </x:c>
      <x:c r="C1727" s="7" t="str">
        <x:v>Altroz</x:v>
      </x:c>
      <x:c r="D1727" s="7" t="str">
        <x:v>XT Diesel</x:v>
      </x:c>
      <x:c r="E1727" s="7" t="str">
        <x:v>Diesel</x:v>
      </x:c>
      <x:c r="F1727" s="7" t="str">
        <x:v>Manual</x:v>
      </x:c>
      <x:c r="G1727" s="7" t="str">
        <x:v>Hatchback</x:v>
      </x:c>
      <x:c r="H1727" s="7" t="n">
        <x:v>1497</x:v>
      </x:c>
      <x:c r="I1727" s="7" t="n">
        <x:v>89</x:v>
      </x:c>
      <x:c r="J1727" s="9" t="n">
        <x:v>23.6</x:v>
      </x:c>
      <x:c r="K1727" s="9" t="n">
        <x:v>9.5</x:v>
      </x:c>
      <x:c r="L1727" s="7" t="n">
        <x:v>2021</x:v>
      </x:c>
      <x:c r="M1727" s="11" t="n">
        <x:v>85060</x:v>
      </x:c>
      <x:c r="N1727" s="7" t="n">
        <x:v>1</x:v>
      </x:c>
      <x:c r="O1727" s="7" t="n">
        <x:v>0</x:v>
      </x:c>
      <x:c r="P1727" s="9" t="n">
        <x:v>4.58</x:v>
      </x:c>
      <x:c r="Q1727" s="7" t="n">
        <x:f>'Guide'!$B$5-L1727</x:f>
        <x:v>5</x:v>
      </x:c>
      <x:c r="R1727" s="9" t="n">
        <x:f>K1727-P1727</x:f>
        <x:v>4.92</x:v>
      </x:c>
      <x:c r="S1727" s="10" t="n">
        <x:f>IF(K1727&gt;0,R1727/K1727,"")</x:f>
        <x:v>0.5178947368421053</x:v>
      </x:c>
    </x:row>
    <x:row r="1728">
      <x:c r="A1728" s="7" t="n">
        <x:v>1724</x:v>
      </x:c>
      <x:c r="B1728" s="7" t="str">
        <x:v>Tata</x:v>
      </x:c>
      <x:c r="C1728" s="7" t="str">
        <x:v>Altroz</x:v>
      </x:c>
      <x:c r="D1728" s="7" t="str">
        <x:v>XT Diesel</x:v>
      </x:c>
      <x:c r="E1728" s="7" t="str">
        <x:v>Diesel</x:v>
      </x:c>
      <x:c r="F1728" s="7" t="str">
        <x:v>Manual</x:v>
      </x:c>
      <x:c r="G1728" s="7" t="str">
        <x:v>Hatchback</x:v>
      </x:c>
      <x:c r="H1728" s="7" t="n">
        <x:v>1497</x:v>
      </x:c>
      <x:c r="I1728" s="7" t="n">
        <x:v>89</x:v>
      </x:c>
      <x:c r="J1728" s="9" t="n">
        <x:v>23.6</x:v>
      </x:c>
      <x:c r="K1728" s="9" t="n">
        <x:v>9.5</x:v>
      </x:c>
      <x:c r="L1728" s="7" t="n">
        <x:v>2021</x:v>
      </x:c>
      <x:c r="M1728" s="11" t="n">
        <x:v>46956</x:v>
      </x:c>
      <x:c r="N1728" s="7" t="n">
        <x:v>1</x:v>
      </x:c>
      <x:c r="O1728" s="7" t="n">
        <x:v>1</x:v>
      </x:c>
      <x:c r="P1728" s="9" t="n">
        <x:v>4.7</x:v>
      </x:c>
      <x:c r="Q1728" s="7" t="n">
        <x:f>'Guide'!$B$5-L1728</x:f>
        <x:v>5</x:v>
      </x:c>
      <x:c r="R1728" s="9" t="n">
        <x:f>K1728-P1728</x:f>
        <x:v>4.8</x:v>
      </x:c>
      <x:c r="S1728" s="10" t="n">
        <x:f>IF(K1728&gt;0,R1728/K1728,"")</x:f>
        <x:v>0.5052631578947369</x:v>
      </x:c>
    </x:row>
    <x:row r="1729">
      <x:c r="A1729" s="7" t="n">
        <x:v>1725</x:v>
      </x:c>
      <x:c r="B1729" s="7" t="str">
        <x:v>Tata</x:v>
      </x:c>
      <x:c r="C1729" s="7" t="str">
        <x:v>Altroz</x:v>
      </x:c>
      <x:c r="D1729" s="7" t="str">
        <x:v>XT Diesel</x:v>
      </x:c>
      <x:c r="E1729" s="7" t="str">
        <x:v>Diesel</x:v>
      </x:c>
      <x:c r="F1729" s="7" t="str">
        <x:v>Manual</x:v>
      </x:c>
      <x:c r="G1729" s="7" t="str">
        <x:v>Hatchback</x:v>
      </x:c>
      <x:c r="H1729" s="7" t="n">
        <x:v>1497</x:v>
      </x:c>
      <x:c r="I1729" s="7" t="n">
        <x:v>89</x:v>
      </x:c>
      <x:c r="J1729" s="9" t="n">
        <x:v>23.6</x:v>
      </x:c>
      <x:c r="K1729" s="9" t="n">
        <x:v>9.5</x:v>
      </x:c>
      <x:c r="L1729" s="7" t="n">
        <x:v>2022</x:v>
      </x:c>
      <x:c r="M1729" s="11" t="n">
        <x:v>46556</x:v>
      </x:c>
      <x:c r="N1729" s="7" t="n">
        <x:v>1</x:v>
      </x:c>
      <x:c r="O1729" s="7" t="n">
        <x:v>0</x:v>
      </x:c>
      <x:c r="P1729" s="9" t="n">
        <x:v>6.28</x:v>
      </x:c>
      <x:c r="Q1729" s="7" t="n">
        <x:f>'Guide'!$B$5-L1729</x:f>
        <x:v>4</x:v>
      </x:c>
      <x:c r="R1729" s="9" t="n">
        <x:f>K1729-P1729</x:f>
        <x:v>3.2199999999999998</x:v>
      </x:c>
      <x:c r="S1729" s="10" t="n">
        <x:f>IF(K1729&gt;0,R1729/K1729,"")</x:f>
        <x:v>0.3389473684210526</x:v>
      </x:c>
    </x:row>
    <x:row r="1730">
      <x:c r="A1730" s="7" t="n">
        <x:v>1726</x:v>
      </x:c>
      <x:c r="B1730" s="7" t="str">
        <x:v>Tata</x:v>
      </x:c>
      <x:c r="C1730" s="7" t="str">
        <x:v>Altroz</x:v>
      </x:c>
      <x:c r="D1730" s="7" t="str">
        <x:v>XT Diesel</x:v>
      </x:c>
      <x:c r="E1730" s="7" t="str">
        <x:v>Diesel</x:v>
      </x:c>
      <x:c r="F1730" s="7" t="str">
        <x:v>Manual</x:v>
      </x:c>
      <x:c r="G1730" s="7" t="str">
        <x:v>Hatchback</x:v>
      </x:c>
      <x:c r="H1730" s="7" t="n">
        <x:v>1497</x:v>
      </x:c>
      <x:c r="I1730" s="7" t="n">
        <x:v>89</x:v>
      </x:c>
      <x:c r="J1730" s="9" t="n">
        <x:v>23.6</x:v>
      </x:c>
      <x:c r="K1730" s="9" t="n">
        <x:v>9.5</x:v>
      </x:c>
      <x:c r="L1730" s="7" t="n">
        <x:v>2020</x:v>
      </x:c>
      <x:c r="M1730" s="11" t="n">
        <x:v>124633</x:v>
      </x:c>
      <x:c r="N1730" s="7" t="n">
        <x:v>1</x:v>
      </x:c>
      <x:c r="O1730" s="7" t="n">
        <x:v>0</x:v>
      </x:c>
      <x:c r="P1730" s="9" t="n">
        <x:v>3.64</x:v>
      </x:c>
      <x:c r="Q1730" s="7" t="n">
        <x:f>'Guide'!$B$5-L1730</x:f>
        <x:v>6</x:v>
      </x:c>
      <x:c r="R1730" s="9" t="n">
        <x:f>K1730-P1730</x:f>
        <x:v>5.859999999999999</x:v>
      </x:c>
      <x:c r="S1730" s="10" t="n">
        <x:f>IF(K1730&gt;0,R1730/K1730,"")</x:f>
        <x:v>0.6168421052631579</x:v>
      </x:c>
    </x:row>
    <x:row r="1731">
      <x:c r="A1731" s="7" t="n">
        <x:v>1727</x:v>
      </x:c>
      <x:c r="B1731" s="7" t="str">
        <x:v>Tata</x:v>
      </x:c>
      <x:c r="C1731" s="7" t="str">
        <x:v>Altroz</x:v>
      </x:c>
      <x:c r="D1731" s="7" t="str">
        <x:v>XT Diesel</x:v>
      </x:c>
      <x:c r="E1731" s="7" t="str">
        <x:v>Diesel</x:v>
      </x:c>
      <x:c r="F1731" s="7" t="str">
        <x:v>Manual</x:v>
      </x:c>
      <x:c r="G1731" s="7" t="str">
        <x:v>Hatchback</x:v>
      </x:c>
      <x:c r="H1731" s="7" t="n">
        <x:v>1497</x:v>
      </x:c>
      <x:c r="I1731" s="7" t="n">
        <x:v>89</x:v>
      </x:c>
      <x:c r="J1731" s="9" t="n">
        <x:v>23.6</x:v>
      </x:c>
      <x:c r="K1731" s="9" t="n">
        <x:v>9.5</x:v>
      </x:c>
      <x:c r="L1731" s="7" t="n">
        <x:v>2025</x:v>
      </x:c>
      <x:c r="M1731" s="11" t="n">
        <x:v>19541</x:v>
      </x:c>
      <x:c r="N1731" s="7" t="n">
        <x:v>2</x:v>
      </x:c>
      <x:c r="O1731" s="7" t="n">
        <x:v>0</x:v>
      </x:c>
      <x:c r="P1731" s="9" t="n">
        <x:v>8.06</x:v>
      </x:c>
      <x:c r="Q1731" s="7" t="n">
        <x:f>'Guide'!$B$5-L1731</x:f>
        <x:v>1</x:v>
      </x:c>
      <x:c r="R1731" s="9" t="n">
        <x:f>K1731-P1731</x:f>
        <x:v>1.4399999999999995</x:v>
      </x:c>
      <x:c r="S1731" s="10" t="n">
        <x:f>IF(K1731&gt;0,R1731/K1731,"")</x:f>
        <x:v>0.151578947368421</x:v>
      </x:c>
    </x:row>
    <x:row r="1732">
      <x:c r="A1732" s="7" t="n">
        <x:v>1728</x:v>
      </x:c>
      <x:c r="B1732" s="7" t="str">
        <x:v>Tata</x:v>
      </x:c>
      <x:c r="C1732" s="7" t="str">
        <x:v>Altroz</x:v>
      </x:c>
      <x:c r="D1732" s="7" t="str">
        <x:v>XT Diesel</x:v>
      </x:c>
      <x:c r="E1732" s="7" t="str">
        <x:v>Diesel</x:v>
      </x:c>
      <x:c r="F1732" s="7" t="str">
        <x:v>Manual</x:v>
      </x:c>
      <x:c r="G1732" s="7" t="str">
        <x:v>Hatchback</x:v>
      </x:c>
      <x:c r="H1732" s="7" t="n">
        <x:v>1497</x:v>
      </x:c>
      <x:c r="I1732" s="7" t="n">
        <x:v>89</x:v>
      </x:c>
      <x:c r="J1732" s="9" t="n">
        <x:v>23.6</x:v>
      </x:c>
      <x:c r="K1732" s="9" t="n">
        <x:v>9.5</x:v>
      </x:c>
      <x:c r="L1732" s="7" t="n">
        <x:v>2022</x:v>
      </x:c>
      <x:c r="M1732" s="11" t="n">
        <x:v>79513</x:v>
      </x:c>
      <x:c r="N1732" s="7" t="n">
        <x:v>1</x:v>
      </x:c>
      <x:c r="O1732" s="7" t="n">
        <x:v>0</x:v>
      </x:c>
      <x:c r="P1732" s="9" t="n">
        <x:v>5.87</x:v>
      </x:c>
      <x:c r="Q1732" s="7" t="n">
        <x:f>'Guide'!$B$5-L1732</x:f>
        <x:v>4</x:v>
      </x:c>
      <x:c r="R1732" s="9" t="n">
        <x:f>K1732-P1732</x:f>
        <x:v>3.63</x:v>
      </x:c>
      <x:c r="S1732" s="10" t="n">
        <x:f>IF(K1732&gt;0,R1732/K1732,"")</x:f>
        <x:v>0.3821052631578947</x:v>
      </x:c>
    </x:row>
    <x:row r="1733">
      <x:c r="A1733" s="7" t="n">
        <x:v>1729</x:v>
      </x:c>
      <x:c r="B1733" s="7" t="str">
        <x:v>Tata</x:v>
      </x:c>
      <x:c r="C1733" s="7" t="str">
        <x:v>Altroz</x:v>
      </x:c>
      <x:c r="D1733" s="7" t="str">
        <x:v>XT Diesel</x:v>
      </x:c>
      <x:c r="E1733" s="7" t="str">
        <x:v>Diesel</x:v>
      </x:c>
      <x:c r="F1733" s="7" t="str">
        <x:v>Manual</x:v>
      </x:c>
      <x:c r="G1733" s="7" t="str">
        <x:v>Hatchback</x:v>
      </x:c>
      <x:c r="H1733" s="7" t="n">
        <x:v>1497</x:v>
      </x:c>
      <x:c r="I1733" s="7" t="n">
        <x:v>89</x:v>
      </x:c>
      <x:c r="J1733" s="9" t="n">
        <x:v>23.6</x:v>
      </x:c>
      <x:c r="K1733" s="9" t="n">
        <x:v>9.5</x:v>
      </x:c>
      <x:c r="L1733" s="7" t="n">
        <x:v>2022</x:v>
      </x:c>
      <x:c r="M1733" s="11" t="n">
        <x:v>62137</x:v>
      </x:c>
      <x:c r="N1733" s="7" t="n">
        <x:v>1</x:v>
      </x:c>
      <x:c r="O1733" s="7" t="n">
        <x:v>0</x:v>
      </x:c>
      <x:c r="P1733" s="9" t="n">
        <x:v>5.95</x:v>
      </x:c>
      <x:c r="Q1733" s="7" t="n">
        <x:f>'Guide'!$B$5-L1733</x:f>
        <x:v>4</x:v>
      </x:c>
      <x:c r="R1733" s="9" t="n">
        <x:f>K1733-P1733</x:f>
        <x:v>3.55</x:v>
      </x:c>
      <x:c r="S1733" s="10" t="n">
        <x:f>IF(K1733&gt;0,R1733/K1733,"")</x:f>
        <x:v>0.3736842105263158</x:v>
      </x:c>
    </x:row>
    <x:row r="1734">
      <x:c r="A1734" s="7" t="n">
        <x:v>1730</x:v>
      </x:c>
      <x:c r="B1734" s="7" t="str">
        <x:v>Tata</x:v>
      </x:c>
      <x:c r="C1734" s="7" t="str">
        <x:v>Altroz</x:v>
      </x:c>
      <x:c r="D1734" s="7" t="str">
        <x:v>XT Diesel</x:v>
      </x:c>
      <x:c r="E1734" s="7" t="str">
        <x:v>Diesel</x:v>
      </x:c>
      <x:c r="F1734" s="7" t="str">
        <x:v>Manual</x:v>
      </x:c>
      <x:c r="G1734" s="7" t="str">
        <x:v>Hatchback</x:v>
      </x:c>
      <x:c r="H1734" s="7" t="n">
        <x:v>1497</x:v>
      </x:c>
      <x:c r="I1734" s="7" t="n">
        <x:v>89</x:v>
      </x:c>
      <x:c r="J1734" s="9" t="n">
        <x:v>23.6</x:v>
      </x:c>
      <x:c r="K1734" s="9" t="n">
        <x:v>9.5</x:v>
      </x:c>
      <x:c r="L1734" s="7" t="n">
        <x:v>2020</x:v>
      </x:c>
      <x:c r="M1734" s="11" t="n">
        <x:v>89403</x:v>
      </x:c>
      <x:c r="N1734" s="7" t="n">
        <x:v>1</x:v>
      </x:c>
      <x:c r="O1734" s="7" t="n">
        <x:v>0</x:v>
      </x:c>
      <x:c r="P1734" s="9" t="n">
        <x:v>3.62</x:v>
      </x:c>
      <x:c r="Q1734" s="7" t="n">
        <x:f>'Guide'!$B$5-L1734</x:f>
        <x:v>6</x:v>
      </x:c>
      <x:c r="R1734" s="9" t="n">
        <x:f>K1734-P1734</x:f>
        <x:v>5.88</x:v>
      </x:c>
      <x:c r="S1734" s="10" t="n">
        <x:f>IF(K1734&gt;0,R1734/K1734,"")</x:f>
        <x:v>0.6189473684210526</x:v>
      </x:c>
    </x:row>
    <x:row r="1735">
      <x:c r="A1735" s="7" t="n">
        <x:v>1731</x:v>
      </x:c>
      <x:c r="B1735" s="7" t="str">
        <x:v>Tata</x:v>
      </x:c>
      <x:c r="C1735" s="7" t="str">
        <x:v>Altroz</x:v>
      </x:c>
      <x:c r="D1735" s="7" t="str">
        <x:v>XT Diesel</x:v>
      </x:c>
      <x:c r="E1735" s="7" t="str">
        <x:v>Diesel</x:v>
      </x:c>
      <x:c r="F1735" s="7" t="str">
        <x:v>Manual</x:v>
      </x:c>
      <x:c r="G1735" s="7" t="str">
        <x:v>Hatchback</x:v>
      </x:c>
      <x:c r="H1735" s="7" t="n">
        <x:v>1497</x:v>
      </x:c>
      <x:c r="I1735" s="7" t="n">
        <x:v>89</x:v>
      </x:c>
      <x:c r="J1735" s="9" t="n">
        <x:v>23.6</x:v>
      </x:c>
      <x:c r="K1735" s="9" t="n">
        <x:v>9.5</x:v>
      </x:c>
      <x:c r="L1735" s="7" t="n">
        <x:v>2024</x:v>
      </x:c>
      <x:c r="M1735" s="11" t="n">
        <x:v>28459</x:v>
      </x:c>
      <x:c r="N1735" s="7" t="n">
        <x:v>1</x:v>
      </x:c>
      <x:c r="O1735" s="7" t="n">
        <x:v>0</x:v>
      </x:c>
      <x:c r="P1735" s="9" t="n">
        <x:v>7.37</x:v>
      </x:c>
      <x:c r="Q1735" s="7" t="n">
        <x:f>'Guide'!$B$5-L1735</x:f>
        <x:v>2</x:v>
      </x:c>
      <x:c r="R1735" s="9" t="n">
        <x:f>K1735-P1735</x:f>
        <x:v>2.13</x:v>
      </x:c>
      <x:c r="S1735" s="10" t="n">
        <x:f>IF(K1735&gt;0,R1735/K1735,"")</x:f>
        <x:v>0.22421052631578947</x:v>
      </x:c>
    </x:row>
    <x:row r="1736">
      <x:c r="A1736" s="7" t="n">
        <x:v>1732</x:v>
      </x:c>
      <x:c r="B1736" s="7" t="str">
        <x:v>Tata</x:v>
      </x:c>
      <x:c r="C1736" s="7" t="str">
        <x:v>Altroz</x:v>
      </x:c>
      <x:c r="D1736" s="7" t="str">
        <x:v>XT Diesel</x:v>
      </x:c>
      <x:c r="E1736" s="7" t="str">
        <x:v>Diesel</x:v>
      </x:c>
      <x:c r="F1736" s="7" t="str">
        <x:v>Manual</x:v>
      </x:c>
      <x:c r="G1736" s="7" t="str">
        <x:v>Hatchback</x:v>
      </x:c>
      <x:c r="H1736" s="7" t="n">
        <x:v>1497</x:v>
      </x:c>
      <x:c r="I1736" s="7" t="n">
        <x:v>89</x:v>
      </x:c>
      <x:c r="J1736" s="9" t="n">
        <x:v>23.6</x:v>
      </x:c>
      <x:c r="K1736" s="9" t="n">
        <x:v>9.5</x:v>
      </x:c>
      <x:c r="L1736" s="7" t="n">
        <x:v>2020</x:v>
      </x:c>
      <x:c r="M1736" s="11" t="n">
        <x:v>116130</x:v>
      </x:c>
      <x:c r="N1736" s="7" t="n">
        <x:v>1</x:v>
      </x:c>
      <x:c r="O1736" s="7" t="n">
        <x:v>0</x:v>
      </x:c>
      <x:c r="P1736" s="9" t="n">
        <x:v>3.77</x:v>
      </x:c>
      <x:c r="Q1736" s="7" t="n">
        <x:f>'Guide'!$B$5-L1736</x:f>
        <x:v>6</x:v>
      </x:c>
      <x:c r="R1736" s="9" t="n">
        <x:f>K1736-P1736</x:f>
        <x:v>5.73</x:v>
      </x:c>
      <x:c r="S1736" s="10" t="n">
        <x:f>IF(K1736&gt;0,R1736/K1736,"")</x:f>
        <x:v>0.6031578947368421</x:v>
      </x:c>
    </x:row>
    <x:row r="1737">
      <x:c r="A1737" s="7" t="n">
        <x:v>1733</x:v>
      </x:c>
      <x:c r="B1737" s="7" t="str">
        <x:v>Tata</x:v>
      </x:c>
      <x:c r="C1737" s="7" t="str">
        <x:v>Altroz</x:v>
      </x:c>
      <x:c r="D1737" s="7" t="str">
        <x:v>XT Diesel</x:v>
      </x:c>
      <x:c r="E1737" s="7" t="str">
        <x:v>Diesel</x:v>
      </x:c>
      <x:c r="F1737" s="7" t="str">
        <x:v>Manual</x:v>
      </x:c>
      <x:c r="G1737" s="7" t="str">
        <x:v>Hatchback</x:v>
      </x:c>
      <x:c r="H1737" s="7" t="n">
        <x:v>1497</x:v>
      </x:c>
      <x:c r="I1737" s="7" t="n">
        <x:v>89</x:v>
      </x:c>
      <x:c r="J1737" s="9" t="n">
        <x:v>23.6</x:v>
      </x:c>
      <x:c r="K1737" s="9" t="n">
        <x:v>9.5</x:v>
      </x:c>
      <x:c r="L1737" s="7" t="n">
        <x:v>2024</x:v>
      </x:c>
      <x:c r="M1737" s="11" t="n">
        <x:v>22300</x:v>
      </x:c>
      <x:c r="N1737" s="7" t="n">
        <x:v>2</x:v>
      </x:c>
      <x:c r="O1737" s="7" t="n">
        <x:v>0</x:v>
      </x:c>
      <x:c r="P1737" s="9" t="n">
        <x:v>7.68</x:v>
      </x:c>
      <x:c r="Q1737" s="7" t="n">
        <x:f>'Guide'!$B$5-L1737</x:f>
        <x:v>2</x:v>
      </x:c>
      <x:c r="R1737" s="9" t="n">
        <x:f>K1737-P1737</x:f>
        <x:v>1.8200000000000003</x:v>
      </x:c>
      <x:c r="S1737" s="10" t="n">
        <x:f>IF(K1737&gt;0,R1737/K1737,"")</x:f>
        <x:v>0.19157894736842107</x:v>
      </x:c>
    </x:row>
    <x:row r="1738">
      <x:c r="A1738" s="7" t="n">
        <x:v>1734</x:v>
      </x:c>
      <x:c r="B1738" s="7" t="str">
        <x:v>Tata</x:v>
      </x:c>
      <x:c r="C1738" s="7" t="str">
        <x:v>Altroz</x:v>
      </x:c>
      <x:c r="D1738" s="7" t="str">
        <x:v>XT Diesel</x:v>
      </x:c>
      <x:c r="E1738" s="7" t="str">
        <x:v>Diesel</x:v>
      </x:c>
      <x:c r="F1738" s="7" t="str">
        <x:v>Manual</x:v>
      </x:c>
      <x:c r="G1738" s="7" t="str">
        <x:v>Hatchback</x:v>
      </x:c>
      <x:c r="H1738" s="7" t="n">
        <x:v>1497</x:v>
      </x:c>
      <x:c r="I1738" s="7" t="n">
        <x:v>89</x:v>
      </x:c>
      <x:c r="J1738" s="9" t="n">
        <x:v>23.6</x:v>
      </x:c>
      <x:c r="K1738" s="9" t="n">
        <x:v>9.5</x:v>
      </x:c>
      <x:c r="L1738" s="7" t="n">
        <x:v>2024</x:v>
      </x:c>
      <x:c r="M1738" s="11" t="n">
        <x:v>48688</x:v>
      </x:c>
      <x:c r="N1738" s="7" t="n">
        <x:v>1</x:v>
      </x:c>
      <x:c r="O1738" s="7" t="n">
        <x:v>0</x:v>
      </x:c>
      <x:c r="P1738" s="9" t="n">
        <x:v>7.8</x:v>
      </x:c>
      <x:c r="Q1738" s="7" t="n">
        <x:f>'Guide'!$B$5-L1738</x:f>
        <x:v>2</x:v>
      </x:c>
      <x:c r="R1738" s="9" t="n">
        <x:f>K1738-P1738</x:f>
        <x:v>1.7000000000000002</x:v>
      </x:c>
      <x:c r="S1738" s="10" t="n">
        <x:f>IF(K1738&gt;0,R1738/K1738,"")</x:f>
        <x:v>0.17894736842105266</x:v>
      </x:c>
    </x:row>
    <x:row r="1739">
      <x:c r="A1739" s="7" t="n">
        <x:v>1735</x:v>
      </x:c>
      <x:c r="B1739" s="7" t="str">
        <x:v>Tata</x:v>
      </x:c>
      <x:c r="C1739" s="7" t="str">
        <x:v>Altroz</x:v>
      </x:c>
      <x:c r="D1739" s="7" t="str">
        <x:v>XT Diesel</x:v>
      </x:c>
      <x:c r="E1739" s="7" t="str">
        <x:v>Diesel</x:v>
      </x:c>
      <x:c r="F1739" s="7" t="str">
        <x:v>Manual</x:v>
      </x:c>
      <x:c r="G1739" s="7" t="str">
        <x:v>Hatchback</x:v>
      </x:c>
      <x:c r="H1739" s="7" t="n">
        <x:v>1497</x:v>
      </x:c>
      <x:c r="I1739" s="7" t="n">
        <x:v>89</x:v>
      </x:c>
      <x:c r="J1739" s="9" t="n">
        <x:v>23.6</x:v>
      </x:c>
      <x:c r="K1739" s="9" t="n">
        <x:v>9.5</x:v>
      </x:c>
      <x:c r="L1739" s="7" t="n">
        <x:v>2020</x:v>
      </x:c>
      <x:c r="M1739" s="11" t="n">
        <x:v>74583</x:v>
      </x:c>
      <x:c r="N1739" s="7" t="n">
        <x:v>2</x:v>
      </x:c>
      <x:c r="O1739" s="7" t="n">
        <x:v>0</x:v>
      </x:c>
      <x:c r="P1739" s="9" t="n">
        <x:v>3.4</x:v>
      </x:c>
      <x:c r="Q1739" s="7" t="n">
        <x:f>'Guide'!$B$5-L1739</x:f>
        <x:v>6</x:v>
      </x:c>
      <x:c r="R1739" s="9" t="n">
        <x:f>K1739-P1739</x:f>
        <x:v>6.1</x:v>
      </x:c>
      <x:c r="S1739" s="10" t="n">
        <x:f>IF(K1739&gt;0,R1739/K1739,"")</x:f>
        <x:v>0.6421052631578947</x:v>
      </x:c>
    </x:row>
    <x:row r="1740">
      <x:c r="A1740" s="7" t="n">
        <x:v>1736</x:v>
      </x:c>
      <x:c r="B1740" s="7" t="str">
        <x:v>Tata</x:v>
      </x:c>
      <x:c r="C1740" s="7" t="str">
        <x:v>Altroz</x:v>
      </x:c>
      <x:c r="D1740" s="7" t="str">
        <x:v>XT Diesel</x:v>
      </x:c>
      <x:c r="E1740" s="7" t="str">
        <x:v>Diesel</x:v>
      </x:c>
      <x:c r="F1740" s="7" t="str">
        <x:v>Manual</x:v>
      </x:c>
      <x:c r="G1740" s="7" t="str">
        <x:v>Hatchback</x:v>
      </x:c>
      <x:c r="H1740" s="7" t="n">
        <x:v>1497</x:v>
      </x:c>
      <x:c r="I1740" s="7" t="n">
        <x:v>89</x:v>
      </x:c>
      <x:c r="J1740" s="9" t="n">
        <x:v>23.6</x:v>
      </x:c>
      <x:c r="K1740" s="9" t="n">
        <x:v>9.5</x:v>
      </x:c>
      <x:c r="L1740" s="7" t="n">
        <x:v>2026</x:v>
      </x:c>
      <x:c r="M1740" s="11" t="n">
        <x:v>7185</x:v>
      </x:c>
      <x:c r="N1740" s="7" t="n">
        <x:v>1</x:v>
      </x:c>
      <x:c r="O1740" s="7" t="n">
        <x:v>0</x:v>
      </x:c>
      <x:c r="P1740" s="9" t="n">
        <x:v>9.03</x:v>
      </x:c>
      <x:c r="Q1740" s="7" t="n">
        <x:f>'Guide'!$B$5-L1740</x:f>
        <x:v>0</x:v>
      </x:c>
      <x:c r="R1740" s="9" t="n">
        <x:f>K1740-P1740</x:f>
        <x:v>0.47000000000000064</x:v>
      </x:c>
      <x:c r="S1740" s="10" t="n">
        <x:f>IF(K1740&gt;0,R1740/K1740,"")</x:f>
        <x:v>0.049473684210526385</x:v>
      </x:c>
    </x:row>
    <x:row r="1741">
      <x:c r="A1741" s="7" t="n">
        <x:v>1737</x:v>
      </x:c>
      <x:c r="B1741" s="7" t="str">
        <x:v>Tata</x:v>
      </x:c>
      <x:c r="C1741" s="7" t="str">
        <x:v>Altroz</x:v>
      </x:c>
      <x:c r="D1741" s="7" t="str">
        <x:v>XT Diesel</x:v>
      </x:c>
      <x:c r="E1741" s="7" t="str">
        <x:v>Diesel</x:v>
      </x:c>
      <x:c r="F1741" s="7" t="str">
        <x:v>Manual</x:v>
      </x:c>
      <x:c r="G1741" s="7" t="str">
        <x:v>Hatchback</x:v>
      </x:c>
      <x:c r="H1741" s="7" t="n">
        <x:v>1497</x:v>
      </x:c>
      <x:c r="I1741" s="7" t="n">
        <x:v>89</x:v>
      </x:c>
      <x:c r="J1741" s="9" t="n">
        <x:v>23.6</x:v>
      </x:c>
      <x:c r="K1741" s="9" t="n">
        <x:v>9.5</x:v>
      </x:c>
      <x:c r="L1741" s="7" t="n">
        <x:v>2023</x:v>
      </x:c>
      <x:c r="M1741" s="11" t="n">
        <x:v>59042</x:v>
      </x:c>
      <x:c r="N1741" s="7" t="n">
        <x:v>1</x:v>
      </x:c>
      <x:c r="O1741" s="7" t="n">
        <x:v>0</x:v>
      </x:c>
      <x:c r="P1741" s="9" t="n">
        <x:v>6.71</x:v>
      </x:c>
      <x:c r="Q1741" s="7" t="n">
        <x:f>'Guide'!$B$5-L1741</x:f>
        <x:v>3</x:v>
      </x:c>
      <x:c r="R1741" s="9" t="n">
        <x:f>K1741-P1741</x:f>
        <x:v>2.79</x:v>
      </x:c>
      <x:c r="S1741" s="10" t="n">
        <x:f>IF(K1741&gt;0,R1741/K1741,"")</x:f>
        <x:v>0.29368421052631577</x:v>
      </x:c>
    </x:row>
    <x:row r="1742">
      <x:c r="A1742" s="7" t="n">
        <x:v>1738</x:v>
      </x:c>
      <x:c r="B1742" s="7" t="str">
        <x:v>Tata</x:v>
      </x:c>
      <x:c r="C1742" s="7" t="str">
        <x:v>Altroz</x:v>
      </x:c>
      <x:c r="D1742" s="7" t="str">
        <x:v>XT Diesel</x:v>
      </x:c>
      <x:c r="E1742" s="7" t="str">
        <x:v>Diesel</x:v>
      </x:c>
      <x:c r="F1742" s="7" t="str">
        <x:v>Manual</x:v>
      </x:c>
      <x:c r="G1742" s="7" t="str">
        <x:v>Hatchback</x:v>
      </x:c>
      <x:c r="H1742" s="7" t="n">
        <x:v>1497</x:v>
      </x:c>
      <x:c r="I1742" s="7" t="n">
        <x:v>89</x:v>
      </x:c>
      <x:c r="J1742" s="9" t="n">
        <x:v>23.6</x:v>
      </x:c>
      <x:c r="K1742" s="9" t="n">
        <x:v>9.5</x:v>
      </x:c>
      <x:c r="L1742" s="7" t="n">
        <x:v>2025</x:v>
      </x:c>
      <x:c r="M1742" s="11" t="n">
        <x:v>26704</x:v>
      </x:c>
      <x:c r="N1742" s="7" t="n">
        <x:v>2</x:v>
      </x:c>
      <x:c r="O1742" s="7" t="n">
        <x:v>0</x:v>
      </x:c>
      <x:c r="P1742" s="9" t="n">
        <x:v>8.33</x:v>
      </x:c>
      <x:c r="Q1742" s="7" t="n">
        <x:f>'Guide'!$B$5-L1742</x:f>
        <x:v>1</x:v>
      </x:c>
      <x:c r="R1742" s="9" t="n">
        <x:f>K1742-P1742</x:f>
        <x:v>1.17</x:v>
      </x:c>
      <x:c r="S1742" s="10" t="n">
        <x:f>IF(K1742&gt;0,R1742/K1742,"")</x:f>
        <x:v>0.12315789473684209</x:v>
      </x:c>
    </x:row>
    <x:row r="1743">
      <x:c r="A1743" s="7" t="n">
        <x:v>1739</x:v>
      </x:c>
      <x:c r="B1743" s="7" t="str">
        <x:v>Tata</x:v>
      </x:c>
      <x:c r="C1743" s="7" t="str">
        <x:v>Altroz</x:v>
      </x:c>
      <x:c r="D1743" s="7" t="str">
        <x:v>XT Diesel</x:v>
      </x:c>
      <x:c r="E1743" s="7" t="str">
        <x:v>Diesel</x:v>
      </x:c>
      <x:c r="F1743" s="7" t="str">
        <x:v>Manual</x:v>
      </x:c>
      <x:c r="G1743" s="7" t="str">
        <x:v>Hatchback</x:v>
      </x:c>
      <x:c r="H1743" s="7" t="n">
        <x:v>1497</x:v>
      </x:c>
      <x:c r="I1743" s="7" t="n">
        <x:v>89</x:v>
      </x:c>
      <x:c r="J1743" s="9" t="n">
        <x:v>23.6</x:v>
      </x:c>
      <x:c r="K1743" s="9" t="n">
        <x:v>9.5</x:v>
      </x:c>
      <x:c r="L1743" s="7" t="n">
        <x:v>2022</x:v>
      </x:c>
      <x:c r="M1743" s="11" t="n">
        <x:v>51232</x:v>
      </x:c>
      <x:c r="N1743" s="7" t="n">
        <x:v>1</x:v>
      </x:c>
      <x:c r="O1743" s="7" t="n">
        <x:v>0</x:v>
      </x:c>
      <x:c r="P1743" s="9" t="n">
        <x:v>6.24</x:v>
      </x:c>
      <x:c r="Q1743" s="7" t="n">
        <x:f>'Guide'!$B$5-L1743</x:f>
        <x:v>4</x:v>
      </x:c>
      <x:c r="R1743" s="9" t="n">
        <x:f>K1743-P1743</x:f>
        <x:v>3.26</x:v>
      </x:c>
      <x:c r="S1743" s="10" t="n">
        <x:f>IF(K1743&gt;0,R1743/K1743,"")</x:f>
        <x:v>0.3431578947368421</x:v>
      </x:c>
    </x:row>
    <x:row r="1744">
      <x:c r="A1744" s="7" t="n">
        <x:v>1740</x:v>
      </x:c>
      <x:c r="B1744" s="7" t="str">
        <x:v>Tata</x:v>
      </x:c>
      <x:c r="C1744" s="7" t="str">
        <x:v>Altroz</x:v>
      </x:c>
      <x:c r="D1744" s="7" t="str">
        <x:v>XT Diesel</x:v>
      </x:c>
      <x:c r="E1744" s="7" t="str">
        <x:v>Diesel</x:v>
      </x:c>
      <x:c r="F1744" s="7" t="str">
        <x:v>Manual</x:v>
      </x:c>
      <x:c r="G1744" s="7" t="str">
        <x:v>Hatchback</x:v>
      </x:c>
      <x:c r="H1744" s="7" t="n">
        <x:v>1497</x:v>
      </x:c>
      <x:c r="I1744" s="7" t="n">
        <x:v>89</x:v>
      </x:c>
      <x:c r="J1744" s="9" t="n">
        <x:v>23.6</x:v>
      </x:c>
      <x:c r="K1744" s="9" t="n">
        <x:v>9.5</x:v>
      </x:c>
      <x:c r="L1744" s="7" t="n">
        <x:v>2022</x:v>
      </x:c>
      <x:c r="M1744" s="11" t="n">
        <x:v>84538</x:v>
      </x:c>
      <x:c r="N1744" s="7" t="n">
        <x:v>1</x:v>
      </x:c>
      <x:c r="O1744" s="7" t="n">
        <x:v>0</x:v>
      </x:c>
      <x:c r="P1744" s="9" t="n">
        <x:v>5.54</x:v>
      </x:c>
      <x:c r="Q1744" s="7" t="n">
        <x:f>'Guide'!$B$5-L1744</x:f>
        <x:v>4</x:v>
      </x:c>
      <x:c r="R1744" s="9" t="n">
        <x:f>K1744-P1744</x:f>
        <x:v>3.96</x:v>
      </x:c>
      <x:c r="S1744" s="10" t="n">
        <x:f>IF(K1744&gt;0,R1744/K1744,"")</x:f>
        <x:v>0.4168421052631579</x:v>
      </x:c>
    </x:row>
    <x:row r="1745">
      <x:c r="A1745" s="7" t="n">
        <x:v>1741</x:v>
      </x:c>
      <x:c r="B1745" s="7" t="str">
        <x:v>Tata</x:v>
      </x:c>
      <x:c r="C1745" s="7" t="str">
        <x:v>Altroz</x:v>
      </x:c>
      <x:c r="D1745" s="7" t="str">
        <x:v>XT Diesel</x:v>
      </x:c>
      <x:c r="E1745" s="7" t="str">
        <x:v>Diesel</x:v>
      </x:c>
      <x:c r="F1745" s="7" t="str">
        <x:v>Manual</x:v>
      </x:c>
      <x:c r="G1745" s="7" t="str">
        <x:v>Hatchback</x:v>
      </x:c>
      <x:c r="H1745" s="7" t="n">
        <x:v>1497</x:v>
      </x:c>
      <x:c r="I1745" s="7" t="n">
        <x:v>89</x:v>
      </x:c>
      <x:c r="J1745" s="9" t="n">
        <x:v>23.6</x:v>
      </x:c>
      <x:c r="K1745" s="9" t="n">
        <x:v>9.5</x:v>
      </x:c>
      <x:c r="L1745" s="7" t="n">
        <x:v>2022</x:v>
      </x:c>
      <x:c r="M1745" s="11" t="n">
        <x:v>55948</x:v>
      </x:c>
      <x:c r="N1745" s="7" t="n">
        <x:v>1</x:v>
      </x:c>
      <x:c r="O1745" s="7" t="n">
        <x:v>0</x:v>
      </x:c>
      <x:c r="P1745" s="9" t="n">
        <x:v>5.45</x:v>
      </x:c>
      <x:c r="Q1745" s="7" t="n">
        <x:f>'Guide'!$B$5-L1745</x:f>
        <x:v>4</x:v>
      </x:c>
      <x:c r="R1745" s="9" t="n">
        <x:f>K1745-P1745</x:f>
        <x:v>4.05</x:v>
      </x:c>
      <x:c r="S1745" s="10" t="n">
        <x:f>IF(K1745&gt;0,R1745/K1745,"")</x:f>
        <x:v>0.4263157894736842</x:v>
      </x:c>
    </x:row>
    <x:row r="1746">
      <x:c r="A1746" s="7" t="n">
        <x:v>1742</x:v>
      </x:c>
      <x:c r="B1746" s="7" t="str">
        <x:v>Tata</x:v>
      </x:c>
      <x:c r="C1746" s="7" t="str">
        <x:v>Altroz</x:v>
      </x:c>
      <x:c r="D1746" s="7" t="str">
        <x:v>XT Diesel</x:v>
      </x:c>
      <x:c r="E1746" s="7" t="str">
        <x:v>Diesel</x:v>
      </x:c>
      <x:c r="F1746" s="7" t="str">
        <x:v>Manual</x:v>
      </x:c>
      <x:c r="G1746" s="7" t="str">
        <x:v>Hatchback</x:v>
      </x:c>
      <x:c r="H1746" s="7" t="n">
        <x:v>1497</x:v>
      </x:c>
      <x:c r="I1746" s="7" t="n">
        <x:v>89</x:v>
      </x:c>
      <x:c r="J1746" s="9" t="n">
        <x:v>23.6</x:v>
      </x:c>
      <x:c r="K1746" s="9" t="n">
        <x:v>9.5</x:v>
      </x:c>
      <x:c r="L1746" s="7" t="n">
        <x:v>2026</x:v>
      </x:c>
      <x:c r="M1746" s="11" t="n">
        <x:v>6825</x:v>
      </x:c>
      <x:c r="N1746" s="7" t="n">
        <x:v>3</x:v>
      </x:c>
      <x:c r="O1746" s="7" t="n">
        <x:v>0</x:v>
      </x:c>
      <x:c r="P1746" s="9" t="n">
        <x:v>8.82</x:v>
      </x:c>
      <x:c r="Q1746" s="7" t="n">
        <x:f>'Guide'!$B$5-L1746</x:f>
        <x:v>0</x:v>
      </x:c>
      <x:c r="R1746" s="9" t="n">
        <x:f>K1746-P1746</x:f>
        <x:v>0.6799999999999997</x:v>
      </x:c>
      <x:c r="S1746" s="10" t="n">
        <x:f>IF(K1746&gt;0,R1746/K1746,"")</x:f>
        <x:v>0.07157894736842102</x:v>
      </x:c>
    </x:row>
    <x:row r="1747">
      <x:c r="A1747" s="7" t="n">
        <x:v>1743</x:v>
      </x:c>
      <x:c r="B1747" s="7" t="str">
        <x:v>Tata</x:v>
      </x:c>
      <x:c r="C1747" s="7" t="str">
        <x:v>Altroz</x:v>
      </x:c>
      <x:c r="D1747" s="7" t="str">
        <x:v>XT Diesel</x:v>
      </x:c>
      <x:c r="E1747" s="7" t="str">
        <x:v>Diesel</x:v>
      </x:c>
      <x:c r="F1747" s="7" t="str">
        <x:v>Manual</x:v>
      </x:c>
      <x:c r="G1747" s="7" t="str">
        <x:v>Hatchback</x:v>
      </x:c>
      <x:c r="H1747" s="7" t="n">
        <x:v>1497</x:v>
      </x:c>
      <x:c r="I1747" s="7" t="n">
        <x:v>89</x:v>
      </x:c>
      <x:c r="J1747" s="9" t="n">
        <x:v>23.6</x:v>
      </x:c>
      <x:c r="K1747" s="9" t="n">
        <x:v>9.5</x:v>
      </x:c>
      <x:c r="L1747" s="7" t="n">
        <x:v>2025</x:v>
      </x:c>
      <x:c r="M1747" s="11" t="n">
        <x:v>24146</x:v>
      </x:c>
      <x:c r="N1747" s="7" t="n">
        <x:v>1</x:v>
      </x:c>
      <x:c r="O1747" s="7" t="n">
        <x:v>0</x:v>
      </x:c>
      <x:c r="P1747" s="9" t="n">
        <x:v>8.66</x:v>
      </x:c>
      <x:c r="Q1747" s="7" t="n">
        <x:f>'Guide'!$B$5-L1747</x:f>
        <x:v>1</x:v>
      </x:c>
      <x:c r="R1747" s="9" t="n">
        <x:f>K1747-P1747</x:f>
        <x:v>0.8399999999999999</x:v>
      </x:c>
      <x:c r="S1747" s="10" t="n">
        <x:f>IF(K1747&gt;0,R1747/K1747,"")</x:f>
        <x:v>0.08842105263157893</x:v>
      </x:c>
    </x:row>
    <x:row r="1748">
      <x:c r="A1748" s="7" t="n">
        <x:v>1744</x:v>
      </x:c>
      <x:c r="B1748" s="7" t="str">
        <x:v>Tata</x:v>
      </x:c>
      <x:c r="C1748" s="7" t="str">
        <x:v>Altroz</x:v>
      </x:c>
      <x:c r="D1748" s="7" t="str">
        <x:v>XT Diesel</x:v>
      </x:c>
      <x:c r="E1748" s="7" t="str">
        <x:v>Diesel</x:v>
      </x:c>
      <x:c r="F1748" s="7" t="str">
        <x:v>Manual</x:v>
      </x:c>
      <x:c r="G1748" s="7" t="str">
        <x:v>Hatchback</x:v>
      </x:c>
      <x:c r="H1748" s="7" t="n">
        <x:v>1497</x:v>
      </x:c>
      <x:c r="I1748" s="7" t="n">
        <x:v>89</x:v>
      </x:c>
      <x:c r="J1748" s="9" t="n">
        <x:v>23.6</x:v>
      </x:c>
      <x:c r="K1748" s="9" t="n">
        <x:v>9.5</x:v>
      </x:c>
      <x:c r="L1748" s="7" t="n">
        <x:v>2025</x:v>
      </x:c>
      <x:c r="M1748" s="11" t="n">
        <x:v>17852</x:v>
      </x:c>
      <x:c r="N1748" s="7" t="n">
        <x:v>2</x:v>
      </x:c>
      <x:c r="O1748" s="7" t="n">
        <x:v>1</x:v>
      </x:c>
      <x:c r="P1748" s="9" t="n">
        <x:v>7.59</x:v>
      </x:c>
      <x:c r="Q1748" s="7" t="n">
        <x:f>'Guide'!$B$5-L1748</x:f>
        <x:v>1</x:v>
      </x:c>
      <x:c r="R1748" s="9" t="n">
        <x:f>K1748-P1748</x:f>
        <x:v>1.9100000000000001</x:v>
      </x:c>
      <x:c r="S1748" s="10" t="n">
        <x:f>IF(K1748&gt;0,R1748/K1748,"")</x:f>
        <x:v>0.20105263157894737</x:v>
      </x:c>
    </x:row>
    <x:row r="1749">
      <x:c r="A1749" s="7" t="n">
        <x:v>1745</x:v>
      </x:c>
      <x:c r="B1749" s="7" t="str">
        <x:v>Tata</x:v>
      </x:c>
      <x:c r="C1749" s="7" t="str">
        <x:v>Altroz</x:v>
      </x:c>
      <x:c r="D1749" s="7" t="str">
        <x:v>XT Diesel</x:v>
      </x:c>
      <x:c r="E1749" s="7" t="str">
        <x:v>Diesel</x:v>
      </x:c>
      <x:c r="F1749" s="7" t="str">
        <x:v>Manual</x:v>
      </x:c>
      <x:c r="G1749" s="7" t="str">
        <x:v>Hatchback</x:v>
      </x:c>
      <x:c r="H1749" s="7" t="n">
        <x:v>1497</x:v>
      </x:c>
      <x:c r="I1749" s="7" t="n">
        <x:v>89</x:v>
      </x:c>
      <x:c r="J1749" s="9" t="n">
        <x:v>23.6</x:v>
      </x:c>
      <x:c r="K1749" s="9" t="n">
        <x:v>9.5</x:v>
      </x:c>
      <x:c r="L1749" s="7" t="n">
        <x:v>2021</x:v>
      </x:c>
      <x:c r="M1749" s="11" t="n">
        <x:v>107935</x:v>
      </x:c>
      <x:c r="N1749" s="7" t="n">
        <x:v>1</x:v>
      </x:c>
      <x:c r="O1749" s="7" t="n">
        <x:v>0</x:v>
      </x:c>
      <x:c r="P1749" s="9" t="n">
        <x:v>4.67</x:v>
      </x:c>
      <x:c r="Q1749" s="7" t="n">
        <x:f>'Guide'!$B$5-L1749</x:f>
        <x:v>5</x:v>
      </x:c>
      <x:c r="R1749" s="9" t="n">
        <x:f>K1749-P1749</x:f>
        <x:v>4.83</x:v>
      </x:c>
      <x:c r="S1749" s="10" t="n">
        <x:f>IF(K1749&gt;0,R1749/K1749,"")</x:f>
        <x:v>0.508421052631579</x:v>
      </x:c>
    </x:row>
    <x:row r="1750">
      <x:c r="A1750" s="7" t="n">
        <x:v>1746</x:v>
      </x:c>
      <x:c r="B1750" s="7" t="str">
        <x:v>Tata</x:v>
      </x:c>
      <x:c r="C1750" s="7" t="str">
        <x:v>Altroz</x:v>
      </x:c>
      <x:c r="D1750" s="7" t="str">
        <x:v>XT Diesel</x:v>
      </x:c>
      <x:c r="E1750" s="7" t="str">
        <x:v>Diesel</x:v>
      </x:c>
      <x:c r="F1750" s="7" t="str">
        <x:v>Manual</x:v>
      </x:c>
      <x:c r="G1750" s="7" t="str">
        <x:v>Hatchback</x:v>
      </x:c>
      <x:c r="H1750" s="7" t="n">
        <x:v>1497</x:v>
      </x:c>
      <x:c r="I1750" s="7" t="n">
        <x:v>89</x:v>
      </x:c>
      <x:c r="J1750" s="9" t="n">
        <x:v>23.6</x:v>
      </x:c>
      <x:c r="K1750" s="9" t="n">
        <x:v>9.5</x:v>
      </x:c>
      <x:c r="L1750" s="7" t="n">
        <x:v>2022</x:v>
      </x:c>
      <x:c r="M1750" s="11" t="n">
        <x:v>71530</x:v>
      </x:c>
      <x:c r="N1750" s="7" t="n">
        <x:v>2</x:v>
      </x:c>
      <x:c r="O1750" s="7" t="n">
        <x:v>0</x:v>
      </x:c>
      <x:c r="P1750" s="9" t="n">
        <x:v>5.07</x:v>
      </x:c>
      <x:c r="Q1750" s="7" t="n">
        <x:f>'Guide'!$B$5-L1750</x:f>
        <x:v>4</x:v>
      </x:c>
      <x:c r="R1750" s="9" t="n">
        <x:f>K1750-P1750</x:f>
        <x:v>4.43</x:v>
      </x:c>
      <x:c r="S1750" s="10" t="n">
        <x:f>IF(K1750&gt;0,R1750/K1750,"")</x:f>
        <x:v>0.4663157894736842</x:v>
      </x:c>
    </x:row>
    <x:row r="1751">
      <x:c r="A1751" s="7" t="n">
        <x:v>1747</x:v>
      </x:c>
      <x:c r="B1751" s="7" t="str">
        <x:v>Tata</x:v>
      </x:c>
      <x:c r="C1751" s="7" t="str">
        <x:v>Altroz</x:v>
      </x:c>
      <x:c r="D1751" s="7" t="str">
        <x:v>XT Diesel</x:v>
      </x:c>
      <x:c r="E1751" s="7" t="str">
        <x:v>Diesel</x:v>
      </x:c>
      <x:c r="F1751" s="7" t="str">
        <x:v>Manual</x:v>
      </x:c>
      <x:c r="G1751" s="7" t="str">
        <x:v>Hatchback</x:v>
      </x:c>
      <x:c r="H1751" s="7" t="n">
        <x:v>1497</x:v>
      </x:c>
      <x:c r="I1751" s="7" t="n">
        <x:v>89</x:v>
      </x:c>
      <x:c r="J1751" s="9" t="n">
        <x:v>23.6</x:v>
      </x:c>
      <x:c r="K1751" s="9" t="n">
        <x:v>9.5</x:v>
      </x:c>
      <x:c r="L1751" s="7" t="n">
        <x:v>2024</x:v>
      </x:c>
      <x:c r="M1751" s="11" t="n">
        <x:v>23390</x:v>
      </x:c>
      <x:c r="N1751" s="7" t="n">
        <x:v>1</x:v>
      </x:c>
      <x:c r="O1751" s="7" t="n">
        <x:v>1</x:v>
      </x:c>
      <x:c r="P1751" s="9" t="n">
        <x:v>7.02</x:v>
      </x:c>
      <x:c r="Q1751" s="7" t="n">
        <x:f>'Guide'!$B$5-L1751</x:f>
        <x:v>2</x:v>
      </x:c>
      <x:c r="R1751" s="9" t="n">
        <x:f>K1751-P1751</x:f>
        <x:v>2.4800000000000004</x:v>
      </x:c>
      <x:c r="S1751" s="10" t="n">
        <x:f>IF(K1751&gt;0,R1751/K1751,"")</x:f>
        <x:v>0.2610526315789474</x:v>
      </x:c>
    </x:row>
    <x:row r="1752">
      <x:c r="A1752" s="7" t="n">
        <x:v>1748</x:v>
      </x:c>
      <x:c r="B1752" s="7" t="str">
        <x:v>Tata</x:v>
      </x:c>
      <x:c r="C1752" s="7" t="str">
        <x:v>Altroz</x:v>
      </x:c>
      <x:c r="D1752" s="7" t="str">
        <x:v>XT Diesel</x:v>
      </x:c>
      <x:c r="E1752" s="7" t="str">
        <x:v>Diesel</x:v>
      </x:c>
      <x:c r="F1752" s="7" t="str">
        <x:v>Manual</x:v>
      </x:c>
      <x:c r="G1752" s="7" t="str">
        <x:v>Hatchback</x:v>
      </x:c>
      <x:c r="H1752" s="7" t="n">
        <x:v>1497</x:v>
      </x:c>
      <x:c r="I1752" s="7" t="n">
        <x:v>89</x:v>
      </x:c>
      <x:c r="J1752" s="9" t="n">
        <x:v>23.6</x:v>
      </x:c>
      <x:c r="K1752" s="9" t="n">
        <x:v>9.5</x:v>
      </x:c>
      <x:c r="L1752" s="7" t="n">
        <x:v>2022</x:v>
      </x:c>
      <x:c r="M1752" s="11" t="n">
        <x:v>41361</x:v>
      </x:c>
      <x:c r="N1752" s="7" t="n">
        <x:v>1</x:v>
      </x:c>
      <x:c r="O1752" s="7" t="n">
        <x:v>0</x:v>
      </x:c>
      <x:c r="P1752" s="9" t="n">
        <x:v>5.69</x:v>
      </x:c>
      <x:c r="Q1752" s="7" t="n">
        <x:f>'Guide'!$B$5-L1752</x:f>
        <x:v>4</x:v>
      </x:c>
      <x:c r="R1752" s="9" t="n">
        <x:f>K1752-P1752</x:f>
        <x:v>3.8099999999999996</x:v>
      </x:c>
      <x:c r="S1752" s="10" t="n">
        <x:f>IF(K1752&gt;0,R1752/K1752,"")</x:f>
        <x:v>0.4010526315789473</x:v>
      </x:c>
    </x:row>
    <x:row r="1753">
      <x:c r="A1753" s="7" t="n">
        <x:v>1749</x:v>
      </x:c>
      <x:c r="B1753" s="7" t="str">
        <x:v>Tata</x:v>
      </x:c>
      <x:c r="C1753" s="7" t="str">
        <x:v>Altroz</x:v>
      </x:c>
      <x:c r="D1753" s="7" t="str">
        <x:v>XT Diesel</x:v>
      </x:c>
      <x:c r="E1753" s="7" t="str">
        <x:v>Diesel</x:v>
      </x:c>
      <x:c r="F1753" s="7" t="str">
        <x:v>Manual</x:v>
      </x:c>
      <x:c r="G1753" s="7" t="str">
        <x:v>Hatchback</x:v>
      </x:c>
      <x:c r="H1753" s="7" t="n">
        <x:v>1497</x:v>
      </x:c>
      <x:c r="I1753" s="7" t="n">
        <x:v>89</x:v>
      </x:c>
      <x:c r="J1753" s="9" t="n">
        <x:v>23.6</x:v>
      </x:c>
      <x:c r="K1753" s="9" t="n">
        <x:v>9.5</x:v>
      </x:c>
      <x:c r="L1753" s="7" t="n">
        <x:v>2020</x:v>
      </x:c>
      <x:c r="M1753" s="11" t="n">
        <x:v>128382</x:v>
      </x:c>
      <x:c r="N1753" s="7" t="n">
        <x:v>3</x:v>
      </x:c>
      <x:c r="O1753" s="7" t="n">
        <x:v>0</x:v>
      </x:c>
      <x:c r="P1753" s="9" t="n">
        <x:v>2.44</x:v>
      </x:c>
      <x:c r="Q1753" s="7" t="n">
        <x:f>'Guide'!$B$5-L1753</x:f>
        <x:v>6</x:v>
      </x:c>
      <x:c r="R1753" s="9" t="n">
        <x:f>K1753-P1753</x:f>
        <x:v>7.0600000000000005</x:v>
      </x:c>
      <x:c r="S1753" s="10" t="n">
        <x:f>IF(K1753&gt;0,R1753/K1753,"")</x:f>
        <x:v>0.7431578947368421</x:v>
      </x:c>
    </x:row>
    <x:row r="1754">
      <x:c r="A1754" s="7" t="n">
        <x:v>1750</x:v>
      </x:c>
      <x:c r="B1754" s="7" t="str">
        <x:v>Tata</x:v>
      </x:c>
      <x:c r="C1754" s="7" t="str">
        <x:v>Altroz</x:v>
      </x:c>
      <x:c r="D1754" s="7" t="str">
        <x:v>XT Diesel</x:v>
      </x:c>
      <x:c r="E1754" s="7" t="str">
        <x:v>Diesel</x:v>
      </x:c>
      <x:c r="F1754" s="7" t="str">
        <x:v>Manual</x:v>
      </x:c>
      <x:c r="G1754" s="7" t="str">
        <x:v>Hatchback</x:v>
      </x:c>
      <x:c r="H1754" s="7" t="n">
        <x:v>1497</x:v>
      </x:c>
      <x:c r="I1754" s="7" t="n">
        <x:v>89</x:v>
      </x:c>
      <x:c r="J1754" s="9" t="n">
        <x:v>23.6</x:v>
      </x:c>
      <x:c r="K1754" s="9" t="n">
        <x:v>9.5</x:v>
      </x:c>
      <x:c r="L1754" s="7" t="n">
        <x:v>2025</x:v>
      </x:c>
      <x:c r="M1754" s="11" t="n">
        <x:v>19201</x:v>
      </x:c>
      <x:c r="N1754" s="7" t="n">
        <x:v>1</x:v>
      </x:c>
      <x:c r="O1754" s="7" t="n">
        <x:v>0</x:v>
      </x:c>
      <x:c r="P1754" s="9" t="n">
        <x:v>8.18</x:v>
      </x:c>
      <x:c r="Q1754" s="7" t="n">
        <x:f>'Guide'!$B$5-L1754</x:f>
        <x:v>1</x:v>
      </x:c>
      <x:c r="R1754" s="9" t="n">
        <x:f>K1754-P1754</x:f>
        <x:v>1.3200000000000003</x:v>
      </x:c>
      <x:c r="S1754" s="10" t="n">
        <x:f>IF(K1754&gt;0,R1754/K1754,"")</x:f>
        <x:v>0.13894736842105265</x:v>
      </x:c>
    </x:row>
    <x:row r="1755">
      <x:c r="A1755" s="7" t="n">
        <x:v>1751</x:v>
      </x:c>
      <x:c r="B1755" s="7" t="str">
        <x:v>Tata</x:v>
      </x:c>
      <x:c r="C1755" s="7" t="str">
        <x:v>Altroz</x:v>
      </x:c>
      <x:c r="D1755" s="7" t="str">
        <x:v>XT Diesel</x:v>
      </x:c>
      <x:c r="E1755" s="7" t="str">
        <x:v>Diesel</x:v>
      </x:c>
      <x:c r="F1755" s="7" t="str">
        <x:v>Manual</x:v>
      </x:c>
      <x:c r="G1755" s="7" t="str">
        <x:v>Hatchback</x:v>
      </x:c>
      <x:c r="H1755" s="7" t="n">
        <x:v>1497</x:v>
      </x:c>
      <x:c r="I1755" s="7" t="n">
        <x:v>89</x:v>
      </x:c>
      <x:c r="J1755" s="9" t="n">
        <x:v>23.6</x:v>
      </x:c>
      <x:c r="K1755" s="9" t="n">
        <x:v>9.5</x:v>
      </x:c>
      <x:c r="L1755" s="7" t="n">
        <x:v>2026</x:v>
      </x:c>
      <x:c r="M1755" s="11" t="n">
        <x:v>7808</x:v>
      </x:c>
      <x:c r="N1755" s="7" t="n">
        <x:v>1</x:v>
      </x:c>
      <x:c r="O1755" s="7" t="n">
        <x:v>0</x:v>
      </x:c>
      <x:c r="P1755" s="9" t="n">
        <x:v>9.76</x:v>
      </x:c>
      <x:c r="Q1755" s="7" t="n">
        <x:f>'Guide'!$B$5-L1755</x:f>
        <x:v>0</x:v>
      </x:c>
      <x:c r="R1755" s="9" t="n">
        <x:f>K1755-P1755</x:f>
        <x:v>-0.2599999999999998</x:v>
      </x:c>
      <x:c r="S1755" s="10" t="n">
        <x:f>IF(K1755&gt;0,R1755/K1755,"")</x:f>
        <x:v>-0.027368421052631556</x:v>
      </x:c>
    </x:row>
    <x:row r="1756">
      <x:c r="A1756" s="7" t="n">
        <x:v>1752</x:v>
      </x:c>
      <x:c r="B1756" s="7" t="str">
        <x:v>Tata</x:v>
      </x:c>
      <x:c r="C1756" s="7" t="str">
        <x:v>Altroz</x:v>
      </x:c>
      <x:c r="D1756" s="7" t="str">
        <x:v>XT Diesel</x:v>
      </x:c>
      <x:c r="E1756" s="7" t="str">
        <x:v>Diesel</x:v>
      </x:c>
      <x:c r="F1756" s="7" t="str">
        <x:v>Manual</x:v>
      </x:c>
      <x:c r="G1756" s="7" t="str">
        <x:v>Hatchback</x:v>
      </x:c>
      <x:c r="H1756" s="7" t="n">
        <x:v>1497</x:v>
      </x:c>
      <x:c r="I1756" s="7" t="n">
        <x:v>89</x:v>
      </x:c>
      <x:c r="J1756" s="9" t="n">
        <x:v>23.6</x:v>
      </x:c>
      <x:c r="K1756" s="9" t="n">
        <x:v>9.5</x:v>
      </x:c>
      <x:c r="L1756" s="7" t="n">
        <x:v>2024</x:v>
      </x:c>
      <x:c r="M1756" s="11" t="n">
        <x:v>38719</x:v>
      </x:c>
      <x:c r="N1756" s="7" t="n">
        <x:v>1</x:v>
      </x:c>
      <x:c r="O1756" s="7" t="n">
        <x:v>0</x:v>
      </x:c>
      <x:c r="P1756" s="9" t="n">
        <x:v>7.54</x:v>
      </x:c>
      <x:c r="Q1756" s="7" t="n">
        <x:f>'Guide'!$B$5-L1756</x:f>
        <x:v>2</x:v>
      </x:c>
      <x:c r="R1756" s="9" t="n">
        <x:f>K1756-P1756</x:f>
        <x:v>1.96</x:v>
      </x:c>
      <x:c r="S1756" s="10" t="n">
        <x:f>IF(K1756&gt;0,R1756/K1756,"")</x:f>
        <x:v>0.2063157894736842</x:v>
      </x:c>
    </x:row>
    <x:row r="1757">
      <x:c r="A1757" s="7" t="n">
        <x:v>1753</x:v>
      </x:c>
      <x:c r="B1757" s="7" t="str">
        <x:v>Tata</x:v>
      </x:c>
      <x:c r="C1757" s="7" t="str">
        <x:v>Altroz</x:v>
      </x:c>
      <x:c r="D1757" s="7" t="str">
        <x:v>XT Diesel</x:v>
      </x:c>
      <x:c r="E1757" s="7" t="str">
        <x:v>Diesel</x:v>
      </x:c>
      <x:c r="F1757" s="7" t="str">
        <x:v>Manual</x:v>
      </x:c>
      <x:c r="G1757" s="7" t="str">
        <x:v>Hatchback</x:v>
      </x:c>
      <x:c r="H1757" s="7" t="n">
        <x:v>1497</x:v>
      </x:c>
      <x:c r="I1757" s="7" t="n">
        <x:v>89</x:v>
      </x:c>
      <x:c r="J1757" s="9" t="n">
        <x:v>23.6</x:v>
      </x:c>
      <x:c r="K1757" s="9" t="n">
        <x:v>9.5</x:v>
      </x:c>
      <x:c r="L1757" s="7" t="n">
        <x:v>2021</x:v>
      </x:c>
      <x:c r="M1757" s="11" t="n">
        <x:v>81475</x:v>
      </x:c>
      <x:c r="N1757" s="7" t="n">
        <x:v>1</x:v>
      </x:c>
      <x:c r="O1757" s="7" t="n">
        <x:v>0</x:v>
      </x:c>
      <x:c r="P1757" s="9" t="n">
        <x:v>4.62</x:v>
      </x:c>
      <x:c r="Q1757" s="7" t="n">
        <x:f>'Guide'!$B$5-L1757</x:f>
        <x:v>5</x:v>
      </x:c>
      <x:c r="R1757" s="9" t="n">
        <x:f>K1757-P1757</x:f>
        <x:v>4.88</x:v>
      </x:c>
      <x:c r="S1757" s="10" t="n">
        <x:f>IF(K1757&gt;0,R1757/K1757,"")</x:f>
        <x:v>0.5136842105263157</x:v>
      </x:c>
    </x:row>
    <x:row r="1758">
      <x:c r="A1758" s="7" t="n">
        <x:v>1754</x:v>
      </x:c>
      <x:c r="B1758" s="7" t="str">
        <x:v>Tata</x:v>
      </x:c>
      <x:c r="C1758" s="7" t="str">
        <x:v>Altroz</x:v>
      </x:c>
      <x:c r="D1758" s="7" t="str">
        <x:v>XT Diesel</x:v>
      </x:c>
      <x:c r="E1758" s="7" t="str">
        <x:v>Diesel</x:v>
      </x:c>
      <x:c r="F1758" s="7" t="str">
        <x:v>Manual</x:v>
      </x:c>
      <x:c r="G1758" s="7" t="str">
        <x:v>Hatchback</x:v>
      </x:c>
      <x:c r="H1758" s="7" t="n">
        <x:v>1497</x:v>
      </x:c>
      <x:c r="I1758" s="7" t="n">
        <x:v>89</x:v>
      </x:c>
      <x:c r="J1758" s="9" t="n">
        <x:v>23.6</x:v>
      </x:c>
      <x:c r="K1758" s="9" t="n">
        <x:v>9.5</x:v>
      </x:c>
      <x:c r="L1758" s="7" t="n">
        <x:v>2024</x:v>
      </x:c>
      <x:c r="M1758" s="11" t="n">
        <x:v>43833</x:v>
      </x:c>
      <x:c r="N1758" s="7" t="n">
        <x:v>1</x:v>
      </x:c>
      <x:c r="O1758" s="7" t="n">
        <x:v>0</x:v>
      </x:c>
      <x:c r="P1758" s="9" t="n">
        <x:v>7.48</x:v>
      </x:c>
      <x:c r="Q1758" s="7" t="n">
        <x:f>'Guide'!$B$5-L1758</x:f>
        <x:v>2</x:v>
      </x:c>
      <x:c r="R1758" s="9" t="n">
        <x:f>K1758-P1758</x:f>
        <x:v>2.0199999999999996</x:v>
      </x:c>
      <x:c r="S1758" s="10" t="n">
        <x:f>IF(K1758&gt;0,R1758/K1758,"")</x:f>
        <x:v>0.21263157894736837</x:v>
      </x:c>
    </x:row>
    <x:row r="1759">
      <x:c r="A1759" s="7" t="n">
        <x:v>1755</x:v>
      </x:c>
      <x:c r="B1759" s="7" t="str">
        <x:v>Tata</x:v>
      </x:c>
      <x:c r="C1759" s="7" t="str">
        <x:v>Altroz</x:v>
      </x:c>
      <x:c r="D1759" s="7" t="str">
        <x:v>XT Diesel</x:v>
      </x:c>
      <x:c r="E1759" s="7" t="str">
        <x:v>Diesel</x:v>
      </x:c>
      <x:c r="F1759" s="7" t="str">
        <x:v>Manual</x:v>
      </x:c>
      <x:c r="G1759" s="7" t="str">
        <x:v>Hatchback</x:v>
      </x:c>
      <x:c r="H1759" s="7" t="n">
        <x:v>1497</x:v>
      </x:c>
      <x:c r="I1759" s="7" t="n">
        <x:v>89</x:v>
      </x:c>
      <x:c r="J1759" s="9" t="n">
        <x:v>23.6</x:v>
      </x:c>
      <x:c r="K1759" s="9" t="n">
        <x:v>9.5</x:v>
      </x:c>
      <x:c r="L1759" s="7" t="n">
        <x:v>2026</x:v>
      </x:c>
      <x:c r="M1759" s="11" t="n">
        <x:v>6019</x:v>
      </x:c>
      <x:c r="N1759" s="7" t="n">
        <x:v>1</x:v>
      </x:c>
      <x:c r="O1759" s="7" t="n">
        <x:v>0</x:v>
      </x:c>
      <x:c r="P1759" s="9" t="n">
        <x:v>9.62</x:v>
      </x:c>
      <x:c r="Q1759" s="7" t="n">
        <x:f>'Guide'!$B$5-L1759</x:f>
        <x:v>0</x:v>
      </x:c>
      <x:c r="R1759" s="9" t="n">
        <x:f>K1759-P1759</x:f>
        <x:v>-0.11999999999999922</x:v>
      </x:c>
      <x:c r="S1759" s="10" t="n">
        <x:f>IF(K1759&gt;0,R1759/K1759,"")</x:f>
        <x:v>-0.01263157894736834</x:v>
      </x:c>
    </x:row>
    <x:row r="1760">
      <x:c r="A1760" s="7" t="n">
        <x:v>1756</x:v>
      </x:c>
      <x:c r="B1760" s="7" t="str">
        <x:v>Tata</x:v>
      </x:c>
      <x:c r="C1760" s="7" t="str">
        <x:v>Altroz</x:v>
      </x:c>
      <x:c r="D1760" s="7" t="str">
        <x:v>XT Diesel</x:v>
      </x:c>
      <x:c r="E1760" s="7" t="str">
        <x:v>Diesel</x:v>
      </x:c>
      <x:c r="F1760" s="7" t="str">
        <x:v>Manual</x:v>
      </x:c>
      <x:c r="G1760" s="7" t="str">
        <x:v>Hatchback</x:v>
      </x:c>
      <x:c r="H1760" s="7" t="n">
        <x:v>1497</x:v>
      </x:c>
      <x:c r="I1760" s="7" t="n">
        <x:v>89</x:v>
      </x:c>
      <x:c r="J1760" s="9" t="n">
        <x:v>23.6</x:v>
      </x:c>
      <x:c r="K1760" s="9" t="n">
        <x:v>9.5</x:v>
      </x:c>
      <x:c r="L1760" s="7" t="n">
        <x:v>2026</x:v>
      </x:c>
      <x:c r="M1760" s="11" t="n">
        <x:v>5908</x:v>
      </x:c>
      <x:c r="N1760" s="7" t="n">
        <x:v>1</x:v>
      </x:c>
      <x:c r="O1760" s="7" t="n">
        <x:v>0</x:v>
      </x:c>
      <x:c r="P1760" s="9" t="n">
        <x:v>9.17</x:v>
      </x:c>
      <x:c r="Q1760" s="7" t="n">
        <x:f>'Guide'!$B$5-L1760</x:f>
        <x:v>0</x:v>
      </x:c>
      <x:c r="R1760" s="9" t="n">
        <x:f>K1760-P1760</x:f>
        <x:v>0.33000000000000007</x:v>
      </x:c>
      <x:c r="S1760" s="10" t="n">
        <x:f>IF(K1760&gt;0,R1760/K1760,"")</x:f>
        <x:v>0.03473684210526316</x:v>
      </x:c>
    </x:row>
    <x:row r="1761">
      <x:c r="A1761" s="7" t="n">
        <x:v>1757</x:v>
      </x:c>
      <x:c r="B1761" s="7" t="str">
        <x:v>Tata</x:v>
      </x:c>
      <x:c r="C1761" s="7" t="str">
        <x:v>Altroz</x:v>
      </x:c>
      <x:c r="D1761" s="7" t="str">
        <x:v>XT Diesel</x:v>
      </x:c>
      <x:c r="E1761" s="7" t="str">
        <x:v>Diesel</x:v>
      </x:c>
      <x:c r="F1761" s="7" t="str">
        <x:v>Manual</x:v>
      </x:c>
      <x:c r="G1761" s="7" t="str">
        <x:v>Hatchback</x:v>
      </x:c>
      <x:c r="H1761" s="7" t="n">
        <x:v>1497</x:v>
      </x:c>
      <x:c r="I1761" s="7" t="n">
        <x:v>89</x:v>
      </x:c>
      <x:c r="J1761" s="9" t="n">
        <x:v>23.6</x:v>
      </x:c>
      <x:c r="K1761" s="9" t="n">
        <x:v>9.5</x:v>
      </x:c>
      <x:c r="L1761" s="7" t="n">
        <x:v>2021</x:v>
      </x:c>
      <x:c r="M1761" s="11" t="n">
        <x:v>89669</x:v>
      </x:c>
      <x:c r="N1761" s="7" t="n">
        <x:v>1</x:v>
      </x:c>
      <x:c r="O1761" s="7" t="n">
        <x:v>0</x:v>
      </x:c>
      <x:c r="P1761" s="9" t="n">
        <x:v>4.32</x:v>
      </x:c>
      <x:c r="Q1761" s="7" t="n">
        <x:f>'Guide'!$B$5-L1761</x:f>
        <x:v>5</x:v>
      </x:c>
      <x:c r="R1761" s="9" t="n">
        <x:f>K1761-P1761</x:f>
        <x:v>5.18</x:v>
      </x:c>
      <x:c r="S1761" s="10" t="n">
        <x:f>IF(K1761&gt;0,R1761/K1761,"")</x:f>
        <x:v>0.5452631578947368</x:v>
      </x:c>
    </x:row>
    <x:row r="1762">
      <x:c r="A1762" s="7" t="n">
        <x:v>1758</x:v>
      </x:c>
      <x:c r="B1762" s="7" t="str">
        <x:v>Tata</x:v>
      </x:c>
      <x:c r="C1762" s="7" t="str">
        <x:v>Altroz</x:v>
      </x:c>
      <x:c r="D1762" s="7" t="str">
        <x:v>XT Diesel</x:v>
      </x:c>
      <x:c r="E1762" s="7" t="str">
        <x:v>Diesel</x:v>
      </x:c>
      <x:c r="F1762" s="7" t="str">
        <x:v>Manual</x:v>
      </x:c>
      <x:c r="G1762" s="7" t="str">
        <x:v>Hatchback</x:v>
      </x:c>
      <x:c r="H1762" s="7" t="n">
        <x:v>1497</x:v>
      </x:c>
      <x:c r="I1762" s="7" t="n">
        <x:v>89</x:v>
      </x:c>
      <x:c r="J1762" s="9" t="n">
        <x:v>23.6</x:v>
      </x:c>
      <x:c r="K1762" s="9" t="n">
        <x:v>9.5</x:v>
      </x:c>
      <x:c r="L1762" s="7" t="n">
        <x:v>2023</x:v>
      </x:c>
      <x:c r="M1762" s="11" t="n">
        <x:v>52190</x:v>
      </x:c>
      <x:c r="N1762" s="7" t="n">
        <x:v>1</x:v>
      </x:c>
      <x:c r="O1762" s="7" t="n">
        <x:v>0</x:v>
      </x:c>
      <x:c r="P1762" s="9" t="n">
        <x:v>6.67</x:v>
      </x:c>
      <x:c r="Q1762" s="7" t="n">
        <x:f>'Guide'!$B$5-L1762</x:f>
        <x:v>3</x:v>
      </x:c>
      <x:c r="R1762" s="9" t="n">
        <x:f>K1762-P1762</x:f>
        <x:v>2.83</x:v>
      </x:c>
      <x:c r="S1762" s="10" t="n">
        <x:f>IF(K1762&gt;0,R1762/K1762,"")</x:f>
        <x:v>0.29789473684210527</x:v>
      </x:c>
    </x:row>
    <x:row r="1763">
      <x:c r="A1763" s="7" t="n">
        <x:v>1759</x:v>
      </x:c>
      <x:c r="B1763" s="7" t="str">
        <x:v>Tata</x:v>
      </x:c>
      <x:c r="C1763" s="7" t="str">
        <x:v>Altroz</x:v>
      </x:c>
      <x:c r="D1763" s="7" t="str">
        <x:v>XT Diesel</x:v>
      </x:c>
      <x:c r="E1763" s="7" t="str">
        <x:v>Diesel</x:v>
      </x:c>
      <x:c r="F1763" s="7" t="str">
        <x:v>Manual</x:v>
      </x:c>
      <x:c r="G1763" s="7" t="str">
        <x:v>Hatchback</x:v>
      </x:c>
      <x:c r="H1763" s="7" t="n">
        <x:v>1497</x:v>
      </x:c>
      <x:c r="I1763" s="7" t="n">
        <x:v>89</x:v>
      </x:c>
      <x:c r="J1763" s="9" t="n">
        <x:v>23.6</x:v>
      </x:c>
      <x:c r="K1763" s="9" t="n">
        <x:v>9.5</x:v>
      </x:c>
      <x:c r="L1763" s="7" t="n">
        <x:v>2021</x:v>
      </x:c>
      <x:c r="M1763" s="11" t="n">
        <x:v>107472</x:v>
      </x:c>
      <x:c r="N1763" s="7" t="n">
        <x:v>2</x:v>
      </x:c>
      <x:c r="O1763" s="7" t="n">
        <x:v>0</x:v>
      </x:c>
      <x:c r="P1763" s="9" t="n">
        <x:v>3.74</x:v>
      </x:c>
      <x:c r="Q1763" s="7" t="n">
        <x:f>'Guide'!$B$5-L1763</x:f>
        <x:v>5</x:v>
      </x:c>
      <x:c r="R1763" s="9" t="n">
        <x:f>K1763-P1763</x:f>
        <x:v>5.76</x:v>
      </x:c>
      <x:c r="S1763" s="10" t="n">
        <x:f>IF(K1763&gt;0,R1763/K1763,"")</x:f>
        <x:v>0.6063157894736841</x:v>
      </x:c>
    </x:row>
    <x:row r="1764">
      <x:c r="A1764" s="7" t="n">
        <x:v>1760</x:v>
      </x:c>
      <x:c r="B1764" s="7" t="str">
        <x:v>Tata</x:v>
      </x:c>
      <x:c r="C1764" s="7" t="str">
        <x:v>Altroz</x:v>
      </x:c>
      <x:c r="D1764" s="7" t="str">
        <x:v>XT Diesel</x:v>
      </x:c>
      <x:c r="E1764" s="7" t="str">
        <x:v>Diesel</x:v>
      </x:c>
      <x:c r="F1764" s="7" t="str">
        <x:v>Manual</x:v>
      </x:c>
      <x:c r="G1764" s="7" t="str">
        <x:v>Hatchback</x:v>
      </x:c>
      <x:c r="H1764" s="7" t="n">
        <x:v>1497</x:v>
      </x:c>
      <x:c r="I1764" s="7" t="n">
        <x:v>89</x:v>
      </x:c>
      <x:c r="J1764" s="9" t="n">
        <x:v>23.6</x:v>
      </x:c>
      <x:c r="K1764" s="9" t="n">
        <x:v>9.5</x:v>
      </x:c>
      <x:c r="L1764" s="7" t="n">
        <x:v>2025</x:v>
      </x:c>
      <x:c r="M1764" s="11" t="n">
        <x:v>26266</x:v>
      </x:c>
      <x:c r="N1764" s="7" t="n">
        <x:v>2</x:v>
      </x:c>
      <x:c r="O1764" s="7" t="n">
        <x:v>0</x:v>
      </x:c>
      <x:c r="P1764" s="9" t="n">
        <x:v>7.75</x:v>
      </x:c>
      <x:c r="Q1764" s="7" t="n">
        <x:f>'Guide'!$B$5-L1764</x:f>
        <x:v>1</x:v>
      </x:c>
      <x:c r="R1764" s="9" t="n">
        <x:f>K1764-P1764</x:f>
        <x:v>1.75</x:v>
      </x:c>
      <x:c r="S1764" s="10" t="n">
        <x:f>IF(K1764&gt;0,R1764/K1764,"")</x:f>
        <x:v>0.18421052631578946</x:v>
      </x:c>
    </x:row>
    <x:row r="1765">
      <x:c r="A1765" s="7" t="n">
        <x:v>1761</x:v>
      </x:c>
      <x:c r="B1765" s="7" t="str">
        <x:v>Tata</x:v>
      </x:c>
      <x:c r="C1765" s="7" t="str">
        <x:v>Altroz</x:v>
      </x:c>
      <x:c r="D1765" s="7" t="str">
        <x:v>XT Diesel</x:v>
      </x:c>
      <x:c r="E1765" s="7" t="str">
        <x:v>Diesel</x:v>
      </x:c>
      <x:c r="F1765" s="7" t="str">
        <x:v>Manual</x:v>
      </x:c>
      <x:c r="G1765" s="7" t="str">
        <x:v>Hatchback</x:v>
      </x:c>
      <x:c r="H1765" s="7" t="n">
        <x:v>1497</x:v>
      </x:c>
      <x:c r="I1765" s="7" t="n">
        <x:v>89</x:v>
      </x:c>
      <x:c r="J1765" s="9" t="n">
        <x:v>23.6</x:v>
      </x:c>
      <x:c r="K1765" s="9" t="n">
        <x:v>9.5</x:v>
      </x:c>
      <x:c r="L1765" s="7" t="n">
        <x:v>2025</x:v>
      </x:c>
      <x:c r="M1765" s="11" t="n">
        <x:v>21418</x:v>
      </x:c>
      <x:c r="N1765" s="7" t="n">
        <x:v>1</x:v>
      </x:c>
      <x:c r="O1765" s="7" t="n">
        <x:v>0</x:v>
      </x:c>
      <x:c r="P1765" s="9" t="n">
        <x:v>8.15</x:v>
      </x:c>
      <x:c r="Q1765" s="7" t="n">
        <x:f>'Guide'!$B$5-L1765</x:f>
        <x:v>1</x:v>
      </x:c>
      <x:c r="R1765" s="9" t="n">
        <x:f>K1765-P1765</x:f>
        <x:v>1.3499999999999996</x:v>
      </x:c>
      <x:c r="S1765" s="10" t="n">
        <x:f>IF(K1765&gt;0,R1765/K1765,"")</x:f>
        <x:v>0.1421052631578947</x:v>
      </x:c>
    </x:row>
    <x:row r="1766">
      <x:c r="A1766" s="7" t="n">
        <x:v>1762</x:v>
      </x:c>
      <x:c r="B1766" s="7" t="str">
        <x:v>Tata</x:v>
      </x:c>
      <x:c r="C1766" s="7" t="str">
        <x:v>Altroz</x:v>
      </x:c>
      <x:c r="D1766" s="7" t="str">
        <x:v>XT Diesel</x:v>
      </x:c>
      <x:c r="E1766" s="7" t="str">
        <x:v>Diesel</x:v>
      </x:c>
      <x:c r="F1766" s="7" t="str">
        <x:v>Manual</x:v>
      </x:c>
      <x:c r="G1766" s="7" t="str">
        <x:v>Hatchback</x:v>
      </x:c>
      <x:c r="H1766" s="7" t="n">
        <x:v>1497</x:v>
      </x:c>
      <x:c r="I1766" s="7" t="n">
        <x:v>89</x:v>
      </x:c>
      <x:c r="J1766" s="9" t="n">
        <x:v>23.6</x:v>
      </x:c>
      <x:c r="K1766" s="9" t="n">
        <x:v>9.5</x:v>
      </x:c>
      <x:c r="L1766" s="7" t="n">
        <x:v>2022</x:v>
      </x:c>
      <x:c r="M1766" s="11" t="n">
        <x:v>80679</x:v>
      </x:c>
      <x:c r="N1766" s="7" t="n">
        <x:v>1</x:v>
      </x:c>
      <x:c r="O1766" s="7" t="n">
        <x:v>0</x:v>
      </x:c>
      <x:c r="P1766" s="9" t="n">
        <x:v>5.57</x:v>
      </x:c>
      <x:c r="Q1766" s="7" t="n">
        <x:f>'Guide'!$B$5-L1766</x:f>
        <x:v>4</x:v>
      </x:c>
      <x:c r="R1766" s="9" t="n">
        <x:f>K1766-P1766</x:f>
        <x:v>3.9299999999999997</x:v>
      </x:c>
      <x:c r="S1766" s="10" t="n">
        <x:f>IF(K1766&gt;0,R1766/K1766,"")</x:f>
        <x:v>0.41368421052631577</x:v>
      </x:c>
    </x:row>
    <x:row r="1767">
      <x:c r="A1767" s="7" t="n">
        <x:v>1763</x:v>
      </x:c>
      <x:c r="B1767" s="7" t="str">
        <x:v>Tata</x:v>
      </x:c>
      <x:c r="C1767" s="7" t="str">
        <x:v>Altroz</x:v>
      </x:c>
      <x:c r="D1767" s="7" t="str">
        <x:v>XT Diesel</x:v>
      </x:c>
      <x:c r="E1767" s="7" t="str">
        <x:v>Diesel</x:v>
      </x:c>
      <x:c r="F1767" s="7" t="str">
        <x:v>Manual</x:v>
      </x:c>
      <x:c r="G1767" s="7" t="str">
        <x:v>Hatchback</x:v>
      </x:c>
      <x:c r="H1767" s="7" t="n">
        <x:v>1497</x:v>
      </x:c>
      <x:c r="I1767" s="7" t="n">
        <x:v>89</x:v>
      </x:c>
      <x:c r="J1767" s="9" t="n">
        <x:v>23.6</x:v>
      </x:c>
      <x:c r="K1767" s="9" t="n">
        <x:v>9.5</x:v>
      </x:c>
      <x:c r="L1767" s="7" t="n">
        <x:v>2026</x:v>
      </x:c>
      <x:c r="M1767" s="11" t="n">
        <x:v>5529</x:v>
      </x:c>
      <x:c r="N1767" s="7" t="n">
        <x:v>1</x:v>
      </x:c>
      <x:c r="O1767" s="7" t="n">
        <x:v>0</x:v>
      </x:c>
      <x:c r="P1767" s="9" t="n">
        <x:v>9.59</x:v>
      </x:c>
      <x:c r="Q1767" s="7" t="n">
        <x:f>'Guide'!$B$5-L1767</x:f>
        <x:v>0</x:v>
      </x:c>
      <x:c r="R1767" s="9" t="n">
        <x:f>K1767-P1767</x:f>
        <x:v>-0.08999999999999986</x:v>
      </x:c>
      <x:c r="S1767" s="10" t="n">
        <x:f>IF(K1767&gt;0,R1767/K1767,"")</x:f>
        <x:v>-0.0094736842105263</x:v>
      </x:c>
    </x:row>
    <x:row r="1768">
      <x:c r="A1768" s="7" t="n">
        <x:v>1764</x:v>
      </x:c>
      <x:c r="B1768" s="7" t="str">
        <x:v>Tata</x:v>
      </x:c>
      <x:c r="C1768" s="7" t="str">
        <x:v>Altroz</x:v>
      </x:c>
      <x:c r="D1768" s="7" t="str">
        <x:v>XT Diesel</x:v>
      </x:c>
      <x:c r="E1768" s="7" t="str">
        <x:v>Diesel</x:v>
      </x:c>
      <x:c r="F1768" s="7" t="str">
        <x:v>Manual</x:v>
      </x:c>
      <x:c r="G1768" s="7" t="str">
        <x:v>Hatchback</x:v>
      </x:c>
      <x:c r="H1768" s="7" t="n">
        <x:v>1497</x:v>
      </x:c>
      <x:c r="I1768" s="7" t="n">
        <x:v>89</x:v>
      </x:c>
      <x:c r="J1768" s="9" t="n">
        <x:v>23.6</x:v>
      </x:c>
      <x:c r="K1768" s="9" t="n">
        <x:v>9.5</x:v>
      </x:c>
      <x:c r="L1768" s="7" t="n">
        <x:v>2025</x:v>
      </x:c>
      <x:c r="M1768" s="11" t="n">
        <x:v>14456</x:v>
      </x:c>
      <x:c r="N1768" s="7" t="n">
        <x:v>1</x:v>
      </x:c>
      <x:c r="O1768" s="7" t="n">
        <x:v>0</x:v>
      </x:c>
      <x:c r="P1768" s="9" t="n">
        <x:v>8.65</x:v>
      </x:c>
      <x:c r="Q1768" s="7" t="n">
        <x:f>'Guide'!$B$5-L1768</x:f>
        <x:v>1</x:v>
      </x:c>
      <x:c r="R1768" s="9" t="n">
        <x:f>K1768-P1768</x:f>
        <x:v>0.8499999999999996</x:v>
      </x:c>
      <x:c r="S1768" s="10" t="n">
        <x:f>IF(K1768&gt;0,R1768/K1768,"")</x:f>
        <x:v>0.08947368421052627</x:v>
      </x:c>
    </x:row>
    <x:row r="1769">
      <x:c r="A1769" s="7" t="n">
        <x:v>1765</x:v>
      </x:c>
      <x:c r="B1769" s="7" t="str">
        <x:v>Tata</x:v>
      </x:c>
      <x:c r="C1769" s="7" t="str">
        <x:v>Altroz</x:v>
      </x:c>
      <x:c r="D1769" s="7" t="str">
        <x:v>XT Diesel</x:v>
      </x:c>
      <x:c r="E1769" s="7" t="str">
        <x:v>Diesel</x:v>
      </x:c>
      <x:c r="F1769" s="7" t="str">
        <x:v>Manual</x:v>
      </x:c>
      <x:c r="G1769" s="7" t="str">
        <x:v>Hatchback</x:v>
      </x:c>
      <x:c r="H1769" s="7" t="n">
        <x:v>1497</x:v>
      </x:c>
      <x:c r="I1769" s="7" t="n">
        <x:v>89</x:v>
      </x:c>
      <x:c r="J1769" s="9" t="n">
        <x:v>23.6</x:v>
      </x:c>
      <x:c r="K1769" s="9" t="n">
        <x:v>9.5</x:v>
      </x:c>
      <x:c r="L1769" s="7" t="n">
        <x:v>2020</x:v>
      </x:c>
      <x:c r="M1769" s="11" t="n">
        <x:v>52884</x:v>
      </x:c>
      <x:c r="N1769" s="7" t="n">
        <x:v>3</x:v>
      </x:c>
      <x:c r="O1769" s="7" t="n">
        <x:v>0</x:v>
      </x:c>
      <x:c r="P1769" s="9" t="n">
        <x:v>3.18</x:v>
      </x:c>
      <x:c r="Q1769" s="7" t="n">
        <x:f>'Guide'!$B$5-L1769</x:f>
        <x:v>6</x:v>
      </x:c>
      <x:c r="R1769" s="9" t="n">
        <x:f>K1769-P1769</x:f>
        <x:v>6.32</x:v>
      </x:c>
      <x:c r="S1769" s="10" t="n">
        <x:f>IF(K1769&gt;0,R1769/K1769,"")</x:f>
        <x:v>0.6652631578947369</x:v>
      </x:c>
    </x:row>
    <x:row r="1770">
      <x:c r="A1770" s="7" t="n">
        <x:v>1766</x:v>
      </x:c>
      <x:c r="B1770" s="7" t="str">
        <x:v>Tata</x:v>
      </x:c>
      <x:c r="C1770" s="7" t="str">
        <x:v>Altroz</x:v>
      </x:c>
      <x:c r="D1770" s="7" t="str">
        <x:v>XT Diesel</x:v>
      </x:c>
      <x:c r="E1770" s="7" t="str">
        <x:v>Diesel</x:v>
      </x:c>
      <x:c r="F1770" s="7" t="str">
        <x:v>Manual</x:v>
      </x:c>
      <x:c r="G1770" s="7" t="str">
        <x:v>Hatchback</x:v>
      </x:c>
      <x:c r="H1770" s="7" t="n">
        <x:v>1497</x:v>
      </x:c>
      <x:c r="I1770" s="7" t="n">
        <x:v>89</x:v>
      </x:c>
      <x:c r="J1770" s="9" t="n">
        <x:v>23.6</x:v>
      </x:c>
      <x:c r="K1770" s="9" t="n">
        <x:v>9.5</x:v>
      </x:c>
      <x:c r="L1770" s="7" t="n">
        <x:v>2020</x:v>
      </x:c>
      <x:c r="M1770" s="11" t="n">
        <x:v>118230</x:v>
      </x:c>
      <x:c r="N1770" s="7" t="n">
        <x:v>1</x:v>
      </x:c>
      <x:c r="O1770" s="7" t="n">
        <x:v>0</x:v>
      </x:c>
      <x:c r="P1770" s="9" t="n">
        <x:v>3.8</x:v>
      </x:c>
      <x:c r="Q1770" s="7" t="n">
        <x:f>'Guide'!$B$5-L1770</x:f>
        <x:v>6</x:v>
      </x:c>
      <x:c r="R1770" s="9" t="n">
        <x:f>K1770-P1770</x:f>
        <x:v>5.7</x:v>
      </x:c>
      <x:c r="S1770" s="10" t="n">
        <x:f>IF(K1770&gt;0,R1770/K1770,"")</x:f>
        <x:v>0.6</x:v>
      </x:c>
    </x:row>
    <x:row r="1771">
      <x:c r="A1771" s="7" t="n">
        <x:v>1767</x:v>
      </x:c>
      <x:c r="B1771" s="7" t="str">
        <x:v>Tata</x:v>
      </x:c>
      <x:c r="C1771" s="7" t="str">
        <x:v>Altroz</x:v>
      </x:c>
      <x:c r="D1771" s="7" t="str">
        <x:v>XT Diesel</x:v>
      </x:c>
      <x:c r="E1771" s="7" t="str">
        <x:v>Diesel</x:v>
      </x:c>
      <x:c r="F1771" s="7" t="str">
        <x:v>Manual</x:v>
      </x:c>
      <x:c r="G1771" s="7" t="str">
        <x:v>Hatchback</x:v>
      </x:c>
      <x:c r="H1771" s="7" t="n">
        <x:v>1497</x:v>
      </x:c>
      <x:c r="I1771" s="7" t="n">
        <x:v>89</x:v>
      </x:c>
      <x:c r="J1771" s="9" t="n">
        <x:v>23.6</x:v>
      </x:c>
      <x:c r="K1771" s="9" t="n">
        <x:v>9.5</x:v>
      </x:c>
      <x:c r="L1771" s="7" t="n">
        <x:v>2023</x:v>
      </x:c>
      <x:c r="M1771" s="11" t="n">
        <x:v>46128</x:v>
      </x:c>
      <x:c r="N1771" s="7" t="n">
        <x:v>1</x:v>
      </x:c>
      <x:c r="O1771" s="7" t="n">
        <x:v>0</x:v>
      </x:c>
      <x:c r="P1771" s="9" t="n">
        <x:v>6.44</x:v>
      </x:c>
      <x:c r="Q1771" s="7" t="n">
        <x:f>'Guide'!$B$5-L1771</x:f>
        <x:v>3</x:v>
      </x:c>
      <x:c r="R1771" s="9" t="n">
        <x:f>K1771-P1771</x:f>
        <x:v>3.0599999999999996</x:v>
      </x:c>
      <x:c r="S1771" s="10" t="n">
        <x:f>IF(K1771&gt;0,R1771/K1771,"")</x:f>
        <x:v>0.3221052631578947</x:v>
      </x:c>
    </x:row>
    <x:row r="1772">
      <x:c r="A1772" s="7" t="n">
        <x:v>1768</x:v>
      </x:c>
      <x:c r="B1772" s="7" t="str">
        <x:v>Tata</x:v>
      </x:c>
      <x:c r="C1772" s="7" t="str">
        <x:v>Altroz</x:v>
      </x:c>
      <x:c r="D1772" s="7" t="str">
        <x:v>XT Diesel</x:v>
      </x:c>
      <x:c r="E1772" s="7" t="str">
        <x:v>Diesel</x:v>
      </x:c>
      <x:c r="F1772" s="7" t="str">
        <x:v>Manual</x:v>
      </x:c>
      <x:c r="G1772" s="7" t="str">
        <x:v>Hatchback</x:v>
      </x:c>
      <x:c r="H1772" s="7" t="n">
        <x:v>1497</x:v>
      </x:c>
      <x:c r="I1772" s="7" t="n">
        <x:v>89</x:v>
      </x:c>
      <x:c r="J1772" s="9" t="n">
        <x:v>23.6</x:v>
      </x:c>
      <x:c r="K1772" s="9" t="n">
        <x:v>9.5</x:v>
      </x:c>
      <x:c r="L1772" s="7" t="n">
        <x:v>2025</x:v>
      </x:c>
      <x:c r="M1772" s="11" t="n">
        <x:v>21938</x:v>
      </x:c>
      <x:c r="N1772" s="7" t="n">
        <x:v>1</x:v>
      </x:c>
      <x:c r="O1772" s="7" t="n">
        <x:v>0</x:v>
      </x:c>
      <x:c r="P1772" s="9" t="n">
        <x:v>8.46</x:v>
      </x:c>
      <x:c r="Q1772" s="7" t="n">
        <x:f>'Guide'!$B$5-L1772</x:f>
        <x:v>1</x:v>
      </x:c>
      <x:c r="R1772" s="9" t="n">
        <x:f>K1772-P1772</x:f>
        <x:v>1.0399999999999991</x:v>
      </x:c>
      <x:c r="S1772" s="10" t="n">
        <x:f>IF(K1772&gt;0,R1772/K1772,"")</x:f>
        <x:v>0.10947368421052622</x:v>
      </x:c>
    </x:row>
    <x:row r="1773">
      <x:c r="A1773" s="7" t="n">
        <x:v>1769</x:v>
      </x:c>
      <x:c r="B1773" s="7" t="str">
        <x:v>Tata</x:v>
      </x:c>
      <x:c r="C1773" s="7" t="str">
        <x:v>Altroz</x:v>
      </x:c>
      <x:c r="D1773" s="7" t="str">
        <x:v>XT Diesel</x:v>
      </x:c>
      <x:c r="E1773" s="7" t="str">
        <x:v>Diesel</x:v>
      </x:c>
      <x:c r="F1773" s="7" t="str">
        <x:v>Manual</x:v>
      </x:c>
      <x:c r="G1773" s="7" t="str">
        <x:v>Hatchback</x:v>
      </x:c>
      <x:c r="H1773" s="7" t="n">
        <x:v>1497</x:v>
      </x:c>
      <x:c r="I1773" s="7" t="n">
        <x:v>89</x:v>
      </x:c>
      <x:c r="J1773" s="9" t="n">
        <x:v>23.6</x:v>
      </x:c>
      <x:c r="K1773" s="9" t="n">
        <x:v>9.5</x:v>
      </x:c>
      <x:c r="L1773" s="7" t="n">
        <x:v>2024</x:v>
      </x:c>
      <x:c r="M1773" s="11" t="n">
        <x:v>34031</x:v>
      </x:c>
      <x:c r="N1773" s="7" t="n">
        <x:v>1</x:v>
      </x:c>
      <x:c r="O1773" s="7" t="n">
        <x:v>0</x:v>
      </x:c>
      <x:c r="P1773" s="9" t="n">
        <x:v>7.64</x:v>
      </x:c>
      <x:c r="Q1773" s="7" t="n">
        <x:f>'Guide'!$B$5-L1773</x:f>
        <x:v>2</x:v>
      </x:c>
      <x:c r="R1773" s="9" t="n">
        <x:f>K1773-P1773</x:f>
        <x:v>1.8600000000000003</x:v>
      </x:c>
      <x:c r="S1773" s="10" t="n">
        <x:f>IF(K1773&gt;0,R1773/K1773,"")</x:f>
        <x:v>0.19578947368421057</x:v>
      </x:c>
    </x:row>
    <x:row r="1774">
      <x:c r="A1774" s="7" t="n">
        <x:v>1770</x:v>
      </x:c>
      <x:c r="B1774" s="7" t="str">
        <x:v>Tata</x:v>
      </x:c>
      <x:c r="C1774" s="7" t="str">
        <x:v>Altroz</x:v>
      </x:c>
      <x:c r="D1774" s="7" t="str">
        <x:v>XT Diesel</x:v>
      </x:c>
      <x:c r="E1774" s="7" t="str">
        <x:v>Diesel</x:v>
      </x:c>
      <x:c r="F1774" s="7" t="str">
        <x:v>Manual</x:v>
      </x:c>
      <x:c r="G1774" s="7" t="str">
        <x:v>Hatchback</x:v>
      </x:c>
      <x:c r="H1774" s="7" t="n">
        <x:v>1497</x:v>
      </x:c>
      <x:c r="I1774" s="7" t="n">
        <x:v>89</x:v>
      </x:c>
      <x:c r="J1774" s="9" t="n">
        <x:v>23.6</x:v>
      </x:c>
      <x:c r="K1774" s="9" t="n">
        <x:v>9.5</x:v>
      </x:c>
      <x:c r="L1774" s="7" t="n">
        <x:v>2021</x:v>
      </x:c>
      <x:c r="M1774" s="11" t="n">
        <x:v>70168</x:v>
      </x:c>
      <x:c r="N1774" s="7" t="n">
        <x:v>2</x:v>
      </x:c>
      <x:c r="O1774" s="7" t="n">
        <x:v>0</x:v>
      </x:c>
      <x:c r="P1774" s="9" t="n">
        <x:v>4.26</x:v>
      </x:c>
      <x:c r="Q1774" s="7" t="n">
        <x:f>'Guide'!$B$5-L1774</x:f>
        <x:v>5</x:v>
      </x:c>
      <x:c r="R1774" s="9" t="n">
        <x:f>K1774-P1774</x:f>
        <x:v>5.24</x:v>
      </x:c>
      <x:c r="S1774" s="10" t="n">
        <x:f>IF(K1774&gt;0,R1774/K1774,"")</x:f>
        <x:v>0.5515789473684211</x:v>
      </x:c>
    </x:row>
    <x:row r="1775">
      <x:c r="A1775" s="7" t="n">
        <x:v>1771</x:v>
      </x:c>
      <x:c r="B1775" s="7" t="str">
        <x:v>Tata</x:v>
      </x:c>
      <x:c r="C1775" s="7" t="str">
        <x:v>Altroz</x:v>
      </x:c>
      <x:c r="D1775" s="7" t="str">
        <x:v>XT Diesel</x:v>
      </x:c>
      <x:c r="E1775" s="7" t="str">
        <x:v>Diesel</x:v>
      </x:c>
      <x:c r="F1775" s="7" t="str">
        <x:v>Manual</x:v>
      </x:c>
      <x:c r="G1775" s="7" t="str">
        <x:v>Hatchback</x:v>
      </x:c>
      <x:c r="H1775" s="7" t="n">
        <x:v>1497</x:v>
      </x:c>
      <x:c r="I1775" s="7" t="n">
        <x:v>89</x:v>
      </x:c>
      <x:c r="J1775" s="9" t="n">
        <x:v>23.6</x:v>
      </x:c>
      <x:c r="K1775" s="9" t="n">
        <x:v>9.5</x:v>
      </x:c>
      <x:c r="L1775" s="7" t="n">
        <x:v>2022</x:v>
      </x:c>
      <x:c r="M1775" s="11" t="n">
        <x:v>41741</x:v>
      </x:c>
      <x:c r="N1775" s="7" t="n">
        <x:v>1</x:v>
      </x:c>
      <x:c r="O1775" s="7" t="n">
        <x:v>1</x:v>
      </x:c>
      <x:c r="P1775" s="9" t="n">
        <x:v>5.52</x:v>
      </x:c>
      <x:c r="Q1775" s="7" t="n">
        <x:f>'Guide'!$B$5-L1775</x:f>
        <x:v>4</x:v>
      </x:c>
      <x:c r="R1775" s="9" t="n">
        <x:f>K1775-P1775</x:f>
        <x:v>3.9800000000000004</x:v>
      </x:c>
      <x:c r="S1775" s="10" t="n">
        <x:f>IF(K1775&gt;0,R1775/K1775,"")</x:f>
        <x:v>0.4189473684210527</x:v>
      </x:c>
    </x:row>
    <x:row r="1776">
      <x:c r="A1776" s="7" t="n">
        <x:v>1772</x:v>
      </x:c>
      <x:c r="B1776" s="7" t="str">
        <x:v>Tata</x:v>
      </x:c>
      <x:c r="C1776" s="7" t="str">
        <x:v>Altroz</x:v>
      </x:c>
      <x:c r="D1776" s="7" t="str">
        <x:v>XT Diesel</x:v>
      </x:c>
      <x:c r="E1776" s="7" t="str">
        <x:v>Diesel</x:v>
      </x:c>
      <x:c r="F1776" s="7" t="str">
        <x:v>Manual</x:v>
      </x:c>
      <x:c r="G1776" s="7" t="str">
        <x:v>Hatchback</x:v>
      </x:c>
      <x:c r="H1776" s="7" t="n">
        <x:v>1497</x:v>
      </x:c>
      <x:c r="I1776" s="7" t="n">
        <x:v>89</x:v>
      </x:c>
      <x:c r="J1776" s="9" t="n">
        <x:v>23.6</x:v>
      </x:c>
      <x:c r="K1776" s="9" t="n">
        <x:v>9.5</x:v>
      </x:c>
      <x:c r="L1776" s="7" t="n">
        <x:v>2024</x:v>
      </x:c>
      <x:c r="M1776" s="11" t="n">
        <x:v>27001</x:v>
      </x:c>
      <x:c r="N1776" s="7" t="n">
        <x:v>1</x:v>
      </x:c>
      <x:c r="O1776" s="7" t="n">
        <x:v>0</x:v>
      </x:c>
      <x:c r="P1776" s="9" t="n">
        <x:v>7.85</x:v>
      </x:c>
      <x:c r="Q1776" s="7" t="n">
        <x:f>'Guide'!$B$5-L1776</x:f>
        <x:v>2</x:v>
      </x:c>
      <x:c r="R1776" s="9" t="n">
        <x:f>K1776-P1776</x:f>
        <x:v>1.6500000000000004</x:v>
      </x:c>
      <x:c r="S1776" s="10" t="n">
        <x:f>IF(K1776&gt;0,R1776/K1776,"")</x:f>
        <x:v>0.17368421052631583</x:v>
      </x:c>
    </x:row>
    <x:row r="1777">
      <x:c r="A1777" s="7" t="n">
        <x:v>1773</x:v>
      </x:c>
      <x:c r="B1777" s="7" t="str">
        <x:v>Tata</x:v>
      </x:c>
      <x:c r="C1777" s="7" t="str">
        <x:v>Altroz</x:v>
      </x:c>
      <x:c r="D1777" s="7" t="str">
        <x:v>XT Diesel</x:v>
      </x:c>
      <x:c r="E1777" s="7" t="str">
        <x:v>Diesel</x:v>
      </x:c>
      <x:c r="F1777" s="7" t="str">
        <x:v>Manual</x:v>
      </x:c>
      <x:c r="G1777" s="7" t="str">
        <x:v>Hatchback</x:v>
      </x:c>
      <x:c r="H1777" s="7" t="n">
        <x:v>1497</x:v>
      </x:c>
      <x:c r="I1777" s="7" t="n">
        <x:v>89</x:v>
      </x:c>
      <x:c r="J1777" s="9" t="n">
        <x:v>23.6</x:v>
      </x:c>
      <x:c r="K1777" s="9" t="n">
        <x:v>9.5</x:v>
      </x:c>
      <x:c r="L1777" s="7" t="n">
        <x:v>2023</x:v>
      </x:c>
      <x:c r="M1777" s="11" t="n">
        <x:v>49184</x:v>
      </x:c>
      <x:c r="N1777" s="7" t="n">
        <x:v>1</x:v>
      </x:c>
      <x:c r="O1777" s="7" t="n">
        <x:v>0</x:v>
      </x:c>
      <x:c r="P1777" s="9" t="n">
        <x:v>6.42</x:v>
      </x:c>
      <x:c r="Q1777" s="7" t="n">
        <x:f>'Guide'!$B$5-L1777</x:f>
        <x:v>3</x:v>
      </x:c>
      <x:c r="R1777" s="9" t="n">
        <x:f>K1777-P1777</x:f>
        <x:v>3.08</x:v>
      </x:c>
      <x:c r="S1777" s="10" t="n">
        <x:f>IF(K1777&gt;0,R1777/K1777,"")</x:f>
        <x:v>0.3242105263157895</x:v>
      </x:c>
    </x:row>
    <x:row r="1778">
      <x:c r="A1778" s="7" t="n">
        <x:v>1774</x:v>
      </x:c>
      <x:c r="B1778" s="7" t="str">
        <x:v>Tata</x:v>
      </x:c>
      <x:c r="C1778" s="7" t="str">
        <x:v>Altroz</x:v>
      </x:c>
      <x:c r="D1778" s="7" t="str">
        <x:v>XT Diesel</x:v>
      </x:c>
      <x:c r="E1778" s="7" t="str">
        <x:v>Diesel</x:v>
      </x:c>
      <x:c r="F1778" s="7" t="str">
        <x:v>Manual</x:v>
      </x:c>
      <x:c r="G1778" s="7" t="str">
        <x:v>Hatchback</x:v>
      </x:c>
      <x:c r="H1778" s="7" t="n">
        <x:v>1497</x:v>
      </x:c>
      <x:c r="I1778" s="7" t="n">
        <x:v>89</x:v>
      </x:c>
      <x:c r="J1778" s="9" t="n">
        <x:v>23.6</x:v>
      </x:c>
      <x:c r="K1778" s="9" t="n">
        <x:v>9.5</x:v>
      </x:c>
      <x:c r="L1778" s="7" t="n">
        <x:v>2021</x:v>
      </x:c>
      <x:c r="M1778" s="11" t="n">
        <x:v>82864</x:v>
      </x:c>
      <x:c r="N1778" s="7" t="n">
        <x:v>1</x:v>
      </x:c>
      <x:c r="O1778" s="7" t="n">
        <x:v>0</x:v>
      </x:c>
      <x:c r="P1778" s="9" t="n">
        <x:v>5.11</x:v>
      </x:c>
      <x:c r="Q1778" s="7" t="n">
        <x:f>'Guide'!$B$5-L1778</x:f>
        <x:v>5</x:v>
      </x:c>
      <x:c r="R1778" s="9" t="n">
        <x:f>K1778-P1778</x:f>
        <x:v>4.39</x:v>
      </x:c>
      <x:c r="S1778" s="10" t="n">
        <x:f>IF(K1778&gt;0,R1778/K1778,"")</x:f>
        <x:v>0.4621052631578947</x:v>
      </x:c>
    </x:row>
    <x:row r="1779">
      <x:c r="A1779" s="7" t="n">
        <x:v>1775</x:v>
      </x:c>
      <x:c r="B1779" s="7" t="str">
        <x:v>Tata</x:v>
      </x:c>
      <x:c r="C1779" s="7" t="str">
        <x:v>Altroz</x:v>
      </x:c>
      <x:c r="D1779" s="7" t="str">
        <x:v>XT Diesel</x:v>
      </x:c>
      <x:c r="E1779" s="7" t="str">
        <x:v>Diesel</x:v>
      </x:c>
      <x:c r="F1779" s="7" t="str">
        <x:v>Manual</x:v>
      </x:c>
      <x:c r="G1779" s="7" t="str">
        <x:v>Hatchback</x:v>
      </x:c>
      <x:c r="H1779" s="7" t="n">
        <x:v>1497</x:v>
      </x:c>
      <x:c r="I1779" s="7" t="n">
        <x:v>89</x:v>
      </x:c>
      <x:c r="J1779" s="9" t="n">
        <x:v>23.6</x:v>
      </x:c>
      <x:c r="K1779" s="9" t="n">
        <x:v>9.5</x:v>
      </x:c>
      <x:c r="L1779" s="7" t="n">
        <x:v>2024</x:v>
      </x:c>
      <x:c r="M1779" s="11" t="n">
        <x:v>32809</x:v>
      </x:c>
      <x:c r="N1779" s="7" t="n">
        <x:v>1</x:v>
      </x:c>
      <x:c r="O1779" s="7" t="n">
        <x:v>0</x:v>
      </x:c>
      <x:c r="P1779" s="9" t="n">
        <x:v>7.23</x:v>
      </x:c>
      <x:c r="Q1779" s="7" t="n">
        <x:f>'Guide'!$B$5-L1779</x:f>
        <x:v>2</x:v>
      </x:c>
      <x:c r="R1779" s="9" t="n">
        <x:f>K1779-P1779</x:f>
        <x:v>2.2699999999999996</x:v>
      </x:c>
      <x:c r="S1779" s="10" t="n">
        <x:f>IF(K1779&gt;0,R1779/K1779,"")</x:f>
        <x:v>0.23894736842105258</x:v>
      </x:c>
    </x:row>
    <x:row r="1780">
      <x:c r="A1780" s="7" t="n">
        <x:v>1776</x:v>
      </x:c>
      <x:c r="B1780" s="7" t="str">
        <x:v>Tata</x:v>
      </x:c>
      <x:c r="C1780" s="7" t="str">
        <x:v>Altroz</x:v>
      </x:c>
      <x:c r="D1780" s="7" t="str">
        <x:v>XT Diesel</x:v>
      </x:c>
      <x:c r="E1780" s="7" t="str">
        <x:v>Diesel</x:v>
      </x:c>
      <x:c r="F1780" s="7" t="str">
        <x:v>Manual</x:v>
      </x:c>
      <x:c r="G1780" s="7" t="str">
        <x:v>Hatchback</x:v>
      </x:c>
      <x:c r="H1780" s="7" t="n">
        <x:v>1497</x:v>
      </x:c>
      <x:c r="I1780" s="7" t="n">
        <x:v>89</x:v>
      </x:c>
      <x:c r="J1780" s="9" t="n">
        <x:v>23.6</x:v>
      </x:c>
      <x:c r="K1780" s="9" t="n">
        <x:v>9.5</x:v>
      </x:c>
      <x:c r="L1780" s="7" t="n">
        <x:v>2024</x:v>
      </x:c>
      <x:c r="M1780" s="11" t="n">
        <x:v>48550</x:v>
      </x:c>
      <x:c r="N1780" s="7" t="n">
        <x:v>1</x:v>
      </x:c>
      <x:c r="O1780" s="7" t="n">
        <x:v>0</x:v>
      </x:c>
      <x:c r="P1780" s="9" t="n">
        <x:v>7.71</x:v>
      </x:c>
      <x:c r="Q1780" s="7" t="n">
        <x:f>'Guide'!$B$5-L1780</x:f>
        <x:v>2</x:v>
      </x:c>
      <x:c r="R1780" s="9" t="n">
        <x:f>K1780-P1780</x:f>
        <x:v>1.79</x:v>
      </x:c>
      <x:c r="S1780" s="10" t="n">
        <x:f>IF(K1780&gt;0,R1780/K1780,"")</x:f>
        <x:v>0.18842105263157896</x:v>
      </x:c>
    </x:row>
    <x:row r="1781">
      <x:c r="A1781" s="7" t="n">
        <x:v>1777</x:v>
      </x:c>
      <x:c r="B1781" s="7" t="str">
        <x:v>Tata</x:v>
      </x:c>
      <x:c r="C1781" s="7" t="str">
        <x:v>Altroz</x:v>
      </x:c>
      <x:c r="D1781" s="7" t="str">
        <x:v>XT Diesel</x:v>
      </x:c>
      <x:c r="E1781" s="7" t="str">
        <x:v>Diesel</x:v>
      </x:c>
      <x:c r="F1781" s="7" t="str">
        <x:v>Manual</x:v>
      </x:c>
      <x:c r="G1781" s="7" t="str">
        <x:v>Hatchback</x:v>
      </x:c>
      <x:c r="H1781" s="7" t="n">
        <x:v>1497</x:v>
      </x:c>
      <x:c r="I1781" s="7" t="n">
        <x:v>89</x:v>
      </x:c>
      <x:c r="J1781" s="9" t="n">
        <x:v>23.6</x:v>
      </x:c>
      <x:c r="K1781" s="9" t="n">
        <x:v>9.5</x:v>
      </x:c>
      <x:c r="L1781" s="7" t="n">
        <x:v>2022</x:v>
      </x:c>
      <x:c r="M1781" s="11" t="n">
        <x:v>69996</x:v>
      </x:c>
      <x:c r="N1781" s="7" t="n">
        <x:v>1</x:v>
      </x:c>
      <x:c r="O1781" s="7" t="n">
        <x:v>0</x:v>
      </x:c>
      <x:c r="P1781" s="9" t="n">
        <x:v>5.59</x:v>
      </x:c>
      <x:c r="Q1781" s="7" t="n">
        <x:f>'Guide'!$B$5-L1781</x:f>
        <x:v>4</x:v>
      </x:c>
      <x:c r="R1781" s="9" t="n">
        <x:f>K1781-P1781</x:f>
        <x:v>3.91</x:v>
      </x:c>
      <x:c r="S1781" s="10" t="n">
        <x:f>IF(K1781&gt;0,R1781/K1781,"")</x:f>
        <x:v>0.41157894736842104</x:v>
      </x:c>
    </x:row>
    <x:row r="1782">
      <x:c r="A1782" s="7" t="n">
        <x:v>1778</x:v>
      </x:c>
      <x:c r="B1782" s="7" t="str">
        <x:v>Tata</x:v>
      </x:c>
      <x:c r="C1782" s="7" t="str">
        <x:v>Altroz</x:v>
      </x:c>
      <x:c r="D1782" s="7" t="str">
        <x:v>XT Diesel</x:v>
      </x:c>
      <x:c r="E1782" s="7" t="str">
        <x:v>Diesel</x:v>
      </x:c>
      <x:c r="F1782" s="7" t="str">
        <x:v>Manual</x:v>
      </x:c>
      <x:c r="G1782" s="7" t="str">
        <x:v>Hatchback</x:v>
      </x:c>
      <x:c r="H1782" s="7" t="n">
        <x:v>1497</x:v>
      </x:c>
      <x:c r="I1782" s="7" t="n">
        <x:v>89</x:v>
      </x:c>
      <x:c r="J1782" s="9" t="n">
        <x:v>23.6</x:v>
      </x:c>
      <x:c r="K1782" s="9" t="n">
        <x:v>9.5</x:v>
      </x:c>
      <x:c r="L1782" s="7" t="n">
        <x:v>2021</x:v>
      </x:c>
      <x:c r="M1782" s="11" t="n">
        <x:v>49221</x:v>
      </x:c>
      <x:c r="N1782" s="7" t="n">
        <x:v>2</x:v>
      </x:c>
      <x:c r="O1782" s="7" t="n">
        <x:v>1</x:v>
      </x:c>
      <x:c r="P1782" s="9" t="n">
        <x:v>3.87</x:v>
      </x:c>
      <x:c r="Q1782" s="7" t="n">
        <x:f>'Guide'!$B$5-L1782</x:f>
        <x:v>5</x:v>
      </x:c>
      <x:c r="R1782" s="9" t="n">
        <x:f>K1782-P1782</x:f>
        <x:v>5.63</x:v>
      </x:c>
      <x:c r="S1782" s="10" t="n">
        <x:f>IF(K1782&gt;0,R1782/K1782,"")</x:f>
        <x:v>0.5926315789473684</x:v>
      </x:c>
    </x:row>
    <x:row r="1783">
      <x:c r="A1783" s="7" t="n">
        <x:v>1779</x:v>
      </x:c>
      <x:c r="B1783" s="7" t="str">
        <x:v>Tata</x:v>
      </x:c>
      <x:c r="C1783" s="7" t="str">
        <x:v>Altroz</x:v>
      </x:c>
      <x:c r="D1783" s="7" t="str">
        <x:v>XT Diesel</x:v>
      </x:c>
      <x:c r="E1783" s="7" t="str">
        <x:v>Diesel</x:v>
      </x:c>
      <x:c r="F1783" s="7" t="str">
        <x:v>Manual</x:v>
      </x:c>
      <x:c r="G1783" s="7" t="str">
        <x:v>Hatchback</x:v>
      </x:c>
      <x:c r="H1783" s="7" t="n">
        <x:v>1497</x:v>
      </x:c>
      <x:c r="I1783" s="7" t="n">
        <x:v>89</x:v>
      </x:c>
      <x:c r="J1783" s="9" t="n">
        <x:v>23.6</x:v>
      </x:c>
      <x:c r="K1783" s="9" t="n">
        <x:v>9.5</x:v>
      </x:c>
      <x:c r="L1783" s="7" t="n">
        <x:v>2020</x:v>
      </x:c>
      <x:c r="M1783" s="11" t="n">
        <x:v>63157</x:v>
      </x:c>
      <x:c r="N1783" s="7" t="n">
        <x:v>1</x:v>
      </x:c>
      <x:c r="O1783" s="7" t="n">
        <x:v>0</x:v>
      </x:c>
      <x:c r="P1783" s="9" t="n">
        <x:v>4.22</x:v>
      </x:c>
      <x:c r="Q1783" s="7" t="n">
        <x:f>'Guide'!$B$5-L1783</x:f>
        <x:v>6</x:v>
      </x:c>
      <x:c r="R1783" s="9" t="n">
        <x:f>K1783-P1783</x:f>
        <x:v>5.28</x:v>
      </x:c>
      <x:c r="S1783" s="10" t="n">
        <x:f>IF(K1783&gt;0,R1783/K1783,"")</x:f>
        <x:v>0.5557894736842105</x:v>
      </x:c>
    </x:row>
    <x:row r="1784">
      <x:c r="A1784" s="7" t="n">
        <x:v>1780</x:v>
      </x:c>
      <x:c r="B1784" s="7" t="str">
        <x:v>Tata</x:v>
      </x:c>
      <x:c r="C1784" s="7" t="str">
        <x:v>Altroz</x:v>
      </x:c>
      <x:c r="D1784" s="7" t="str">
        <x:v>XT Diesel</x:v>
      </x:c>
      <x:c r="E1784" s="7" t="str">
        <x:v>Diesel</x:v>
      </x:c>
      <x:c r="F1784" s="7" t="str">
        <x:v>Manual</x:v>
      </x:c>
      <x:c r="G1784" s="7" t="str">
        <x:v>Hatchback</x:v>
      </x:c>
      <x:c r="H1784" s="7" t="n">
        <x:v>1497</x:v>
      </x:c>
      <x:c r="I1784" s="7" t="n">
        <x:v>89</x:v>
      </x:c>
      <x:c r="J1784" s="9" t="n">
        <x:v>23.6</x:v>
      </x:c>
      <x:c r="K1784" s="9" t="n">
        <x:v>9.5</x:v>
      </x:c>
      <x:c r="L1784" s="7" t="n">
        <x:v>2020</x:v>
      </x:c>
      <x:c r="M1784" s="11" t="n">
        <x:v>55735</x:v>
      </x:c>
      <x:c r="N1784" s="7" t="n">
        <x:v>2</x:v>
      </x:c>
      <x:c r="O1784" s="7" t="n">
        <x:v>0</x:v>
      </x:c>
      <x:c r="P1784" s="9" t="n">
        <x:v>4.13</x:v>
      </x:c>
      <x:c r="Q1784" s="7" t="n">
        <x:f>'Guide'!$B$5-L1784</x:f>
        <x:v>6</x:v>
      </x:c>
      <x:c r="R1784" s="9" t="n">
        <x:f>K1784-P1784</x:f>
        <x:v>5.37</x:v>
      </x:c>
      <x:c r="S1784" s="10" t="n">
        <x:f>IF(K1784&gt;0,R1784/K1784,"")</x:f>
        <x:v>0.5652631578947368</x:v>
      </x:c>
    </x:row>
    <x:row r="1785">
      <x:c r="A1785" s="7" t="n">
        <x:v>1781</x:v>
      </x:c>
      <x:c r="B1785" s="7" t="str">
        <x:v>Tata</x:v>
      </x:c>
      <x:c r="C1785" s="7" t="str">
        <x:v>Altroz</x:v>
      </x:c>
      <x:c r="D1785" s="7" t="str">
        <x:v>XT Diesel</x:v>
      </x:c>
      <x:c r="E1785" s="7" t="str">
        <x:v>Diesel</x:v>
      </x:c>
      <x:c r="F1785" s="7" t="str">
        <x:v>Manual</x:v>
      </x:c>
      <x:c r="G1785" s="7" t="str">
        <x:v>Hatchback</x:v>
      </x:c>
      <x:c r="H1785" s="7" t="n">
        <x:v>1497</x:v>
      </x:c>
      <x:c r="I1785" s="7" t="n">
        <x:v>89</x:v>
      </x:c>
      <x:c r="J1785" s="9" t="n">
        <x:v>23.6</x:v>
      </x:c>
      <x:c r="K1785" s="9" t="n">
        <x:v>9.5</x:v>
      </x:c>
      <x:c r="L1785" s="7" t="n">
        <x:v>2025</x:v>
      </x:c>
      <x:c r="M1785" s="11" t="n">
        <x:v>12803</x:v>
      </x:c>
      <x:c r="N1785" s="7" t="n">
        <x:v>2</x:v>
      </x:c>
      <x:c r="O1785" s="7" t="n">
        <x:v>0</x:v>
      </x:c>
      <x:c r="P1785" s="9" t="n">
        <x:v>8.33</x:v>
      </x:c>
      <x:c r="Q1785" s="7" t="n">
        <x:f>'Guide'!$B$5-L1785</x:f>
        <x:v>1</x:v>
      </x:c>
      <x:c r="R1785" s="9" t="n">
        <x:f>K1785-P1785</x:f>
        <x:v>1.17</x:v>
      </x:c>
      <x:c r="S1785" s="10" t="n">
        <x:f>IF(K1785&gt;0,R1785/K1785,"")</x:f>
        <x:v>0.12315789473684209</x:v>
      </x:c>
    </x:row>
    <x:row r="1786">
      <x:c r="A1786" s="7" t="n">
        <x:v>1782</x:v>
      </x:c>
      <x:c r="B1786" s="7" t="str">
        <x:v>Tata</x:v>
      </x:c>
      <x:c r="C1786" s="7" t="str">
        <x:v>Altroz</x:v>
      </x:c>
      <x:c r="D1786" s="7" t="str">
        <x:v>XT Diesel</x:v>
      </x:c>
      <x:c r="E1786" s="7" t="str">
        <x:v>Diesel</x:v>
      </x:c>
      <x:c r="F1786" s="7" t="str">
        <x:v>Manual</x:v>
      </x:c>
      <x:c r="G1786" s="7" t="str">
        <x:v>Hatchback</x:v>
      </x:c>
      <x:c r="H1786" s="7" t="n">
        <x:v>1497</x:v>
      </x:c>
      <x:c r="I1786" s="7" t="n">
        <x:v>89</x:v>
      </x:c>
      <x:c r="J1786" s="9" t="n">
        <x:v>23.6</x:v>
      </x:c>
      <x:c r="K1786" s="9" t="n">
        <x:v>9.5</x:v>
      </x:c>
      <x:c r="L1786" s="7" t="n">
        <x:v>2020</x:v>
      </x:c>
      <x:c r="M1786" s="11" t="n">
        <x:v>80473</x:v>
      </x:c>
      <x:c r="N1786" s="7" t="n">
        <x:v>1</x:v>
      </x:c>
      <x:c r="O1786" s="7" t="n">
        <x:v>0</x:v>
      </x:c>
      <x:c r="P1786" s="9" t="n">
        <x:v>4.2</x:v>
      </x:c>
      <x:c r="Q1786" s="7" t="n">
        <x:f>'Guide'!$B$5-L1786</x:f>
        <x:v>6</x:v>
      </x:c>
      <x:c r="R1786" s="9" t="n">
        <x:f>K1786-P1786</x:f>
        <x:v>5.3</x:v>
      </x:c>
      <x:c r="S1786" s="10" t="n">
        <x:f>IF(K1786&gt;0,R1786/K1786,"")</x:f>
        <x:v>0.5578947368421052</x:v>
      </x:c>
    </x:row>
    <x:row r="1787">
      <x:c r="A1787" s="7" t="n">
        <x:v>1783</x:v>
      </x:c>
      <x:c r="B1787" s="7" t="str">
        <x:v>Tata</x:v>
      </x:c>
      <x:c r="C1787" s="7" t="str">
        <x:v>Altroz</x:v>
      </x:c>
      <x:c r="D1787" s="7" t="str">
        <x:v>XT Diesel</x:v>
      </x:c>
      <x:c r="E1787" s="7" t="str">
        <x:v>Diesel</x:v>
      </x:c>
      <x:c r="F1787" s="7" t="str">
        <x:v>Manual</x:v>
      </x:c>
      <x:c r="G1787" s="7" t="str">
        <x:v>Hatchback</x:v>
      </x:c>
      <x:c r="H1787" s="7" t="n">
        <x:v>1497</x:v>
      </x:c>
      <x:c r="I1787" s="7" t="n">
        <x:v>89</x:v>
      </x:c>
      <x:c r="J1787" s="9" t="n">
        <x:v>23.6</x:v>
      </x:c>
      <x:c r="K1787" s="9" t="n">
        <x:v>9.5</x:v>
      </x:c>
      <x:c r="L1787" s="7" t="n">
        <x:v>2025</x:v>
      </x:c>
      <x:c r="M1787" s="11" t="n">
        <x:v>13857</x:v>
      </x:c>
      <x:c r="N1787" s="7" t="n">
        <x:v>1</x:v>
      </x:c>
      <x:c r="O1787" s="7" t="n">
        <x:v>0</x:v>
      </x:c>
      <x:c r="P1787" s="9" t="n">
        <x:v>8.52</x:v>
      </x:c>
      <x:c r="Q1787" s="7" t="n">
        <x:f>'Guide'!$B$5-L1787</x:f>
        <x:v>1</x:v>
      </x:c>
      <x:c r="R1787" s="9" t="n">
        <x:f>K1787-P1787</x:f>
        <x:v>0.9800000000000004</x:v>
      </x:c>
      <x:c r="S1787" s="10" t="n">
        <x:f>IF(K1787&gt;0,R1787/K1787,"")</x:f>
        <x:v>0.10315789473684216</x:v>
      </x:c>
    </x:row>
    <x:row r="1788">
      <x:c r="A1788" s="7" t="n">
        <x:v>1784</x:v>
      </x:c>
      <x:c r="B1788" s="7" t="str">
        <x:v>Tata</x:v>
      </x:c>
      <x:c r="C1788" s="7" t="str">
        <x:v>Altroz</x:v>
      </x:c>
      <x:c r="D1788" s="7" t="str">
        <x:v>XT Diesel</x:v>
      </x:c>
      <x:c r="E1788" s="7" t="str">
        <x:v>Diesel</x:v>
      </x:c>
      <x:c r="F1788" s="7" t="str">
        <x:v>Manual</x:v>
      </x:c>
      <x:c r="G1788" s="7" t="str">
        <x:v>Hatchback</x:v>
      </x:c>
      <x:c r="H1788" s="7" t="n">
        <x:v>1497</x:v>
      </x:c>
      <x:c r="I1788" s="7" t="n">
        <x:v>89</x:v>
      </x:c>
      <x:c r="J1788" s="9" t="n">
        <x:v>23.6</x:v>
      </x:c>
      <x:c r="K1788" s="9" t="n">
        <x:v>9.5</x:v>
      </x:c>
      <x:c r="L1788" s="7" t="n">
        <x:v>2024</x:v>
      </x:c>
      <x:c r="M1788" s="11" t="n">
        <x:v>33665</x:v>
      </x:c>
      <x:c r="N1788" s="7" t="n">
        <x:v>1</x:v>
      </x:c>
      <x:c r="O1788" s="7" t="n">
        <x:v>0</x:v>
      </x:c>
      <x:c r="P1788" s="9" t="n">
        <x:v>7.37</x:v>
      </x:c>
      <x:c r="Q1788" s="7" t="n">
        <x:f>'Guide'!$B$5-L1788</x:f>
        <x:v>2</x:v>
      </x:c>
      <x:c r="R1788" s="9" t="n">
        <x:f>K1788-P1788</x:f>
        <x:v>2.13</x:v>
      </x:c>
      <x:c r="S1788" s="10" t="n">
        <x:f>IF(K1788&gt;0,R1788/K1788,"")</x:f>
        <x:v>0.22421052631578947</x:v>
      </x:c>
    </x:row>
    <x:row r="1789">
      <x:c r="A1789" s="7" t="n">
        <x:v>1785</x:v>
      </x:c>
      <x:c r="B1789" s="7" t="str">
        <x:v>Tata</x:v>
      </x:c>
      <x:c r="C1789" s="7" t="str">
        <x:v>Altroz</x:v>
      </x:c>
      <x:c r="D1789" s="7" t="str">
        <x:v>XT Diesel</x:v>
      </x:c>
      <x:c r="E1789" s="7" t="str">
        <x:v>Diesel</x:v>
      </x:c>
      <x:c r="F1789" s="7" t="str">
        <x:v>Manual</x:v>
      </x:c>
      <x:c r="G1789" s="7" t="str">
        <x:v>Hatchback</x:v>
      </x:c>
      <x:c r="H1789" s="7" t="n">
        <x:v>1497</x:v>
      </x:c>
      <x:c r="I1789" s="7" t="n">
        <x:v>89</x:v>
      </x:c>
      <x:c r="J1789" s="9" t="n">
        <x:v>23.6</x:v>
      </x:c>
      <x:c r="K1789" s="9" t="n">
        <x:v>9.5</x:v>
      </x:c>
      <x:c r="L1789" s="7" t="n">
        <x:v>2024</x:v>
      </x:c>
      <x:c r="M1789" s="11" t="n">
        <x:v>42416</x:v>
      </x:c>
      <x:c r="N1789" s="7" t="n">
        <x:v>2</x:v>
      </x:c>
      <x:c r="O1789" s="7" t="n">
        <x:v>0</x:v>
      </x:c>
      <x:c r="P1789" s="9" t="n">
        <x:v>7.44</x:v>
      </x:c>
      <x:c r="Q1789" s="7" t="n">
        <x:f>'Guide'!$B$5-L1789</x:f>
        <x:v>2</x:v>
      </x:c>
      <x:c r="R1789" s="9" t="n">
        <x:f>K1789-P1789</x:f>
        <x:v>2.0599999999999996</x:v>
      </x:c>
      <x:c r="S1789" s="10" t="n">
        <x:f>IF(K1789&gt;0,R1789/K1789,"")</x:f>
        <x:v>0.21684210526315786</x:v>
      </x:c>
    </x:row>
    <x:row r="1790">
      <x:c r="A1790" s="7" t="n">
        <x:v>1786</x:v>
      </x:c>
      <x:c r="B1790" s="7" t="str">
        <x:v>Tata</x:v>
      </x:c>
      <x:c r="C1790" s="7" t="str">
        <x:v>Altroz</x:v>
      </x:c>
      <x:c r="D1790" s="7" t="str">
        <x:v>XT Diesel</x:v>
      </x:c>
      <x:c r="E1790" s="7" t="str">
        <x:v>Diesel</x:v>
      </x:c>
      <x:c r="F1790" s="7" t="str">
        <x:v>Manual</x:v>
      </x:c>
      <x:c r="G1790" s="7" t="str">
        <x:v>Hatchback</x:v>
      </x:c>
      <x:c r="H1790" s="7" t="n">
        <x:v>1497</x:v>
      </x:c>
      <x:c r="I1790" s="7" t="n">
        <x:v>89</x:v>
      </x:c>
      <x:c r="J1790" s="9" t="n">
        <x:v>23.6</x:v>
      </x:c>
      <x:c r="K1790" s="9" t="n">
        <x:v>9.5</x:v>
      </x:c>
      <x:c r="L1790" s="7" t="n">
        <x:v>2023</x:v>
      </x:c>
      <x:c r="M1790" s="11" t="n">
        <x:v>48852</x:v>
      </x:c>
      <x:c r="N1790" s="7" t="n">
        <x:v>1</x:v>
      </x:c>
      <x:c r="O1790" s="7" t="n">
        <x:v>0</x:v>
      </x:c>
      <x:c r="P1790" s="9" t="n">
        <x:v>6.88</x:v>
      </x:c>
      <x:c r="Q1790" s="7" t="n">
        <x:f>'Guide'!$B$5-L1790</x:f>
        <x:v>3</x:v>
      </x:c>
      <x:c r="R1790" s="9" t="n">
        <x:f>K1790-P1790</x:f>
        <x:v>2.62</x:v>
      </x:c>
      <x:c r="S1790" s="10" t="n">
        <x:f>IF(K1790&gt;0,R1790/K1790,"")</x:f>
        <x:v>0.27578947368421053</x:v>
      </x:c>
    </x:row>
    <x:row r="1791">
      <x:c r="A1791" s="7" t="n">
        <x:v>1787</x:v>
      </x:c>
      <x:c r="B1791" s="7" t="str">
        <x:v>Tata</x:v>
      </x:c>
      <x:c r="C1791" s="7" t="str">
        <x:v>Altroz</x:v>
      </x:c>
      <x:c r="D1791" s="7" t="str">
        <x:v>XT Diesel</x:v>
      </x:c>
      <x:c r="E1791" s="7" t="str">
        <x:v>Diesel</x:v>
      </x:c>
      <x:c r="F1791" s="7" t="str">
        <x:v>Manual</x:v>
      </x:c>
      <x:c r="G1791" s="7" t="str">
        <x:v>Hatchback</x:v>
      </x:c>
      <x:c r="H1791" s="7" t="n">
        <x:v>1497</x:v>
      </x:c>
      <x:c r="I1791" s="7" t="n">
        <x:v>89</x:v>
      </x:c>
      <x:c r="J1791" s="9" t="n">
        <x:v>23.6</x:v>
      </x:c>
      <x:c r="K1791" s="9" t="n">
        <x:v>9.5</x:v>
      </x:c>
      <x:c r="L1791" s="7" t="n">
        <x:v>2026</x:v>
      </x:c>
      <x:c r="M1791" s="11" t="n">
        <x:v>4727</x:v>
      </x:c>
      <x:c r="N1791" s="7" t="n">
        <x:v>3</x:v>
      </x:c>
      <x:c r="O1791" s="7" t="n">
        <x:v>0</x:v>
      </x:c>
      <x:c r="P1791" s="9" t="n">
        <x:v>9</x:v>
      </x:c>
      <x:c r="Q1791" s="7" t="n">
        <x:f>'Guide'!$B$5-L1791</x:f>
        <x:v>0</x:v>
      </x:c>
      <x:c r="R1791" s="9" t="n">
        <x:f>K1791-P1791</x:f>
        <x:v>0.5</x:v>
      </x:c>
      <x:c r="S1791" s="10" t="n">
        <x:f>IF(K1791&gt;0,R1791/K1791,"")</x:f>
        <x:v>0.05263157894736842</x:v>
      </x:c>
    </x:row>
    <x:row r="1792">
      <x:c r="A1792" s="7" t="n">
        <x:v>1788</x:v>
      </x:c>
      <x:c r="B1792" s="7" t="str">
        <x:v>Tata</x:v>
      </x:c>
      <x:c r="C1792" s="7" t="str">
        <x:v>Altroz</x:v>
      </x:c>
      <x:c r="D1792" s="7" t="str">
        <x:v>XT Diesel</x:v>
      </x:c>
      <x:c r="E1792" s="7" t="str">
        <x:v>Diesel</x:v>
      </x:c>
      <x:c r="F1792" s="7" t="str">
        <x:v>Manual</x:v>
      </x:c>
      <x:c r="G1792" s="7" t="str">
        <x:v>Hatchback</x:v>
      </x:c>
      <x:c r="H1792" s="7" t="n">
        <x:v>1497</x:v>
      </x:c>
      <x:c r="I1792" s="7" t="n">
        <x:v>89</x:v>
      </x:c>
      <x:c r="J1792" s="9" t="n">
        <x:v>23.6</x:v>
      </x:c>
      <x:c r="K1792" s="9" t="n">
        <x:v>9.5</x:v>
      </x:c>
      <x:c r="L1792" s="7" t="n">
        <x:v>2021</x:v>
      </x:c>
      <x:c r="M1792" s="11" t="n">
        <x:v>103947</x:v>
      </x:c>
      <x:c r="N1792" s="7" t="n">
        <x:v>1</x:v>
      </x:c>
      <x:c r="O1792" s="7" t="n">
        <x:v>0</x:v>
      </x:c>
      <x:c r="P1792" s="9" t="n">
        <x:v>4.88</x:v>
      </x:c>
      <x:c r="Q1792" s="7" t="n">
        <x:f>'Guide'!$B$5-L1792</x:f>
        <x:v>5</x:v>
      </x:c>
      <x:c r="R1792" s="9" t="n">
        <x:f>K1792-P1792</x:f>
        <x:v>4.62</x:v>
      </x:c>
      <x:c r="S1792" s="10" t="n">
        <x:f>IF(K1792&gt;0,R1792/K1792,"")</x:f>
        <x:v>0.4863157894736842</x:v>
      </x:c>
    </x:row>
    <x:row r="1793">
      <x:c r="A1793" s="7" t="n">
        <x:v>1789</x:v>
      </x:c>
      <x:c r="B1793" s="7" t="str">
        <x:v>Tata</x:v>
      </x:c>
      <x:c r="C1793" s="7" t="str">
        <x:v>Altroz</x:v>
      </x:c>
      <x:c r="D1793" s="7" t="str">
        <x:v>XT Diesel</x:v>
      </x:c>
      <x:c r="E1793" s="7" t="str">
        <x:v>Diesel</x:v>
      </x:c>
      <x:c r="F1793" s="7" t="str">
        <x:v>Manual</x:v>
      </x:c>
      <x:c r="G1793" s="7" t="str">
        <x:v>Hatchback</x:v>
      </x:c>
      <x:c r="H1793" s="7" t="n">
        <x:v>1497</x:v>
      </x:c>
      <x:c r="I1793" s="7" t="n">
        <x:v>89</x:v>
      </x:c>
      <x:c r="J1793" s="9" t="n">
        <x:v>23.6</x:v>
      </x:c>
      <x:c r="K1793" s="9" t="n">
        <x:v>9.5</x:v>
      </x:c>
      <x:c r="L1793" s="7" t="n">
        <x:v>2021</x:v>
      </x:c>
      <x:c r="M1793" s="11" t="n">
        <x:v>81528</x:v>
      </x:c>
      <x:c r="N1793" s="7" t="n">
        <x:v>2</x:v>
      </x:c>
      <x:c r="O1793" s="7" t="n">
        <x:v>0</x:v>
      </x:c>
      <x:c r="P1793" s="9" t="n">
        <x:v>4.39</x:v>
      </x:c>
      <x:c r="Q1793" s="7" t="n">
        <x:f>'Guide'!$B$5-L1793</x:f>
        <x:v>5</x:v>
      </x:c>
      <x:c r="R1793" s="9" t="n">
        <x:f>K1793-P1793</x:f>
        <x:v>5.11</x:v>
      </x:c>
      <x:c r="S1793" s="10" t="n">
        <x:f>IF(K1793&gt;0,R1793/K1793,"")</x:f>
        <x:v>0.5378947368421053</x:v>
      </x:c>
    </x:row>
    <x:row r="1794">
      <x:c r="A1794" s="7" t="n">
        <x:v>1790</x:v>
      </x:c>
      <x:c r="B1794" s="7" t="str">
        <x:v>Tata</x:v>
      </x:c>
      <x:c r="C1794" s="7" t="str">
        <x:v>Altroz</x:v>
      </x:c>
      <x:c r="D1794" s="7" t="str">
        <x:v>XT Diesel</x:v>
      </x:c>
      <x:c r="E1794" s="7" t="str">
        <x:v>Diesel</x:v>
      </x:c>
      <x:c r="F1794" s="7" t="str">
        <x:v>Manual</x:v>
      </x:c>
      <x:c r="G1794" s="7" t="str">
        <x:v>Hatchback</x:v>
      </x:c>
      <x:c r="H1794" s="7" t="n">
        <x:v>1497</x:v>
      </x:c>
      <x:c r="I1794" s="7" t="n">
        <x:v>89</x:v>
      </x:c>
      <x:c r="J1794" s="9" t="n">
        <x:v>23.6</x:v>
      </x:c>
      <x:c r="K1794" s="9" t="n">
        <x:v>9.5</x:v>
      </x:c>
      <x:c r="L1794" s="7" t="n">
        <x:v>2024</x:v>
      </x:c>
      <x:c r="M1794" s="11" t="n">
        <x:v>40177</x:v>
      </x:c>
      <x:c r="N1794" s="7" t="n">
        <x:v>1</x:v>
      </x:c>
      <x:c r="O1794" s="7" t="n">
        <x:v>0</x:v>
      </x:c>
      <x:c r="P1794" s="9" t="n">
        <x:v>7.92</x:v>
      </x:c>
      <x:c r="Q1794" s="7" t="n">
        <x:f>'Guide'!$B$5-L1794</x:f>
        <x:v>2</x:v>
      </x:c>
      <x:c r="R1794" s="9" t="n">
        <x:f>K1794-P1794</x:f>
        <x:v>1.58</x:v>
      </x:c>
      <x:c r="S1794" s="10" t="n">
        <x:f>IF(K1794&gt;0,R1794/K1794,"")</x:f>
        <x:v>0.16631578947368422</x:v>
      </x:c>
    </x:row>
    <x:row r="1795">
      <x:c r="A1795" s="7" t="n">
        <x:v>1791</x:v>
      </x:c>
      <x:c r="B1795" s="7" t="str">
        <x:v>Tata</x:v>
      </x:c>
      <x:c r="C1795" s="7" t="str">
        <x:v>Altroz</x:v>
      </x:c>
      <x:c r="D1795" s="7" t="str">
        <x:v>XT Diesel</x:v>
      </x:c>
      <x:c r="E1795" s="7" t="str">
        <x:v>Diesel</x:v>
      </x:c>
      <x:c r="F1795" s="7" t="str">
        <x:v>Manual</x:v>
      </x:c>
      <x:c r="G1795" s="7" t="str">
        <x:v>Hatchback</x:v>
      </x:c>
      <x:c r="H1795" s="7" t="n">
        <x:v>1497</x:v>
      </x:c>
      <x:c r="I1795" s="7" t="n">
        <x:v>89</x:v>
      </x:c>
      <x:c r="J1795" s="9" t="n">
        <x:v>23.6</x:v>
      </x:c>
      <x:c r="K1795" s="9" t="n">
        <x:v>9.5</x:v>
      </x:c>
      <x:c r="L1795" s="7" t="n">
        <x:v>2026</x:v>
      </x:c>
      <x:c r="M1795" s="11" t="n">
        <x:v>6207</x:v>
      </x:c>
      <x:c r="N1795" s="7" t="n">
        <x:v>2</x:v>
      </x:c>
      <x:c r="O1795" s="7" t="n">
        <x:v>1</x:v>
      </x:c>
      <x:c r="P1795" s="9" t="n">
        <x:v>8.07</x:v>
      </x:c>
      <x:c r="Q1795" s="7" t="n">
        <x:f>'Guide'!$B$5-L1795</x:f>
        <x:v>0</x:v>
      </x:c>
      <x:c r="R1795" s="9" t="n">
        <x:f>K1795-P1795</x:f>
        <x:v>1.4299999999999997</x:v>
      </x:c>
      <x:c r="S1795" s="10" t="n">
        <x:f>IF(K1795&gt;0,R1795/K1795,"")</x:f>
        <x:v>0.15052631578947365</x:v>
      </x:c>
    </x:row>
    <x:row r="1796">
      <x:c r="A1796" s="7" t="n">
        <x:v>1792</x:v>
      </x:c>
      <x:c r="B1796" s="7" t="str">
        <x:v>Tata</x:v>
      </x:c>
      <x:c r="C1796" s="7" t="str">
        <x:v>Altroz</x:v>
      </x:c>
      <x:c r="D1796" s="7" t="str">
        <x:v>XT Diesel</x:v>
      </x:c>
      <x:c r="E1796" s="7" t="str">
        <x:v>Diesel</x:v>
      </x:c>
      <x:c r="F1796" s="7" t="str">
        <x:v>Manual</x:v>
      </x:c>
      <x:c r="G1796" s="7" t="str">
        <x:v>Hatchback</x:v>
      </x:c>
      <x:c r="H1796" s="7" t="n">
        <x:v>1497</x:v>
      </x:c>
      <x:c r="I1796" s="7" t="n">
        <x:v>89</x:v>
      </x:c>
      <x:c r="J1796" s="9" t="n">
        <x:v>23.6</x:v>
      </x:c>
      <x:c r="K1796" s="9" t="n">
        <x:v>9.5</x:v>
      </x:c>
      <x:c r="L1796" s="7" t="n">
        <x:v>2026</x:v>
      </x:c>
      <x:c r="M1796" s="11" t="n">
        <x:v>9852</x:v>
      </x:c>
      <x:c r="N1796" s="7" t="n">
        <x:v>2</x:v>
      </x:c>
      <x:c r="O1796" s="7" t="n">
        <x:v>0</x:v>
      </x:c>
      <x:c r="P1796" s="9" t="n">
        <x:v>8.76</x:v>
      </x:c>
      <x:c r="Q1796" s="7" t="n">
        <x:f>'Guide'!$B$5-L1796</x:f>
        <x:v>0</x:v>
      </x:c>
      <x:c r="R1796" s="9" t="n">
        <x:f>K1796-P1796</x:f>
        <x:v>0.7400000000000002</x:v>
      </x:c>
      <x:c r="S1796" s="10" t="n">
        <x:f>IF(K1796&gt;0,R1796/K1796,"")</x:f>
        <x:v>0.07789473684210528</x:v>
      </x:c>
    </x:row>
    <x:row r="1797">
      <x:c r="A1797" s="7" t="n">
        <x:v>1793</x:v>
      </x:c>
      <x:c r="B1797" s="7" t="str">
        <x:v>Tata</x:v>
      </x:c>
      <x:c r="C1797" s="7" t="str">
        <x:v>Altroz</x:v>
      </x:c>
      <x:c r="D1797" s="7" t="str">
        <x:v>XT Diesel</x:v>
      </x:c>
      <x:c r="E1797" s="7" t="str">
        <x:v>Diesel</x:v>
      </x:c>
      <x:c r="F1797" s="7" t="str">
        <x:v>Manual</x:v>
      </x:c>
      <x:c r="G1797" s="7" t="str">
        <x:v>Hatchback</x:v>
      </x:c>
      <x:c r="H1797" s="7" t="n">
        <x:v>1497</x:v>
      </x:c>
      <x:c r="I1797" s="7" t="n">
        <x:v>89</x:v>
      </x:c>
      <x:c r="J1797" s="9" t="n">
        <x:v>23.6</x:v>
      </x:c>
      <x:c r="K1797" s="9" t="n">
        <x:v>9.5</x:v>
      </x:c>
      <x:c r="L1797" s="7" t="n">
        <x:v>2020</x:v>
      </x:c>
      <x:c r="M1797" s="11" t="n">
        <x:v>64556</x:v>
      </x:c>
      <x:c r="N1797" s="7" t="n">
        <x:v>2</x:v>
      </x:c>
      <x:c r="O1797" s="7" t="n">
        <x:v>0</x:v>
      </x:c>
      <x:c r="P1797" s="9" t="n">
        <x:v>3.73</x:v>
      </x:c>
      <x:c r="Q1797" s="7" t="n">
        <x:f>'Guide'!$B$5-L1797</x:f>
        <x:v>6</x:v>
      </x:c>
      <x:c r="R1797" s="9" t="n">
        <x:f>K1797-P1797</x:f>
        <x:v>5.77</x:v>
      </x:c>
      <x:c r="S1797" s="10" t="n">
        <x:f>IF(K1797&gt;0,R1797/K1797,"")</x:f>
        <x:v>0.6073684210526316</x:v>
      </x:c>
    </x:row>
    <x:row r="1798">
      <x:c r="A1798" s="7" t="n">
        <x:v>1794</x:v>
      </x:c>
      <x:c r="B1798" s="7" t="str">
        <x:v>Tata</x:v>
      </x:c>
      <x:c r="C1798" s="7" t="str">
        <x:v>Altroz</x:v>
      </x:c>
      <x:c r="D1798" s="7" t="str">
        <x:v>XT Diesel</x:v>
      </x:c>
      <x:c r="E1798" s="7" t="str">
        <x:v>Diesel</x:v>
      </x:c>
      <x:c r="F1798" s="7" t="str">
        <x:v>Manual</x:v>
      </x:c>
      <x:c r="G1798" s="7" t="str">
        <x:v>Hatchback</x:v>
      </x:c>
      <x:c r="H1798" s="7" t="n">
        <x:v>1497</x:v>
      </x:c>
      <x:c r="I1798" s="7" t="n">
        <x:v>89</x:v>
      </x:c>
      <x:c r="J1798" s="9" t="n">
        <x:v>23.6</x:v>
      </x:c>
      <x:c r="K1798" s="9" t="n">
        <x:v>9.5</x:v>
      </x:c>
      <x:c r="L1798" s="7" t="n">
        <x:v>2021</x:v>
      </x:c>
      <x:c r="M1798" s="11" t="n">
        <x:v>103073</x:v>
      </x:c>
      <x:c r="N1798" s="7" t="n">
        <x:v>2</x:v>
      </x:c>
      <x:c r="O1798" s="7" t="n">
        <x:v>0</x:v>
      </x:c>
      <x:c r="P1798" s="9" t="n">
        <x:v>4.29</x:v>
      </x:c>
      <x:c r="Q1798" s="7" t="n">
        <x:f>'Guide'!$B$5-L1798</x:f>
        <x:v>5</x:v>
      </x:c>
      <x:c r="R1798" s="9" t="n">
        <x:f>K1798-P1798</x:f>
        <x:v>5.21</x:v>
      </x:c>
      <x:c r="S1798" s="10" t="n">
        <x:f>IF(K1798&gt;0,R1798/K1798,"")</x:f>
        <x:v>0.5484210526315789</x:v>
      </x:c>
    </x:row>
    <x:row r="1799">
      <x:c r="A1799" s="7" t="n">
        <x:v>1795</x:v>
      </x:c>
      <x:c r="B1799" s="7" t="str">
        <x:v>Tata</x:v>
      </x:c>
      <x:c r="C1799" s="7" t="str">
        <x:v>Altroz</x:v>
      </x:c>
      <x:c r="D1799" s="7" t="str">
        <x:v>XT Diesel</x:v>
      </x:c>
      <x:c r="E1799" s="7" t="str">
        <x:v>Diesel</x:v>
      </x:c>
      <x:c r="F1799" s="7" t="str">
        <x:v>Manual</x:v>
      </x:c>
      <x:c r="G1799" s="7" t="str">
        <x:v>Hatchback</x:v>
      </x:c>
      <x:c r="H1799" s="7" t="n">
        <x:v>1497</x:v>
      </x:c>
      <x:c r="I1799" s="7" t="n">
        <x:v>89</x:v>
      </x:c>
      <x:c r="J1799" s="9" t="n">
        <x:v>23.6</x:v>
      </x:c>
      <x:c r="K1799" s="9" t="n">
        <x:v>9.5</x:v>
      </x:c>
      <x:c r="L1799" s="7" t="n">
        <x:v>2020</x:v>
      </x:c>
      <x:c r="M1799" s="11" t="n">
        <x:v>97273</x:v>
      </x:c>
      <x:c r="N1799" s="7" t="n">
        <x:v>2</x:v>
      </x:c>
      <x:c r="O1799" s="7" t="n">
        <x:v>0</x:v>
      </x:c>
      <x:c r="P1799" s="9" t="n">
        <x:v>3.15</x:v>
      </x:c>
      <x:c r="Q1799" s="7" t="n">
        <x:f>'Guide'!$B$5-L1799</x:f>
        <x:v>6</x:v>
      </x:c>
      <x:c r="R1799" s="9" t="n">
        <x:f>K1799-P1799</x:f>
        <x:v>6.35</x:v>
      </x:c>
      <x:c r="S1799" s="10" t="n">
        <x:f>IF(K1799&gt;0,R1799/K1799,"")</x:f>
        <x:v>0.6684210526315789</x:v>
      </x:c>
    </x:row>
    <x:row r="1800">
      <x:c r="A1800" s="7" t="n">
        <x:v>1796</x:v>
      </x:c>
      <x:c r="B1800" s="7" t="str">
        <x:v>Tata</x:v>
      </x:c>
      <x:c r="C1800" s="7" t="str">
        <x:v>Altroz</x:v>
      </x:c>
      <x:c r="D1800" s="7" t="str">
        <x:v>XT Diesel</x:v>
      </x:c>
      <x:c r="E1800" s="7" t="str">
        <x:v>Diesel</x:v>
      </x:c>
      <x:c r="F1800" s="7" t="str">
        <x:v>Manual</x:v>
      </x:c>
      <x:c r="G1800" s="7" t="str">
        <x:v>Hatchback</x:v>
      </x:c>
      <x:c r="H1800" s="7" t="n">
        <x:v>1497</x:v>
      </x:c>
      <x:c r="I1800" s="7" t="n">
        <x:v>89</x:v>
      </x:c>
      <x:c r="J1800" s="9" t="n">
        <x:v>23.6</x:v>
      </x:c>
      <x:c r="K1800" s="9" t="n">
        <x:v>9.5</x:v>
      </x:c>
      <x:c r="L1800" s="7" t="n">
        <x:v>2023</x:v>
      </x:c>
      <x:c r="M1800" s="11" t="n">
        <x:v>46465</x:v>
      </x:c>
      <x:c r="N1800" s="7" t="n">
        <x:v>2</x:v>
      </x:c>
      <x:c r="O1800" s="7" t="n">
        <x:v>0</x:v>
      </x:c>
      <x:c r="P1800" s="9" t="n">
        <x:v>5.99</x:v>
      </x:c>
      <x:c r="Q1800" s="7" t="n">
        <x:f>'Guide'!$B$5-L1800</x:f>
        <x:v>3</x:v>
      </x:c>
      <x:c r="R1800" s="9" t="n">
        <x:f>K1800-P1800</x:f>
        <x:v>3.51</x:v>
      </x:c>
      <x:c r="S1800" s="10" t="n">
        <x:f>IF(K1800&gt;0,R1800/K1800,"")</x:f>
        <x:v>0.3694736842105263</x:v>
      </x:c>
    </x:row>
    <x:row r="1801">
      <x:c r="A1801" s="7" t="n">
        <x:v>1797</x:v>
      </x:c>
      <x:c r="B1801" s="7" t="str">
        <x:v>Tata</x:v>
      </x:c>
      <x:c r="C1801" s="7" t="str">
        <x:v>Altroz</x:v>
      </x:c>
      <x:c r="D1801" s="7" t="str">
        <x:v>XT Diesel</x:v>
      </x:c>
      <x:c r="E1801" s="7" t="str">
        <x:v>Diesel</x:v>
      </x:c>
      <x:c r="F1801" s="7" t="str">
        <x:v>Manual</x:v>
      </x:c>
      <x:c r="G1801" s="7" t="str">
        <x:v>Hatchback</x:v>
      </x:c>
      <x:c r="H1801" s="7" t="n">
        <x:v>1497</x:v>
      </x:c>
      <x:c r="I1801" s="7" t="n">
        <x:v>89</x:v>
      </x:c>
      <x:c r="J1801" s="9" t="n">
        <x:v>23.6</x:v>
      </x:c>
      <x:c r="K1801" s="9" t="n">
        <x:v>9.5</x:v>
      </x:c>
      <x:c r="L1801" s="7" t="n">
        <x:v>2023</x:v>
      </x:c>
      <x:c r="M1801" s="11" t="n">
        <x:v>35877</x:v>
      </x:c>
      <x:c r="N1801" s="7" t="n">
        <x:v>1</x:v>
      </x:c>
      <x:c r="O1801" s="7" t="n">
        <x:v>0</x:v>
      </x:c>
      <x:c r="P1801" s="9" t="n">
        <x:v>7.03</x:v>
      </x:c>
      <x:c r="Q1801" s="7" t="n">
        <x:f>'Guide'!$B$5-L1801</x:f>
        <x:v>3</x:v>
      </x:c>
      <x:c r="R1801" s="9" t="n">
        <x:f>K1801-P1801</x:f>
        <x:v>2.4699999999999998</x:v>
      </x:c>
      <x:c r="S1801" s="10" t="n">
        <x:f>IF(K1801&gt;0,R1801/K1801,"")</x:f>
        <x:v>0.25999999999999995</x:v>
      </x:c>
    </x:row>
    <x:row r="1802">
      <x:c r="A1802" s="7" t="n">
        <x:v>1798</x:v>
      </x:c>
      <x:c r="B1802" s="7" t="str">
        <x:v>Tata</x:v>
      </x:c>
      <x:c r="C1802" s="7" t="str">
        <x:v>Altroz</x:v>
      </x:c>
      <x:c r="D1802" s="7" t="str">
        <x:v>XT Diesel</x:v>
      </x:c>
      <x:c r="E1802" s="7" t="str">
        <x:v>Diesel</x:v>
      </x:c>
      <x:c r="F1802" s="7" t="str">
        <x:v>Manual</x:v>
      </x:c>
      <x:c r="G1802" s="7" t="str">
        <x:v>Hatchback</x:v>
      </x:c>
      <x:c r="H1802" s="7" t="n">
        <x:v>1497</x:v>
      </x:c>
      <x:c r="I1802" s="7" t="n">
        <x:v>89</x:v>
      </x:c>
      <x:c r="J1802" s="9" t="n">
        <x:v>23.6</x:v>
      </x:c>
      <x:c r="K1802" s="9" t="n">
        <x:v>9.5</x:v>
      </x:c>
      <x:c r="L1802" s="7" t="n">
        <x:v>2025</x:v>
      </x:c>
      <x:c r="M1802" s="11" t="n">
        <x:v>26605</x:v>
      </x:c>
      <x:c r="N1802" s="7" t="n">
        <x:v>1</x:v>
      </x:c>
      <x:c r="O1802" s="7" t="n">
        <x:v>0</x:v>
      </x:c>
      <x:c r="P1802" s="9" t="n">
        <x:v>8.1</x:v>
      </x:c>
      <x:c r="Q1802" s="7" t="n">
        <x:f>'Guide'!$B$5-L1802</x:f>
        <x:v>1</x:v>
      </x:c>
      <x:c r="R1802" s="9" t="n">
        <x:f>K1802-P1802</x:f>
        <x:v>1.4000000000000004</x:v>
      </x:c>
      <x:c r="S1802" s="10" t="n">
        <x:f>IF(K1802&gt;0,R1802/K1802,"")</x:f>
        <x:v>0.14736842105263162</x:v>
      </x:c>
    </x:row>
    <x:row r="1803">
      <x:c r="A1803" s="7" t="n">
        <x:v>1799</x:v>
      </x:c>
      <x:c r="B1803" s="7" t="str">
        <x:v>Tata</x:v>
      </x:c>
      <x:c r="C1803" s="7" t="str">
        <x:v>Altroz</x:v>
      </x:c>
      <x:c r="D1803" s="7" t="str">
        <x:v>XT Diesel</x:v>
      </x:c>
      <x:c r="E1803" s="7" t="str">
        <x:v>Diesel</x:v>
      </x:c>
      <x:c r="F1803" s="7" t="str">
        <x:v>Manual</x:v>
      </x:c>
      <x:c r="G1803" s="7" t="str">
        <x:v>Hatchback</x:v>
      </x:c>
      <x:c r="H1803" s="7" t="n">
        <x:v>1497</x:v>
      </x:c>
      <x:c r="I1803" s="7" t="n">
        <x:v>89</x:v>
      </x:c>
      <x:c r="J1803" s="9" t="n">
        <x:v>23.6</x:v>
      </x:c>
      <x:c r="K1803" s="9" t="n">
        <x:v>9.5</x:v>
      </x:c>
      <x:c r="L1803" s="7" t="n">
        <x:v>2020</x:v>
      </x:c>
      <x:c r="M1803" s="11" t="n">
        <x:v>117921</x:v>
      </x:c>
      <x:c r="N1803" s="7" t="n">
        <x:v>1</x:v>
      </x:c>
      <x:c r="O1803" s="7" t="n">
        <x:v>0</x:v>
      </x:c>
      <x:c r="P1803" s="9" t="n">
        <x:v>3.28</x:v>
      </x:c>
      <x:c r="Q1803" s="7" t="n">
        <x:f>'Guide'!$B$5-L1803</x:f>
        <x:v>6</x:v>
      </x:c>
      <x:c r="R1803" s="9" t="n">
        <x:f>K1803-P1803</x:f>
        <x:v>6.220000000000001</x:v>
      </x:c>
      <x:c r="S1803" s="10" t="n">
        <x:f>IF(K1803&gt;0,R1803/K1803,"")</x:f>
        <x:v>0.6547368421052632</x:v>
      </x:c>
    </x:row>
    <x:row r="1804">
      <x:c r="A1804" s="7" t="n">
        <x:v>1800</x:v>
      </x:c>
      <x:c r="B1804" s="7" t="str">
        <x:v>Tata</x:v>
      </x:c>
      <x:c r="C1804" s="7" t="str">
        <x:v>Altroz</x:v>
      </x:c>
      <x:c r="D1804" s="7" t="str">
        <x:v>XT Diesel</x:v>
      </x:c>
      <x:c r="E1804" s="7" t="str">
        <x:v>Diesel</x:v>
      </x:c>
      <x:c r="F1804" s="7" t="str">
        <x:v>Manual</x:v>
      </x:c>
      <x:c r="G1804" s="7" t="str">
        <x:v>Hatchback</x:v>
      </x:c>
      <x:c r="H1804" s="7" t="n">
        <x:v>1497</x:v>
      </x:c>
      <x:c r="I1804" s="7" t="n">
        <x:v>89</x:v>
      </x:c>
      <x:c r="J1804" s="9" t="n">
        <x:v>23.6</x:v>
      </x:c>
      <x:c r="K1804" s="9" t="n">
        <x:v>9.5</x:v>
      </x:c>
      <x:c r="L1804" s="7" t="n">
        <x:v>2024</x:v>
      </x:c>
      <x:c r="M1804" s="11" t="n">
        <x:v>25149</x:v>
      </x:c>
      <x:c r="N1804" s="7" t="n">
        <x:v>2</x:v>
      </x:c>
      <x:c r="O1804" s="7" t="n">
        <x:v>0</x:v>
      </x:c>
      <x:c r="P1804" s="9" t="n">
        <x:v>7.56</x:v>
      </x:c>
      <x:c r="Q1804" s="7" t="n">
        <x:f>'Guide'!$B$5-L1804</x:f>
        <x:v>2</x:v>
      </x:c>
      <x:c r="R1804" s="9" t="n">
        <x:f>K1804-P1804</x:f>
        <x:v>1.9400000000000004</x:v>
      </x:c>
      <x:c r="S1804" s="10" t="n">
        <x:f>IF(K1804&gt;0,R1804/K1804,"")</x:f>
        <x:v>0.2042105263157895</x:v>
      </x:c>
    </x:row>
    <x:row r="1805">
      <x:c r="A1805" s="7" t="n">
        <x:v>1801</x:v>
      </x:c>
      <x:c r="B1805" s="7" t="str">
        <x:v>Tata</x:v>
      </x:c>
      <x:c r="C1805" s="7" t="str">
        <x:v>Punch</x:v>
      </x:c>
      <x:c r="D1805" s="7" t="str">
        <x:v>Pure</x:v>
      </x:c>
      <x:c r="E1805" s="7" t="str">
        <x:v>Petrol</x:v>
      </x:c>
      <x:c r="F1805" s="7" t="str">
        <x:v>Manual</x:v>
      </x:c>
      <x:c r="G1805" s="7" t="str">
        <x:v>Micro SUV</x:v>
      </x:c>
      <x:c r="H1805" s="7" t="n">
        <x:v>1199</x:v>
      </x:c>
      <x:c r="I1805" s="7" t="n">
        <x:v>87</x:v>
      </x:c>
      <x:c r="J1805" s="9" t="n">
        <x:v>20.1</x:v>
      </x:c>
      <x:c r="K1805" s="9" t="n">
        <x:v>7.5</x:v>
      </x:c>
      <x:c r="L1805" s="7" t="n">
        <x:v>2026</x:v>
      </x:c>
      <x:c r="M1805" s="11" t="n">
        <x:v>6738</x:v>
      </x:c>
      <x:c r="N1805" s="7" t="n">
        <x:v>1</x:v>
      </x:c>
      <x:c r="O1805" s="7" t="n">
        <x:v>0</x:v>
      </x:c>
      <x:c r="P1805" s="9" t="n">
        <x:v>7.22</x:v>
      </x:c>
      <x:c r="Q1805" s="7" t="n">
        <x:f>'Guide'!$B$5-L1805</x:f>
        <x:v>0</x:v>
      </x:c>
      <x:c r="R1805" s="9" t="n">
        <x:f>K1805-P1805</x:f>
        <x:v>0.28000000000000025</x:v>
      </x:c>
      <x:c r="S1805" s="10" t="n">
        <x:f>IF(K1805&gt;0,R1805/K1805,"")</x:f>
        <x:v>0.037333333333333364</x:v>
      </x:c>
    </x:row>
    <x:row r="1806">
      <x:c r="A1806" s="7" t="n">
        <x:v>1802</x:v>
      </x:c>
      <x:c r="B1806" s="7" t="str">
        <x:v>Tata</x:v>
      </x:c>
      <x:c r="C1806" s="7" t="str">
        <x:v>Punch</x:v>
      </x:c>
      <x:c r="D1806" s="7" t="str">
        <x:v>Pure</x:v>
      </x:c>
      <x:c r="E1806" s="7" t="str">
        <x:v>Petrol</x:v>
      </x:c>
      <x:c r="F1806" s="7" t="str">
        <x:v>Manual</x:v>
      </x:c>
      <x:c r="G1806" s="7" t="str">
        <x:v>Micro SUV</x:v>
      </x:c>
      <x:c r="H1806" s="7" t="n">
        <x:v>1199</x:v>
      </x:c>
      <x:c r="I1806" s="7" t="n">
        <x:v>87</x:v>
      </x:c>
      <x:c r="J1806" s="9" t="n">
        <x:v>20.1</x:v>
      </x:c>
      <x:c r="K1806" s="9" t="n">
        <x:v>7.5</x:v>
      </x:c>
      <x:c r="L1806" s="7" t="n">
        <x:v>2021</x:v>
      </x:c>
      <x:c r="M1806" s="11" t="n">
        <x:v>80588</x:v>
      </x:c>
      <x:c r="N1806" s="7" t="n">
        <x:v>3</x:v>
      </x:c>
      <x:c r="O1806" s="7" t="n">
        <x:v>0</x:v>
      </x:c>
      <x:c r="P1806" s="9" t="n">
        <x:v>2.99</x:v>
      </x:c>
      <x:c r="Q1806" s="7" t="n">
        <x:f>'Guide'!$B$5-L1806</x:f>
        <x:v>5</x:v>
      </x:c>
      <x:c r="R1806" s="9" t="n">
        <x:f>K1806-P1806</x:f>
        <x:v>4.51</x:v>
      </x:c>
      <x:c r="S1806" s="10" t="n">
        <x:f>IF(K1806&gt;0,R1806/K1806,"")</x:f>
        <x:v>0.6013333333333333</x:v>
      </x:c>
    </x:row>
    <x:row r="1807">
      <x:c r="A1807" s="7" t="n">
        <x:v>1803</x:v>
      </x:c>
      <x:c r="B1807" s="7" t="str">
        <x:v>Tata</x:v>
      </x:c>
      <x:c r="C1807" s="7" t="str">
        <x:v>Punch</x:v>
      </x:c>
      <x:c r="D1807" s="7" t="str">
        <x:v>Pure</x:v>
      </x:c>
      <x:c r="E1807" s="7" t="str">
        <x:v>Petrol</x:v>
      </x:c>
      <x:c r="F1807" s="7" t="str">
        <x:v>Manual</x:v>
      </x:c>
      <x:c r="G1807" s="7" t="str">
        <x:v>Micro SUV</x:v>
      </x:c>
      <x:c r="H1807" s="7" t="n">
        <x:v>1199</x:v>
      </x:c>
      <x:c r="I1807" s="7" t="n">
        <x:v>87</x:v>
      </x:c>
      <x:c r="J1807" s="9" t="n">
        <x:v>20.1</x:v>
      </x:c>
      <x:c r="K1807" s="9" t="n">
        <x:v>7.5</x:v>
      </x:c>
      <x:c r="L1807" s="7" t="n">
        <x:v>2023</x:v>
      </x:c>
      <x:c r="M1807" s="11" t="n">
        <x:v>62864</x:v>
      </x:c>
      <x:c r="N1807" s="7" t="n">
        <x:v>1</x:v>
      </x:c>
      <x:c r="O1807" s="7" t="n">
        <x:v>0</x:v>
      </x:c>
      <x:c r="P1807" s="9" t="n">
        <x:v>5.28</x:v>
      </x:c>
      <x:c r="Q1807" s="7" t="n">
        <x:f>'Guide'!$B$5-L1807</x:f>
        <x:v>3</x:v>
      </x:c>
      <x:c r="R1807" s="9" t="n">
        <x:f>K1807-P1807</x:f>
        <x:v>2.2199999999999998</x:v>
      </x:c>
      <x:c r="S1807" s="10" t="n">
        <x:f>IF(K1807&gt;0,R1807/K1807,"")</x:f>
        <x:v>0.296</x:v>
      </x:c>
    </x:row>
    <x:row r="1808">
      <x:c r="A1808" s="7" t="n">
        <x:v>1804</x:v>
      </x:c>
      <x:c r="B1808" s="7" t="str">
        <x:v>Tata</x:v>
      </x:c>
      <x:c r="C1808" s="7" t="str">
        <x:v>Punch</x:v>
      </x:c>
      <x:c r="D1808" s="7" t="str">
        <x:v>Pure</x:v>
      </x:c>
      <x:c r="E1808" s="7" t="str">
        <x:v>Petrol</x:v>
      </x:c>
      <x:c r="F1808" s="7" t="str">
        <x:v>Manual</x:v>
      </x:c>
      <x:c r="G1808" s="7" t="str">
        <x:v>Micro SUV</x:v>
      </x:c>
      <x:c r="H1808" s="7" t="n">
        <x:v>1199</x:v>
      </x:c>
      <x:c r="I1808" s="7" t="n">
        <x:v>87</x:v>
      </x:c>
      <x:c r="J1808" s="9" t="n">
        <x:v>20.1</x:v>
      </x:c>
      <x:c r="K1808" s="9" t="n">
        <x:v>7.5</x:v>
      </x:c>
      <x:c r="L1808" s="7" t="n">
        <x:v>2024</x:v>
      </x:c>
      <x:c r="M1808" s="11" t="n">
        <x:v>21372</x:v>
      </x:c>
      <x:c r="N1808" s="7" t="n">
        <x:v>1</x:v>
      </x:c>
      <x:c r="O1808" s="7" t="n">
        <x:v>0</x:v>
      </x:c>
      <x:c r="P1808" s="9" t="n">
        <x:v>6.16</x:v>
      </x:c>
      <x:c r="Q1808" s="7" t="n">
        <x:f>'Guide'!$B$5-L1808</x:f>
        <x:v>2</x:v>
      </x:c>
      <x:c r="R1808" s="9" t="n">
        <x:f>K1808-P1808</x:f>
        <x:v>1.3399999999999999</x:v>
      </x:c>
      <x:c r="S1808" s="10" t="n">
        <x:f>IF(K1808&gt;0,R1808/K1808,"")</x:f>
        <x:v>0.17866666666666664</x:v>
      </x:c>
    </x:row>
    <x:row r="1809">
      <x:c r="A1809" s="7" t="n">
        <x:v>1805</x:v>
      </x:c>
      <x:c r="B1809" s="7" t="str">
        <x:v>Tata</x:v>
      </x:c>
      <x:c r="C1809" s="7" t="str">
        <x:v>Punch</x:v>
      </x:c>
      <x:c r="D1809" s="7" t="str">
        <x:v>Pure</x:v>
      </x:c>
      <x:c r="E1809" s="7" t="str">
        <x:v>Petrol</x:v>
      </x:c>
      <x:c r="F1809" s="7" t="str">
        <x:v>Manual</x:v>
      </x:c>
      <x:c r="G1809" s="7" t="str">
        <x:v>Micro SUV</x:v>
      </x:c>
      <x:c r="H1809" s="7" t="n">
        <x:v>1199</x:v>
      </x:c>
      <x:c r="I1809" s="7" t="n">
        <x:v>87</x:v>
      </x:c>
      <x:c r="J1809" s="9" t="n">
        <x:v>20.1</x:v>
      </x:c>
      <x:c r="K1809" s="9" t="n">
        <x:v>7.5</x:v>
      </x:c>
      <x:c r="L1809" s="7" t="n">
        <x:v>2021</x:v>
      </x:c>
      <x:c r="M1809" s="11" t="n">
        <x:v>68551</x:v>
      </x:c>
      <x:c r="N1809" s="7" t="n">
        <x:v>2</x:v>
      </x:c>
      <x:c r="O1809" s="7" t="n">
        <x:v>1</x:v>
      </x:c>
      <x:c r="P1809" s="9" t="n">
        <x:v>2.46</x:v>
      </x:c>
      <x:c r="Q1809" s="7" t="n">
        <x:f>'Guide'!$B$5-L1809</x:f>
        <x:v>5</x:v>
      </x:c>
      <x:c r="R1809" s="9" t="n">
        <x:f>K1809-P1809</x:f>
        <x:v>5.04</x:v>
      </x:c>
      <x:c r="S1809" s="10" t="n">
        <x:f>IF(K1809&gt;0,R1809/K1809,"")</x:f>
        <x:v>0.672</x:v>
      </x:c>
    </x:row>
    <x:row r="1810">
      <x:c r="A1810" s="7" t="n">
        <x:v>1806</x:v>
      </x:c>
      <x:c r="B1810" s="7" t="str">
        <x:v>Tata</x:v>
      </x:c>
      <x:c r="C1810" s="7" t="str">
        <x:v>Punch</x:v>
      </x:c>
      <x:c r="D1810" s="7" t="str">
        <x:v>Pure</x:v>
      </x:c>
      <x:c r="E1810" s="7" t="str">
        <x:v>Petrol</x:v>
      </x:c>
      <x:c r="F1810" s="7" t="str">
        <x:v>Manual</x:v>
      </x:c>
      <x:c r="G1810" s="7" t="str">
        <x:v>Micro SUV</x:v>
      </x:c>
      <x:c r="H1810" s="7" t="n">
        <x:v>1199</x:v>
      </x:c>
      <x:c r="I1810" s="7" t="n">
        <x:v>87</x:v>
      </x:c>
      <x:c r="J1810" s="9" t="n">
        <x:v>20.1</x:v>
      </x:c>
      <x:c r="K1810" s="9" t="n">
        <x:v>7.5</x:v>
      </x:c>
      <x:c r="L1810" s="7" t="n">
        <x:v>2021</x:v>
      </x:c>
      <x:c r="M1810" s="11" t="n">
        <x:v>95993</x:v>
      </x:c>
      <x:c r="N1810" s="7" t="n">
        <x:v>2</x:v>
      </x:c>
      <x:c r="O1810" s="7" t="n">
        <x:v>0</x:v>
      </x:c>
      <x:c r="P1810" s="9" t="n">
        <x:v>3.21</x:v>
      </x:c>
      <x:c r="Q1810" s="7" t="n">
        <x:f>'Guide'!$B$5-L1810</x:f>
        <x:v>5</x:v>
      </x:c>
      <x:c r="R1810" s="9" t="n">
        <x:f>K1810-P1810</x:f>
        <x:v>4.29</x:v>
      </x:c>
      <x:c r="S1810" s="10" t="n">
        <x:f>IF(K1810&gt;0,R1810/K1810,"")</x:f>
        <x:v>0.572</x:v>
      </x:c>
    </x:row>
    <x:row r="1811">
      <x:c r="A1811" s="7" t="n">
        <x:v>1807</x:v>
      </x:c>
      <x:c r="B1811" s="7" t="str">
        <x:v>Tata</x:v>
      </x:c>
      <x:c r="C1811" s="7" t="str">
        <x:v>Punch</x:v>
      </x:c>
      <x:c r="D1811" s="7" t="str">
        <x:v>Pure</x:v>
      </x:c>
      <x:c r="E1811" s="7" t="str">
        <x:v>Petrol</x:v>
      </x:c>
      <x:c r="F1811" s="7" t="str">
        <x:v>Manual</x:v>
      </x:c>
      <x:c r="G1811" s="7" t="str">
        <x:v>Micro SUV</x:v>
      </x:c>
      <x:c r="H1811" s="7" t="n">
        <x:v>1199</x:v>
      </x:c>
      <x:c r="I1811" s="7" t="n">
        <x:v>87</x:v>
      </x:c>
      <x:c r="J1811" s="9" t="n">
        <x:v>20.1</x:v>
      </x:c>
      <x:c r="K1811" s="9" t="n">
        <x:v>7.5</x:v>
      </x:c>
      <x:c r="L1811" s="7" t="n">
        <x:v>2020</x:v>
      </x:c>
      <x:c r="M1811" s="11" t="n">
        <x:v>52378</x:v>
      </x:c>
      <x:c r="N1811" s="7" t="n">
        <x:v>1</x:v>
      </x:c>
      <x:c r="O1811" s="7" t="n">
        <x:v>1</x:v>
      </x:c>
      <x:c r="P1811" s="9" t="n">
        <x:v>2.55</x:v>
      </x:c>
      <x:c r="Q1811" s="7" t="n">
        <x:f>'Guide'!$B$5-L1811</x:f>
        <x:v>6</x:v>
      </x:c>
      <x:c r="R1811" s="9" t="n">
        <x:f>K1811-P1811</x:f>
        <x:v>4.95</x:v>
      </x:c>
      <x:c r="S1811" s="10" t="n">
        <x:f>IF(K1811&gt;0,R1811/K1811,"")</x:f>
        <x:v>0.66</x:v>
      </x:c>
    </x:row>
    <x:row r="1812">
      <x:c r="A1812" s="7" t="n">
        <x:v>1808</x:v>
      </x:c>
      <x:c r="B1812" s="7" t="str">
        <x:v>Tata</x:v>
      </x:c>
      <x:c r="C1812" s="7" t="str">
        <x:v>Punch</x:v>
      </x:c>
      <x:c r="D1812" s="7" t="str">
        <x:v>Pure</x:v>
      </x:c>
      <x:c r="E1812" s="7" t="str">
        <x:v>Petrol</x:v>
      </x:c>
      <x:c r="F1812" s="7" t="str">
        <x:v>Manual</x:v>
      </x:c>
      <x:c r="G1812" s="7" t="str">
        <x:v>Micro SUV</x:v>
      </x:c>
      <x:c r="H1812" s="7" t="n">
        <x:v>1199</x:v>
      </x:c>
      <x:c r="I1812" s="7" t="n">
        <x:v>87</x:v>
      </x:c>
      <x:c r="J1812" s="9" t="n">
        <x:v>20.1</x:v>
      </x:c>
      <x:c r="K1812" s="9" t="n">
        <x:v>7.5</x:v>
      </x:c>
      <x:c r="L1812" s="7" t="n">
        <x:v>2026</x:v>
      </x:c>
      <x:c r="M1812" s="11" t="n">
        <x:v>9420</x:v>
      </x:c>
      <x:c r="N1812" s="7" t="n">
        <x:v>1</x:v>
      </x:c>
      <x:c r="O1812" s="7" t="n">
        <x:v>0</x:v>
      </x:c>
      <x:c r="P1812" s="9" t="n">
        <x:v>7.57</x:v>
      </x:c>
      <x:c r="Q1812" s="7" t="n">
        <x:f>'Guide'!$B$5-L1812</x:f>
        <x:v>0</x:v>
      </x:c>
      <x:c r="R1812" s="9" t="n">
        <x:f>K1812-P1812</x:f>
        <x:v>-0.07000000000000028</x:v>
      </x:c>
      <x:c r="S1812" s="10" t="n">
        <x:f>IF(K1812&gt;0,R1812/K1812,"")</x:f>
        <x:v>-0.00933333333333337</x:v>
      </x:c>
    </x:row>
    <x:row r="1813">
      <x:c r="A1813" s="7" t="n">
        <x:v>1809</x:v>
      </x:c>
      <x:c r="B1813" s="7" t="str">
        <x:v>Tata</x:v>
      </x:c>
      <x:c r="C1813" s="7" t="str">
        <x:v>Punch</x:v>
      </x:c>
      <x:c r="D1813" s="7" t="str">
        <x:v>Pure</x:v>
      </x:c>
      <x:c r="E1813" s="7" t="str">
        <x:v>Petrol</x:v>
      </x:c>
      <x:c r="F1813" s="7" t="str">
        <x:v>Manual</x:v>
      </x:c>
      <x:c r="G1813" s="7" t="str">
        <x:v>Micro SUV</x:v>
      </x:c>
      <x:c r="H1813" s="7" t="n">
        <x:v>1199</x:v>
      </x:c>
      <x:c r="I1813" s="7" t="n">
        <x:v>87</x:v>
      </x:c>
      <x:c r="J1813" s="9" t="n">
        <x:v>20.1</x:v>
      </x:c>
      <x:c r="K1813" s="9" t="n">
        <x:v>7.5</x:v>
      </x:c>
      <x:c r="L1813" s="7" t="n">
        <x:v>2020</x:v>
      </x:c>
      <x:c r="M1813" s="11" t="n">
        <x:v>122636</x:v>
      </x:c>
      <x:c r="N1813" s="7" t="n">
        <x:v>1</x:v>
      </x:c>
      <x:c r="O1813" s="7" t="n">
        <x:v>0</x:v>
      </x:c>
      <x:c r="P1813" s="9" t="n">
        <x:v>2.56</x:v>
      </x:c>
      <x:c r="Q1813" s="7" t="n">
        <x:f>'Guide'!$B$5-L1813</x:f>
        <x:v>6</x:v>
      </x:c>
      <x:c r="R1813" s="9" t="n">
        <x:f>K1813-P1813</x:f>
        <x:v>4.9399999999999995</x:v>
      </x:c>
      <x:c r="S1813" s="10" t="n">
        <x:f>IF(K1813&gt;0,R1813/K1813,"")</x:f>
        <x:v>0.6586666666666666</x:v>
      </x:c>
    </x:row>
    <x:row r="1814">
      <x:c r="A1814" s="7" t="n">
        <x:v>1810</x:v>
      </x:c>
      <x:c r="B1814" s="7" t="str">
        <x:v>Tata</x:v>
      </x:c>
      <x:c r="C1814" s="7" t="str">
        <x:v>Punch</x:v>
      </x:c>
      <x:c r="D1814" s="7" t="str">
        <x:v>Pure</x:v>
      </x:c>
      <x:c r="E1814" s="7" t="str">
        <x:v>Petrol</x:v>
      </x:c>
      <x:c r="F1814" s="7" t="str">
        <x:v>Manual</x:v>
      </x:c>
      <x:c r="G1814" s="7" t="str">
        <x:v>Micro SUV</x:v>
      </x:c>
      <x:c r="H1814" s="7" t="n">
        <x:v>1199</x:v>
      </x:c>
      <x:c r="I1814" s="7" t="n">
        <x:v>87</x:v>
      </x:c>
      <x:c r="J1814" s="9" t="n">
        <x:v>20.1</x:v>
      </x:c>
      <x:c r="K1814" s="9" t="n">
        <x:v>7.5</x:v>
      </x:c>
      <x:c r="L1814" s="7" t="n">
        <x:v>2021</x:v>
      </x:c>
      <x:c r="M1814" s="11" t="n">
        <x:v>82813</x:v>
      </x:c>
      <x:c r="N1814" s="7" t="n">
        <x:v>1</x:v>
      </x:c>
      <x:c r="O1814" s="7" t="n">
        <x:v>0</x:v>
      </x:c>
      <x:c r="P1814" s="9" t="n">
        <x:v>3.37</x:v>
      </x:c>
      <x:c r="Q1814" s="7" t="n">
        <x:f>'Guide'!$B$5-L1814</x:f>
        <x:v>5</x:v>
      </x:c>
      <x:c r="R1814" s="9" t="n">
        <x:f>K1814-P1814</x:f>
        <x:v>4.13</x:v>
      </x:c>
      <x:c r="S1814" s="10" t="n">
        <x:f>IF(K1814&gt;0,R1814/K1814,"")</x:f>
        <x:v>0.5506666666666666</x:v>
      </x:c>
    </x:row>
    <x:row r="1815">
      <x:c r="A1815" s="7" t="n">
        <x:v>1811</x:v>
      </x:c>
      <x:c r="B1815" s="7" t="str">
        <x:v>Tata</x:v>
      </x:c>
      <x:c r="C1815" s="7" t="str">
        <x:v>Punch</x:v>
      </x:c>
      <x:c r="D1815" s="7" t="str">
        <x:v>Pure</x:v>
      </x:c>
      <x:c r="E1815" s="7" t="str">
        <x:v>Petrol</x:v>
      </x:c>
      <x:c r="F1815" s="7" t="str">
        <x:v>Manual</x:v>
      </x:c>
      <x:c r="G1815" s="7" t="str">
        <x:v>Micro SUV</x:v>
      </x:c>
      <x:c r="H1815" s="7" t="n">
        <x:v>1199</x:v>
      </x:c>
      <x:c r="I1815" s="7" t="n">
        <x:v>87</x:v>
      </x:c>
      <x:c r="J1815" s="9" t="n">
        <x:v>20.1</x:v>
      </x:c>
      <x:c r="K1815" s="9" t="n">
        <x:v>7.5</x:v>
      </x:c>
      <x:c r="L1815" s="7" t="n">
        <x:v>2023</x:v>
      </x:c>
      <x:c r="M1815" s="11" t="n">
        <x:v>28392</x:v>
      </x:c>
      <x:c r="N1815" s="7" t="n">
        <x:v>3</x:v>
      </x:c>
      <x:c r="O1815" s="7" t="n">
        <x:v>0</x:v>
      </x:c>
      <x:c r="P1815" s="9" t="n">
        <x:v>4.34</x:v>
      </x:c>
      <x:c r="Q1815" s="7" t="n">
        <x:f>'Guide'!$B$5-L1815</x:f>
        <x:v>3</x:v>
      </x:c>
      <x:c r="R1815" s="9" t="n">
        <x:f>K1815-P1815</x:f>
        <x:v>3.16</x:v>
      </x:c>
      <x:c r="S1815" s="10" t="n">
        <x:f>IF(K1815&gt;0,R1815/K1815,"")</x:f>
        <x:v>0.42133333333333334</x:v>
      </x:c>
    </x:row>
    <x:row r="1816">
      <x:c r="A1816" s="7" t="n">
        <x:v>1812</x:v>
      </x:c>
      <x:c r="B1816" s="7" t="str">
        <x:v>Tata</x:v>
      </x:c>
      <x:c r="C1816" s="7" t="str">
        <x:v>Punch</x:v>
      </x:c>
      <x:c r="D1816" s="7" t="str">
        <x:v>Pure</x:v>
      </x:c>
      <x:c r="E1816" s="7" t="str">
        <x:v>Petrol</x:v>
      </x:c>
      <x:c r="F1816" s="7" t="str">
        <x:v>Manual</x:v>
      </x:c>
      <x:c r="G1816" s="7" t="str">
        <x:v>Micro SUV</x:v>
      </x:c>
      <x:c r="H1816" s="7" t="n">
        <x:v>1199</x:v>
      </x:c>
      <x:c r="I1816" s="7" t="n">
        <x:v>87</x:v>
      </x:c>
      <x:c r="J1816" s="9" t="n">
        <x:v>20.1</x:v>
      </x:c>
      <x:c r="K1816" s="9" t="n">
        <x:v>7.5</x:v>
      </x:c>
      <x:c r="L1816" s="7" t="n">
        <x:v>2022</x:v>
      </x:c>
      <x:c r="M1816" s="11" t="n">
        <x:v>37705</x:v>
      </x:c>
      <x:c r="N1816" s="7" t="n">
        <x:v>1</x:v>
      </x:c>
      <x:c r="O1816" s="7" t="n">
        <x:v>0</x:v>
      </x:c>
      <x:c r="P1816" s="9" t="n">
        <x:v>4.68</x:v>
      </x:c>
      <x:c r="Q1816" s="7" t="n">
        <x:f>'Guide'!$B$5-L1816</x:f>
        <x:v>4</x:v>
      </x:c>
      <x:c r="R1816" s="9" t="n">
        <x:f>K1816-P1816</x:f>
        <x:v>2.8200000000000003</x:v>
      </x:c>
      <x:c r="S1816" s="10" t="n">
        <x:f>IF(K1816&gt;0,R1816/K1816,"")</x:f>
        <x:v>0.37600000000000006</x:v>
      </x:c>
    </x:row>
    <x:row r="1817">
      <x:c r="A1817" s="7" t="n">
        <x:v>1813</x:v>
      </x:c>
      <x:c r="B1817" s="7" t="str">
        <x:v>Tata</x:v>
      </x:c>
      <x:c r="C1817" s="7" t="str">
        <x:v>Punch</x:v>
      </x:c>
      <x:c r="D1817" s="7" t="str">
        <x:v>Pure</x:v>
      </x:c>
      <x:c r="E1817" s="7" t="str">
        <x:v>Petrol</x:v>
      </x:c>
      <x:c r="F1817" s="7" t="str">
        <x:v>Manual</x:v>
      </x:c>
      <x:c r="G1817" s="7" t="str">
        <x:v>Micro SUV</x:v>
      </x:c>
      <x:c r="H1817" s="7" t="n">
        <x:v>1199</x:v>
      </x:c>
      <x:c r="I1817" s="7" t="n">
        <x:v>87</x:v>
      </x:c>
      <x:c r="J1817" s="9" t="n">
        <x:v>20.1</x:v>
      </x:c>
      <x:c r="K1817" s="9" t="n">
        <x:v>7.5</x:v>
      </x:c>
      <x:c r="L1817" s="7" t="n">
        <x:v>2021</x:v>
      </x:c>
      <x:c r="M1817" s="11" t="n">
        <x:v>62437</x:v>
      </x:c>
      <x:c r="N1817" s="7" t="n">
        <x:v>2</x:v>
      </x:c>
      <x:c r="O1817" s="7" t="n">
        <x:v>0</x:v>
      </x:c>
      <x:c r="P1817" s="9" t="n">
        <x:v>3.79</x:v>
      </x:c>
      <x:c r="Q1817" s="7" t="n">
        <x:f>'Guide'!$B$5-L1817</x:f>
        <x:v>5</x:v>
      </x:c>
      <x:c r="R1817" s="9" t="n">
        <x:f>K1817-P1817</x:f>
        <x:v>3.71</x:v>
      </x:c>
      <x:c r="S1817" s="10" t="n">
        <x:f>IF(K1817&gt;0,R1817/K1817,"")</x:f>
        <x:v>0.49466666666666664</x:v>
      </x:c>
    </x:row>
    <x:row r="1818">
      <x:c r="A1818" s="7" t="n">
        <x:v>1814</x:v>
      </x:c>
      <x:c r="B1818" s="7" t="str">
        <x:v>Tata</x:v>
      </x:c>
      <x:c r="C1818" s="7" t="str">
        <x:v>Punch</x:v>
      </x:c>
      <x:c r="D1818" s="7" t="str">
        <x:v>Pure</x:v>
      </x:c>
      <x:c r="E1818" s="7" t="str">
        <x:v>Petrol</x:v>
      </x:c>
      <x:c r="F1818" s="7" t="str">
        <x:v>Manual</x:v>
      </x:c>
      <x:c r="G1818" s="7" t="str">
        <x:v>Micro SUV</x:v>
      </x:c>
      <x:c r="H1818" s="7" t="n">
        <x:v>1199</x:v>
      </x:c>
      <x:c r="I1818" s="7" t="n">
        <x:v>87</x:v>
      </x:c>
      <x:c r="J1818" s="9" t="n">
        <x:v>20.1</x:v>
      </x:c>
      <x:c r="K1818" s="9" t="n">
        <x:v>7.5</x:v>
      </x:c>
      <x:c r="L1818" s="7" t="n">
        <x:v>2021</x:v>
      </x:c>
      <x:c r="M1818" s="11" t="n">
        <x:v>45128</x:v>
      </x:c>
      <x:c r="N1818" s="7" t="n">
        <x:v>1</x:v>
      </x:c>
      <x:c r="O1818" s="7" t="n">
        <x:v>0</x:v>
      </x:c>
      <x:c r="P1818" s="9" t="n">
        <x:v>3.88</x:v>
      </x:c>
      <x:c r="Q1818" s="7" t="n">
        <x:f>'Guide'!$B$5-L1818</x:f>
        <x:v>5</x:v>
      </x:c>
      <x:c r="R1818" s="9" t="n">
        <x:f>K1818-P1818</x:f>
        <x:v>3.62</x:v>
      </x:c>
      <x:c r="S1818" s="10" t="n">
        <x:f>IF(K1818&gt;0,R1818/K1818,"")</x:f>
        <x:v>0.4826666666666667</x:v>
      </x:c>
    </x:row>
    <x:row r="1819">
      <x:c r="A1819" s="7" t="n">
        <x:v>1815</x:v>
      </x:c>
      <x:c r="B1819" s="7" t="str">
        <x:v>Tata</x:v>
      </x:c>
      <x:c r="C1819" s="7" t="str">
        <x:v>Punch</x:v>
      </x:c>
      <x:c r="D1819" s="7" t="str">
        <x:v>Pure</x:v>
      </x:c>
      <x:c r="E1819" s="7" t="str">
        <x:v>Petrol</x:v>
      </x:c>
      <x:c r="F1819" s="7" t="str">
        <x:v>Manual</x:v>
      </x:c>
      <x:c r="G1819" s="7" t="str">
        <x:v>Micro SUV</x:v>
      </x:c>
      <x:c r="H1819" s="7" t="n">
        <x:v>1199</x:v>
      </x:c>
      <x:c r="I1819" s="7" t="n">
        <x:v>87</x:v>
      </x:c>
      <x:c r="J1819" s="9" t="n">
        <x:v>20.1</x:v>
      </x:c>
      <x:c r="K1819" s="9" t="n">
        <x:v>7.5</x:v>
      </x:c>
      <x:c r="L1819" s="7" t="n">
        <x:v>2020</x:v>
      </x:c>
      <x:c r="M1819" s="11" t="n">
        <x:v>99445</x:v>
      </x:c>
      <x:c r="N1819" s="7" t="n">
        <x:v>1</x:v>
      </x:c>
      <x:c r="O1819" s="7" t="n">
        <x:v>0</x:v>
      </x:c>
      <x:c r="P1819" s="9" t="n">
        <x:v>2.84</x:v>
      </x:c>
      <x:c r="Q1819" s="7" t="n">
        <x:f>'Guide'!$B$5-L1819</x:f>
        <x:v>6</x:v>
      </x:c>
      <x:c r="R1819" s="9" t="n">
        <x:f>K1819-P1819</x:f>
        <x:v>4.66</x:v>
      </x:c>
      <x:c r="S1819" s="10" t="n">
        <x:f>IF(K1819&gt;0,R1819/K1819,"")</x:f>
        <x:v>0.6213333333333334</x:v>
      </x:c>
    </x:row>
    <x:row r="1820">
      <x:c r="A1820" s="7" t="n">
        <x:v>1816</x:v>
      </x:c>
      <x:c r="B1820" s="7" t="str">
        <x:v>Tata</x:v>
      </x:c>
      <x:c r="C1820" s="7" t="str">
        <x:v>Punch</x:v>
      </x:c>
      <x:c r="D1820" s="7" t="str">
        <x:v>Pure</x:v>
      </x:c>
      <x:c r="E1820" s="7" t="str">
        <x:v>Petrol</x:v>
      </x:c>
      <x:c r="F1820" s="7" t="str">
        <x:v>Manual</x:v>
      </x:c>
      <x:c r="G1820" s="7" t="str">
        <x:v>Micro SUV</x:v>
      </x:c>
      <x:c r="H1820" s="7" t="n">
        <x:v>1199</x:v>
      </x:c>
      <x:c r="I1820" s="7" t="n">
        <x:v>87</x:v>
      </x:c>
      <x:c r="J1820" s="9" t="n">
        <x:v>20.1</x:v>
      </x:c>
      <x:c r="K1820" s="9" t="n">
        <x:v>7.5</x:v>
      </x:c>
      <x:c r="L1820" s="7" t="n">
        <x:v>2021</x:v>
      </x:c>
      <x:c r="M1820" s="11" t="n">
        <x:v>59837</x:v>
      </x:c>
      <x:c r="N1820" s="7" t="n">
        <x:v>2</x:v>
      </x:c>
      <x:c r="O1820" s="7" t="n">
        <x:v>0</x:v>
      </x:c>
      <x:c r="P1820" s="9" t="n">
        <x:v>3.52</x:v>
      </x:c>
      <x:c r="Q1820" s="7" t="n">
        <x:f>'Guide'!$B$5-L1820</x:f>
        <x:v>5</x:v>
      </x:c>
      <x:c r="R1820" s="9" t="n">
        <x:f>K1820-P1820</x:f>
        <x:v>3.98</x:v>
      </x:c>
      <x:c r="S1820" s="10" t="n">
        <x:f>IF(K1820&gt;0,R1820/K1820,"")</x:f>
        <x:v>0.5306666666666666</x:v>
      </x:c>
    </x:row>
    <x:row r="1821">
      <x:c r="A1821" s="7" t="n">
        <x:v>1817</x:v>
      </x:c>
      <x:c r="B1821" s="7" t="str">
        <x:v>Tata</x:v>
      </x:c>
      <x:c r="C1821" s="7" t="str">
        <x:v>Punch</x:v>
      </x:c>
      <x:c r="D1821" s="7" t="str">
        <x:v>Pure</x:v>
      </x:c>
      <x:c r="E1821" s="7" t="str">
        <x:v>Petrol</x:v>
      </x:c>
      <x:c r="F1821" s="7" t="str">
        <x:v>Manual</x:v>
      </x:c>
      <x:c r="G1821" s="7" t="str">
        <x:v>Micro SUV</x:v>
      </x:c>
      <x:c r="H1821" s="7" t="n">
        <x:v>1199</x:v>
      </x:c>
      <x:c r="I1821" s="7" t="n">
        <x:v>87</x:v>
      </x:c>
      <x:c r="J1821" s="9" t="n">
        <x:v>20.1</x:v>
      </x:c>
      <x:c r="K1821" s="9" t="n">
        <x:v>7.5</x:v>
      </x:c>
      <x:c r="L1821" s="7" t="n">
        <x:v>2022</x:v>
      </x:c>
      <x:c r="M1821" s="11" t="n">
        <x:v>45629</x:v>
      </x:c>
      <x:c r="N1821" s="7" t="n">
        <x:v>1</x:v>
      </x:c>
      <x:c r="O1821" s="7" t="n">
        <x:v>0</x:v>
      </x:c>
      <x:c r="P1821" s="9" t="n">
        <x:v>4.32</x:v>
      </x:c>
      <x:c r="Q1821" s="7" t="n">
        <x:f>'Guide'!$B$5-L1821</x:f>
        <x:v>4</x:v>
      </x:c>
      <x:c r="R1821" s="9" t="n">
        <x:f>K1821-P1821</x:f>
        <x:v>3.1799999999999997</x:v>
      </x:c>
      <x:c r="S1821" s="10" t="n">
        <x:f>IF(K1821&gt;0,R1821/K1821,"")</x:f>
        <x:v>0.424</x:v>
      </x:c>
    </x:row>
    <x:row r="1822">
      <x:c r="A1822" s="7" t="n">
        <x:v>1818</x:v>
      </x:c>
      <x:c r="B1822" s="7" t="str">
        <x:v>Tata</x:v>
      </x:c>
      <x:c r="C1822" s="7" t="str">
        <x:v>Punch</x:v>
      </x:c>
      <x:c r="D1822" s="7" t="str">
        <x:v>Pure</x:v>
      </x:c>
      <x:c r="E1822" s="7" t="str">
        <x:v>Petrol</x:v>
      </x:c>
      <x:c r="F1822" s="7" t="str">
        <x:v>Manual</x:v>
      </x:c>
      <x:c r="G1822" s="7" t="str">
        <x:v>Micro SUV</x:v>
      </x:c>
      <x:c r="H1822" s="7" t="n">
        <x:v>1199</x:v>
      </x:c>
      <x:c r="I1822" s="7" t="n">
        <x:v>87</x:v>
      </x:c>
      <x:c r="J1822" s="9" t="n">
        <x:v>20.1</x:v>
      </x:c>
      <x:c r="K1822" s="9" t="n">
        <x:v>7.5</x:v>
      </x:c>
      <x:c r="L1822" s="7" t="n">
        <x:v>2026</x:v>
      </x:c>
      <x:c r="M1822" s="11" t="n">
        <x:v>4003</x:v>
      </x:c>
      <x:c r="N1822" s="7" t="n">
        <x:v>3</x:v>
      </x:c>
      <x:c r="O1822" s="7" t="n">
        <x:v>0</x:v>
      </x:c>
      <x:c r="P1822" s="9" t="n">
        <x:v>6.66</x:v>
      </x:c>
      <x:c r="Q1822" s="7" t="n">
        <x:f>'Guide'!$B$5-L1822</x:f>
        <x:v>0</x:v>
      </x:c>
      <x:c r="R1822" s="9" t="n">
        <x:f>K1822-P1822</x:f>
        <x:v>0.8399999999999999</x:v>
      </x:c>
      <x:c r="S1822" s="10" t="n">
        <x:f>IF(K1822&gt;0,R1822/K1822,"")</x:f>
        <x:v>0.11199999999999997</x:v>
      </x:c>
    </x:row>
    <x:row r="1823">
      <x:c r="A1823" s="7" t="n">
        <x:v>1819</x:v>
      </x:c>
      <x:c r="B1823" s="7" t="str">
        <x:v>Tata</x:v>
      </x:c>
      <x:c r="C1823" s="7" t="str">
        <x:v>Punch</x:v>
      </x:c>
      <x:c r="D1823" s="7" t="str">
        <x:v>Pure</x:v>
      </x:c>
      <x:c r="E1823" s="7" t="str">
        <x:v>Petrol</x:v>
      </x:c>
      <x:c r="F1823" s="7" t="str">
        <x:v>Manual</x:v>
      </x:c>
      <x:c r="G1823" s="7" t="str">
        <x:v>Micro SUV</x:v>
      </x:c>
      <x:c r="H1823" s="7" t="n">
        <x:v>1199</x:v>
      </x:c>
      <x:c r="I1823" s="7" t="n">
        <x:v>87</x:v>
      </x:c>
      <x:c r="J1823" s="9" t="n">
        <x:v>20.1</x:v>
      </x:c>
      <x:c r="K1823" s="9" t="n">
        <x:v>7.5</x:v>
      </x:c>
      <x:c r="L1823" s="7" t="n">
        <x:v>2024</x:v>
      </x:c>
      <x:c r="M1823" s="11" t="n">
        <x:v>32006</x:v>
      </x:c>
      <x:c r="N1823" s="7" t="n">
        <x:v>1</x:v>
      </x:c>
      <x:c r="O1823" s="7" t="n">
        <x:v>0</x:v>
      </x:c>
      <x:c r="P1823" s="9" t="n">
        <x:v>5.87</x:v>
      </x:c>
      <x:c r="Q1823" s="7" t="n">
        <x:f>'Guide'!$B$5-L1823</x:f>
        <x:v>2</x:v>
      </x:c>
      <x:c r="R1823" s="9" t="n">
        <x:f>K1823-P1823</x:f>
        <x:v>1.63</x:v>
      </x:c>
      <x:c r="S1823" s="10" t="n">
        <x:f>IF(K1823&gt;0,R1823/K1823,"")</x:f>
        <x:v>0.21733333333333332</x:v>
      </x:c>
    </x:row>
    <x:row r="1824">
      <x:c r="A1824" s="7" t="n">
        <x:v>1820</x:v>
      </x:c>
      <x:c r="B1824" s="7" t="str">
        <x:v>Tata</x:v>
      </x:c>
      <x:c r="C1824" s="7" t="str">
        <x:v>Punch</x:v>
      </x:c>
      <x:c r="D1824" s="7" t="str">
        <x:v>Pure</x:v>
      </x:c>
      <x:c r="E1824" s="7" t="str">
        <x:v>Petrol</x:v>
      </x:c>
      <x:c r="F1824" s="7" t="str">
        <x:v>Manual</x:v>
      </x:c>
      <x:c r="G1824" s="7" t="str">
        <x:v>Micro SUV</x:v>
      </x:c>
      <x:c r="H1824" s="7" t="n">
        <x:v>1199</x:v>
      </x:c>
      <x:c r="I1824" s="7" t="n">
        <x:v>87</x:v>
      </x:c>
      <x:c r="J1824" s="9" t="n">
        <x:v>20.1</x:v>
      </x:c>
      <x:c r="K1824" s="9" t="n">
        <x:v>7.5</x:v>
      </x:c>
      <x:c r="L1824" s="7" t="n">
        <x:v>2023</x:v>
      </x:c>
      <x:c r="M1824" s="11" t="n">
        <x:v>41849</x:v>
      </x:c>
      <x:c r="N1824" s="7" t="n">
        <x:v>1</x:v>
      </x:c>
      <x:c r="O1824" s="7" t="n">
        <x:v>0</x:v>
      </x:c>
      <x:c r="P1824" s="9" t="n">
        <x:v>5.42</x:v>
      </x:c>
      <x:c r="Q1824" s="7" t="n">
        <x:f>'Guide'!$B$5-L1824</x:f>
        <x:v>3</x:v>
      </x:c>
      <x:c r="R1824" s="9" t="n">
        <x:f>K1824-P1824</x:f>
        <x:v>2.08</x:v>
      </x:c>
      <x:c r="S1824" s="10" t="n">
        <x:f>IF(K1824&gt;0,R1824/K1824,"")</x:f>
        <x:v>0.2773333333333333</x:v>
      </x:c>
    </x:row>
    <x:row r="1825">
      <x:c r="A1825" s="7" t="n">
        <x:v>1821</x:v>
      </x:c>
      <x:c r="B1825" s="7" t="str">
        <x:v>Tata</x:v>
      </x:c>
      <x:c r="C1825" s="7" t="str">
        <x:v>Punch</x:v>
      </x:c>
      <x:c r="D1825" s="7" t="str">
        <x:v>Pure</x:v>
      </x:c>
      <x:c r="E1825" s="7" t="str">
        <x:v>Petrol</x:v>
      </x:c>
      <x:c r="F1825" s="7" t="str">
        <x:v>Manual</x:v>
      </x:c>
      <x:c r="G1825" s="7" t="str">
        <x:v>Micro SUV</x:v>
      </x:c>
      <x:c r="H1825" s="7" t="n">
        <x:v>1199</x:v>
      </x:c>
      <x:c r="I1825" s="7" t="n">
        <x:v>87</x:v>
      </x:c>
      <x:c r="J1825" s="9" t="n">
        <x:v>20.1</x:v>
      </x:c>
      <x:c r="K1825" s="9" t="n">
        <x:v>7.5</x:v>
      </x:c>
      <x:c r="L1825" s="7" t="n">
        <x:v>2020</x:v>
      </x:c>
      <x:c r="M1825" s="11" t="n">
        <x:v>55331</x:v>
      </x:c>
      <x:c r="N1825" s="7" t="n">
        <x:v>1</x:v>
      </x:c>
      <x:c r="O1825" s="7" t="n">
        <x:v>0</x:v>
      </x:c>
      <x:c r="P1825" s="9" t="n">
        <x:v>3.65</x:v>
      </x:c>
      <x:c r="Q1825" s="7" t="n">
        <x:f>'Guide'!$B$5-L1825</x:f>
        <x:v>6</x:v>
      </x:c>
      <x:c r="R1825" s="9" t="n">
        <x:f>K1825-P1825</x:f>
        <x:v>3.85</x:v>
      </x:c>
      <x:c r="S1825" s="10" t="n">
        <x:f>IF(K1825&gt;0,R1825/K1825,"")</x:f>
        <x:v>0.5133333333333333</x:v>
      </x:c>
    </x:row>
    <x:row r="1826">
      <x:c r="A1826" s="7" t="n">
        <x:v>1822</x:v>
      </x:c>
      <x:c r="B1826" s="7" t="str">
        <x:v>Tata</x:v>
      </x:c>
      <x:c r="C1826" s="7" t="str">
        <x:v>Punch</x:v>
      </x:c>
      <x:c r="D1826" s="7" t="str">
        <x:v>Pure</x:v>
      </x:c>
      <x:c r="E1826" s="7" t="str">
        <x:v>Petrol</x:v>
      </x:c>
      <x:c r="F1826" s="7" t="str">
        <x:v>Manual</x:v>
      </x:c>
      <x:c r="G1826" s="7" t="str">
        <x:v>Micro SUV</x:v>
      </x:c>
      <x:c r="H1826" s="7" t="n">
        <x:v>1199</x:v>
      </x:c>
      <x:c r="I1826" s="7" t="n">
        <x:v>87</x:v>
      </x:c>
      <x:c r="J1826" s="9" t="n">
        <x:v>20.1</x:v>
      </x:c>
      <x:c r="K1826" s="9" t="n">
        <x:v>7.5</x:v>
      </x:c>
      <x:c r="L1826" s="7" t="n">
        <x:v>2022</x:v>
      </x:c>
      <x:c r="M1826" s="11" t="n">
        <x:v>57986</x:v>
      </x:c>
      <x:c r="N1826" s="7" t="n">
        <x:v>2</x:v>
      </x:c>
      <x:c r="O1826" s="7" t="n">
        <x:v>0</x:v>
      </x:c>
      <x:c r="P1826" s="9" t="n">
        <x:v>4.03</x:v>
      </x:c>
      <x:c r="Q1826" s="7" t="n">
        <x:f>'Guide'!$B$5-L1826</x:f>
        <x:v>4</x:v>
      </x:c>
      <x:c r="R1826" s="9" t="n">
        <x:f>K1826-P1826</x:f>
        <x:v>3.4699999999999998</x:v>
      </x:c>
      <x:c r="S1826" s="10" t="n">
        <x:f>IF(K1826&gt;0,R1826/K1826,"")</x:f>
        <x:v>0.4626666666666666</x:v>
      </x:c>
    </x:row>
    <x:row r="1827">
      <x:c r="A1827" s="7" t="n">
        <x:v>1823</x:v>
      </x:c>
      <x:c r="B1827" s="7" t="str">
        <x:v>Tata</x:v>
      </x:c>
      <x:c r="C1827" s="7" t="str">
        <x:v>Punch</x:v>
      </x:c>
      <x:c r="D1827" s="7" t="str">
        <x:v>Pure</x:v>
      </x:c>
      <x:c r="E1827" s="7" t="str">
        <x:v>Petrol</x:v>
      </x:c>
      <x:c r="F1827" s="7" t="str">
        <x:v>Manual</x:v>
      </x:c>
      <x:c r="G1827" s="7" t="str">
        <x:v>Micro SUV</x:v>
      </x:c>
      <x:c r="H1827" s="7" t="n">
        <x:v>1199</x:v>
      </x:c>
      <x:c r="I1827" s="7" t="n">
        <x:v>87</x:v>
      </x:c>
      <x:c r="J1827" s="9" t="n">
        <x:v>20.1</x:v>
      </x:c>
      <x:c r="K1827" s="9" t="n">
        <x:v>7.5</x:v>
      </x:c>
      <x:c r="L1827" s="7" t="n">
        <x:v>2021</x:v>
      </x:c>
      <x:c r="M1827" s="11" t="n">
        <x:v>81853</x:v>
      </x:c>
      <x:c r="N1827" s="7" t="n">
        <x:v>1</x:v>
      </x:c>
      <x:c r="O1827" s="7" t="n">
        <x:v>0</x:v>
      </x:c>
      <x:c r="P1827" s="9" t="n">
        <x:v>3.48</x:v>
      </x:c>
      <x:c r="Q1827" s="7" t="n">
        <x:f>'Guide'!$B$5-L1827</x:f>
        <x:v>5</x:v>
      </x:c>
      <x:c r="R1827" s="9" t="n">
        <x:f>K1827-P1827</x:f>
        <x:v>4.02</x:v>
      </x:c>
      <x:c r="S1827" s="10" t="n">
        <x:f>IF(K1827&gt;0,R1827/K1827,"")</x:f>
        <x:v>0.5359999999999999</x:v>
      </x:c>
    </x:row>
    <x:row r="1828">
      <x:c r="A1828" s="7" t="n">
        <x:v>1824</x:v>
      </x:c>
      <x:c r="B1828" s="7" t="str">
        <x:v>Tata</x:v>
      </x:c>
      <x:c r="C1828" s="7" t="str">
        <x:v>Punch</x:v>
      </x:c>
      <x:c r="D1828" s="7" t="str">
        <x:v>Pure</x:v>
      </x:c>
      <x:c r="E1828" s="7" t="str">
        <x:v>Petrol</x:v>
      </x:c>
      <x:c r="F1828" s="7" t="str">
        <x:v>Manual</x:v>
      </x:c>
      <x:c r="G1828" s="7" t="str">
        <x:v>Micro SUV</x:v>
      </x:c>
      <x:c r="H1828" s="7" t="n">
        <x:v>1199</x:v>
      </x:c>
      <x:c r="I1828" s="7" t="n">
        <x:v>87</x:v>
      </x:c>
      <x:c r="J1828" s="9" t="n">
        <x:v>20.1</x:v>
      </x:c>
      <x:c r="K1828" s="9" t="n">
        <x:v>7.5</x:v>
      </x:c>
      <x:c r="L1828" s="7" t="n">
        <x:v>2020</x:v>
      </x:c>
      <x:c r="M1828" s="11" t="n">
        <x:v>71896</x:v>
      </x:c>
      <x:c r="N1828" s="7" t="n">
        <x:v>1</x:v>
      </x:c>
      <x:c r="O1828" s="7" t="n">
        <x:v>0</x:v>
      </x:c>
      <x:c r="P1828" s="9" t="n">
        <x:v>3.14</x:v>
      </x:c>
      <x:c r="Q1828" s="7" t="n">
        <x:f>'Guide'!$B$5-L1828</x:f>
        <x:v>6</x:v>
      </x:c>
      <x:c r="R1828" s="9" t="n">
        <x:f>K1828-P1828</x:f>
        <x:v>4.359999999999999</x:v>
      </x:c>
      <x:c r="S1828" s="10" t="n">
        <x:f>IF(K1828&gt;0,R1828/K1828,"")</x:f>
        <x:v>0.5813333333333333</x:v>
      </x:c>
    </x:row>
    <x:row r="1829">
      <x:c r="A1829" s="7" t="n">
        <x:v>1825</x:v>
      </x:c>
      <x:c r="B1829" s="7" t="str">
        <x:v>Tata</x:v>
      </x:c>
      <x:c r="C1829" s="7" t="str">
        <x:v>Punch</x:v>
      </x:c>
      <x:c r="D1829" s="7" t="str">
        <x:v>Pure</x:v>
      </x:c>
      <x:c r="E1829" s="7" t="str">
        <x:v>Petrol</x:v>
      </x:c>
      <x:c r="F1829" s="7" t="str">
        <x:v>Manual</x:v>
      </x:c>
      <x:c r="G1829" s="7" t="str">
        <x:v>Micro SUV</x:v>
      </x:c>
      <x:c r="H1829" s="7" t="n">
        <x:v>1199</x:v>
      </x:c>
      <x:c r="I1829" s="7" t="n">
        <x:v>87</x:v>
      </x:c>
      <x:c r="J1829" s="9" t="n">
        <x:v>20.1</x:v>
      </x:c>
      <x:c r="K1829" s="9" t="n">
        <x:v>7.5</x:v>
      </x:c>
      <x:c r="L1829" s="7" t="n">
        <x:v>2026</x:v>
      </x:c>
      <x:c r="M1829" s="11" t="n">
        <x:v>8525</x:v>
      </x:c>
      <x:c r="N1829" s="7" t="n">
        <x:v>1</x:v>
      </x:c>
      <x:c r="O1829" s="7" t="n">
        <x:v>0</x:v>
      </x:c>
      <x:c r="P1829" s="9" t="n">
        <x:v>7.35</x:v>
      </x:c>
      <x:c r="Q1829" s="7" t="n">
        <x:f>'Guide'!$B$5-L1829</x:f>
        <x:v>0</x:v>
      </x:c>
      <x:c r="R1829" s="9" t="n">
        <x:f>K1829-P1829</x:f>
        <x:v>0.15000000000000036</x:v>
      </x:c>
      <x:c r="S1829" s="10" t="n">
        <x:f>IF(K1829&gt;0,R1829/K1829,"")</x:f>
        <x:v>0.02000000000000005</x:v>
      </x:c>
    </x:row>
    <x:row r="1830">
      <x:c r="A1830" s="7" t="n">
        <x:v>1826</x:v>
      </x:c>
      <x:c r="B1830" s="7" t="str">
        <x:v>Tata</x:v>
      </x:c>
      <x:c r="C1830" s="7" t="str">
        <x:v>Punch</x:v>
      </x:c>
      <x:c r="D1830" s="7" t="str">
        <x:v>Pure</x:v>
      </x:c>
      <x:c r="E1830" s="7" t="str">
        <x:v>Petrol</x:v>
      </x:c>
      <x:c r="F1830" s="7" t="str">
        <x:v>Manual</x:v>
      </x:c>
      <x:c r="G1830" s="7" t="str">
        <x:v>Micro SUV</x:v>
      </x:c>
      <x:c r="H1830" s="7" t="n">
        <x:v>1199</x:v>
      </x:c>
      <x:c r="I1830" s="7" t="n">
        <x:v>87</x:v>
      </x:c>
      <x:c r="J1830" s="9" t="n">
        <x:v>20.1</x:v>
      </x:c>
      <x:c r="K1830" s="9" t="n">
        <x:v>7.5</x:v>
      </x:c>
      <x:c r="L1830" s="7" t="n">
        <x:v>2024</x:v>
      </x:c>
      <x:c r="M1830" s="11" t="n">
        <x:v>24364</x:v>
      </x:c>
      <x:c r="N1830" s="7" t="n">
        <x:v>2</x:v>
      </x:c>
      <x:c r="O1830" s="7" t="n">
        <x:v>0</x:v>
      </x:c>
      <x:c r="P1830" s="9" t="n">
        <x:v>5.49</x:v>
      </x:c>
      <x:c r="Q1830" s="7" t="n">
        <x:f>'Guide'!$B$5-L1830</x:f>
        <x:v>2</x:v>
      </x:c>
      <x:c r="R1830" s="9" t="n">
        <x:f>K1830-P1830</x:f>
        <x:v>2.01</x:v>
      </x:c>
      <x:c r="S1830" s="10" t="n">
        <x:f>IF(K1830&gt;0,R1830/K1830,"")</x:f>
        <x:v>0.26799999999999996</x:v>
      </x:c>
    </x:row>
    <x:row r="1831">
      <x:c r="A1831" s="7" t="n">
        <x:v>1827</x:v>
      </x:c>
      <x:c r="B1831" s="7" t="str">
        <x:v>Tata</x:v>
      </x:c>
      <x:c r="C1831" s="7" t="str">
        <x:v>Punch</x:v>
      </x:c>
      <x:c r="D1831" s="7" t="str">
        <x:v>Pure</x:v>
      </x:c>
      <x:c r="E1831" s="7" t="str">
        <x:v>Petrol</x:v>
      </x:c>
      <x:c r="F1831" s="7" t="str">
        <x:v>Manual</x:v>
      </x:c>
      <x:c r="G1831" s="7" t="str">
        <x:v>Micro SUV</x:v>
      </x:c>
      <x:c r="H1831" s="7" t="n">
        <x:v>1199</x:v>
      </x:c>
      <x:c r="I1831" s="7" t="n">
        <x:v>87</x:v>
      </x:c>
      <x:c r="J1831" s="9" t="n">
        <x:v>20.1</x:v>
      </x:c>
      <x:c r="K1831" s="9" t="n">
        <x:v>7.5</x:v>
      </x:c>
      <x:c r="L1831" s="7" t="n">
        <x:v>2024</x:v>
      </x:c>
      <x:c r="M1831" s="11" t="n">
        <x:v>47551</x:v>
      </x:c>
      <x:c r="N1831" s="7" t="n">
        <x:v>2</x:v>
      </x:c>
      <x:c r="O1831" s="7" t="n">
        <x:v>0</x:v>
      </x:c>
      <x:c r="P1831" s="9" t="n">
        <x:v>5.63</x:v>
      </x:c>
      <x:c r="Q1831" s="7" t="n">
        <x:f>'Guide'!$B$5-L1831</x:f>
        <x:v>2</x:v>
      </x:c>
      <x:c r="R1831" s="9" t="n">
        <x:f>K1831-P1831</x:f>
        <x:v>1.87</x:v>
      </x:c>
      <x:c r="S1831" s="10" t="n">
        <x:f>IF(K1831&gt;0,R1831/K1831,"")</x:f>
        <x:v>0.24933333333333335</x:v>
      </x:c>
    </x:row>
    <x:row r="1832">
      <x:c r="A1832" s="7" t="n">
        <x:v>1828</x:v>
      </x:c>
      <x:c r="B1832" s="7" t="str">
        <x:v>Tata</x:v>
      </x:c>
      <x:c r="C1832" s="7" t="str">
        <x:v>Punch</x:v>
      </x:c>
      <x:c r="D1832" s="7" t="str">
        <x:v>Pure</x:v>
      </x:c>
      <x:c r="E1832" s="7" t="str">
        <x:v>Petrol</x:v>
      </x:c>
      <x:c r="F1832" s="7" t="str">
        <x:v>Manual</x:v>
      </x:c>
      <x:c r="G1832" s="7" t="str">
        <x:v>Micro SUV</x:v>
      </x:c>
      <x:c r="H1832" s="7" t="n">
        <x:v>1199</x:v>
      </x:c>
      <x:c r="I1832" s="7" t="n">
        <x:v>87</x:v>
      </x:c>
      <x:c r="J1832" s="9" t="n">
        <x:v>20.1</x:v>
      </x:c>
      <x:c r="K1832" s="9" t="n">
        <x:v>7.5</x:v>
      </x:c>
      <x:c r="L1832" s="7" t="n">
        <x:v>2026</x:v>
      </x:c>
      <x:c r="M1832" s="11" t="n">
        <x:v>8811</x:v>
      </x:c>
      <x:c r="N1832" s="7" t="n">
        <x:v>1</x:v>
      </x:c>
      <x:c r="O1832" s="7" t="n">
        <x:v>0</x:v>
      </x:c>
      <x:c r="P1832" s="9" t="n">
        <x:v>7.69</x:v>
      </x:c>
      <x:c r="Q1832" s="7" t="n">
        <x:f>'Guide'!$B$5-L1832</x:f>
        <x:v>0</x:v>
      </x:c>
      <x:c r="R1832" s="9" t="n">
        <x:f>K1832-P1832</x:f>
        <x:v>-0.1900000000000004</x:v>
      </x:c>
      <x:c r="S1832" s="10" t="n">
        <x:f>IF(K1832&gt;0,R1832/K1832,"")</x:f>
        <x:v>-0.025333333333333385</x:v>
      </x:c>
    </x:row>
    <x:row r="1833">
      <x:c r="A1833" s="7" t="n">
        <x:v>1829</x:v>
      </x:c>
      <x:c r="B1833" s="7" t="str">
        <x:v>Tata</x:v>
      </x:c>
      <x:c r="C1833" s="7" t="str">
        <x:v>Punch</x:v>
      </x:c>
      <x:c r="D1833" s="7" t="str">
        <x:v>Pure</x:v>
      </x:c>
      <x:c r="E1833" s="7" t="str">
        <x:v>Petrol</x:v>
      </x:c>
      <x:c r="F1833" s="7" t="str">
        <x:v>Manual</x:v>
      </x:c>
      <x:c r="G1833" s="7" t="str">
        <x:v>Micro SUV</x:v>
      </x:c>
      <x:c r="H1833" s="7" t="n">
        <x:v>1199</x:v>
      </x:c>
      <x:c r="I1833" s="7" t="n">
        <x:v>87</x:v>
      </x:c>
      <x:c r="J1833" s="9" t="n">
        <x:v>20.1</x:v>
      </x:c>
      <x:c r="K1833" s="9" t="n">
        <x:v>7.5</x:v>
      </x:c>
      <x:c r="L1833" s="7" t="n">
        <x:v>2020</x:v>
      </x:c>
      <x:c r="M1833" s="11" t="n">
        <x:v>86124</x:v>
      </x:c>
      <x:c r="N1833" s="7" t="n">
        <x:v>3</x:v>
      </x:c>
      <x:c r="O1833" s="7" t="n">
        <x:v>0</x:v>
      </x:c>
      <x:c r="P1833" s="9" t="n">
        <x:v>2.23</x:v>
      </x:c>
      <x:c r="Q1833" s="7" t="n">
        <x:f>'Guide'!$B$5-L1833</x:f>
        <x:v>6</x:v>
      </x:c>
      <x:c r="R1833" s="9" t="n">
        <x:f>K1833-P1833</x:f>
        <x:v>5.27</x:v>
      </x:c>
      <x:c r="S1833" s="10" t="n">
        <x:f>IF(K1833&gt;0,R1833/K1833,"")</x:f>
        <x:v>0.7026666666666667</x:v>
      </x:c>
    </x:row>
    <x:row r="1834">
      <x:c r="A1834" s="7" t="n">
        <x:v>1830</x:v>
      </x:c>
      <x:c r="B1834" s="7" t="str">
        <x:v>Tata</x:v>
      </x:c>
      <x:c r="C1834" s="7" t="str">
        <x:v>Punch</x:v>
      </x:c>
      <x:c r="D1834" s="7" t="str">
        <x:v>Pure</x:v>
      </x:c>
      <x:c r="E1834" s="7" t="str">
        <x:v>Petrol</x:v>
      </x:c>
      <x:c r="F1834" s="7" t="str">
        <x:v>Manual</x:v>
      </x:c>
      <x:c r="G1834" s="7" t="str">
        <x:v>Micro SUV</x:v>
      </x:c>
      <x:c r="H1834" s="7" t="n">
        <x:v>1199</x:v>
      </x:c>
      <x:c r="I1834" s="7" t="n">
        <x:v>87</x:v>
      </x:c>
      <x:c r="J1834" s="9" t="n">
        <x:v>20.1</x:v>
      </x:c>
      <x:c r="K1834" s="9" t="n">
        <x:v>7.5</x:v>
      </x:c>
      <x:c r="L1834" s="7" t="n">
        <x:v>2020</x:v>
      </x:c>
      <x:c r="M1834" s="11" t="n">
        <x:v>90734</x:v>
      </x:c>
      <x:c r="N1834" s="7" t="n">
        <x:v>1</x:v>
      </x:c>
      <x:c r="O1834" s="7" t="n">
        <x:v>0</x:v>
      </x:c>
      <x:c r="P1834" s="9" t="n">
        <x:v>3.43</x:v>
      </x:c>
      <x:c r="Q1834" s="7" t="n">
        <x:f>'Guide'!$B$5-L1834</x:f>
        <x:v>6</x:v>
      </x:c>
      <x:c r="R1834" s="9" t="n">
        <x:f>K1834-P1834</x:f>
        <x:v>4.07</x:v>
      </x:c>
      <x:c r="S1834" s="10" t="n">
        <x:f>IF(K1834&gt;0,R1834/K1834,"")</x:f>
        <x:v>0.5426666666666667</x:v>
      </x:c>
    </x:row>
    <x:row r="1835">
      <x:c r="A1835" s="7" t="n">
        <x:v>1831</x:v>
      </x:c>
      <x:c r="B1835" s="7" t="str">
        <x:v>Tata</x:v>
      </x:c>
      <x:c r="C1835" s="7" t="str">
        <x:v>Punch</x:v>
      </x:c>
      <x:c r="D1835" s="7" t="str">
        <x:v>Pure</x:v>
      </x:c>
      <x:c r="E1835" s="7" t="str">
        <x:v>Petrol</x:v>
      </x:c>
      <x:c r="F1835" s="7" t="str">
        <x:v>Manual</x:v>
      </x:c>
      <x:c r="G1835" s="7" t="str">
        <x:v>Micro SUV</x:v>
      </x:c>
      <x:c r="H1835" s="7" t="n">
        <x:v>1199</x:v>
      </x:c>
      <x:c r="I1835" s="7" t="n">
        <x:v>87</x:v>
      </x:c>
      <x:c r="J1835" s="9" t="n">
        <x:v>20.1</x:v>
      </x:c>
      <x:c r="K1835" s="9" t="n">
        <x:v>7.5</x:v>
      </x:c>
      <x:c r="L1835" s="7" t="n">
        <x:v>2020</x:v>
      </x:c>
      <x:c r="M1835" s="11" t="n">
        <x:v>93514</x:v>
      </x:c>
      <x:c r="N1835" s="7" t="n">
        <x:v>2</x:v>
      </x:c>
      <x:c r="O1835" s="7" t="n">
        <x:v>0</x:v>
      </x:c>
      <x:c r="P1835" s="9" t="n">
        <x:v>2.4</x:v>
      </x:c>
      <x:c r="Q1835" s="7" t="n">
        <x:f>'Guide'!$B$5-L1835</x:f>
        <x:v>6</x:v>
      </x:c>
      <x:c r="R1835" s="9" t="n">
        <x:f>K1835-P1835</x:f>
        <x:v>5.1</x:v>
      </x:c>
      <x:c r="S1835" s="10" t="n">
        <x:f>IF(K1835&gt;0,R1835/K1835,"")</x:f>
        <x:v>0.6799999999999999</x:v>
      </x:c>
    </x:row>
    <x:row r="1836">
      <x:c r="A1836" s="7" t="n">
        <x:v>1832</x:v>
      </x:c>
      <x:c r="B1836" s="7" t="str">
        <x:v>Tata</x:v>
      </x:c>
      <x:c r="C1836" s="7" t="str">
        <x:v>Punch</x:v>
      </x:c>
      <x:c r="D1836" s="7" t="str">
        <x:v>Pure</x:v>
      </x:c>
      <x:c r="E1836" s="7" t="str">
        <x:v>Petrol</x:v>
      </x:c>
      <x:c r="F1836" s="7" t="str">
        <x:v>Manual</x:v>
      </x:c>
      <x:c r="G1836" s="7" t="str">
        <x:v>Micro SUV</x:v>
      </x:c>
      <x:c r="H1836" s="7" t="n">
        <x:v>1199</x:v>
      </x:c>
      <x:c r="I1836" s="7" t="n">
        <x:v>87</x:v>
      </x:c>
      <x:c r="J1836" s="9" t="n">
        <x:v>20.1</x:v>
      </x:c>
      <x:c r="K1836" s="9" t="n">
        <x:v>7.5</x:v>
      </x:c>
      <x:c r="L1836" s="7" t="n">
        <x:v>2023</x:v>
      </x:c>
      <x:c r="M1836" s="11" t="n">
        <x:v>65823</x:v>
      </x:c>
      <x:c r="N1836" s="7" t="n">
        <x:v>1</x:v>
      </x:c>
      <x:c r="O1836" s="7" t="n">
        <x:v>0</x:v>
      </x:c>
      <x:c r="P1836" s="9" t="n">
        <x:v>5.05</x:v>
      </x:c>
      <x:c r="Q1836" s="7" t="n">
        <x:f>'Guide'!$B$5-L1836</x:f>
        <x:v>3</x:v>
      </x:c>
      <x:c r="R1836" s="9" t="n">
        <x:f>K1836-P1836</x:f>
        <x:v>2.45</x:v>
      </x:c>
      <x:c r="S1836" s="10" t="n">
        <x:f>IF(K1836&gt;0,R1836/K1836,"")</x:f>
        <x:v>0.3266666666666667</x:v>
      </x:c>
    </x:row>
    <x:row r="1837">
      <x:c r="A1837" s="7" t="n">
        <x:v>1833</x:v>
      </x:c>
      <x:c r="B1837" s="7" t="str">
        <x:v>Tata</x:v>
      </x:c>
      <x:c r="C1837" s="7" t="str">
        <x:v>Punch</x:v>
      </x:c>
      <x:c r="D1837" s="7" t="str">
        <x:v>Pure</x:v>
      </x:c>
      <x:c r="E1837" s="7" t="str">
        <x:v>Petrol</x:v>
      </x:c>
      <x:c r="F1837" s="7" t="str">
        <x:v>Manual</x:v>
      </x:c>
      <x:c r="G1837" s="7" t="str">
        <x:v>Micro SUV</x:v>
      </x:c>
      <x:c r="H1837" s="7" t="n">
        <x:v>1199</x:v>
      </x:c>
      <x:c r="I1837" s="7" t="n">
        <x:v>87</x:v>
      </x:c>
      <x:c r="J1837" s="9" t="n">
        <x:v>20.1</x:v>
      </x:c>
      <x:c r="K1837" s="9" t="n">
        <x:v>7.5</x:v>
      </x:c>
      <x:c r="L1837" s="7" t="n">
        <x:v>2020</x:v>
      </x:c>
      <x:c r="M1837" s="11" t="n">
        <x:v>113439</x:v>
      </x:c>
      <x:c r="N1837" s="7" t="n">
        <x:v>2</x:v>
      </x:c>
      <x:c r="O1837" s="7" t="n">
        <x:v>0</x:v>
      </x:c>
      <x:c r="P1837" s="9" t="n">
        <x:v>2.54</x:v>
      </x:c>
      <x:c r="Q1837" s="7" t="n">
        <x:f>'Guide'!$B$5-L1837</x:f>
        <x:v>6</x:v>
      </x:c>
      <x:c r="R1837" s="9" t="n">
        <x:f>K1837-P1837</x:f>
        <x:v>4.96</x:v>
      </x:c>
      <x:c r="S1837" s="10" t="n">
        <x:f>IF(K1837&gt;0,R1837/K1837,"")</x:f>
        <x:v>0.6613333333333333</x:v>
      </x:c>
    </x:row>
    <x:row r="1838">
      <x:c r="A1838" s="7" t="n">
        <x:v>1834</x:v>
      </x:c>
      <x:c r="B1838" s="7" t="str">
        <x:v>Tata</x:v>
      </x:c>
      <x:c r="C1838" s="7" t="str">
        <x:v>Punch</x:v>
      </x:c>
      <x:c r="D1838" s="7" t="str">
        <x:v>Pure</x:v>
      </x:c>
      <x:c r="E1838" s="7" t="str">
        <x:v>Petrol</x:v>
      </x:c>
      <x:c r="F1838" s="7" t="str">
        <x:v>Manual</x:v>
      </x:c>
      <x:c r="G1838" s="7" t="str">
        <x:v>Micro SUV</x:v>
      </x:c>
      <x:c r="H1838" s="7" t="n">
        <x:v>1199</x:v>
      </x:c>
      <x:c r="I1838" s="7" t="n">
        <x:v>87</x:v>
      </x:c>
      <x:c r="J1838" s="9" t="n">
        <x:v>20.1</x:v>
      </x:c>
      <x:c r="K1838" s="9" t="n">
        <x:v>7.5</x:v>
      </x:c>
      <x:c r="L1838" s="7" t="n">
        <x:v>2023</x:v>
      </x:c>
      <x:c r="M1838" s="11" t="n">
        <x:v>57249</x:v>
      </x:c>
      <x:c r="N1838" s="7" t="n">
        <x:v>1</x:v>
      </x:c>
      <x:c r="O1838" s="7" t="n">
        <x:v>0</x:v>
      </x:c>
      <x:c r="P1838" s="9" t="n">
        <x:v>4.89</x:v>
      </x:c>
      <x:c r="Q1838" s="7" t="n">
        <x:f>'Guide'!$B$5-L1838</x:f>
        <x:v>3</x:v>
      </x:c>
      <x:c r="R1838" s="9" t="n">
        <x:f>K1838-P1838</x:f>
        <x:v>2.6100000000000003</x:v>
      </x:c>
      <x:c r="S1838" s="10" t="n">
        <x:f>IF(K1838&gt;0,R1838/K1838,"")</x:f>
        <x:v>0.34800000000000003</x:v>
      </x:c>
    </x:row>
    <x:row r="1839">
      <x:c r="A1839" s="7" t="n">
        <x:v>1835</x:v>
      </x:c>
      <x:c r="B1839" s="7" t="str">
        <x:v>Tata</x:v>
      </x:c>
      <x:c r="C1839" s="7" t="str">
        <x:v>Punch</x:v>
      </x:c>
      <x:c r="D1839" s="7" t="str">
        <x:v>Pure</x:v>
      </x:c>
      <x:c r="E1839" s="7" t="str">
        <x:v>Petrol</x:v>
      </x:c>
      <x:c r="F1839" s="7" t="str">
        <x:v>Manual</x:v>
      </x:c>
      <x:c r="G1839" s="7" t="str">
        <x:v>Micro SUV</x:v>
      </x:c>
      <x:c r="H1839" s="7" t="n">
        <x:v>1199</x:v>
      </x:c>
      <x:c r="I1839" s="7" t="n">
        <x:v>87</x:v>
      </x:c>
      <x:c r="J1839" s="9" t="n">
        <x:v>20.1</x:v>
      </x:c>
      <x:c r="K1839" s="9" t="n">
        <x:v>7.5</x:v>
      </x:c>
      <x:c r="L1839" s="7" t="n">
        <x:v>2022</x:v>
      </x:c>
      <x:c r="M1839" s="11" t="n">
        <x:v>69374</x:v>
      </x:c>
      <x:c r="N1839" s="7" t="n">
        <x:v>1</x:v>
      </x:c>
      <x:c r="O1839" s="7" t="n">
        <x:v>0</x:v>
      </x:c>
      <x:c r="P1839" s="9" t="n">
        <x:v>4.13</x:v>
      </x:c>
      <x:c r="Q1839" s="7" t="n">
        <x:f>'Guide'!$B$5-L1839</x:f>
        <x:v>4</x:v>
      </x:c>
      <x:c r="R1839" s="9" t="n">
        <x:f>K1839-P1839</x:f>
        <x:v>3.37</x:v>
      </x:c>
      <x:c r="S1839" s="10" t="n">
        <x:f>IF(K1839&gt;0,R1839/K1839,"")</x:f>
        <x:v>0.44933333333333336</x:v>
      </x:c>
    </x:row>
    <x:row r="1840">
      <x:c r="A1840" s="7" t="n">
        <x:v>1836</x:v>
      </x:c>
      <x:c r="B1840" s="7" t="str">
        <x:v>Tata</x:v>
      </x:c>
      <x:c r="C1840" s="7" t="str">
        <x:v>Punch</x:v>
      </x:c>
      <x:c r="D1840" s="7" t="str">
        <x:v>Pure</x:v>
      </x:c>
      <x:c r="E1840" s="7" t="str">
        <x:v>Petrol</x:v>
      </x:c>
      <x:c r="F1840" s="7" t="str">
        <x:v>Manual</x:v>
      </x:c>
      <x:c r="G1840" s="7" t="str">
        <x:v>Micro SUV</x:v>
      </x:c>
      <x:c r="H1840" s="7" t="n">
        <x:v>1199</x:v>
      </x:c>
      <x:c r="I1840" s="7" t="n">
        <x:v>87</x:v>
      </x:c>
      <x:c r="J1840" s="9" t="n">
        <x:v>20.1</x:v>
      </x:c>
      <x:c r="K1840" s="9" t="n">
        <x:v>7.5</x:v>
      </x:c>
      <x:c r="L1840" s="7" t="n">
        <x:v>2023</x:v>
      </x:c>
      <x:c r="M1840" s="11" t="n">
        <x:v>51248</x:v>
      </x:c>
      <x:c r="N1840" s="7" t="n">
        <x:v>1</x:v>
      </x:c>
      <x:c r="O1840" s="7" t="n">
        <x:v>0</x:v>
      </x:c>
      <x:c r="P1840" s="9" t="n">
        <x:v>5.09</x:v>
      </x:c>
      <x:c r="Q1840" s="7" t="n">
        <x:f>'Guide'!$B$5-L1840</x:f>
        <x:v>3</x:v>
      </x:c>
      <x:c r="R1840" s="9" t="n">
        <x:f>K1840-P1840</x:f>
        <x:v>2.41</x:v>
      </x:c>
      <x:c r="S1840" s="10" t="n">
        <x:f>IF(K1840&gt;0,R1840/K1840,"")</x:f>
        <x:v>0.32133333333333336</x:v>
      </x:c>
    </x:row>
    <x:row r="1841">
      <x:c r="A1841" s="7" t="n">
        <x:v>1837</x:v>
      </x:c>
      <x:c r="B1841" s="7" t="str">
        <x:v>Tata</x:v>
      </x:c>
      <x:c r="C1841" s="7" t="str">
        <x:v>Punch</x:v>
      </x:c>
      <x:c r="D1841" s="7" t="str">
        <x:v>Pure</x:v>
      </x:c>
      <x:c r="E1841" s="7" t="str">
        <x:v>Petrol</x:v>
      </x:c>
      <x:c r="F1841" s="7" t="str">
        <x:v>Manual</x:v>
      </x:c>
      <x:c r="G1841" s="7" t="str">
        <x:v>Micro SUV</x:v>
      </x:c>
      <x:c r="H1841" s="7" t="n">
        <x:v>1199</x:v>
      </x:c>
      <x:c r="I1841" s="7" t="n">
        <x:v>87</x:v>
      </x:c>
      <x:c r="J1841" s="9" t="n">
        <x:v>20.1</x:v>
      </x:c>
      <x:c r="K1841" s="9" t="n">
        <x:v>7.5</x:v>
      </x:c>
      <x:c r="L1841" s="7" t="n">
        <x:v>2024</x:v>
      </x:c>
      <x:c r="M1841" s="11" t="n">
        <x:v>20761</x:v>
      </x:c>
      <x:c r="N1841" s="7" t="n">
        <x:v>1</x:v>
      </x:c>
      <x:c r="O1841" s="7" t="n">
        <x:v>0</x:v>
      </x:c>
      <x:c r="P1841" s="9" t="n">
        <x:v>5.91</x:v>
      </x:c>
      <x:c r="Q1841" s="7" t="n">
        <x:f>'Guide'!$B$5-L1841</x:f>
        <x:v>2</x:v>
      </x:c>
      <x:c r="R1841" s="9" t="n">
        <x:f>K1841-P1841</x:f>
        <x:v>1.5899999999999999</x:v>
      </x:c>
      <x:c r="S1841" s="10" t="n">
        <x:f>IF(K1841&gt;0,R1841/K1841,"")</x:f>
        <x:v>0.212</x:v>
      </x:c>
    </x:row>
    <x:row r="1842">
      <x:c r="A1842" s="7" t="n">
        <x:v>1838</x:v>
      </x:c>
      <x:c r="B1842" s="7" t="str">
        <x:v>Tata</x:v>
      </x:c>
      <x:c r="C1842" s="7" t="str">
        <x:v>Punch</x:v>
      </x:c>
      <x:c r="D1842" s="7" t="str">
        <x:v>Pure</x:v>
      </x:c>
      <x:c r="E1842" s="7" t="str">
        <x:v>Petrol</x:v>
      </x:c>
      <x:c r="F1842" s="7" t="str">
        <x:v>Manual</x:v>
      </x:c>
      <x:c r="G1842" s="7" t="str">
        <x:v>Micro SUV</x:v>
      </x:c>
      <x:c r="H1842" s="7" t="n">
        <x:v>1199</x:v>
      </x:c>
      <x:c r="I1842" s="7" t="n">
        <x:v>87</x:v>
      </x:c>
      <x:c r="J1842" s="9" t="n">
        <x:v>20.1</x:v>
      </x:c>
      <x:c r="K1842" s="9" t="n">
        <x:v>7.5</x:v>
      </x:c>
      <x:c r="L1842" s="7" t="n">
        <x:v>2021</x:v>
      </x:c>
      <x:c r="M1842" s="11" t="n">
        <x:v>68928</x:v>
      </x:c>
      <x:c r="N1842" s="7" t="n">
        <x:v>1</x:v>
      </x:c>
      <x:c r="O1842" s="7" t="n">
        <x:v>0</x:v>
      </x:c>
      <x:c r="P1842" s="9" t="n">
        <x:v>3.94</x:v>
      </x:c>
      <x:c r="Q1842" s="7" t="n">
        <x:f>'Guide'!$B$5-L1842</x:f>
        <x:v>5</x:v>
      </x:c>
      <x:c r="R1842" s="9" t="n">
        <x:f>K1842-P1842</x:f>
        <x:v>3.56</x:v>
      </x:c>
      <x:c r="S1842" s="10" t="n">
        <x:f>IF(K1842&gt;0,R1842/K1842,"")</x:f>
        <x:v>0.4746666666666667</x:v>
      </x:c>
    </x:row>
    <x:row r="1843">
      <x:c r="A1843" s="7" t="n">
        <x:v>1839</x:v>
      </x:c>
      <x:c r="B1843" s="7" t="str">
        <x:v>Tata</x:v>
      </x:c>
      <x:c r="C1843" s="7" t="str">
        <x:v>Punch</x:v>
      </x:c>
      <x:c r="D1843" s="7" t="str">
        <x:v>Pure</x:v>
      </x:c>
      <x:c r="E1843" s="7" t="str">
        <x:v>Petrol</x:v>
      </x:c>
      <x:c r="F1843" s="7" t="str">
        <x:v>Manual</x:v>
      </x:c>
      <x:c r="G1843" s="7" t="str">
        <x:v>Micro SUV</x:v>
      </x:c>
      <x:c r="H1843" s="7" t="n">
        <x:v>1199</x:v>
      </x:c>
      <x:c r="I1843" s="7" t="n">
        <x:v>87</x:v>
      </x:c>
      <x:c r="J1843" s="9" t="n">
        <x:v>20.1</x:v>
      </x:c>
      <x:c r="K1843" s="9" t="n">
        <x:v>7.5</x:v>
      </x:c>
      <x:c r="L1843" s="7" t="n">
        <x:v>2020</x:v>
      </x:c>
      <x:c r="M1843" s="11" t="n">
        <x:v>75809</x:v>
      </x:c>
      <x:c r="N1843" s="7" t="n">
        <x:v>2</x:v>
      </x:c>
      <x:c r="O1843" s="7" t="n">
        <x:v>0</x:v>
      </x:c>
      <x:c r="P1843" s="9" t="n">
        <x:v>2.82</x:v>
      </x:c>
      <x:c r="Q1843" s="7" t="n">
        <x:f>'Guide'!$B$5-L1843</x:f>
        <x:v>6</x:v>
      </x:c>
      <x:c r="R1843" s="9" t="n">
        <x:f>K1843-P1843</x:f>
        <x:v>4.68</x:v>
      </x:c>
      <x:c r="S1843" s="10" t="n">
        <x:f>IF(K1843&gt;0,R1843/K1843,"")</x:f>
        <x:v>0.624</x:v>
      </x:c>
    </x:row>
    <x:row r="1844">
      <x:c r="A1844" s="7" t="n">
        <x:v>1840</x:v>
      </x:c>
      <x:c r="B1844" s="7" t="str">
        <x:v>Tata</x:v>
      </x:c>
      <x:c r="C1844" s="7" t="str">
        <x:v>Punch</x:v>
      </x:c>
      <x:c r="D1844" s="7" t="str">
        <x:v>Pure</x:v>
      </x:c>
      <x:c r="E1844" s="7" t="str">
        <x:v>Petrol</x:v>
      </x:c>
      <x:c r="F1844" s="7" t="str">
        <x:v>Manual</x:v>
      </x:c>
      <x:c r="G1844" s="7" t="str">
        <x:v>Micro SUV</x:v>
      </x:c>
      <x:c r="H1844" s="7" t="n">
        <x:v>1199</x:v>
      </x:c>
      <x:c r="I1844" s="7" t="n">
        <x:v>87</x:v>
      </x:c>
      <x:c r="J1844" s="9" t="n">
        <x:v>20.1</x:v>
      </x:c>
      <x:c r="K1844" s="9" t="n">
        <x:v>7.5</x:v>
      </x:c>
      <x:c r="L1844" s="7" t="n">
        <x:v>2024</x:v>
      </x:c>
      <x:c r="M1844" s="11" t="n">
        <x:v>28538</x:v>
      </x:c>
      <x:c r="N1844" s="7" t="n">
        <x:v>1</x:v>
      </x:c>
      <x:c r="O1844" s="7" t="n">
        <x:v>0</x:v>
      </x:c>
      <x:c r="P1844" s="9" t="n">
        <x:v>5.9</x:v>
      </x:c>
      <x:c r="Q1844" s="7" t="n">
        <x:f>'Guide'!$B$5-L1844</x:f>
        <x:v>2</x:v>
      </x:c>
      <x:c r="R1844" s="9" t="n">
        <x:f>K1844-P1844</x:f>
        <x:v>1.5999999999999996</x:v>
      </x:c>
      <x:c r="S1844" s="10" t="n">
        <x:f>IF(K1844&gt;0,R1844/K1844,"")</x:f>
        <x:v>0.2133333333333333</x:v>
      </x:c>
    </x:row>
    <x:row r="1845">
      <x:c r="A1845" s="7" t="n">
        <x:v>1841</x:v>
      </x:c>
      <x:c r="B1845" s="7" t="str">
        <x:v>Tata</x:v>
      </x:c>
      <x:c r="C1845" s="7" t="str">
        <x:v>Punch</x:v>
      </x:c>
      <x:c r="D1845" s="7" t="str">
        <x:v>Pure</x:v>
      </x:c>
      <x:c r="E1845" s="7" t="str">
        <x:v>Petrol</x:v>
      </x:c>
      <x:c r="F1845" s="7" t="str">
        <x:v>Manual</x:v>
      </x:c>
      <x:c r="G1845" s="7" t="str">
        <x:v>Micro SUV</x:v>
      </x:c>
      <x:c r="H1845" s="7" t="n">
        <x:v>1199</x:v>
      </x:c>
      <x:c r="I1845" s="7" t="n">
        <x:v>87</x:v>
      </x:c>
      <x:c r="J1845" s="9" t="n">
        <x:v>20.1</x:v>
      </x:c>
      <x:c r="K1845" s="9" t="n">
        <x:v>7.5</x:v>
      </x:c>
      <x:c r="L1845" s="7" t="n">
        <x:v>2025</x:v>
      </x:c>
      <x:c r="M1845" s="11" t="n">
        <x:v>24182</x:v>
      </x:c>
      <x:c r="N1845" s="7" t="n">
        <x:v>1</x:v>
      </x:c>
      <x:c r="O1845" s="7" t="n">
        <x:v>0</x:v>
      </x:c>
      <x:c r="P1845" s="9" t="n">
        <x:v>6.46</x:v>
      </x:c>
      <x:c r="Q1845" s="7" t="n">
        <x:f>'Guide'!$B$5-L1845</x:f>
        <x:v>1</x:v>
      </x:c>
      <x:c r="R1845" s="9" t="n">
        <x:f>K1845-P1845</x:f>
        <x:v>1.04</x:v>
      </x:c>
      <x:c r="S1845" s="10" t="n">
        <x:f>IF(K1845&gt;0,R1845/K1845,"")</x:f>
        <x:v>0.13866666666666666</x:v>
      </x:c>
    </x:row>
    <x:row r="1846">
      <x:c r="A1846" s="7" t="n">
        <x:v>1842</x:v>
      </x:c>
      <x:c r="B1846" s="7" t="str">
        <x:v>Tata</x:v>
      </x:c>
      <x:c r="C1846" s="7" t="str">
        <x:v>Punch</x:v>
      </x:c>
      <x:c r="D1846" s="7" t="str">
        <x:v>Pure</x:v>
      </x:c>
      <x:c r="E1846" s="7" t="str">
        <x:v>Petrol</x:v>
      </x:c>
      <x:c r="F1846" s="7" t="str">
        <x:v>Manual</x:v>
      </x:c>
      <x:c r="G1846" s="7" t="str">
        <x:v>Micro SUV</x:v>
      </x:c>
      <x:c r="H1846" s="7" t="n">
        <x:v>1199</x:v>
      </x:c>
      <x:c r="I1846" s="7" t="n">
        <x:v>87</x:v>
      </x:c>
      <x:c r="J1846" s="9" t="n">
        <x:v>20.1</x:v>
      </x:c>
      <x:c r="K1846" s="9" t="n">
        <x:v>7.5</x:v>
      </x:c>
      <x:c r="L1846" s="7" t="n">
        <x:v>2020</x:v>
      </x:c>
      <x:c r="M1846" s="11" t="n">
        <x:v>126002</x:v>
      </x:c>
      <x:c r="N1846" s="7" t="n">
        <x:v>2</x:v>
      </x:c>
      <x:c r="O1846" s="7" t="n">
        <x:v>1</x:v>
      </x:c>
      <x:c r="P1846" s="9" t="n">
        <x:v>1.5</x:v>
      </x:c>
      <x:c r="Q1846" s="7" t="n">
        <x:f>'Guide'!$B$5-L1846</x:f>
        <x:v>6</x:v>
      </x:c>
      <x:c r="R1846" s="9" t="n">
        <x:f>K1846-P1846</x:f>
        <x:v>6</x:v>
      </x:c>
      <x:c r="S1846" s="10" t="n">
        <x:f>IF(K1846&gt;0,R1846/K1846,"")</x:f>
        <x:v>0.8</x:v>
      </x:c>
    </x:row>
    <x:row r="1847">
      <x:c r="A1847" s="7" t="n">
        <x:v>1843</x:v>
      </x:c>
      <x:c r="B1847" s="7" t="str">
        <x:v>Tata</x:v>
      </x:c>
      <x:c r="C1847" s="7" t="str">
        <x:v>Punch</x:v>
      </x:c>
      <x:c r="D1847" s="7" t="str">
        <x:v>Pure</x:v>
      </x:c>
      <x:c r="E1847" s="7" t="str">
        <x:v>Petrol</x:v>
      </x:c>
      <x:c r="F1847" s="7" t="str">
        <x:v>Manual</x:v>
      </x:c>
      <x:c r="G1847" s="7" t="str">
        <x:v>Micro SUV</x:v>
      </x:c>
      <x:c r="H1847" s="7" t="n">
        <x:v>1199</x:v>
      </x:c>
      <x:c r="I1847" s="7" t="n">
        <x:v>87</x:v>
      </x:c>
      <x:c r="J1847" s="9" t="n">
        <x:v>20.1</x:v>
      </x:c>
      <x:c r="K1847" s="9" t="n">
        <x:v>7.5</x:v>
      </x:c>
      <x:c r="L1847" s="7" t="n">
        <x:v>2024</x:v>
      </x:c>
      <x:c r="M1847" s="11" t="n">
        <x:v>24397</x:v>
      </x:c>
      <x:c r="N1847" s="7" t="n">
        <x:v>2</x:v>
      </x:c>
      <x:c r="O1847" s="7" t="n">
        <x:v>0</x:v>
      </x:c>
      <x:c r="P1847" s="9" t="n">
        <x:v>5.6</x:v>
      </x:c>
      <x:c r="Q1847" s="7" t="n">
        <x:f>'Guide'!$B$5-L1847</x:f>
        <x:v>2</x:v>
      </x:c>
      <x:c r="R1847" s="9" t="n">
        <x:f>K1847-P1847</x:f>
        <x:v>1.9000000000000004</x:v>
      </x:c>
      <x:c r="S1847" s="10" t="n">
        <x:f>IF(K1847&gt;0,R1847/K1847,"")</x:f>
        <x:v>0.25333333333333335</x:v>
      </x:c>
    </x:row>
    <x:row r="1848">
      <x:c r="A1848" s="7" t="n">
        <x:v>1844</x:v>
      </x:c>
      <x:c r="B1848" s="7" t="str">
        <x:v>Tata</x:v>
      </x:c>
      <x:c r="C1848" s="7" t="str">
        <x:v>Punch</x:v>
      </x:c>
      <x:c r="D1848" s="7" t="str">
        <x:v>Pure</x:v>
      </x:c>
      <x:c r="E1848" s="7" t="str">
        <x:v>Petrol</x:v>
      </x:c>
      <x:c r="F1848" s="7" t="str">
        <x:v>Manual</x:v>
      </x:c>
      <x:c r="G1848" s="7" t="str">
        <x:v>Micro SUV</x:v>
      </x:c>
      <x:c r="H1848" s="7" t="n">
        <x:v>1199</x:v>
      </x:c>
      <x:c r="I1848" s="7" t="n">
        <x:v>87</x:v>
      </x:c>
      <x:c r="J1848" s="9" t="n">
        <x:v>20.1</x:v>
      </x:c>
      <x:c r="K1848" s="9" t="n">
        <x:v>7.5</x:v>
      </x:c>
      <x:c r="L1848" s="7" t="n">
        <x:v>2022</x:v>
      </x:c>
      <x:c r="M1848" s="11" t="n">
        <x:v>68729</x:v>
      </x:c>
      <x:c r="N1848" s="7" t="n">
        <x:v>1</x:v>
      </x:c>
      <x:c r="O1848" s="7" t="n">
        <x:v>0</x:v>
      </x:c>
      <x:c r="P1848" s="9" t="n">
        <x:v>4.82</x:v>
      </x:c>
      <x:c r="Q1848" s="7" t="n">
        <x:f>'Guide'!$B$5-L1848</x:f>
        <x:v>4</x:v>
      </x:c>
      <x:c r="R1848" s="9" t="n">
        <x:f>K1848-P1848</x:f>
        <x:v>2.6799999999999997</x:v>
      </x:c>
      <x:c r="S1848" s="10" t="n">
        <x:f>IF(K1848&gt;0,R1848/K1848,"")</x:f>
        <x:v>0.3573333333333333</x:v>
      </x:c>
    </x:row>
    <x:row r="1849">
      <x:c r="A1849" s="7" t="n">
        <x:v>1845</x:v>
      </x:c>
      <x:c r="B1849" s="7" t="str">
        <x:v>Tata</x:v>
      </x:c>
      <x:c r="C1849" s="7" t="str">
        <x:v>Punch</x:v>
      </x:c>
      <x:c r="D1849" s="7" t="str">
        <x:v>Pure</x:v>
      </x:c>
      <x:c r="E1849" s="7" t="str">
        <x:v>Petrol</x:v>
      </x:c>
      <x:c r="F1849" s="7" t="str">
        <x:v>Manual</x:v>
      </x:c>
      <x:c r="G1849" s="7" t="str">
        <x:v>Micro SUV</x:v>
      </x:c>
      <x:c r="H1849" s="7" t="n">
        <x:v>1199</x:v>
      </x:c>
      <x:c r="I1849" s="7" t="n">
        <x:v>87</x:v>
      </x:c>
      <x:c r="J1849" s="9" t="n">
        <x:v>20.1</x:v>
      </x:c>
      <x:c r="K1849" s="9" t="n">
        <x:v>7.5</x:v>
      </x:c>
      <x:c r="L1849" s="7" t="n">
        <x:v>2021</x:v>
      </x:c>
      <x:c r="M1849" s="11" t="n">
        <x:v>61060</x:v>
      </x:c>
      <x:c r="N1849" s="7" t="n">
        <x:v>1</x:v>
      </x:c>
      <x:c r="O1849" s="7" t="n">
        <x:v>0</x:v>
      </x:c>
      <x:c r="P1849" s="9" t="n">
        <x:v>4.04</x:v>
      </x:c>
      <x:c r="Q1849" s="7" t="n">
        <x:f>'Guide'!$B$5-L1849</x:f>
        <x:v>5</x:v>
      </x:c>
      <x:c r="R1849" s="9" t="n">
        <x:f>K1849-P1849</x:f>
        <x:v>3.46</x:v>
      </x:c>
      <x:c r="S1849" s="10" t="n">
        <x:f>IF(K1849&gt;0,R1849/K1849,"")</x:f>
        <x:v>0.4613333333333333</x:v>
      </x:c>
    </x:row>
    <x:row r="1850">
      <x:c r="A1850" s="7" t="n">
        <x:v>1846</x:v>
      </x:c>
      <x:c r="B1850" s="7" t="str">
        <x:v>Tata</x:v>
      </x:c>
      <x:c r="C1850" s="7" t="str">
        <x:v>Punch</x:v>
      </x:c>
      <x:c r="D1850" s="7" t="str">
        <x:v>Pure</x:v>
      </x:c>
      <x:c r="E1850" s="7" t="str">
        <x:v>Petrol</x:v>
      </x:c>
      <x:c r="F1850" s="7" t="str">
        <x:v>Manual</x:v>
      </x:c>
      <x:c r="G1850" s="7" t="str">
        <x:v>Micro SUV</x:v>
      </x:c>
      <x:c r="H1850" s="7" t="n">
        <x:v>1199</x:v>
      </x:c>
      <x:c r="I1850" s="7" t="n">
        <x:v>87</x:v>
      </x:c>
      <x:c r="J1850" s="9" t="n">
        <x:v>20.1</x:v>
      </x:c>
      <x:c r="K1850" s="9" t="n">
        <x:v>7.5</x:v>
      </x:c>
      <x:c r="L1850" s="7" t="n">
        <x:v>2025</x:v>
      </x:c>
      <x:c r="M1850" s="11" t="n">
        <x:v>27996</x:v>
      </x:c>
      <x:c r="N1850" s="7" t="n">
        <x:v>2</x:v>
      </x:c>
      <x:c r="O1850" s="7" t="n">
        <x:v>0</x:v>
      </x:c>
      <x:c r="P1850" s="9" t="n">
        <x:v>5.88</x:v>
      </x:c>
      <x:c r="Q1850" s="7" t="n">
        <x:f>'Guide'!$B$5-L1850</x:f>
        <x:v>1</x:v>
      </x:c>
      <x:c r="R1850" s="9" t="n">
        <x:f>K1850-P1850</x:f>
        <x:v>1.62</x:v>
      </x:c>
      <x:c r="S1850" s="10" t="n">
        <x:f>IF(K1850&gt;0,R1850/K1850,"")</x:f>
        <x:v>0.21600000000000003</x:v>
      </x:c>
    </x:row>
    <x:row r="1851">
      <x:c r="A1851" s="7" t="n">
        <x:v>1847</x:v>
      </x:c>
      <x:c r="B1851" s="7" t="str">
        <x:v>Tata</x:v>
      </x:c>
      <x:c r="C1851" s="7" t="str">
        <x:v>Punch</x:v>
      </x:c>
      <x:c r="D1851" s="7" t="str">
        <x:v>Pure</x:v>
      </x:c>
      <x:c r="E1851" s="7" t="str">
        <x:v>Petrol</x:v>
      </x:c>
      <x:c r="F1851" s="7" t="str">
        <x:v>Manual</x:v>
      </x:c>
      <x:c r="G1851" s="7" t="str">
        <x:v>Micro SUV</x:v>
      </x:c>
      <x:c r="H1851" s="7" t="n">
        <x:v>1199</x:v>
      </x:c>
      <x:c r="I1851" s="7" t="n">
        <x:v>87</x:v>
      </x:c>
      <x:c r="J1851" s="9" t="n">
        <x:v>20.1</x:v>
      </x:c>
      <x:c r="K1851" s="9" t="n">
        <x:v>7.5</x:v>
      </x:c>
      <x:c r="L1851" s="7" t="n">
        <x:v>2024</x:v>
      </x:c>
      <x:c r="M1851" s="11" t="n">
        <x:v>39331</x:v>
      </x:c>
      <x:c r="N1851" s="7" t="n">
        <x:v>1</x:v>
      </x:c>
      <x:c r="O1851" s="7" t="n">
        <x:v>0</x:v>
      </x:c>
      <x:c r="P1851" s="9" t="n">
        <x:v>6.28</x:v>
      </x:c>
      <x:c r="Q1851" s="7" t="n">
        <x:f>'Guide'!$B$5-L1851</x:f>
        <x:v>2</x:v>
      </x:c>
      <x:c r="R1851" s="9" t="n">
        <x:f>K1851-P1851</x:f>
        <x:v>1.2199999999999998</x:v>
      </x:c>
      <x:c r="S1851" s="10" t="n">
        <x:f>IF(K1851&gt;0,R1851/K1851,"")</x:f>
        <x:v>0.16266666666666663</x:v>
      </x:c>
    </x:row>
    <x:row r="1852">
      <x:c r="A1852" s="7" t="n">
        <x:v>1848</x:v>
      </x:c>
      <x:c r="B1852" s="7" t="str">
        <x:v>Tata</x:v>
      </x:c>
      <x:c r="C1852" s="7" t="str">
        <x:v>Punch</x:v>
      </x:c>
      <x:c r="D1852" s="7" t="str">
        <x:v>Pure</x:v>
      </x:c>
      <x:c r="E1852" s="7" t="str">
        <x:v>Petrol</x:v>
      </x:c>
      <x:c r="F1852" s="7" t="str">
        <x:v>Manual</x:v>
      </x:c>
      <x:c r="G1852" s="7" t="str">
        <x:v>Micro SUV</x:v>
      </x:c>
      <x:c r="H1852" s="7" t="n">
        <x:v>1199</x:v>
      </x:c>
      <x:c r="I1852" s="7" t="n">
        <x:v>87</x:v>
      </x:c>
      <x:c r="J1852" s="9" t="n">
        <x:v>20.1</x:v>
      </x:c>
      <x:c r="K1852" s="9" t="n">
        <x:v>7.5</x:v>
      </x:c>
      <x:c r="L1852" s="7" t="n">
        <x:v>2024</x:v>
      </x:c>
      <x:c r="M1852" s="11" t="n">
        <x:v>43294</x:v>
      </x:c>
      <x:c r="N1852" s="7" t="n">
        <x:v>1</x:v>
      </x:c>
      <x:c r="O1852" s="7" t="n">
        <x:v>0</x:v>
      </x:c>
      <x:c r="P1852" s="9" t="n">
        <x:v>5.79</x:v>
      </x:c>
      <x:c r="Q1852" s="7" t="n">
        <x:f>'Guide'!$B$5-L1852</x:f>
        <x:v>2</x:v>
      </x:c>
      <x:c r="R1852" s="9" t="n">
        <x:f>K1852-P1852</x:f>
        <x:v>1.71</x:v>
      </x:c>
      <x:c r="S1852" s="10" t="n">
        <x:f>IF(K1852&gt;0,R1852/K1852,"")</x:f>
        <x:v>0.228</x:v>
      </x:c>
    </x:row>
    <x:row r="1853">
      <x:c r="A1853" s="7" t="n">
        <x:v>1849</x:v>
      </x:c>
      <x:c r="B1853" s="7" t="str">
        <x:v>Tata</x:v>
      </x:c>
      <x:c r="C1853" s="7" t="str">
        <x:v>Punch</x:v>
      </x:c>
      <x:c r="D1853" s="7" t="str">
        <x:v>Pure</x:v>
      </x:c>
      <x:c r="E1853" s="7" t="str">
        <x:v>Petrol</x:v>
      </x:c>
      <x:c r="F1853" s="7" t="str">
        <x:v>Manual</x:v>
      </x:c>
      <x:c r="G1853" s="7" t="str">
        <x:v>Micro SUV</x:v>
      </x:c>
      <x:c r="H1853" s="7" t="n">
        <x:v>1199</x:v>
      </x:c>
      <x:c r="I1853" s="7" t="n">
        <x:v>87</x:v>
      </x:c>
      <x:c r="J1853" s="9" t="n">
        <x:v>20.1</x:v>
      </x:c>
      <x:c r="K1853" s="9" t="n">
        <x:v>7.5</x:v>
      </x:c>
      <x:c r="L1853" s="7" t="n">
        <x:v>2024</x:v>
      </x:c>
      <x:c r="M1853" s="11" t="n">
        <x:v>39425</x:v>
      </x:c>
      <x:c r="N1853" s="7" t="n">
        <x:v>1</x:v>
      </x:c>
      <x:c r="O1853" s="7" t="n">
        <x:v>0</x:v>
      </x:c>
      <x:c r="P1853" s="9" t="n">
        <x:v>6.21</x:v>
      </x:c>
      <x:c r="Q1853" s="7" t="n">
        <x:f>'Guide'!$B$5-L1853</x:f>
        <x:v>2</x:v>
      </x:c>
      <x:c r="R1853" s="9" t="n">
        <x:f>K1853-P1853</x:f>
        <x:v>1.29</x:v>
      </x:c>
      <x:c r="S1853" s="10" t="n">
        <x:f>IF(K1853&gt;0,R1853/K1853,"")</x:f>
        <x:v>0.17200000000000001</x:v>
      </x:c>
    </x:row>
    <x:row r="1854">
      <x:c r="A1854" s="7" t="n">
        <x:v>1850</x:v>
      </x:c>
      <x:c r="B1854" s="7" t="str">
        <x:v>Tata</x:v>
      </x:c>
      <x:c r="C1854" s="7" t="str">
        <x:v>Punch</x:v>
      </x:c>
      <x:c r="D1854" s="7" t="str">
        <x:v>Pure</x:v>
      </x:c>
      <x:c r="E1854" s="7" t="str">
        <x:v>Petrol</x:v>
      </x:c>
      <x:c r="F1854" s="7" t="str">
        <x:v>Manual</x:v>
      </x:c>
      <x:c r="G1854" s="7" t="str">
        <x:v>Micro SUV</x:v>
      </x:c>
      <x:c r="H1854" s="7" t="n">
        <x:v>1199</x:v>
      </x:c>
      <x:c r="I1854" s="7" t="n">
        <x:v>87</x:v>
      </x:c>
      <x:c r="J1854" s="9" t="n">
        <x:v>20.1</x:v>
      </x:c>
      <x:c r="K1854" s="9" t="n">
        <x:v>7.5</x:v>
      </x:c>
      <x:c r="L1854" s="7" t="n">
        <x:v>2022</x:v>
      </x:c>
      <x:c r="M1854" s="11" t="n">
        <x:v>57535</x:v>
      </x:c>
      <x:c r="N1854" s="7" t="n">
        <x:v>1</x:v>
      </x:c>
      <x:c r="O1854" s="7" t="n">
        <x:v>0</x:v>
      </x:c>
      <x:c r="P1854" s="9" t="n">
        <x:v>4.26</x:v>
      </x:c>
      <x:c r="Q1854" s="7" t="n">
        <x:f>'Guide'!$B$5-L1854</x:f>
        <x:v>4</x:v>
      </x:c>
      <x:c r="R1854" s="9" t="n">
        <x:f>K1854-P1854</x:f>
        <x:v>3.24</x:v>
      </x:c>
      <x:c r="S1854" s="10" t="n">
        <x:f>IF(K1854&gt;0,R1854/K1854,"")</x:f>
        <x:v>0.43200000000000005</x:v>
      </x:c>
    </x:row>
    <x:row r="1855">
      <x:c r="A1855" s="7" t="n">
        <x:v>1851</x:v>
      </x:c>
      <x:c r="B1855" s="7" t="str">
        <x:v>Tata</x:v>
      </x:c>
      <x:c r="C1855" s="7" t="str">
        <x:v>Punch</x:v>
      </x:c>
      <x:c r="D1855" s="7" t="str">
        <x:v>Pure</x:v>
      </x:c>
      <x:c r="E1855" s="7" t="str">
        <x:v>Petrol</x:v>
      </x:c>
      <x:c r="F1855" s="7" t="str">
        <x:v>Manual</x:v>
      </x:c>
      <x:c r="G1855" s="7" t="str">
        <x:v>Micro SUV</x:v>
      </x:c>
      <x:c r="H1855" s="7" t="n">
        <x:v>1199</x:v>
      </x:c>
      <x:c r="I1855" s="7" t="n">
        <x:v>87</x:v>
      </x:c>
      <x:c r="J1855" s="9" t="n">
        <x:v>20.1</x:v>
      </x:c>
      <x:c r="K1855" s="9" t="n">
        <x:v>7.5</x:v>
      </x:c>
      <x:c r="L1855" s="7" t="n">
        <x:v>2021</x:v>
      </x:c>
      <x:c r="M1855" s="11" t="n">
        <x:v>54997</x:v>
      </x:c>
      <x:c r="N1855" s="7" t="n">
        <x:v>2</x:v>
      </x:c>
      <x:c r="O1855" s="7" t="n">
        <x:v>0</x:v>
      </x:c>
      <x:c r="P1855" s="9" t="n">
        <x:v>3.97</x:v>
      </x:c>
      <x:c r="Q1855" s="7" t="n">
        <x:f>'Guide'!$B$5-L1855</x:f>
        <x:v>5</x:v>
      </x:c>
      <x:c r="R1855" s="9" t="n">
        <x:f>K1855-P1855</x:f>
        <x:v>3.53</x:v>
      </x:c>
      <x:c r="S1855" s="10" t="n">
        <x:f>IF(K1855&gt;0,R1855/K1855,"")</x:f>
        <x:v>0.4706666666666666</x:v>
      </x:c>
    </x:row>
    <x:row r="1856">
      <x:c r="A1856" s="7" t="n">
        <x:v>1852</x:v>
      </x:c>
      <x:c r="B1856" s="7" t="str">
        <x:v>Tata</x:v>
      </x:c>
      <x:c r="C1856" s="7" t="str">
        <x:v>Punch</x:v>
      </x:c>
      <x:c r="D1856" s="7" t="str">
        <x:v>Pure</x:v>
      </x:c>
      <x:c r="E1856" s="7" t="str">
        <x:v>Petrol</x:v>
      </x:c>
      <x:c r="F1856" s="7" t="str">
        <x:v>Manual</x:v>
      </x:c>
      <x:c r="G1856" s="7" t="str">
        <x:v>Micro SUV</x:v>
      </x:c>
      <x:c r="H1856" s="7" t="n">
        <x:v>1199</x:v>
      </x:c>
      <x:c r="I1856" s="7" t="n">
        <x:v>87</x:v>
      </x:c>
      <x:c r="J1856" s="9" t="n">
        <x:v>20.1</x:v>
      </x:c>
      <x:c r="K1856" s="9" t="n">
        <x:v>7.5</x:v>
      </x:c>
      <x:c r="L1856" s="7" t="n">
        <x:v>2021</x:v>
      </x:c>
      <x:c r="M1856" s="11" t="n">
        <x:v>81570</x:v>
      </x:c>
      <x:c r="N1856" s="7" t="n">
        <x:v>1</x:v>
      </x:c>
      <x:c r="O1856" s="7" t="n">
        <x:v>0</x:v>
      </x:c>
      <x:c r="P1856" s="9" t="n">
        <x:v>3.41</x:v>
      </x:c>
      <x:c r="Q1856" s="7" t="n">
        <x:f>'Guide'!$B$5-L1856</x:f>
        <x:v>5</x:v>
      </x:c>
      <x:c r="R1856" s="9" t="n">
        <x:f>K1856-P1856</x:f>
        <x:v>4.09</x:v>
      </x:c>
      <x:c r="S1856" s="10" t="n">
        <x:f>IF(K1856&gt;0,R1856/K1856,"")</x:f>
        <x:v>0.5453333333333333</x:v>
      </x:c>
    </x:row>
    <x:row r="1857">
      <x:c r="A1857" s="7" t="n">
        <x:v>1853</x:v>
      </x:c>
      <x:c r="B1857" s="7" t="str">
        <x:v>Tata</x:v>
      </x:c>
      <x:c r="C1857" s="7" t="str">
        <x:v>Punch</x:v>
      </x:c>
      <x:c r="D1857" s="7" t="str">
        <x:v>Pure</x:v>
      </x:c>
      <x:c r="E1857" s="7" t="str">
        <x:v>Petrol</x:v>
      </x:c>
      <x:c r="F1857" s="7" t="str">
        <x:v>Manual</x:v>
      </x:c>
      <x:c r="G1857" s="7" t="str">
        <x:v>Micro SUV</x:v>
      </x:c>
      <x:c r="H1857" s="7" t="n">
        <x:v>1199</x:v>
      </x:c>
      <x:c r="I1857" s="7" t="n">
        <x:v>87</x:v>
      </x:c>
      <x:c r="J1857" s="9" t="n">
        <x:v>20.1</x:v>
      </x:c>
      <x:c r="K1857" s="9" t="n">
        <x:v>7.5</x:v>
      </x:c>
      <x:c r="L1857" s="7" t="n">
        <x:v>2021</x:v>
      </x:c>
      <x:c r="M1857" s="11" t="n">
        <x:v>72696</x:v>
      </x:c>
      <x:c r="N1857" s="7" t="n">
        <x:v>1</x:v>
      </x:c>
      <x:c r="O1857" s="7" t="n">
        <x:v>0</x:v>
      </x:c>
      <x:c r="P1857" s="9" t="n">
        <x:v>4.04</x:v>
      </x:c>
      <x:c r="Q1857" s="7" t="n">
        <x:f>'Guide'!$B$5-L1857</x:f>
        <x:v>5</x:v>
      </x:c>
      <x:c r="R1857" s="9" t="n">
        <x:f>K1857-P1857</x:f>
        <x:v>3.46</x:v>
      </x:c>
      <x:c r="S1857" s="10" t="n">
        <x:f>IF(K1857&gt;0,R1857/K1857,"")</x:f>
        <x:v>0.4613333333333333</x:v>
      </x:c>
    </x:row>
    <x:row r="1858">
      <x:c r="A1858" s="7" t="n">
        <x:v>1854</x:v>
      </x:c>
      <x:c r="B1858" s="7" t="str">
        <x:v>Tata</x:v>
      </x:c>
      <x:c r="C1858" s="7" t="str">
        <x:v>Punch</x:v>
      </x:c>
      <x:c r="D1858" s="7" t="str">
        <x:v>Pure</x:v>
      </x:c>
      <x:c r="E1858" s="7" t="str">
        <x:v>Petrol</x:v>
      </x:c>
      <x:c r="F1858" s="7" t="str">
        <x:v>Manual</x:v>
      </x:c>
      <x:c r="G1858" s="7" t="str">
        <x:v>Micro SUV</x:v>
      </x:c>
      <x:c r="H1858" s="7" t="n">
        <x:v>1199</x:v>
      </x:c>
      <x:c r="I1858" s="7" t="n">
        <x:v>87</x:v>
      </x:c>
      <x:c r="J1858" s="9" t="n">
        <x:v>20.1</x:v>
      </x:c>
      <x:c r="K1858" s="9" t="n">
        <x:v>7.5</x:v>
      </x:c>
      <x:c r="L1858" s="7" t="n">
        <x:v>2026</x:v>
      </x:c>
      <x:c r="M1858" s="11" t="n">
        <x:v>9038</x:v>
      </x:c>
      <x:c r="N1858" s="7" t="n">
        <x:v>1</x:v>
      </x:c>
      <x:c r="O1858" s="7" t="n">
        <x:v>0</x:v>
      </x:c>
      <x:c r="P1858" s="9" t="n">
        <x:v>7.81</x:v>
      </x:c>
      <x:c r="Q1858" s="7" t="n">
        <x:f>'Guide'!$B$5-L1858</x:f>
        <x:v>0</x:v>
      </x:c>
      <x:c r="R1858" s="9" t="n">
        <x:f>K1858-P1858</x:f>
        <x:v>-0.3099999999999996</x:v>
      </x:c>
      <x:c r="S1858" s="10" t="n">
        <x:f>IF(K1858&gt;0,R1858/K1858,"")</x:f>
        <x:v>-0.041333333333333284</x:v>
      </x:c>
    </x:row>
    <x:row r="1859">
      <x:c r="A1859" s="7" t="n">
        <x:v>1855</x:v>
      </x:c>
      <x:c r="B1859" s="7" t="str">
        <x:v>Tata</x:v>
      </x:c>
      <x:c r="C1859" s="7" t="str">
        <x:v>Punch</x:v>
      </x:c>
      <x:c r="D1859" s="7" t="str">
        <x:v>Pure</x:v>
      </x:c>
      <x:c r="E1859" s="7" t="str">
        <x:v>Petrol</x:v>
      </x:c>
      <x:c r="F1859" s="7" t="str">
        <x:v>Manual</x:v>
      </x:c>
      <x:c r="G1859" s="7" t="str">
        <x:v>Micro SUV</x:v>
      </x:c>
      <x:c r="H1859" s="7" t="n">
        <x:v>1199</x:v>
      </x:c>
      <x:c r="I1859" s="7" t="n">
        <x:v>87</x:v>
      </x:c>
      <x:c r="J1859" s="9" t="n">
        <x:v>20.1</x:v>
      </x:c>
      <x:c r="K1859" s="9" t="n">
        <x:v>7.5</x:v>
      </x:c>
      <x:c r="L1859" s="7" t="n">
        <x:v>2026</x:v>
      </x:c>
      <x:c r="M1859" s="11" t="n">
        <x:v>9623</x:v>
      </x:c>
      <x:c r="N1859" s="7" t="n">
        <x:v>1</x:v>
      </x:c>
      <x:c r="O1859" s="7" t="n">
        <x:v>0</x:v>
      </x:c>
      <x:c r="P1859" s="9" t="n">
        <x:v>7.35</x:v>
      </x:c>
      <x:c r="Q1859" s="7" t="n">
        <x:f>'Guide'!$B$5-L1859</x:f>
        <x:v>0</x:v>
      </x:c>
      <x:c r="R1859" s="9" t="n">
        <x:f>K1859-P1859</x:f>
        <x:v>0.15000000000000036</x:v>
      </x:c>
      <x:c r="S1859" s="10" t="n">
        <x:f>IF(K1859&gt;0,R1859/K1859,"")</x:f>
        <x:v>0.02000000000000005</x:v>
      </x:c>
    </x:row>
    <x:row r="1860">
      <x:c r="A1860" s="7" t="n">
        <x:v>1856</x:v>
      </x:c>
      <x:c r="B1860" s="7" t="str">
        <x:v>Tata</x:v>
      </x:c>
      <x:c r="C1860" s="7" t="str">
        <x:v>Punch</x:v>
      </x:c>
      <x:c r="D1860" s="7" t="str">
        <x:v>Pure</x:v>
      </x:c>
      <x:c r="E1860" s="7" t="str">
        <x:v>Petrol</x:v>
      </x:c>
      <x:c r="F1860" s="7" t="str">
        <x:v>Manual</x:v>
      </x:c>
      <x:c r="G1860" s="7" t="str">
        <x:v>Micro SUV</x:v>
      </x:c>
      <x:c r="H1860" s="7" t="n">
        <x:v>1199</x:v>
      </x:c>
      <x:c r="I1860" s="7" t="n">
        <x:v>87</x:v>
      </x:c>
      <x:c r="J1860" s="9" t="n">
        <x:v>20.1</x:v>
      </x:c>
      <x:c r="K1860" s="9" t="n">
        <x:v>7.5</x:v>
      </x:c>
      <x:c r="L1860" s="7" t="n">
        <x:v>2026</x:v>
      </x:c>
      <x:c r="M1860" s="11" t="n">
        <x:v>9900</x:v>
      </x:c>
      <x:c r="N1860" s="7" t="n">
        <x:v>1</x:v>
      </x:c>
      <x:c r="O1860" s="7" t="n">
        <x:v>0</x:v>
      </x:c>
      <x:c r="P1860" s="9" t="n">
        <x:v>7.31</x:v>
      </x:c>
      <x:c r="Q1860" s="7" t="n">
        <x:f>'Guide'!$B$5-L1860</x:f>
        <x:v>0</x:v>
      </x:c>
      <x:c r="R1860" s="9" t="n">
        <x:f>K1860-P1860</x:f>
        <x:v>0.1900000000000004</x:v>
      </x:c>
      <x:c r="S1860" s="10" t="n">
        <x:f>IF(K1860&gt;0,R1860/K1860,"")</x:f>
        <x:v>0.025333333333333385</x:v>
      </x:c>
    </x:row>
    <x:row r="1861">
      <x:c r="A1861" s="7" t="n">
        <x:v>1857</x:v>
      </x:c>
      <x:c r="B1861" s="7" t="str">
        <x:v>Tata</x:v>
      </x:c>
      <x:c r="C1861" s="7" t="str">
        <x:v>Punch</x:v>
      </x:c>
      <x:c r="D1861" s="7" t="str">
        <x:v>Pure</x:v>
      </x:c>
      <x:c r="E1861" s="7" t="str">
        <x:v>Petrol</x:v>
      </x:c>
      <x:c r="F1861" s="7" t="str">
        <x:v>Manual</x:v>
      </x:c>
      <x:c r="G1861" s="7" t="str">
        <x:v>Micro SUV</x:v>
      </x:c>
      <x:c r="H1861" s="7" t="n">
        <x:v>1199</x:v>
      </x:c>
      <x:c r="I1861" s="7" t="n">
        <x:v>87</x:v>
      </x:c>
      <x:c r="J1861" s="9" t="n">
        <x:v>20.1</x:v>
      </x:c>
      <x:c r="K1861" s="9" t="n">
        <x:v>7.5</x:v>
      </x:c>
      <x:c r="L1861" s="7" t="n">
        <x:v>2022</x:v>
      </x:c>
      <x:c r="M1861" s="11" t="n">
        <x:v>50905</x:v>
      </x:c>
      <x:c r="N1861" s="7" t="n">
        <x:v>1</x:v>
      </x:c>
      <x:c r="O1861" s="7" t="n">
        <x:v>0</x:v>
      </x:c>
      <x:c r="P1861" s="9" t="n">
        <x:v>4.92</x:v>
      </x:c>
      <x:c r="Q1861" s="7" t="n">
        <x:f>'Guide'!$B$5-L1861</x:f>
        <x:v>4</x:v>
      </x:c>
      <x:c r="R1861" s="9" t="n">
        <x:f>K1861-P1861</x:f>
        <x:v>2.58</x:v>
      </x:c>
      <x:c r="S1861" s="10" t="n">
        <x:f>IF(K1861&gt;0,R1861/K1861,"")</x:f>
        <x:v>0.34400000000000003</x:v>
      </x:c>
    </x:row>
    <x:row r="1862">
      <x:c r="A1862" s="7" t="n">
        <x:v>1858</x:v>
      </x:c>
      <x:c r="B1862" s="7" t="str">
        <x:v>Tata</x:v>
      </x:c>
      <x:c r="C1862" s="7" t="str">
        <x:v>Punch</x:v>
      </x:c>
      <x:c r="D1862" s="7" t="str">
        <x:v>Pure</x:v>
      </x:c>
      <x:c r="E1862" s="7" t="str">
        <x:v>Petrol</x:v>
      </x:c>
      <x:c r="F1862" s="7" t="str">
        <x:v>Manual</x:v>
      </x:c>
      <x:c r="G1862" s="7" t="str">
        <x:v>Micro SUV</x:v>
      </x:c>
      <x:c r="H1862" s="7" t="n">
        <x:v>1199</x:v>
      </x:c>
      <x:c r="I1862" s="7" t="n">
        <x:v>87</x:v>
      </x:c>
      <x:c r="J1862" s="9" t="n">
        <x:v>20.1</x:v>
      </x:c>
      <x:c r="K1862" s="9" t="n">
        <x:v>7.5</x:v>
      </x:c>
      <x:c r="L1862" s="7" t="n">
        <x:v>2021</x:v>
      </x:c>
      <x:c r="M1862" s="11" t="n">
        <x:v>58677</x:v>
      </x:c>
      <x:c r="N1862" s="7" t="n">
        <x:v>2</x:v>
      </x:c>
      <x:c r="O1862" s="7" t="n">
        <x:v>1</x:v>
      </x:c>
      <x:c r="P1862" s="9" t="n">
        <x:v>2.6</x:v>
      </x:c>
      <x:c r="Q1862" s="7" t="n">
        <x:f>'Guide'!$B$5-L1862</x:f>
        <x:v>5</x:v>
      </x:c>
      <x:c r="R1862" s="9" t="n">
        <x:f>K1862-P1862</x:f>
        <x:v>4.9</x:v>
      </x:c>
      <x:c r="S1862" s="10" t="n">
        <x:f>IF(K1862&gt;0,R1862/K1862,"")</x:f>
        <x:v>0.6533333333333334</x:v>
      </x:c>
    </x:row>
    <x:row r="1863">
      <x:c r="A1863" s="7" t="n">
        <x:v>1859</x:v>
      </x:c>
      <x:c r="B1863" s="7" t="str">
        <x:v>Tata</x:v>
      </x:c>
      <x:c r="C1863" s="7" t="str">
        <x:v>Punch</x:v>
      </x:c>
      <x:c r="D1863" s="7" t="str">
        <x:v>Pure</x:v>
      </x:c>
      <x:c r="E1863" s="7" t="str">
        <x:v>Petrol</x:v>
      </x:c>
      <x:c r="F1863" s="7" t="str">
        <x:v>Manual</x:v>
      </x:c>
      <x:c r="G1863" s="7" t="str">
        <x:v>Micro SUV</x:v>
      </x:c>
      <x:c r="H1863" s="7" t="n">
        <x:v>1199</x:v>
      </x:c>
      <x:c r="I1863" s="7" t="n">
        <x:v>87</x:v>
      </x:c>
      <x:c r="J1863" s="9" t="n">
        <x:v>20.1</x:v>
      </x:c>
      <x:c r="K1863" s="9" t="n">
        <x:v>7.5</x:v>
      </x:c>
      <x:c r="L1863" s="7" t="n">
        <x:v>2022</x:v>
      </x:c>
      <x:c r="M1863" s="11" t="n">
        <x:v>72189</x:v>
      </x:c>
      <x:c r="N1863" s="7" t="n">
        <x:v>1</x:v>
      </x:c>
      <x:c r="O1863" s="7" t="n">
        <x:v>0</x:v>
      </x:c>
      <x:c r="P1863" s="9" t="n">
        <x:v>4.65</x:v>
      </x:c>
      <x:c r="Q1863" s="7" t="n">
        <x:f>'Guide'!$B$5-L1863</x:f>
        <x:v>4</x:v>
      </x:c>
      <x:c r="R1863" s="9" t="n">
        <x:f>K1863-P1863</x:f>
        <x:v>2.8499999999999996</x:v>
      </x:c>
      <x:c r="S1863" s="10" t="n">
        <x:f>IF(K1863&gt;0,R1863/K1863,"")</x:f>
        <x:v>0.37999999999999995</x:v>
      </x:c>
    </x:row>
    <x:row r="1864">
      <x:c r="A1864" s="7" t="n">
        <x:v>1860</x:v>
      </x:c>
      <x:c r="B1864" s="7" t="str">
        <x:v>Tata</x:v>
      </x:c>
      <x:c r="C1864" s="7" t="str">
        <x:v>Punch</x:v>
      </x:c>
      <x:c r="D1864" s="7" t="str">
        <x:v>Pure</x:v>
      </x:c>
      <x:c r="E1864" s="7" t="str">
        <x:v>Petrol</x:v>
      </x:c>
      <x:c r="F1864" s="7" t="str">
        <x:v>Manual</x:v>
      </x:c>
      <x:c r="G1864" s="7" t="str">
        <x:v>Micro SUV</x:v>
      </x:c>
      <x:c r="H1864" s="7" t="n">
        <x:v>1199</x:v>
      </x:c>
      <x:c r="I1864" s="7" t="n">
        <x:v>87</x:v>
      </x:c>
      <x:c r="J1864" s="9" t="n">
        <x:v>20.1</x:v>
      </x:c>
      <x:c r="K1864" s="9" t="n">
        <x:v>7.5</x:v>
      </x:c>
      <x:c r="L1864" s="7" t="n">
        <x:v>2023</x:v>
      </x:c>
      <x:c r="M1864" s="11" t="n">
        <x:v>56552</x:v>
      </x:c>
      <x:c r="N1864" s="7" t="n">
        <x:v>1</x:v>
      </x:c>
      <x:c r="O1864" s="7" t="n">
        <x:v>0</x:v>
      </x:c>
      <x:c r="P1864" s="9" t="n">
        <x:v>5.54</x:v>
      </x:c>
      <x:c r="Q1864" s="7" t="n">
        <x:f>'Guide'!$B$5-L1864</x:f>
        <x:v>3</x:v>
      </x:c>
      <x:c r="R1864" s="9" t="n">
        <x:f>K1864-P1864</x:f>
        <x:v>1.96</x:v>
      </x:c>
      <x:c r="S1864" s="10" t="n">
        <x:f>IF(K1864&gt;0,R1864/K1864,"")</x:f>
        <x:v>0.2613333333333333</x:v>
      </x:c>
    </x:row>
    <x:row r="1865">
      <x:c r="A1865" s="7" t="n">
        <x:v>1861</x:v>
      </x:c>
      <x:c r="B1865" s="7" t="str">
        <x:v>Tata</x:v>
      </x:c>
      <x:c r="C1865" s="7" t="str">
        <x:v>Punch</x:v>
      </x:c>
      <x:c r="D1865" s="7" t="str">
        <x:v>Pure</x:v>
      </x:c>
      <x:c r="E1865" s="7" t="str">
        <x:v>Petrol</x:v>
      </x:c>
      <x:c r="F1865" s="7" t="str">
        <x:v>Manual</x:v>
      </x:c>
      <x:c r="G1865" s="7" t="str">
        <x:v>Micro SUV</x:v>
      </x:c>
      <x:c r="H1865" s="7" t="n">
        <x:v>1199</x:v>
      </x:c>
      <x:c r="I1865" s="7" t="n">
        <x:v>87</x:v>
      </x:c>
      <x:c r="J1865" s="9" t="n">
        <x:v>20.1</x:v>
      </x:c>
      <x:c r="K1865" s="9" t="n">
        <x:v>7.5</x:v>
      </x:c>
      <x:c r="L1865" s="7" t="n">
        <x:v>2023</x:v>
      </x:c>
      <x:c r="M1865" s="11" t="n">
        <x:v>52247</x:v>
      </x:c>
      <x:c r="N1865" s="7" t="n">
        <x:v>1</x:v>
      </x:c>
      <x:c r="O1865" s="7" t="n">
        <x:v>0</x:v>
      </x:c>
      <x:c r="P1865" s="9" t="n">
        <x:v>5.48</x:v>
      </x:c>
      <x:c r="Q1865" s="7" t="n">
        <x:f>'Guide'!$B$5-L1865</x:f>
        <x:v>3</x:v>
      </x:c>
      <x:c r="R1865" s="9" t="n">
        <x:f>K1865-P1865</x:f>
        <x:v>2.0199999999999996</x:v>
      </x:c>
      <x:c r="S1865" s="10" t="n">
        <x:f>IF(K1865&gt;0,R1865/K1865,"")</x:f>
        <x:v>0.26933333333333326</x:v>
      </x:c>
    </x:row>
    <x:row r="1866">
      <x:c r="A1866" s="7" t="n">
        <x:v>1862</x:v>
      </x:c>
      <x:c r="B1866" s="7" t="str">
        <x:v>Tata</x:v>
      </x:c>
      <x:c r="C1866" s="7" t="str">
        <x:v>Punch</x:v>
      </x:c>
      <x:c r="D1866" s="7" t="str">
        <x:v>Pure</x:v>
      </x:c>
      <x:c r="E1866" s="7" t="str">
        <x:v>Petrol</x:v>
      </x:c>
      <x:c r="F1866" s="7" t="str">
        <x:v>Manual</x:v>
      </x:c>
      <x:c r="G1866" s="7" t="str">
        <x:v>Micro SUV</x:v>
      </x:c>
      <x:c r="H1866" s="7" t="n">
        <x:v>1199</x:v>
      </x:c>
      <x:c r="I1866" s="7" t="n">
        <x:v>87</x:v>
      </x:c>
      <x:c r="J1866" s="9" t="n">
        <x:v>20.1</x:v>
      </x:c>
      <x:c r="K1866" s="9" t="n">
        <x:v>7.5</x:v>
      </x:c>
      <x:c r="L1866" s="7" t="n">
        <x:v>2020</x:v>
      </x:c>
      <x:c r="M1866" s="11" t="n">
        <x:v>89089</x:v>
      </x:c>
      <x:c r="N1866" s="7" t="n">
        <x:v>1</x:v>
      </x:c>
      <x:c r="O1866" s="7" t="n">
        <x:v>0</x:v>
      </x:c>
      <x:c r="P1866" s="9" t="n">
        <x:v>3.11</x:v>
      </x:c>
      <x:c r="Q1866" s="7" t="n">
        <x:f>'Guide'!$B$5-L1866</x:f>
        <x:v>6</x:v>
      </x:c>
      <x:c r="R1866" s="9" t="n">
        <x:f>K1866-P1866</x:f>
        <x:v>4.390000000000001</x:v>
      </x:c>
      <x:c r="S1866" s="10" t="n">
        <x:f>IF(K1866&gt;0,R1866/K1866,"")</x:f>
        <x:v>0.5853333333333334</x:v>
      </x:c>
    </x:row>
    <x:row r="1867">
      <x:c r="A1867" s="7" t="n">
        <x:v>1863</x:v>
      </x:c>
      <x:c r="B1867" s="7" t="str">
        <x:v>Tata</x:v>
      </x:c>
      <x:c r="C1867" s="7" t="str">
        <x:v>Punch</x:v>
      </x:c>
      <x:c r="D1867" s="7" t="str">
        <x:v>Pure</x:v>
      </x:c>
      <x:c r="E1867" s="7" t="str">
        <x:v>Petrol</x:v>
      </x:c>
      <x:c r="F1867" s="7" t="str">
        <x:v>Manual</x:v>
      </x:c>
      <x:c r="G1867" s="7" t="str">
        <x:v>Micro SUV</x:v>
      </x:c>
      <x:c r="H1867" s="7" t="n">
        <x:v>1199</x:v>
      </x:c>
      <x:c r="I1867" s="7" t="n">
        <x:v>87</x:v>
      </x:c>
      <x:c r="J1867" s="9" t="n">
        <x:v>20.1</x:v>
      </x:c>
      <x:c r="K1867" s="9" t="n">
        <x:v>7.5</x:v>
      </x:c>
      <x:c r="L1867" s="7" t="n">
        <x:v>2022</x:v>
      </x:c>
      <x:c r="M1867" s="11" t="n">
        <x:v>62331</x:v>
      </x:c>
      <x:c r="N1867" s="7" t="n">
        <x:v>1</x:v>
      </x:c>
      <x:c r="O1867" s="7" t="n">
        <x:v>0</x:v>
      </x:c>
      <x:c r="P1867" s="9" t="n">
        <x:v>4.61</x:v>
      </x:c>
      <x:c r="Q1867" s="7" t="n">
        <x:f>'Guide'!$B$5-L1867</x:f>
        <x:v>4</x:v>
      </x:c>
      <x:c r="R1867" s="9" t="n">
        <x:f>K1867-P1867</x:f>
        <x:v>2.8899999999999997</x:v>
      </x:c>
      <x:c r="S1867" s="10" t="n">
        <x:f>IF(K1867&gt;0,R1867/K1867,"")</x:f>
        <x:v>0.3853333333333333</x:v>
      </x:c>
    </x:row>
    <x:row r="1868">
      <x:c r="A1868" s="7" t="n">
        <x:v>1864</x:v>
      </x:c>
      <x:c r="B1868" s="7" t="str">
        <x:v>Tata</x:v>
      </x:c>
      <x:c r="C1868" s="7" t="str">
        <x:v>Punch</x:v>
      </x:c>
      <x:c r="D1868" s="7" t="str">
        <x:v>Pure</x:v>
      </x:c>
      <x:c r="E1868" s="7" t="str">
        <x:v>Petrol</x:v>
      </x:c>
      <x:c r="F1868" s="7" t="str">
        <x:v>Manual</x:v>
      </x:c>
      <x:c r="G1868" s="7" t="str">
        <x:v>Micro SUV</x:v>
      </x:c>
      <x:c r="H1868" s="7" t="n">
        <x:v>1199</x:v>
      </x:c>
      <x:c r="I1868" s="7" t="n">
        <x:v>87</x:v>
      </x:c>
      <x:c r="J1868" s="9" t="n">
        <x:v>20.1</x:v>
      </x:c>
      <x:c r="K1868" s="9" t="n">
        <x:v>7.5</x:v>
      </x:c>
      <x:c r="L1868" s="7" t="n">
        <x:v>2022</x:v>
      </x:c>
      <x:c r="M1868" s="11" t="n">
        <x:v>47875</x:v>
      </x:c>
      <x:c r="N1868" s="7" t="n">
        <x:v>1</x:v>
      </x:c>
      <x:c r="O1868" s="7" t="n">
        <x:v>0</x:v>
      </x:c>
      <x:c r="P1868" s="9" t="n">
        <x:v>4.9</x:v>
      </x:c>
      <x:c r="Q1868" s="7" t="n">
        <x:f>'Guide'!$B$5-L1868</x:f>
        <x:v>4</x:v>
      </x:c>
      <x:c r="R1868" s="9" t="n">
        <x:f>K1868-P1868</x:f>
        <x:v>2.5999999999999996</x:v>
      </x:c>
      <x:c r="S1868" s="10" t="n">
        <x:f>IF(K1868&gt;0,R1868/K1868,"")</x:f>
        <x:v>0.3466666666666666</x:v>
      </x:c>
    </x:row>
    <x:row r="1869">
      <x:c r="A1869" s="7" t="n">
        <x:v>1865</x:v>
      </x:c>
      <x:c r="B1869" s="7" t="str">
        <x:v>Tata</x:v>
      </x:c>
      <x:c r="C1869" s="7" t="str">
        <x:v>Punch</x:v>
      </x:c>
      <x:c r="D1869" s="7" t="str">
        <x:v>Pure</x:v>
      </x:c>
      <x:c r="E1869" s="7" t="str">
        <x:v>Petrol</x:v>
      </x:c>
      <x:c r="F1869" s="7" t="str">
        <x:v>Manual</x:v>
      </x:c>
      <x:c r="G1869" s="7" t="str">
        <x:v>Micro SUV</x:v>
      </x:c>
      <x:c r="H1869" s="7" t="n">
        <x:v>1199</x:v>
      </x:c>
      <x:c r="I1869" s="7" t="n">
        <x:v>87</x:v>
      </x:c>
      <x:c r="J1869" s="9" t="n">
        <x:v>20.1</x:v>
      </x:c>
      <x:c r="K1869" s="9" t="n">
        <x:v>7.5</x:v>
      </x:c>
      <x:c r="L1869" s="7" t="n">
        <x:v>2020</x:v>
      </x:c>
      <x:c r="M1869" s="11" t="n">
        <x:v>71639</x:v>
      </x:c>
      <x:c r="N1869" s="7" t="n">
        <x:v>1</x:v>
      </x:c>
      <x:c r="O1869" s="7" t="n">
        <x:v>0</x:v>
      </x:c>
      <x:c r="P1869" s="9" t="n">
        <x:v>3.29</x:v>
      </x:c>
      <x:c r="Q1869" s="7" t="n">
        <x:f>'Guide'!$B$5-L1869</x:f>
        <x:v>6</x:v>
      </x:c>
      <x:c r="R1869" s="9" t="n">
        <x:f>K1869-P1869</x:f>
        <x:v>4.21</x:v>
      </x:c>
      <x:c r="S1869" s="10" t="n">
        <x:f>IF(K1869&gt;0,R1869/K1869,"")</x:f>
        <x:v>0.5613333333333334</x:v>
      </x:c>
    </x:row>
    <x:row r="1870">
      <x:c r="A1870" s="7" t="n">
        <x:v>1866</x:v>
      </x:c>
      <x:c r="B1870" s="7" t="str">
        <x:v>Tata</x:v>
      </x:c>
      <x:c r="C1870" s="7" t="str">
        <x:v>Punch</x:v>
      </x:c>
      <x:c r="D1870" s="7" t="str">
        <x:v>Pure</x:v>
      </x:c>
      <x:c r="E1870" s="7" t="str">
        <x:v>Petrol</x:v>
      </x:c>
      <x:c r="F1870" s="7" t="str">
        <x:v>Manual</x:v>
      </x:c>
      <x:c r="G1870" s="7" t="str">
        <x:v>Micro SUV</x:v>
      </x:c>
      <x:c r="H1870" s="7" t="n">
        <x:v>1199</x:v>
      </x:c>
      <x:c r="I1870" s="7" t="n">
        <x:v>87</x:v>
      </x:c>
      <x:c r="J1870" s="9" t="n">
        <x:v>20.1</x:v>
      </x:c>
      <x:c r="K1870" s="9" t="n">
        <x:v>7.5</x:v>
      </x:c>
      <x:c r="L1870" s="7" t="n">
        <x:v>2021</x:v>
      </x:c>
      <x:c r="M1870" s="11" t="n">
        <x:v>80085</x:v>
      </x:c>
      <x:c r="N1870" s="7" t="n">
        <x:v>1</x:v>
      </x:c>
      <x:c r="O1870" s="7" t="n">
        <x:v>0</x:v>
      </x:c>
      <x:c r="P1870" s="9" t="n">
        <x:v>4.15</x:v>
      </x:c>
      <x:c r="Q1870" s="7" t="n">
        <x:f>'Guide'!$B$5-L1870</x:f>
        <x:v>5</x:v>
      </x:c>
      <x:c r="R1870" s="9" t="n">
        <x:f>K1870-P1870</x:f>
        <x:v>3.3499999999999996</x:v>
      </x:c>
      <x:c r="S1870" s="10" t="n">
        <x:f>IF(K1870&gt;0,R1870/K1870,"")</x:f>
        <x:v>0.4466666666666666</x:v>
      </x:c>
    </x:row>
    <x:row r="1871">
      <x:c r="A1871" s="7" t="n">
        <x:v>1867</x:v>
      </x:c>
      <x:c r="B1871" s="7" t="str">
        <x:v>Tata</x:v>
      </x:c>
      <x:c r="C1871" s="7" t="str">
        <x:v>Punch</x:v>
      </x:c>
      <x:c r="D1871" s="7" t="str">
        <x:v>Pure</x:v>
      </x:c>
      <x:c r="E1871" s="7" t="str">
        <x:v>Petrol</x:v>
      </x:c>
      <x:c r="F1871" s="7" t="str">
        <x:v>Manual</x:v>
      </x:c>
      <x:c r="G1871" s="7" t="str">
        <x:v>Micro SUV</x:v>
      </x:c>
      <x:c r="H1871" s="7" t="n">
        <x:v>1199</x:v>
      </x:c>
      <x:c r="I1871" s="7" t="n">
        <x:v>87</x:v>
      </x:c>
      <x:c r="J1871" s="9" t="n">
        <x:v>20.1</x:v>
      </x:c>
      <x:c r="K1871" s="9" t="n">
        <x:v>7.5</x:v>
      </x:c>
      <x:c r="L1871" s="7" t="n">
        <x:v>2022</x:v>
      </x:c>
      <x:c r="M1871" s="11" t="n">
        <x:v>86699</x:v>
      </x:c>
      <x:c r="N1871" s="7" t="n">
        <x:v>1</x:v>
      </x:c>
      <x:c r="O1871" s="7" t="n">
        <x:v>1</x:v>
      </x:c>
      <x:c r="P1871" s="9" t="n">
        <x:v>3.4</x:v>
      </x:c>
      <x:c r="Q1871" s="7" t="n">
        <x:f>'Guide'!$B$5-L1871</x:f>
        <x:v>4</x:v>
      </x:c>
      <x:c r="R1871" s="9" t="n">
        <x:f>K1871-P1871</x:f>
        <x:v>4.1</x:v>
      </x:c>
      <x:c r="S1871" s="10" t="n">
        <x:f>IF(K1871&gt;0,R1871/K1871,"")</x:f>
        <x:v>0.5466666666666666</x:v>
      </x:c>
    </x:row>
    <x:row r="1872">
      <x:c r="A1872" s="7" t="n">
        <x:v>1868</x:v>
      </x:c>
      <x:c r="B1872" s="7" t="str">
        <x:v>Tata</x:v>
      </x:c>
      <x:c r="C1872" s="7" t="str">
        <x:v>Punch</x:v>
      </x:c>
      <x:c r="D1872" s="7" t="str">
        <x:v>Pure</x:v>
      </x:c>
      <x:c r="E1872" s="7" t="str">
        <x:v>Petrol</x:v>
      </x:c>
      <x:c r="F1872" s="7" t="str">
        <x:v>Manual</x:v>
      </x:c>
      <x:c r="G1872" s="7" t="str">
        <x:v>Micro SUV</x:v>
      </x:c>
      <x:c r="H1872" s="7" t="n">
        <x:v>1199</x:v>
      </x:c>
      <x:c r="I1872" s="7" t="n">
        <x:v>87</x:v>
      </x:c>
      <x:c r="J1872" s="9" t="n">
        <x:v>20.1</x:v>
      </x:c>
      <x:c r="K1872" s="9" t="n">
        <x:v>7.5</x:v>
      </x:c>
      <x:c r="L1872" s="7" t="n">
        <x:v>2021</x:v>
      </x:c>
      <x:c r="M1872" s="11" t="n">
        <x:v>81711</x:v>
      </x:c>
      <x:c r="N1872" s="7" t="n">
        <x:v>2</x:v>
      </x:c>
      <x:c r="O1872" s="7" t="n">
        <x:v>1</x:v>
      </x:c>
      <x:c r="P1872" s="9" t="n">
        <x:v>2.32</x:v>
      </x:c>
      <x:c r="Q1872" s="7" t="n">
        <x:f>'Guide'!$B$5-L1872</x:f>
        <x:v>5</x:v>
      </x:c>
      <x:c r="R1872" s="9" t="n">
        <x:f>K1872-P1872</x:f>
        <x:v>5.18</x:v>
      </x:c>
      <x:c r="S1872" s="10" t="n">
        <x:f>IF(K1872&gt;0,R1872/K1872,"")</x:f>
        <x:v>0.6906666666666667</x:v>
      </x:c>
    </x:row>
    <x:row r="1873">
      <x:c r="A1873" s="7" t="n">
        <x:v>1869</x:v>
      </x:c>
      <x:c r="B1873" s="7" t="str">
        <x:v>Tata</x:v>
      </x:c>
      <x:c r="C1873" s="7" t="str">
        <x:v>Punch</x:v>
      </x:c>
      <x:c r="D1873" s="7" t="str">
        <x:v>Pure</x:v>
      </x:c>
      <x:c r="E1873" s="7" t="str">
        <x:v>Petrol</x:v>
      </x:c>
      <x:c r="F1873" s="7" t="str">
        <x:v>Manual</x:v>
      </x:c>
      <x:c r="G1873" s="7" t="str">
        <x:v>Micro SUV</x:v>
      </x:c>
      <x:c r="H1873" s="7" t="n">
        <x:v>1199</x:v>
      </x:c>
      <x:c r="I1873" s="7" t="n">
        <x:v>87</x:v>
      </x:c>
      <x:c r="J1873" s="9" t="n">
        <x:v>20.1</x:v>
      </x:c>
      <x:c r="K1873" s="9" t="n">
        <x:v>7.5</x:v>
      </x:c>
      <x:c r="L1873" s="7" t="n">
        <x:v>2022</x:v>
      </x:c>
      <x:c r="M1873" s="11" t="n">
        <x:v>46081</x:v>
      </x:c>
      <x:c r="N1873" s="7" t="n">
        <x:v>1</x:v>
      </x:c>
      <x:c r="O1873" s="7" t="n">
        <x:v>0</x:v>
      </x:c>
      <x:c r="P1873" s="9" t="n">
        <x:v>5.03</x:v>
      </x:c>
      <x:c r="Q1873" s="7" t="n">
        <x:f>'Guide'!$B$5-L1873</x:f>
        <x:v>4</x:v>
      </x:c>
      <x:c r="R1873" s="9" t="n">
        <x:f>K1873-P1873</x:f>
        <x:v>2.4699999999999998</x:v>
      </x:c>
      <x:c r="S1873" s="10" t="n">
        <x:f>IF(K1873&gt;0,R1873/K1873,"")</x:f>
        <x:v>0.3293333333333333</x:v>
      </x:c>
    </x:row>
    <x:row r="1874">
      <x:c r="A1874" s="7" t="n">
        <x:v>1870</x:v>
      </x:c>
      <x:c r="B1874" s="7" t="str">
        <x:v>Tata</x:v>
      </x:c>
      <x:c r="C1874" s="7" t="str">
        <x:v>Punch</x:v>
      </x:c>
      <x:c r="D1874" s="7" t="str">
        <x:v>Pure</x:v>
      </x:c>
      <x:c r="E1874" s="7" t="str">
        <x:v>Petrol</x:v>
      </x:c>
      <x:c r="F1874" s="7" t="str">
        <x:v>Manual</x:v>
      </x:c>
      <x:c r="G1874" s="7" t="str">
        <x:v>Micro SUV</x:v>
      </x:c>
      <x:c r="H1874" s="7" t="n">
        <x:v>1199</x:v>
      </x:c>
      <x:c r="I1874" s="7" t="n">
        <x:v>87</x:v>
      </x:c>
      <x:c r="J1874" s="9" t="n">
        <x:v>20.1</x:v>
      </x:c>
      <x:c r="K1874" s="9" t="n">
        <x:v>7.5</x:v>
      </x:c>
      <x:c r="L1874" s="7" t="n">
        <x:v>2025</x:v>
      </x:c>
      <x:c r="M1874" s="11" t="n">
        <x:v>13769</x:v>
      </x:c>
      <x:c r="N1874" s="7" t="n">
        <x:v>1</x:v>
      </x:c>
      <x:c r="O1874" s="7" t="n">
        <x:v>0</x:v>
      </x:c>
      <x:c r="P1874" s="9" t="n">
        <x:v>7.17</x:v>
      </x:c>
      <x:c r="Q1874" s="7" t="n">
        <x:f>'Guide'!$B$5-L1874</x:f>
        <x:v>1</x:v>
      </x:c>
      <x:c r="R1874" s="9" t="n">
        <x:f>K1874-P1874</x:f>
        <x:v>0.33000000000000007</x:v>
      </x:c>
      <x:c r="S1874" s="10" t="n">
        <x:f>IF(K1874&gt;0,R1874/K1874,"")</x:f>
        <x:v>0.04400000000000001</x:v>
      </x:c>
    </x:row>
    <x:row r="1875">
      <x:c r="A1875" s="7" t="n">
        <x:v>1871</x:v>
      </x:c>
      <x:c r="B1875" s="7" t="str">
        <x:v>Tata</x:v>
      </x:c>
      <x:c r="C1875" s="7" t="str">
        <x:v>Punch</x:v>
      </x:c>
      <x:c r="D1875" s="7" t="str">
        <x:v>Pure</x:v>
      </x:c>
      <x:c r="E1875" s="7" t="str">
        <x:v>Petrol</x:v>
      </x:c>
      <x:c r="F1875" s="7" t="str">
        <x:v>Manual</x:v>
      </x:c>
      <x:c r="G1875" s="7" t="str">
        <x:v>Micro SUV</x:v>
      </x:c>
      <x:c r="H1875" s="7" t="n">
        <x:v>1199</x:v>
      </x:c>
      <x:c r="I1875" s="7" t="n">
        <x:v>87</x:v>
      </x:c>
      <x:c r="J1875" s="9" t="n">
        <x:v>20.1</x:v>
      </x:c>
      <x:c r="K1875" s="9" t="n">
        <x:v>7.5</x:v>
      </x:c>
      <x:c r="L1875" s="7" t="n">
        <x:v>2023</x:v>
      </x:c>
      <x:c r="M1875" s="11" t="n">
        <x:v>34523</x:v>
      </x:c>
      <x:c r="N1875" s="7" t="n">
        <x:v>1</x:v>
      </x:c>
      <x:c r="O1875" s="7" t="n">
        <x:v>0</x:v>
      </x:c>
      <x:c r="P1875" s="9" t="n">
        <x:v>5.2</x:v>
      </x:c>
      <x:c r="Q1875" s="7" t="n">
        <x:f>'Guide'!$B$5-L1875</x:f>
        <x:v>3</x:v>
      </x:c>
      <x:c r="R1875" s="9" t="n">
        <x:f>K1875-P1875</x:f>
        <x:v>2.3</x:v>
      </x:c>
      <x:c r="S1875" s="10" t="n">
        <x:f>IF(K1875&gt;0,R1875/K1875,"")</x:f>
        <x:v>0.30666666666666664</x:v>
      </x:c>
    </x:row>
    <x:row r="1876">
      <x:c r="A1876" s="7" t="n">
        <x:v>1872</x:v>
      </x:c>
      <x:c r="B1876" s="7" t="str">
        <x:v>Tata</x:v>
      </x:c>
      <x:c r="C1876" s="7" t="str">
        <x:v>Punch</x:v>
      </x:c>
      <x:c r="D1876" s="7" t="str">
        <x:v>Pure</x:v>
      </x:c>
      <x:c r="E1876" s="7" t="str">
        <x:v>Petrol</x:v>
      </x:c>
      <x:c r="F1876" s="7" t="str">
        <x:v>Manual</x:v>
      </x:c>
      <x:c r="G1876" s="7" t="str">
        <x:v>Micro SUV</x:v>
      </x:c>
      <x:c r="H1876" s="7" t="n">
        <x:v>1199</x:v>
      </x:c>
      <x:c r="I1876" s="7" t="n">
        <x:v>87</x:v>
      </x:c>
      <x:c r="J1876" s="9" t="n">
        <x:v>20.1</x:v>
      </x:c>
      <x:c r="K1876" s="9" t="n">
        <x:v>7.5</x:v>
      </x:c>
      <x:c r="L1876" s="7" t="n">
        <x:v>2026</x:v>
      </x:c>
      <x:c r="M1876" s="11" t="n">
        <x:v>8058</x:v>
      </x:c>
      <x:c r="N1876" s="7" t="n">
        <x:v>1</x:v>
      </x:c>
      <x:c r="O1876" s="7" t="n">
        <x:v>0</x:v>
      </x:c>
      <x:c r="P1876" s="9" t="n">
        <x:v>7.36</x:v>
      </x:c>
      <x:c r="Q1876" s="7" t="n">
        <x:f>'Guide'!$B$5-L1876</x:f>
        <x:v>0</x:v>
      </x:c>
      <x:c r="R1876" s="9" t="n">
        <x:f>K1876-P1876</x:f>
        <x:v>0.13999999999999968</x:v>
      </x:c>
      <x:c r="S1876" s="10" t="n">
        <x:f>IF(K1876&gt;0,R1876/K1876,"")</x:f>
        <x:v>0.018666666666666623</x:v>
      </x:c>
    </x:row>
    <x:row r="1877">
      <x:c r="A1877" s="7" t="n">
        <x:v>1873</x:v>
      </x:c>
      <x:c r="B1877" s="7" t="str">
        <x:v>Tata</x:v>
      </x:c>
      <x:c r="C1877" s="7" t="str">
        <x:v>Punch</x:v>
      </x:c>
      <x:c r="D1877" s="7" t="str">
        <x:v>Pure</x:v>
      </x:c>
      <x:c r="E1877" s="7" t="str">
        <x:v>Petrol</x:v>
      </x:c>
      <x:c r="F1877" s="7" t="str">
        <x:v>Manual</x:v>
      </x:c>
      <x:c r="G1877" s="7" t="str">
        <x:v>Micro SUV</x:v>
      </x:c>
      <x:c r="H1877" s="7" t="n">
        <x:v>1199</x:v>
      </x:c>
      <x:c r="I1877" s="7" t="n">
        <x:v>87</x:v>
      </x:c>
      <x:c r="J1877" s="9" t="n">
        <x:v>20.1</x:v>
      </x:c>
      <x:c r="K1877" s="9" t="n">
        <x:v>7.5</x:v>
      </x:c>
      <x:c r="L1877" s="7" t="n">
        <x:v>2025</x:v>
      </x:c>
      <x:c r="M1877" s="11" t="n">
        <x:v>19830</x:v>
      </x:c>
      <x:c r="N1877" s="7" t="n">
        <x:v>1</x:v>
      </x:c>
      <x:c r="O1877" s="7" t="n">
        <x:v>1</x:v>
      </x:c>
      <x:c r="P1877" s="9" t="n">
        <x:v>6.24</x:v>
      </x:c>
      <x:c r="Q1877" s="7" t="n">
        <x:f>'Guide'!$B$5-L1877</x:f>
        <x:v>1</x:v>
      </x:c>
      <x:c r="R1877" s="9" t="n">
        <x:f>K1877-P1877</x:f>
        <x:v>1.2599999999999998</x:v>
      </x:c>
      <x:c r="S1877" s="10" t="n">
        <x:f>IF(K1877&gt;0,R1877/K1877,"")</x:f>
        <x:v>0.16799999999999998</x:v>
      </x:c>
    </x:row>
    <x:row r="1878">
      <x:c r="A1878" s="7" t="n">
        <x:v>1874</x:v>
      </x:c>
      <x:c r="B1878" s="7" t="str">
        <x:v>Tata</x:v>
      </x:c>
      <x:c r="C1878" s="7" t="str">
        <x:v>Punch</x:v>
      </x:c>
      <x:c r="D1878" s="7" t="str">
        <x:v>Pure</x:v>
      </x:c>
      <x:c r="E1878" s="7" t="str">
        <x:v>Petrol</x:v>
      </x:c>
      <x:c r="F1878" s="7" t="str">
        <x:v>Manual</x:v>
      </x:c>
      <x:c r="G1878" s="7" t="str">
        <x:v>Micro SUV</x:v>
      </x:c>
      <x:c r="H1878" s="7" t="n">
        <x:v>1199</x:v>
      </x:c>
      <x:c r="I1878" s="7" t="n">
        <x:v>87</x:v>
      </x:c>
      <x:c r="J1878" s="9" t="n">
        <x:v>20.1</x:v>
      </x:c>
      <x:c r="K1878" s="9" t="n">
        <x:v>7.5</x:v>
      </x:c>
      <x:c r="L1878" s="7" t="n">
        <x:v>2021</x:v>
      </x:c>
      <x:c r="M1878" s="11" t="n">
        <x:v>90133</x:v>
      </x:c>
      <x:c r="N1878" s="7" t="n">
        <x:v>2</x:v>
      </x:c>
      <x:c r="O1878" s="7" t="n">
        <x:v>0</x:v>
      </x:c>
      <x:c r="P1878" s="9" t="n">
        <x:v>3.48</x:v>
      </x:c>
      <x:c r="Q1878" s="7" t="n">
        <x:f>'Guide'!$B$5-L1878</x:f>
        <x:v>5</x:v>
      </x:c>
      <x:c r="R1878" s="9" t="n">
        <x:f>K1878-P1878</x:f>
        <x:v>4.02</x:v>
      </x:c>
      <x:c r="S1878" s="10" t="n">
        <x:f>IF(K1878&gt;0,R1878/K1878,"")</x:f>
        <x:v>0.5359999999999999</x:v>
      </x:c>
    </x:row>
    <x:row r="1879">
      <x:c r="A1879" s="7" t="n">
        <x:v>1875</x:v>
      </x:c>
      <x:c r="B1879" s="7" t="str">
        <x:v>Tata</x:v>
      </x:c>
      <x:c r="C1879" s="7" t="str">
        <x:v>Punch</x:v>
      </x:c>
      <x:c r="D1879" s="7" t="str">
        <x:v>Pure</x:v>
      </x:c>
      <x:c r="E1879" s="7" t="str">
        <x:v>Petrol</x:v>
      </x:c>
      <x:c r="F1879" s="7" t="str">
        <x:v>Manual</x:v>
      </x:c>
      <x:c r="G1879" s="7" t="str">
        <x:v>Micro SUV</x:v>
      </x:c>
      <x:c r="H1879" s="7" t="n">
        <x:v>1199</x:v>
      </x:c>
      <x:c r="I1879" s="7" t="n">
        <x:v>87</x:v>
      </x:c>
      <x:c r="J1879" s="9" t="n">
        <x:v>20.1</x:v>
      </x:c>
      <x:c r="K1879" s="9" t="n">
        <x:v>7.5</x:v>
      </x:c>
      <x:c r="L1879" s="7" t="n">
        <x:v>2020</x:v>
      </x:c>
      <x:c r="M1879" s="11" t="n">
        <x:v>92495</x:v>
      </x:c>
      <x:c r="N1879" s="7" t="n">
        <x:v>1</x:v>
      </x:c>
      <x:c r="O1879" s="7" t="n">
        <x:v>0</x:v>
      </x:c>
      <x:c r="P1879" s="9" t="n">
        <x:v>3.35</x:v>
      </x:c>
      <x:c r="Q1879" s="7" t="n">
        <x:f>'Guide'!$B$5-L1879</x:f>
        <x:v>6</x:v>
      </x:c>
      <x:c r="R1879" s="9" t="n">
        <x:f>K1879-P1879</x:f>
        <x:v>4.15</x:v>
      </x:c>
      <x:c r="S1879" s="10" t="n">
        <x:f>IF(K1879&gt;0,R1879/K1879,"")</x:f>
        <x:v>0.5533333333333333</x:v>
      </x:c>
    </x:row>
    <x:row r="1880">
      <x:c r="A1880" s="7" t="n">
        <x:v>1876</x:v>
      </x:c>
      <x:c r="B1880" s="7" t="str">
        <x:v>Tata</x:v>
      </x:c>
      <x:c r="C1880" s="7" t="str">
        <x:v>Punch</x:v>
      </x:c>
      <x:c r="D1880" s="7" t="str">
        <x:v>Pure</x:v>
      </x:c>
      <x:c r="E1880" s="7" t="str">
        <x:v>Petrol</x:v>
      </x:c>
      <x:c r="F1880" s="7" t="str">
        <x:v>Manual</x:v>
      </x:c>
      <x:c r="G1880" s="7" t="str">
        <x:v>Micro SUV</x:v>
      </x:c>
      <x:c r="H1880" s="7" t="n">
        <x:v>1199</x:v>
      </x:c>
      <x:c r="I1880" s="7" t="n">
        <x:v>87</x:v>
      </x:c>
      <x:c r="J1880" s="9" t="n">
        <x:v>20.1</x:v>
      </x:c>
      <x:c r="K1880" s="9" t="n">
        <x:v>7.5</x:v>
      </x:c>
      <x:c r="L1880" s="7" t="n">
        <x:v>2026</x:v>
      </x:c>
      <x:c r="M1880" s="11" t="n">
        <x:v>9591</x:v>
      </x:c>
      <x:c r="N1880" s="7" t="n">
        <x:v>1</x:v>
      </x:c>
      <x:c r="O1880" s="7" t="n">
        <x:v>0</x:v>
      </x:c>
      <x:c r="P1880" s="9" t="n">
        <x:v>7.15</x:v>
      </x:c>
      <x:c r="Q1880" s="7" t="n">
        <x:f>'Guide'!$B$5-L1880</x:f>
        <x:v>0</x:v>
      </x:c>
      <x:c r="R1880" s="9" t="n">
        <x:f>K1880-P1880</x:f>
        <x:v>0.34999999999999964</x:v>
      </x:c>
      <x:c r="S1880" s="10" t="n">
        <x:f>IF(K1880&gt;0,R1880/K1880,"")</x:f>
        <x:v>0.04666666666666662</x:v>
      </x:c>
    </x:row>
    <x:row r="1881">
      <x:c r="A1881" s="7" t="n">
        <x:v>1877</x:v>
      </x:c>
      <x:c r="B1881" s="7" t="str">
        <x:v>Tata</x:v>
      </x:c>
      <x:c r="C1881" s="7" t="str">
        <x:v>Punch</x:v>
      </x:c>
      <x:c r="D1881" s="7" t="str">
        <x:v>Pure</x:v>
      </x:c>
      <x:c r="E1881" s="7" t="str">
        <x:v>Petrol</x:v>
      </x:c>
      <x:c r="F1881" s="7" t="str">
        <x:v>Manual</x:v>
      </x:c>
      <x:c r="G1881" s="7" t="str">
        <x:v>Micro SUV</x:v>
      </x:c>
      <x:c r="H1881" s="7" t="n">
        <x:v>1199</x:v>
      </x:c>
      <x:c r="I1881" s="7" t="n">
        <x:v>87</x:v>
      </x:c>
      <x:c r="J1881" s="9" t="n">
        <x:v>20.1</x:v>
      </x:c>
      <x:c r="K1881" s="9" t="n">
        <x:v>7.5</x:v>
      </x:c>
      <x:c r="L1881" s="7" t="n">
        <x:v>2026</x:v>
      </x:c>
      <x:c r="M1881" s="11" t="n">
        <x:v>9749</x:v>
      </x:c>
      <x:c r="N1881" s="7" t="n">
        <x:v>1</x:v>
      </x:c>
      <x:c r="O1881" s="7" t="n">
        <x:v>0</x:v>
      </x:c>
      <x:c r="P1881" s="9" t="n">
        <x:v>7.24</x:v>
      </x:c>
      <x:c r="Q1881" s="7" t="n">
        <x:f>'Guide'!$B$5-L1881</x:f>
        <x:v>0</x:v>
      </x:c>
      <x:c r="R1881" s="9" t="n">
        <x:f>K1881-P1881</x:f>
        <x:v>0.2599999999999998</x:v>
      </x:c>
      <x:c r="S1881" s="10" t="n">
        <x:f>IF(K1881&gt;0,R1881/K1881,"")</x:f>
        <x:v>0.03466666666666664</x:v>
      </x:c>
    </x:row>
    <x:row r="1882">
      <x:c r="A1882" s="7" t="n">
        <x:v>1878</x:v>
      </x:c>
      <x:c r="B1882" s="7" t="str">
        <x:v>Tata</x:v>
      </x:c>
      <x:c r="C1882" s="7" t="str">
        <x:v>Punch</x:v>
      </x:c>
      <x:c r="D1882" s="7" t="str">
        <x:v>Pure</x:v>
      </x:c>
      <x:c r="E1882" s="7" t="str">
        <x:v>Petrol</x:v>
      </x:c>
      <x:c r="F1882" s="7" t="str">
        <x:v>Manual</x:v>
      </x:c>
      <x:c r="G1882" s="7" t="str">
        <x:v>Micro SUV</x:v>
      </x:c>
      <x:c r="H1882" s="7" t="n">
        <x:v>1199</x:v>
      </x:c>
      <x:c r="I1882" s="7" t="n">
        <x:v>87</x:v>
      </x:c>
      <x:c r="J1882" s="9" t="n">
        <x:v>20.1</x:v>
      </x:c>
      <x:c r="K1882" s="9" t="n">
        <x:v>7.5</x:v>
      </x:c>
      <x:c r="L1882" s="7" t="n">
        <x:v>2023</x:v>
      </x:c>
      <x:c r="M1882" s="11" t="n">
        <x:v>50676</x:v>
      </x:c>
      <x:c r="N1882" s="7" t="n">
        <x:v>1</x:v>
      </x:c>
      <x:c r="O1882" s="7" t="n">
        <x:v>0</x:v>
      </x:c>
      <x:c r="P1882" s="9" t="n">
        <x:v>5.1</x:v>
      </x:c>
      <x:c r="Q1882" s="7" t="n">
        <x:f>'Guide'!$B$5-L1882</x:f>
        <x:v>3</x:v>
      </x:c>
      <x:c r="R1882" s="9" t="n">
        <x:f>K1882-P1882</x:f>
        <x:v>2.4000000000000004</x:v>
      </x:c>
      <x:c r="S1882" s="10" t="n">
        <x:f>IF(K1882&gt;0,R1882/K1882,"")</x:f>
        <x:v>0.32000000000000006</x:v>
      </x:c>
    </x:row>
    <x:row r="1883">
      <x:c r="A1883" s="7" t="n">
        <x:v>1879</x:v>
      </x:c>
      <x:c r="B1883" s="7" t="str">
        <x:v>Tata</x:v>
      </x:c>
      <x:c r="C1883" s="7" t="str">
        <x:v>Punch</x:v>
      </x:c>
      <x:c r="D1883" s="7" t="str">
        <x:v>Pure</x:v>
      </x:c>
      <x:c r="E1883" s="7" t="str">
        <x:v>Petrol</x:v>
      </x:c>
      <x:c r="F1883" s="7" t="str">
        <x:v>Manual</x:v>
      </x:c>
      <x:c r="G1883" s="7" t="str">
        <x:v>Micro SUV</x:v>
      </x:c>
      <x:c r="H1883" s="7" t="n">
        <x:v>1199</x:v>
      </x:c>
      <x:c r="I1883" s="7" t="n">
        <x:v>87</x:v>
      </x:c>
      <x:c r="J1883" s="9" t="n">
        <x:v>20.1</x:v>
      </x:c>
      <x:c r="K1883" s="9" t="n">
        <x:v>7.5</x:v>
      </x:c>
      <x:c r="L1883" s="7" t="n">
        <x:v>2022</x:v>
      </x:c>
      <x:c r="M1883" s="11" t="n">
        <x:v>59943</x:v>
      </x:c>
      <x:c r="N1883" s="7" t="n">
        <x:v>1</x:v>
      </x:c>
      <x:c r="O1883" s="7" t="n">
        <x:v>0</x:v>
      </x:c>
      <x:c r="P1883" s="9" t="n">
        <x:v>4.95</x:v>
      </x:c>
      <x:c r="Q1883" s="7" t="n">
        <x:f>'Guide'!$B$5-L1883</x:f>
        <x:v>4</x:v>
      </x:c>
      <x:c r="R1883" s="9" t="n">
        <x:f>K1883-P1883</x:f>
        <x:v>2.55</x:v>
      </x:c>
      <x:c r="S1883" s="10" t="n">
        <x:f>IF(K1883&gt;0,R1883/K1883,"")</x:f>
        <x:v>0.33999999999999997</x:v>
      </x:c>
    </x:row>
    <x:row r="1884">
      <x:c r="A1884" s="7" t="n">
        <x:v>1880</x:v>
      </x:c>
      <x:c r="B1884" s="7" t="str">
        <x:v>Tata</x:v>
      </x:c>
      <x:c r="C1884" s="7" t="str">
        <x:v>Punch</x:v>
      </x:c>
      <x:c r="D1884" s="7" t="str">
        <x:v>Pure</x:v>
      </x:c>
      <x:c r="E1884" s="7" t="str">
        <x:v>Petrol</x:v>
      </x:c>
      <x:c r="F1884" s="7" t="str">
        <x:v>Manual</x:v>
      </x:c>
      <x:c r="G1884" s="7" t="str">
        <x:v>Micro SUV</x:v>
      </x:c>
      <x:c r="H1884" s="7" t="n">
        <x:v>1199</x:v>
      </x:c>
      <x:c r="I1884" s="7" t="n">
        <x:v>87</x:v>
      </x:c>
      <x:c r="J1884" s="9" t="n">
        <x:v>20.1</x:v>
      </x:c>
      <x:c r="K1884" s="9" t="n">
        <x:v>7.5</x:v>
      </x:c>
      <x:c r="L1884" s="7" t="n">
        <x:v>2026</x:v>
      </x:c>
      <x:c r="M1884" s="11" t="n">
        <x:v>4665</x:v>
      </x:c>
      <x:c r="N1884" s="7" t="n">
        <x:v>3</x:v>
      </x:c>
      <x:c r="O1884" s="7" t="n">
        <x:v>1</x:v>
      </x:c>
      <x:c r="P1884" s="9" t="n">
        <x:v>5.66</x:v>
      </x:c>
      <x:c r="Q1884" s="7" t="n">
        <x:f>'Guide'!$B$5-L1884</x:f>
        <x:v>0</x:v>
      </x:c>
      <x:c r="R1884" s="9" t="n">
        <x:f>K1884-P1884</x:f>
        <x:v>1.8399999999999999</x:v>
      </x:c>
      <x:c r="S1884" s="10" t="n">
        <x:f>IF(K1884&gt;0,R1884/K1884,"")</x:f>
        <x:v>0.24533333333333332</x:v>
      </x:c>
    </x:row>
    <x:row r="1885">
      <x:c r="A1885" s="7" t="n">
        <x:v>1881</x:v>
      </x:c>
      <x:c r="B1885" s="7" t="str">
        <x:v>Tata</x:v>
      </x:c>
      <x:c r="C1885" s="7" t="str">
        <x:v>Punch</x:v>
      </x:c>
      <x:c r="D1885" s="7" t="str">
        <x:v>Pure</x:v>
      </x:c>
      <x:c r="E1885" s="7" t="str">
        <x:v>Petrol</x:v>
      </x:c>
      <x:c r="F1885" s="7" t="str">
        <x:v>Manual</x:v>
      </x:c>
      <x:c r="G1885" s="7" t="str">
        <x:v>Micro SUV</x:v>
      </x:c>
      <x:c r="H1885" s="7" t="n">
        <x:v>1199</x:v>
      </x:c>
      <x:c r="I1885" s="7" t="n">
        <x:v>87</x:v>
      </x:c>
      <x:c r="J1885" s="9" t="n">
        <x:v>20.1</x:v>
      </x:c>
      <x:c r="K1885" s="9" t="n">
        <x:v>7.5</x:v>
      </x:c>
      <x:c r="L1885" s="7" t="n">
        <x:v>2026</x:v>
      </x:c>
      <x:c r="M1885" s="11" t="n">
        <x:v>8571</x:v>
      </x:c>
      <x:c r="N1885" s="7" t="n">
        <x:v>2</x:v>
      </x:c>
      <x:c r="O1885" s="7" t="n">
        <x:v>0</x:v>
      </x:c>
      <x:c r="P1885" s="9" t="n">
        <x:v>6.99</x:v>
      </x:c>
      <x:c r="Q1885" s="7" t="n">
        <x:f>'Guide'!$B$5-L1885</x:f>
        <x:v>0</x:v>
      </x:c>
      <x:c r="R1885" s="9" t="n">
        <x:f>K1885-P1885</x:f>
        <x:v>0.5099999999999998</x:v>
      </x:c>
      <x:c r="S1885" s="10" t="n">
        <x:f>IF(K1885&gt;0,R1885/K1885,"")</x:f>
        <x:v>0.06799999999999998</x:v>
      </x:c>
    </x:row>
    <x:row r="1886">
      <x:c r="A1886" s="7" t="n">
        <x:v>1882</x:v>
      </x:c>
      <x:c r="B1886" s="7" t="str">
        <x:v>Tata</x:v>
      </x:c>
      <x:c r="C1886" s="7" t="str">
        <x:v>Punch</x:v>
      </x:c>
      <x:c r="D1886" s="7" t="str">
        <x:v>Pure</x:v>
      </x:c>
      <x:c r="E1886" s="7" t="str">
        <x:v>Petrol</x:v>
      </x:c>
      <x:c r="F1886" s="7" t="str">
        <x:v>Manual</x:v>
      </x:c>
      <x:c r="G1886" s="7" t="str">
        <x:v>Micro SUV</x:v>
      </x:c>
      <x:c r="H1886" s="7" t="n">
        <x:v>1199</x:v>
      </x:c>
      <x:c r="I1886" s="7" t="n">
        <x:v>87</x:v>
      </x:c>
      <x:c r="J1886" s="9" t="n">
        <x:v>20.1</x:v>
      </x:c>
      <x:c r="K1886" s="9" t="n">
        <x:v>7.5</x:v>
      </x:c>
      <x:c r="L1886" s="7" t="n">
        <x:v>2026</x:v>
      </x:c>
      <x:c r="M1886" s="11" t="n">
        <x:v>4742</x:v>
      </x:c>
      <x:c r="N1886" s="7" t="n">
        <x:v>1</x:v>
      </x:c>
      <x:c r="O1886" s="7" t="n">
        <x:v>0</x:v>
      </x:c>
      <x:c r="P1886" s="9" t="n">
        <x:v>7.65</x:v>
      </x:c>
      <x:c r="Q1886" s="7" t="n">
        <x:f>'Guide'!$B$5-L1886</x:f>
        <x:v>0</x:v>
      </x:c>
      <x:c r="R1886" s="9" t="n">
        <x:f>K1886-P1886</x:f>
        <x:v>-0.15000000000000036</x:v>
      </x:c>
      <x:c r="S1886" s="10" t="n">
        <x:f>IF(K1886&gt;0,R1886/K1886,"")</x:f>
        <x:v>-0.02000000000000005</x:v>
      </x:c>
    </x:row>
    <x:row r="1887">
      <x:c r="A1887" s="7" t="n">
        <x:v>1883</x:v>
      </x:c>
      <x:c r="B1887" s="7" t="str">
        <x:v>Tata</x:v>
      </x:c>
      <x:c r="C1887" s="7" t="str">
        <x:v>Punch</x:v>
      </x:c>
      <x:c r="D1887" s="7" t="str">
        <x:v>Pure</x:v>
      </x:c>
      <x:c r="E1887" s="7" t="str">
        <x:v>Petrol</x:v>
      </x:c>
      <x:c r="F1887" s="7" t="str">
        <x:v>Manual</x:v>
      </x:c>
      <x:c r="G1887" s="7" t="str">
        <x:v>Micro SUV</x:v>
      </x:c>
      <x:c r="H1887" s="7" t="n">
        <x:v>1199</x:v>
      </x:c>
      <x:c r="I1887" s="7" t="n">
        <x:v>87</x:v>
      </x:c>
      <x:c r="J1887" s="9" t="n">
        <x:v>20.1</x:v>
      </x:c>
      <x:c r="K1887" s="9" t="n">
        <x:v>7.5</x:v>
      </x:c>
      <x:c r="L1887" s="7" t="n">
        <x:v>2026</x:v>
      </x:c>
      <x:c r="M1887" s="11" t="n">
        <x:v>8100</x:v>
      </x:c>
      <x:c r="N1887" s="7" t="n">
        <x:v>1</x:v>
      </x:c>
      <x:c r="O1887" s="7" t="n">
        <x:v>0</x:v>
      </x:c>
      <x:c r="P1887" s="9" t="n">
        <x:v>7.76</x:v>
      </x:c>
      <x:c r="Q1887" s="7" t="n">
        <x:f>'Guide'!$B$5-L1887</x:f>
        <x:v>0</x:v>
      </x:c>
      <x:c r="R1887" s="9" t="n">
        <x:f>K1887-P1887</x:f>
        <x:v>-0.2599999999999998</x:v>
      </x:c>
      <x:c r="S1887" s="10" t="n">
        <x:f>IF(K1887&gt;0,R1887/K1887,"")</x:f>
        <x:v>-0.03466666666666664</x:v>
      </x:c>
    </x:row>
    <x:row r="1888">
      <x:c r="A1888" s="7" t="n">
        <x:v>1884</x:v>
      </x:c>
      <x:c r="B1888" s="7" t="str">
        <x:v>Tata</x:v>
      </x:c>
      <x:c r="C1888" s="7" t="str">
        <x:v>Punch</x:v>
      </x:c>
      <x:c r="D1888" s="7" t="str">
        <x:v>Pure</x:v>
      </x:c>
      <x:c r="E1888" s="7" t="str">
        <x:v>Petrol</x:v>
      </x:c>
      <x:c r="F1888" s="7" t="str">
        <x:v>Manual</x:v>
      </x:c>
      <x:c r="G1888" s="7" t="str">
        <x:v>Micro SUV</x:v>
      </x:c>
      <x:c r="H1888" s="7" t="n">
        <x:v>1199</x:v>
      </x:c>
      <x:c r="I1888" s="7" t="n">
        <x:v>87</x:v>
      </x:c>
      <x:c r="J1888" s="9" t="n">
        <x:v>20.1</x:v>
      </x:c>
      <x:c r="K1888" s="9" t="n">
        <x:v>7.5</x:v>
      </x:c>
      <x:c r="L1888" s="7" t="n">
        <x:v>2024</x:v>
      </x:c>
      <x:c r="M1888" s="11" t="n">
        <x:v>37087</x:v>
      </x:c>
      <x:c r="N1888" s="7" t="n">
        <x:v>1</x:v>
      </x:c>
      <x:c r="O1888" s="7" t="n">
        <x:v>0</x:v>
      </x:c>
      <x:c r="P1888" s="9" t="n">
        <x:v>6.19</x:v>
      </x:c>
      <x:c r="Q1888" s="7" t="n">
        <x:f>'Guide'!$B$5-L1888</x:f>
        <x:v>2</x:v>
      </x:c>
      <x:c r="R1888" s="9" t="n">
        <x:f>K1888-P1888</x:f>
        <x:v>1.3099999999999996</x:v>
      </x:c>
      <x:c r="S1888" s="10" t="n">
        <x:f>IF(K1888&gt;0,R1888/K1888,"")</x:f>
        <x:v>0.1746666666666666</x:v>
      </x:c>
    </x:row>
    <x:row r="1889">
      <x:c r="A1889" s="7" t="n">
        <x:v>1885</x:v>
      </x:c>
      <x:c r="B1889" s="7" t="str">
        <x:v>Tata</x:v>
      </x:c>
      <x:c r="C1889" s="7" t="str">
        <x:v>Punch</x:v>
      </x:c>
      <x:c r="D1889" s="7" t="str">
        <x:v>Pure</x:v>
      </x:c>
      <x:c r="E1889" s="7" t="str">
        <x:v>Petrol</x:v>
      </x:c>
      <x:c r="F1889" s="7" t="str">
        <x:v>Manual</x:v>
      </x:c>
      <x:c r="G1889" s="7" t="str">
        <x:v>Micro SUV</x:v>
      </x:c>
      <x:c r="H1889" s="7" t="n">
        <x:v>1199</x:v>
      </x:c>
      <x:c r="I1889" s="7" t="n">
        <x:v>87</x:v>
      </x:c>
      <x:c r="J1889" s="9" t="n">
        <x:v>20.1</x:v>
      </x:c>
      <x:c r="K1889" s="9" t="n">
        <x:v>7.5</x:v>
      </x:c>
      <x:c r="L1889" s="7" t="n">
        <x:v>2022</x:v>
      </x:c>
      <x:c r="M1889" s="11" t="n">
        <x:v>65464</x:v>
      </x:c>
      <x:c r="N1889" s="7" t="n">
        <x:v>1</x:v>
      </x:c>
      <x:c r="O1889" s="7" t="n">
        <x:v>0</x:v>
      </x:c>
      <x:c r="P1889" s="9" t="n">
        <x:v>4.39</x:v>
      </x:c>
      <x:c r="Q1889" s="7" t="n">
        <x:f>'Guide'!$B$5-L1889</x:f>
        <x:v>4</x:v>
      </x:c>
      <x:c r="R1889" s="9" t="n">
        <x:f>K1889-P1889</x:f>
        <x:v>3.1100000000000003</x:v>
      </x:c>
      <x:c r="S1889" s="10" t="n">
        <x:f>IF(K1889&gt;0,R1889/K1889,"")</x:f>
        <x:v>0.4146666666666667</x:v>
      </x:c>
    </x:row>
    <x:row r="1890">
      <x:c r="A1890" s="7" t="n">
        <x:v>1886</x:v>
      </x:c>
      <x:c r="B1890" s="7" t="str">
        <x:v>Tata</x:v>
      </x:c>
      <x:c r="C1890" s="7" t="str">
        <x:v>Punch</x:v>
      </x:c>
      <x:c r="D1890" s="7" t="str">
        <x:v>Pure</x:v>
      </x:c>
      <x:c r="E1890" s="7" t="str">
        <x:v>Petrol</x:v>
      </x:c>
      <x:c r="F1890" s="7" t="str">
        <x:v>Manual</x:v>
      </x:c>
      <x:c r="G1890" s="7" t="str">
        <x:v>Micro SUV</x:v>
      </x:c>
      <x:c r="H1890" s="7" t="n">
        <x:v>1199</x:v>
      </x:c>
      <x:c r="I1890" s="7" t="n">
        <x:v>87</x:v>
      </x:c>
      <x:c r="J1890" s="9" t="n">
        <x:v>20.1</x:v>
      </x:c>
      <x:c r="K1890" s="9" t="n">
        <x:v>7.5</x:v>
      </x:c>
      <x:c r="L1890" s="7" t="n">
        <x:v>2023</x:v>
      </x:c>
      <x:c r="M1890" s="11" t="n">
        <x:v>50642</x:v>
      </x:c>
      <x:c r="N1890" s="7" t="n">
        <x:v>1</x:v>
      </x:c>
      <x:c r="O1890" s="7" t="n">
        <x:v>0</x:v>
      </x:c>
      <x:c r="P1890" s="9" t="n">
        <x:v>5.21</x:v>
      </x:c>
      <x:c r="Q1890" s="7" t="n">
        <x:f>'Guide'!$B$5-L1890</x:f>
        <x:v>3</x:v>
      </x:c>
      <x:c r="R1890" s="9" t="n">
        <x:f>K1890-P1890</x:f>
        <x:v>2.29</x:v>
      </x:c>
      <x:c r="S1890" s="10" t="n">
        <x:f>IF(K1890&gt;0,R1890/K1890,"")</x:f>
        <x:v>0.30533333333333335</x:v>
      </x:c>
    </x:row>
    <x:row r="1891">
      <x:c r="A1891" s="7" t="n">
        <x:v>1887</x:v>
      </x:c>
      <x:c r="B1891" s="7" t="str">
        <x:v>Tata</x:v>
      </x:c>
      <x:c r="C1891" s="7" t="str">
        <x:v>Punch</x:v>
      </x:c>
      <x:c r="D1891" s="7" t="str">
        <x:v>Pure</x:v>
      </x:c>
      <x:c r="E1891" s="7" t="str">
        <x:v>Petrol</x:v>
      </x:c>
      <x:c r="F1891" s="7" t="str">
        <x:v>Manual</x:v>
      </x:c>
      <x:c r="G1891" s="7" t="str">
        <x:v>Micro SUV</x:v>
      </x:c>
      <x:c r="H1891" s="7" t="n">
        <x:v>1199</x:v>
      </x:c>
      <x:c r="I1891" s="7" t="n">
        <x:v>87</x:v>
      </x:c>
      <x:c r="J1891" s="9" t="n">
        <x:v>20.1</x:v>
      </x:c>
      <x:c r="K1891" s="9" t="n">
        <x:v>7.5</x:v>
      </x:c>
      <x:c r="L1891" s="7" t="n">
        <x:v>2022</x:v>
      </x:c>
      <x:c r="M1891" s="11" t="n">
        <x:v>53892</x:v>
      </x:c>
      <x:c r="N1891" s="7" t="n">
        <x:v>2</x:v>
      </x:c>
      <x:c r="O1891" s="7" t="n">
        <x:v>0</x:v>
      </x:c>
      <x:c r="P1891" s="9" t="n">
        <x:v>4.48</x:v>
      </x:c>
      <x:c r="Q1891" s="7" t="n">
        <x:f>'Guide'!$B$5-L1891</x:f>
        <x:v>4</x:v>
      </x:c>
      <x:c r="R1891" s="9" t="n">
        <x:f>K1891-P1891</x:f>
        <x:v>3.0199999999999996</x:v>
      </x:c>
      <x:c r="S1891" s="10" t="n">
        <x:f>IF(K1891&gt;0,R1891/K1891,"")</x:f>
        <x:v>0.4026666666666666</x:v>
      </x:c>
    </x:row>
    <x:row r="1892">
      <x:c r="A1892" s="7" t="n">
        <x:v>1888</x:v>
      </x:c>
      <x:c r="B1892" s="7" t="str">
        <x:v>Tata</x:v>
      </x:c>
      <x:c r="C1892" s="7" t="str">
        <x:v>Punch</x:v>
      </x:c>
      <x:c r="D1892" s="7" t="str">
        <x:v>Pure</x:v>
      </x:c>
      <x:c r="E1892" s="7" t="str">
        <x:v>Petrol</x:v>
      </x:c>
      <x:c r="F1892" s="7" t="str">
        <x:v>Manual</x:v>
      </x:c>
      <x:c r="G1892" s="7" t="str">
        <x:v>Micro SUV</x:v>
      </x:c>
      <x:c r="H1892" s="7" t="n">
        <x:v>1199</x:v>
      </x:c>
      <x:c r="I1892" s="7" t="n">
        <x:v>87</x:v>
      </x:c>
      <x:c r="J1892" s="9" t="n">
        <x:v>20.1</x:v>
      </x:c>
      <x:c r="K1892" s="9" t="n">
        <x:v>7.5</x:v>
      </x:c>
      <x:c r="L1892" s="7" t="n">
        <x:v>2026</x:v>
      </x:c>
      <x:c r="M1892" s="11" t="n">
        <x:v>9692</x:v>
      </x:c>
      <x:c r="N1892" s="7" t="n">
        <x:v>2</x:v>
      </x:c>
      <x:c r="O1892" s="7" t="n">
        <x:v>0</x:v>
      </x:c>
      <x:c r="P1892" s="9" t="n">
        <x:v>7.1</x:v>
      </x:c>
      <x:c r="Q1892" s="7" t="n">
        <x:f>'Guide'!$B$5-L1892</x:f>
        <x:v>0</x:v>
      </x:c>
      <x:c r="R1892" s="9" t="n">
        <x:f>K1892-P1892</x:f>
        <x:v>0.40000000000000036</x:v>
      </x:c>
      <x:c r="S1892" s="10" t="n">
        <x:f>IF(K1892&gt;0,R1892/K1892,"")</x:f>
        <x:v>0.05333333333333338</x:v>
      </x:c>
    </x:row>
    <x:row r="1893">
      <x:c r="A1893" s="7" t="n">
        <x:v>1889</x:v>
      </x:c>
      <x:c r="B1893" s="7" t="str">
        <x:v>Tata</x:v>
      </x:c>
      <x:c r="C1893" s="7" t="str">
        <x:v>Punch</x:v>
      </x:c>
      <x:c r="D1893" s="7" t="str">
        <x:v>Pure</x:v>
      </x:c>
      <x:c r="E1893" s="7" t="str">
        <x:v>Petrol</x:v>
      </x:c>
      <x:c r="F1893" s="7" t="str">
        <x:v>Manual</x:v>
      </x:c>
      <x:c r="G1893" s="7" t="str">
        <x:v>Micro SUV</x:v>
      </x:c>
      <x:c r="H1893" s="7" t="n">
        <x:v>1199</x:v>
      </x:c>
      <x:c r="I1893" s="7" t="n">
        <x:v>87</x:v>
      </x:c>
      <x:c r="J1893" s="9" t="n">
        <x:v>20.1</x:v>
      </x:c>
      <x:c r="K1893" s="9" t="n">
        <x:v>7.5</x:v>
      </x:c>
      <x:c r="L1893" s="7" t="n">
        <x:v>2025</x:v>
      </x:c>
      <x:c r="M1893" s="11" t="n">
        <x:v>22089</x:v>
      </x:c>
      <x:c r="N1893" s="7" t="n">
        <x:v>2</x:v>
      </x:c>
      <x:c r="O1893" s="7" t="n">
        <x:v>0</x:v>
      </x:c>
      <x:c r="P1893" s="9" t="n">
        <x:v>6.69</x:v>
      </x:c>
      <x:c r="Q1893" s="7" t="n">
        <x:f>'Guide'!$B$5-L1893</x:f>
        <x:v>1</x:v>
      </x:c>
      <x:c r="R1893" s="9" t="n">
        <x:f>K1893-P1893</x:f>
        <x:v>0.8099999999999996</x:v>
      </x:c>
      <x:c r="S1893" s="10" t="n">
        <x:f>IF(K1893&gt;0,R1893/K1893,"")</x:f>
        <x:v>0.10799999999999994</x:v>
      </x:c>
    </x:row>
    <x:row r="1894">
      <x:c r="A1894" s="7" t="n">
        <x:v>1890</x:v>
      </x:c>
      <x:c r="B1894" s="7" t="str">
        <x:v>Tata</x:v>
      </x:c>
      <x:c r="C1894" s="7" t="str">
        <x:v>Punch</x:v>
      </x:c>
      <x:c r="D1894" s="7" t="str">
        <x:v>Pure</x:v>
      </x:c>
      <x:c r="E1894" s="7" t="str">
        <x:v>Petrol</x:v>
      </x:c>
      <x:c r="F1894" s="7" t="str">
        <x:v>Manual</x:v>
      </x:c>
      <x:c r="G1894" s="7" t="str">
        <x:v>Micro SUV</x:v>
      </x:c>
      <x:c r="H1894" s="7" t="n">
        <x:v>1199</x:v>
      </x:c>
      <x:c r="I1894" s="7" t="n">
        <x:v>87</x:v>
      </x:c>
      <x:c r="J1894" s="9" t="n">
        <x:v>20.1</x:v>
      </x:c>
      <x:c r="K1894" s="9" t="n">
        <x:v>7.5</x:v>
      </x:c>
      <x:c r="L1894" s="7" t="n">
        <x:v>2024</x:v>
      </x:c>
      <x:c r="M1894" s="11" t="n">
        <x:v>46392</x:v>
      </x:c>
      <x:c r="N1894" s="7" t="n">
        <x:v>2</x:v>
      </x:c>
      <x:c r="O1894" s="7" t="n">
        <x:v>0</x:v>
      </x:c>
      <x:c r="P1894" s="9" t="n">
        <x:v>5.57</x:v>
      </x:c>
      <x:c r="Q1894" s="7" t="n">
        <x:f>'Guide'!$B$5-L1894</x:f>
        <x:v>2</x:v>
      </x:c>
      <x:c r="R1894" s="9" t="n">
        <x:f>K1894-P1894</x:f>
        <x:v>1.9299999999999997</x:v>
      </x:c>
      <x:c r="S1894" s="10" t="n">
        <x:f>IF(K1894&gt;0,R1894/K1894,"")</x:f>
        <x:v>0.2573333333333333</x:v>
      </x:c>
    </x:row>
    <x:row r="1895">
      <x:c r="A1895" s="7" t="n">
        <x:v>1891</x:v>
      </x:c>
      <x:c r="B1895" s="7" t="str">
        <x:v>Tata</x:v>
      </x:c>
      <x:c r="C1895" s="7" t="str">
        <x:v>Punch</x:v>
      </x:c>
      <x:c r="D1895" s="7" t="str">
        <x:v>Pure</x:v>
      </x:c>
      <x:c r="E1895" s="7" t="str">
        <x:v>Petrol</x:v>
      </x:c>
      <x:c r="F1895" s="7" t="str">
        <x:v>Manual</x:v>
      </x:c>
      <x:c r="G1895" s="7" t="str">
        <x:v>Micro SUV</x:v>
      </x:c>
      <x:c r="H1895" s="7" t="n">
        <x:v>1199</x:v>
      </x:c>
      <x:c r="I1895" s="7" t="n">
        <x:v>87</x:v>
      </x:c>
      <x:c r="J1895" s="9" t="n">
        <x:v>20.1</x:v>
      </x:c>
      <x:c r="K1895" s="9" t="n">
        <x:v>7.5</x:v>
      </x:c>
      <x:c r="L1895" s="7" t="n">
        <x:v>2022</x:v>
      </x:c>
      <x:c r="M1895" s="11" t="n">
        <x:v>53322</x:v>
      </x:c>
      <x:c r="N1895" s="7" t="n">
        <x:v>2</x:v>
      </x:c>
      <x:c r="O1895" s="7" t="n">
        <x:v>0</x:v>
      </x:c>
      <x:c r="P1895" s="9" t="n">
        <x:v>4.39</x:v>
      </x:c>
      <x:c r="Q1895" s="7" t="n">
        <x:f>'Guide'!$B$5-L1895</x:f>
        <x:v>4</x:v>
      </x:c>
      <x:c r="R1895" s="9" t="n">
        <x:f>K1895-P1895</x:f>
        <x:v>3.1100000000000003</x:v>
      </x:c>
      <x:c r="S1895" s="10" t="n">
        <x:f>IF(K1895&gt;0,R1895/K1895,"")</x:f>
        <x:v>0.4146666666666667</x:v>
      </x:c>
    </x:row>
    <x:row r="1896">
      <x:c r="A1896" s="7" t="n">
        <x:v>1892</x:v>
      </x:c>
      <x:c r="B1896" s="7" t="str">
        <x:v>Tata</x:v>
      </x:c>
      <x:c r="C1896" s="7" t="str">
        <x:v>Punch</x:v>
      </x:c>
      <x:c r="D1896" s="7" t="str">
        <x:v>Pure</x:v>
      </x:c>
      <x:c r="E1896" s="7" t="str">
        <x:v>Petrol</x:v>
      </x:c>
      <x:c r="F1896" s="7" t="str">
        <x:v>Manual</x:v>
      </x:c>
      <x:c r="G1896" s="7" t="str">
        <x:v>Micro SUV</x:v>
      </x:c>
      <x:c r="H1896" s="7" t="n">
        <x:v>1199</x:v>
      </x:c>
      <x:c r="I1896" s="7" t="n">
        <x:v>87</x:v>
      </x:c>
      <x:c r="J1896" s="9" t="n">
        <x:v>20.1</x:v>
      </x:c>
      <x:c r="K1896" s="9" t="n">
        <x:v>7.5</x:v>
      </x:c>
      <x:c r="L1896" s="7" t="n">
        <x:v>2026</x:v>
      </x:c>
      <x:c r="M1896" s="11" t="n">
        <x:v>8343</x:v>
      </x:c>
      <x:c r="N1896" s="7" t="n">
        <x:v>1</x:v>
      </x:c>
      <x:c r="O1896" s="7" t="n">
        <x:v>0</x:v>
      </x:c>
      <x:c r="P1896" s="9" t="n">
        <x:v>7.18</x:v>
      </x:c>
      <x:c r="Q1896" s="7" t="n">
        <x:f>'Guide'!$B$5-L1896</x:f>
        <x:v>0</x:v>
      </x:c>
      <x:c r="R1896" s="9" t="n">
        <x:f>K1896-P1896</x:f>
        <x:v>0.3200000000000003</x:v>
      </x:c>
      <x:c r="S1896" s="10" t="n">
        <x:f>IF(K1896&gt;0,R1896/K1896,"")</x:f>
        <x:v>0.04266666666666671</x:v>
      </x:c>
    </x:row>
    <x:row r="1897">
      <x:c r="A1897" s="7" t="n">
        <x:v>1893</x:v>
      </x:c>
      <x:c r="B1897" s="7" t="str">
        <x:v>Tata</x:v>
      </x:c>
      <x:c r="C1897" s="7" t="str">
        <x:v>Punch</x:v>
      </x:c>
      <x:c r="D1897" s="7" t="str">
        <x:v>Pure</x:v>
      </x:c>
      <x:c r="E1897" s="7" t="str">
        <x:v>Petrol</x:v>
      </x:c>
      <x:c r="F1897" s="7" t="str">
        <x:v>Manual</x:v>
      </x:c>
      <x:c r="G1897" s="7" t="str">
        <x:v>Micro SUV</x:v>
      </x:c>
      <x:c r="H1897" s="7" t="n">
        <x:v>1199</x:v>
      </x:c>
      <x:c r="I1897" s="7" t="n">
        <x:v>87</x:v>
      </x:c>
      <x:c r="J1897" s="9" t="n">
        <x:v>20.1</x:v>
      </x:c>
      <x:c r="K1897" s="9" t="n">
        <x:v>7.5</x:v>
      </x:c>
      <x:c r="L1897" s="7" t="n">
        <x:v>2025</x:v>
      </x:c>
      <x:c r="M1897" s="11" t="n">
        <x:v>21695</x:v>
      </x:c>
      <x:c r="N1897" s="7" t="n">
        <x:v>1</x:v>
      </x:c>
      <x:c r="O1897" s="7" t="n">
        <x:v>0</x:v>
      </x:c>
      <x:c r="P1897" s="9" t="n">
        <x:v>6.44</x:v>
      </x:c>
      <x:c r="Q1897" s="7" t="n">
        <x:f>'Guide'!$B$5-L1897</x:f>
        <x:v>1</x:v>
      </x:c>
      <x:c r="R1897" s="9" t="n">
        <x:f>K1897-P1897</x:f>
        <x:v>1.0599999999999996</x:v>
      </x:c>
      <x:c r="S1897" s="10" t="n">
        <x:f>IF(K1897&gt;0,R1897/K1897,"")</x:f>
        <x:v>0.14133333333333328</x:v>
      </x:c>
    </x:row>
    <x:row r="1898">
      <x:c r="A1898" s="7" t="n">
        <x:v>1894</x:v>
      </x:c>
      <x:c r="B1898" s="7" t="str">
        <x:v>Tata</x:v>
      </x:c>
      <x:c r="C1898" s="7" t="str">
        <x:v>Punch</x:v>
      </x:c>
      <x:c r="D1898" s="7" t="str">
        <x:v>Pure</x:v>
      </x:c>
      <x:c r="E1898" s="7" t="str">
        <x:v>Petrol</x:v>
      </x:c>
      <x:c r="F1898" s="7" t="str">
        <x:v>Manual</x:v>
      </x:c>
      <x:c r="G1898" s="7" t="str">
        <x:v>Micro SUV</x:v>
      </x:c>
      <x:c r="H1898" s="7" t="n">
        <x:v>1199</x:v>
      </x:c>
      <x:c r="I1898" s="7" t="n">
        <x:v>87</x:v>
      </x:c>
      <x:c r="J1898" s="9" t="n">
        <x:v>20.1</x:v>
      </x:c>
      <x:c r="K1898" s="9" t="n">
        <x:v>7.5</x:v>
      </x:c>
      <x:c r="L1898" s="7" t="n">
        <x:v>2022</x:v>
      </x:c>
      <x:c r="M1898" s="11" t="n">
        <x:v>86715</x:v>
      </x:c>
      <x:c r="N1898" s="7" t="n">
        <x:v>1</x:v>
      </x:c>
      <x:c r="O1898" s="7" t="n">
        <x:v>0</x:v>
      </x:c>
      <x:c r="P1898" s="9" t="n">
        <x:v>4.47</x:v>
      </x:c>
      <x:c r="Q1898" s="7" t="n">
        <x:f>'Guide'!$B$5-L1898</x:f>
        <x:v>4</x:v>
      </x:c>
      <x:c r="R1898" s="9" t="n">
        <x:f>K1898-P1898</x:f>
        <x:v>3.0300000000000002</x:v>
      </x:c>
      <x:c r="S1898" s="10" t="n">
        <x:f>IF(K1898&gt;0,R1898/K1898,"")</x:f>
        <x:v>0.404</x:v>
      </x:c>
    </x:row>
    <x:row r="1899">
      <x:c r="A1899" s="7" t="n">
        <x:v>1895</x:v>
      </x:c>
      <x:c r="B1899" s="7" t="str">
        <x:v>Tata</x:v>
      </x:c>
      <x:c r="C1899" s="7" t="str">
        <x:v>Punch</x:v>
      </x:c>
      <x:c r="D1899" s="7" t="str">
        <x:v>Pure</x:v>
      </x:c>
      <x:c r="E1899" s="7" t="str">
        <x:v>Petrol</x:v>
      </x:c>
      <x:c r="F1899" s="7" t="str">
        <x:v>Manual</x:v>
      </x:c>
      <x:c r="G1899" s="7" t="str">
        <x:v>Micro SUV</x:v>
      </x:c>
      <x:c r="H1899" s="7" t="n">
        <x:v>1199</x:v>
      </x:c>
      <x:c r="I1899" s="7" t="n">
        <x:v>87</x:v>
      </x:c>
      <x:c r="J1899" s="9" t="n">
        <x:v>20.1</x:v>
      </x:c>
      <x:c r="K1899" s="9" t="n">
        <x:v>7.5</x:v>
      </x:c>
      <x:c r="L1899" s="7" t="n">
        <x:v>2024</x:v>
      </x:c>
      <x:c r="M1899" s="11" t="n">
        <x:v>32361</x:v>
      </x:c>
      <x:c r="N1899" s="7" t="n">
        <x:v>1</x:v>
      </x:c>
      <x:c r="O1899" s="7" t="n">
        <x:v>0</x:v>
      </x:c>
      <x:c r="P1899" s="9" t="n">
        <x:v>5.81</x:v>
      </x:c>
      <x:c r="Q1899" s="7" t="n">
        <x:f>'Guide'!$B$5-L1899</x:f>
        <x:v>2</x:v>
      </x:c>
      <x:c r="R1899" s="9" t="n">
        <x:f>K1899-P1899</x:f>
        <x:v>1.6900000000000004</x:v>
      </x:c>
      <x:c r="S1899" s="10" t="n">
        <x:f>IF(K1899&gt;0,R1899/K1899,"")</x:f>
        <x:v>0.22533333333333339</x:v>
      </x:c>
    </x:row>
    <x:row r="1900">
      <x:c r="A1900" s="7" t="n">
        <x:v>1896</x:v>
      </x:c>
      <x:c r="B1900" s="7" t="str">
        <x:v>Tata</x:v>
      </x:c>
      <x:c r="C1900" s="7" t="str">
        <x:v>Punch</x:v>
      </x:c>
      <x:c r="D1900" s="7" t="str">
        <x:v>Pure</x:v>
      </x:c>
      <x:c r="E1900" s="7" t="str">
        <x:v>Petrol</x:v>
      </x:c>
      <x:c r="F1900" s="7" t="str">
        <x:v>Manual</x:v>
      </x:c>
      <x:c r="G1900" s="7" t="str">
        <x:v>Micro SUV</x:v>
      </x:c>
      <x:c r="H1900" s="7" t="n">
        <x:v>1199</x:v>
      </x:c>
      <x:c r="I1900" s="7" t="n">
        <x:v>87</x:v>
      </x:c>
      <x:c r="J1900" s="9" t="n">
        <x:v>20.1</x:v>
      </x:c>
      <x:c r="K1900" s="9" t="n">
        <x:v>7.5</x:v>
      </x:c>
      <x:c r="L1900" s="7" t="n">
        <x:v>2024</x:v>
      </x:c>
      <x:c r="M1900" s="11" t="n">
        <x:v>39338</x:v>
      </x:c>
      <x:c r="N1900" s="7" t="n">
        <x:v>1</x:v>
      </x:c>
      <x:c r="O1900" s="7" t="n">
        <x:v>0</x:v>
      </x:c>
      <x:c r="P1900" s="9" t="n">
        <x:v>6.24</x:v>
      </x:c>
      <x:c r="Q1900" s="7" t="n">
        <x:f>'Guide'!$B$5-L1900</x:f>
        <x:v>2</x:v>
      </x:c>
      <x:c r="R1900" s="9" t="n">
        <x:f>K1900-P1900</x:f>
        <x:v>1.2599999999999998</x:v>
      </x:c>
      <x:c r="S1900" s="10" t="n">
        <x:f>IF(K1900&gt;0,R1900/K1900,"")</x:f>
        <x:v>0.16799999999999998</x:v>
      </x:c>
    </x:row>
    <x:row r="1901">
      <x:c r="A1901" s="7" t="n">
        <x:v>1897</x:v>
      </x:c>
      <x:c r="B1901" s="7" t="str">
        <x:v>Tata</x:v>
      </x:c>
      <x:c r="C1901" s="7" t="str">
        <x:v>Punch</x:v>
      </x:c>
      <x:c r="D1901" s="7" t="str">
        <x:v>Pure</x:v>
      </x:c>
      <x:c r="E1901" s="7" t="str">
        <x:v>Petrol</x:v>
      </x:c>
      <x:c r="F1901" s="7" t="str">
        <x:v>Manual</x:v>
      </x:c>
      <x:c r="G1901" s="7" t="str">
        <x:v>Micro SUV</x:v>
      </x:c>
      <x:c r="H1901" s="7" t="n">
        <x:v>1199</x:v>
      </x:c>
      <x:c r="I1901" s="7" t="n">
        <x:v>87</x:v>
      </x:c>
      <x:c r="J1901" s="9" t="n">
        <x:v>20.1</x:v>
      </x:c>
      <x:c r="K1901" s="9" t="n">
        <x:v>7.5</x:v>
      </x:c>
      <x:c r="L1901" s="7" t="n">
        <x:v>2022</x:v>
      </x:c>
      <x:c r="M1901" s="11" t="n">
        <x:v>59076</x:v>
      </x:c>
      <x:c r="N1901" s="7" t="n">
        <x:v>1</x:v>
      </x:c>
      <x:c r="O1901" s="7" t="n">
        <x:v>0</x:v>
      </x:c>
      <x:c r="P1901" s="9" t="n">
        <x:v>4.91</x:v>
      </x:c>
      <x:c r="Q1901" s="7" t="n">
        <x:f>'Guide'!$B$5-L1901</x:f>
        <x:v>4</x:v>
      </x:c>
      <x:c r="R1901" s="9" t="n">
        <x:f>K1901-P1901</x:f>
        <x:v>2.59</x:v>
      </x:c>
      <x:c r="S1901" s="10" t="n">
        <x:f>IF(K1901&gt;0,R1901/K1901,"")</x:f>
        <x:v>0.3453333333333333</x:v>
      </x:c>
    </x:row>
    <x:row r="1902">
      <x:c r="A1902" s="7" t="n">
        <x:v>1898</x:v>
      </x:c>
      <x:c r="B1902" s="7" t="str">
        <x:v>Tata</x:v>
      </x:c>
      <x:c r="C1902" s="7" t="str">
        <x:v>Punch</x:v>
      </x:c>
      <x:c r="D1902" s="7" t="str">
        <x:v>Pure</x:v>
      </x:c>
      <x:c r="E1902" s="7" t="str">
        <x:v>Petrol</x:v>
      </x:c>
      <x:c r="F1902" s="7" t="str">
        <x:v>Manual</x:v>
      </x:c>
      <x:c r="G1902" s="7" t="str">
        <x:v>Micro SUV</x:v>
      </x:c>
      <x:c r="H1902" s="7" t="n">
        <x:v>1199</x:v>
      </x:c>
      <x:c r="I1902" s="7" t="n">
        <x:v>87</x:v>
      </x:c>
      <x:c r="J1902" s="9" t="n">
        <x:v>20.1</x:v>
      </x:c>
      <x:c r="K1902" s="9" t="n">
        <x:v>7.5</x:v>
      </x:c>
      <x:c r="L1902" s="7" t="n">
        <x:v>2025</x:v>
      </x:c>
      <x:c r="M1902" s="11" t="n">
        <x:v>25444</x:v>
      </x:c>
      <x:c r="N1902" s="7" t="n">
        <x:v>2</x:v>
      </x:c>
      <x:c r="O1902" s="7" t="n">
        <x:v>0</x:v>
      </x:c>
      <x:c r="P1902" s="9" t="n">
        <x:v>6.21</x:v>
      </x:c>
      <x:c r="Q1902" s="7" t="n">
        <x:f>'Guide'!$B$5-L1902</x:f>
        <x:v>1</x:v>
      </x:c>
      <x:c r="R1902" s="9" t="n">
        <x:f>K1902-P1902</x:f>
        <x:v>1.29</x:v>
      </x:c>
      <x:c r="S1902" s="10" t="n">
        <x:f>IF(K1902&gt;0,R1902/K1902,"")</x:f>
        <x:v>0.17200000000000001</x:v>
      </x:c>
    </x:row>
    <x:row r="1903">
      <x:c r="A1903" s="7" t="n">
        <x:v>1899</x:v>
      </x:c>
      <x:c r="B1903" s="7" t="str">
        <x:v>Tata</x:v>
      </x:c>
      <x:c r="C1903" s="7" t="str">
        <x:v>Punch</x:v>
      </x:c>
      <x:c r="D1903" s="7" t="str">
        <x:v>Pure</x:v>
      </x:c>
      <x:c r="E1903" s="7" t="str">
        <x:v>Petrol</x:v>
      </x:c>
      <x:c r="F1903" s="7" t="str">
        <x:v>Manual</x:v>
      </x:c>
      <x:c r="G1903" s="7" t="str">
        <x:v>Micro SUV</x:v>
      </x:c>
      <x:c r="H1903" s="7" t="n">
        <x:v>1199</x:v>
      </x:c>
      <x:c r="I1903" s="7" t="n">
        <x:v>87</x:v>
      </x:c>
      <x:c r="J1903" s="9" t="n">
        <x:v>20.1</x:v>
      </x:c>
      <x:c r="K1903" s="9" t="n">
        <x:v>7.5</x:v>
      </x:c>
      <x:c r="L1903" s="7" t="n">
        <x:v>2022</x:v>
      </x:c>
      <x:c r="M1903" s="11" t="n">
        <x:v>87020</x:v>
      </x:c>
      <x:c r="N1903" s="7" t="n">
        <x:v>1</x:v>
      </x:c>
      <x:c r="O1903" s="7" t="n">
        <x:v>0</x:v>
      </x:c>
      <x:c r="P1903" s="9" t="n">
        <x:v>4.06</x:v>
      </x:c>
      <x:c r="Q1903" s="7" t="n">
        <x:f>'Guide'!$B$5-L1903</x:f>
        <x:v>4</x:v>
      </x:c>
      <x:c r="R1903" s="9" t="n">
        <x:f>K1903-P1903</x:f>
        <x:v>3.4400000000000004</x:v>
      </x:c>
      <x:c r="S1903" s="10" t="n">
        <x:f>IF(K1903&gt;0,R1903/K1903,"")</x:f>
        <x:v>0.4586666666666667</x:v>
      </x:c>
    </x:row>
    <x:row r="1904">
      <x:c r="A1904" s="7" t="n">
        <x:v>1900</x:v>
      </x:c>
      <x:c r="B1904" s="7" t="str">
        <x:v>Tata</x:v>
      </x:c>
      <x:c r="C1904" s="7" t="str">
        <x:v>Punch</x:v>
      </x:c>
      <x:c r="D1904" s="7" t="str">
        <x:v>Pure</x:v>
      </x:c>
      <x:c r="E1904" s="7" t="str">
        <x:v>Petrol</x:v>
      </x:c>
      <x:c r="F1904" s="7" t="str">
        <x:v>Manual</x:v>
      </x:c>
      <x:c r="G1904" s="7" t="str">
        <x:v>Micro SUV</x:v>
      </x:c>
      <x:c r="H1904" s="7" t="n">
        <x:v>1199</x:v>
      </x:c>
      <x:c r="I1904" s="7" t="n">
        <x:v>87</x:v>
      </x:c>
      <x:c r="J1904" s="9" t="n">
        <x:v>20.1</x:v>
      </x:c>
      <x:c r="K1904" s="9" t="n">
        <x:v>7.5</x:v>
      </x:c>
      <x:c r="L1904" s="7" t="n">
        <x:v>2023</x:v>
      </x:c>
      <x:c r="M1904" s="11" t="n">
        <x:v>34066</x:v>
      </x:c>
      <x:c r="N1904" s="7" t="n">
        <x:v>2</x:v>
      </x:c>
      <x:c r="O1904" s="7" t="n">
        <x:v>0</x:v>
      </x:c>
      <x:c r="P1904" s="9" t="n">
        <x:v>4.91</x:v>
      </x:c>
      <x:c r="Q1904" s="7" t="n">
        <x:f>'Guide'!$B$5-L1904</x:f>
        <x:v>3</x:v>
      </x:c>
      <x:c r="R1904" s="9" t="n">
        <x:f>K1904-P1904</x:f>
        <x:v>2.59</x:v>
      </x:c>
      <x:c r="S1904" s="10" t="n">
        <x:f>IF(K1904&gt;0,R1904/K1904,"")</x:f>
        <x:v>0.3453333333333333</x:v>
      </x:c>
    </x:row>
    <x:row r="1905">
      <x:c r="A1905" s="7" t="n">
        <x:v>1901</x:v>
      </x:c>
      <x:c r="B1905" s="7" t="str">
        <x:v>Tata</x:v>
      </x:c>
      <x:c r="C1905" s="7" t="str">
        <x:v>Punch</x:v>
      </x:c>
      <x:c r="D1905" s="7" t="str">
        <x:v>Pure</x:v>
      </x:c>
      <x:c r="E1905" s="7" t="str">
        <x:v>Petrol</x:v>
      </x:c>
      <x:c r="F1905" s="7" t="str">
        <x:v>Manual</x:v>
      </x:c>
      <x:c r="G1905" s="7" t="str">
        <x:v>Micro SUV</x:v>
      </x:c>
      <x:c r="H1905" s="7" t="n">
        <x:v>1199</x:v>
      </x:c>
      <x:c r="I1905" s="7" t="n">
        <x:v>87</x:v>
      </x:c>
      <x:c r="J1905" s="9" t="n">
        <x:v>20.1</x:v>
      </x:c>
      <x:c r="K1905" s="9" t="n">
        <x:v>7.5</x:v>
      </x:c>
      <x:c r="L1905" s="7" t="n">
        <x:v>2024</x:v>
      </x:c>
      <x:c r="M1905" s="11" t="n">
        <x:v>27794</x:v>
      </x:c>
      <x:c r="N1905" s="7" t="n">
        <x:v>1</x:v>
      </x:c>
      <x:c r="O1905" s="7" t="n">
        <x:v>0</x:v>
      </x:c>
      <x:c r="P1905" s="9" t="n">
        <x:v>5.85</x:v>
      </x:c>
      <x:c r="Q1905" s="7" t="n">
        <x:f>'Guide'!$B$5-L1905</x:f>
        <x:v>2</x:v>
      </x:c>
      <x:c r="R1905" s="9" t="n">
        <x:f>K1905-P1905</x:f>
        <x:v>1.6500000000000004</x:v>
      </x:c>
      <x:c r="S1905" s="10" t="n">
        <x:f>IF(K1905&gt;0,R1905/K1905,"")</x:f>
        <x:v>0.22000000000000006</x:v>
      </x:c>
    </x:row>
    <x:row r="1906">
      <x:c r="A1906" s="7" t="n">
        <x:v>1902</x:v>
      </x:c>
      <x:c r="B1906" s="7" t="str">
        <x:v>Tata</x:v>
      </x:c>
      <x:c r="C1906" s="7" t="str">
        <x:v>Punch</x:v>
      </x:c>
      <x:c r="D1906" s="7" t="str">
        <x:v>Pure</x:v>
      </x:c>
      <x:c r="E1906" s="7" t="str">
        <x:v>Petrol</x:v>
      </x:c>
      <x:c r="F1906" s="7" t="str">
        <x:v>Manual</x:v>
      </x:c>
      <x:c r="G1906" s="7" t="str">
        <x:v>Micro SUV</x:v>
      </x:c>
      <x:c r="H1906" s="7" t="n">
        <x:v>1199</x:v>
      </x:c>
      <x:c r="I1906" s="7" t="n">
        <x:v>87</x:v>
      </x:c>
      <x:c r="J1906" s="9" t="n">
        <x:v>20.1</x:v>
      </x:c>
      <x:c r="K1906" s="9" t="n">
        <x:v>7.5</x:v>
      </x:c>
      <x:c r="L1906" s="7" t="n">
        <x:v>2025</x:v>
      </x:c>
      <x:c r="M1906" s="11" t="n">
        <x:v>22823</x:v>
      </x:c>
      <x:c r="N1906" s="7" t="n">
        <x:v>1</x:v>
      </x:c>
      <x:c r="O1906" s="7" t="n">
        <x:v>0</x:v>
      </x:c>
      <x:c r="P1906" s="9" t="n">
        <x:v>6.34</x:v>
      </x:c>
      <x:c r="Q1906" s="7" t="n">
        <x:f>'Guide'!$B$5-L1906</x:f>
        <x:v>1</x:v>
      </x:c>
      <x:c r="R1906" s="9" t="n">
        <x:f>K1906-P1906</x:f>
        <x:v>1.1600000000000001</x:v>
      </x:c>
      <x:c r="S1906" s="10" t="n">
        <x:f>IF(K1906&gt;0,R1906/K1906,"")</x:f>
        <x:v>0.15466666666666667</x:v>
      </x:c>
    </x:row>
    <x:row r="1907">
      <x:c r="A1907" s="7" t="n">
        <x:v>1903</x:v>
      </x:c>
      <x:c r="B1907" s="7" t="str">
        <x:v>Tata</x:v>
      </x:c>
      <x:c r="C1907" s="7" t="str">
        <x:v>Punch</x:v>
      </x:c>
      <x:c r="D1907" s="7" t="str">
        <x:v>Pure</x:v>
      </x:c>
      <x:c r="E1907" s="7" t="str">
        <x:v>Petrol</x:v>
      </x:c>
      <x:c r="F1907" s="7" t="str">
        <x:v>Manual</x:v>
      </x:c>
      <x:c r="G1907" s="7" t="str">
        <x:v>Micro SUV</x:v>
      </x:c>
      <x:c r="H1907" s="7" t="n">
        <x:v>1199</x:v>
      </x:c>
      <x:c r="I1907" s="7" t="n">
        <x:v>87</x:v>
      </x:c>
      <x:c r="J1907" s="9" t="n">
        <x:v>20.1</x:v>
      </x:c>
      <x:c r="K1907" s="9" t="n">
        <x:v>7.5</x:v>
      </x:c>
      <x:c r="L1907" s="7" t="n">
        <x:v>2020</x:v>
      </x:c>
      <x:c r="M1907" s="11" t="n">
        <x:v>84633</x:v>
      </x:c>
      <x:c r="N1907" s="7" t="n">
        <x:v>1</x:v>
      </x:c>
      <x:c r="O1907" s="7" t="n">
        <x:v>0</x:v>
      </x:c>
      <x:c r="P1907" s="9" t="n">
        <x:v>3.46</x:v>
      </x:c>
      <x:c r="Q1907" s="7" t="n">
        <x:f>'Guide'!$B$5-L1907</x:f>
        <x:v>6</x:v>
      </x:c>
      <x:c r="R1907" s="9" t="n">
        <x:f>K1907-P1907</x:f>
        <x:v>4.04</x:v>
      </x:c>
      <x:c r="S1907" s="10" t="n">
        <x:f>IF(K1907&gt;0,R1907/K1907,"")</x:f>
        <x:v>0.5386666666666666</x:v>
      </x:c>
    </x:row>
    <x:row r="1908">
      <x:c r="A1908" s="7" t="n">
        <x:v>1904</x:v>
      </x:c>
      <x:c r="B1908" s="7" t="str">
        <x:v>Tata</x:v>
      </x:c>
      <x:c r="C1908" s="7" t="str">
        <x:v>Punch</x:v>
      </x:c>
      <x:c r="D1908" s="7" t="str">
        <x:v>Pure</x:v>
      </x:c>
      <x:c r="E1908" s="7" t="str">
        <x:v>Petrol</x:v>
      </x:c>
      <x:c r="F1908" s="7" t="str">
        <x:v>Manual</x:v>
      </x:c>
      <x:c r="G1908" s="7" t="str">
        <x:v>Micro SUV</x:v>
      </x:c>
      <x:c r="H1908" s="7" t="n">
        <x:v>1199</x:v>
      </x:c>
      <x:c r="I1908" s="7" t="n">
        <x:v>87</x:v>
      </x:c>
      <x:c r="J1908" s="9" t="n">
        <x:v>20.1</x:v>
      </x:c>
      <x:c r="K1908" s="9" t="n">
        <x:v>7.5</x:v>
      </x:c>
      <x:c r="L1908" s="7" t="n">
        <x:v>2021</x:v>
      </x:c>
      <x:c r="M1908" s="11" t="n">
        <x:v>60586</x:v>
      </x:c>
      <x:c r="N1908" s="7" t="n">
        <x:v>1</x:v>
      </x:c>
      <x:c r="O1908" s="7" t="n">
        <x:v>0</x:v>
      </x:c>
      <x:c r="P1908" s="9" t="n">
        <x:v>3.6</x:v>
      </x:c>
      <x:c r="Q1908" s="7" t="n">
        <x:f>'Guide'!$B$5-L1908</x:f>
        <x:v>5</x:v>
      </x:c>
      <x:c r="R1908" s="9" t="n">
        <x:f>K1908-P1908</x:f>
        <x:v>3.9</x:v>
      </x:c>
      <x:c r="S1908" s="10" t="n">
        <x:f>IF(K1908&gt;0,R1908/K1908,"")</x:f>
        <x:v>0.52</x:v>
      </x:c>
    </x:row>
    <x:row r="1909">
      <x:c r="A1909" s="7" t="n">
        <x:v>1905</x:v>
      </x:c>
      <x:c r="B1909" s="7" t="str">
        <x:v>Tata</x:v>
      </x:c>
      <x:c r="C1909" s="7" t="str">
        <x:v>Punch</x:v>
      </x:c>
      <x:c r="D1909" s="7" t="str">
        <x:v>Pure</x:v>
      </x:c>
      <x:c r="E1909" s="7" t="str">
        <x:v>Petrol</x:v>
      </x:c>
      <x:c r="F1909" s="7" t="str">
        <x:v>Manual</x:v>
      </x:c>
      <x:c r="G1909" s="7" t="str">
        <x:v>Micro SUV</x:v>
      </x:c>
      <x:c r="H1909" s="7" t="n">
        <x:v>1199</x:v>
      </x:c>
      <x:c r="I1909" s="7" t="n">
        <x:v>87</x:v>
      </x:c>
      <x:c r="J1909" s="9" t="n">
        <x:v>20.1</x:v>
      </x:c>
      <x:c r="K1909" s="9" t="n">
        <x:v>7.5</x:v>
      </x:c>
      <x:c r="L1909" s="7" t="n">
        <x:v>2025</x:v>
      </x:c>
      <x:c r="M1909" s="11" t="n">
        <x:v>25375</x:v>
      </x:c>
      <x:c r="N1909" s="7" t="n">
        <x:v>1</x:v>
      </x:c>
      <x:c r="O1909" s="7" t="n">
        <x:v>0</x:v>
      </x:c>
      <x:c r="P1909" s="9" t="n">
        <x:v>6.96</x:v>
      </x:c>
      <x:c r="Q1909" s="7" t="n">
        <x:f>'Guide'!$B$5-L1909</x:f>
        <x:v>1</x:v>
      </x:c>
      <x:c r="R1909" s="9" t="n">
        <x:f>K1909-P1909</x:f>
        <x:v>0.54</x:v>
      </x:c>
      <x:c r="S1909" s="10" t="n">
        <x:f>IF(K1909&gt;0,R1909/K1909,"")</x:f>
        <x:v>0.07200000000000001</x:v>
      </x:c>
    </x:row>
    <x:row r="1910">
      <x:c r="A1910" s="7" t="n">
        <x:v>1906</x:v>
      </x:c>
      <x:c r="B1910" s="7" t="str">
        <x:v>Tata</x:v>
      </x:c>
      <x:c r="C1910" s="7" t="str">
        <x:v>Punch</x:v>
      </x:c>
      <x:c r="D1910" s="7" t="str">
        <x:v>Pure</x:v>
      </x:c>
      <x:c r="E1910" s="7" t="str">
        <x:v>Petrol</x:v>
      </x:c>
      <x:c r="F1910" s="7" t="str">
        <x:v>Manual</x:v>
      </x:c>
      <x:c r="G1910" s="7" t="str">
        <x:v>Micro SUV</x:v>
      </x:c>
      <x:c r="H1910" s="7" t="n">
        <x:v>1199</x:v>
      </x:c>
      <x:c r="I1910" s="7" t="n">
        <x:v>87</x:v>
      </x:c>
      <x:c r="J1910" s="9" t="n">
        <x:v>20.1</x:v>
      </x:c>
      <x:c r="K1910" s="9" t="n">
        <x:v>7.5</x:v>
      </x:c>
      <x:c r="L1910" s="7" t="n">
        <x:v>2020</x:v>
      </x:c>
      <x:c r="M1910" s="11" t="n">
        <x:v>81651</x:v>
      </x:c>
      <x:c r="N1910" s="7" t="n">
        <x:v>1</x:v>
      </x:c>
      <x:c r="O1910" s="7" t="n">
        <x:v>1</x:v>
      </x:c>
      <x:c r="P1910" s="9" t="n">
        <x:v>2.57</x:v>
      </x:c>
      <x:c r="Q1910" s="7" t="n">
        <x:f>'Guide'!$B$5-L1910</x:f>
        <x:v>6</x:v>
      </x:c>
      <x:c r="R1910" s="9" t="n">
        <x:f>K1910-P1910</x:f>
        <x:v>4.93</x:v>
      </x:c>
      <x:c r="S1910" s="10" t="n">
        <x:f>IF(K1910&gt;0,R1910/K1910,"")</x:f>
        <x:v>0.6573333333333333</x:v>
      </x:c>
    </x:row>
    <x:row r="1911">
      <x:c r="A1911" s="7" t="n">
        <x:v>1907</x:v>
      </x:c>
      <x:c r="B1911" s="7" t="str">
        <x:v>Tata</x:v>
      </x:c>
      <x:c r="C1911" s="7" t="str">
        <x:v>Punch</x:v>
      </x:c>
      <x:c r="D1911" s="7" t="str">
        <x:v>Pure</x:v>
      </x:c>
      <x:c r="E1911" s="7" t="str">
        <x:v>Petrol</x:v>
      </x:c>
      <x:c r="F1911" s="7" t="str">
        <x:v>Manual</x:v>
      </x:c>
      <x:c r="G1911" s="7" t="str">
        <x:v>Micro SUV</x:v>
      </x:c>
      <x:c r="H1911" s="7" t="n">
        <x:v>1199</x:v>
      </x:c>
      <x:c r="I1911" s="7" t="n">
        <x:v>87</x:v>
      </x:c>
      <x:c r="J1911" s="9" t="n">
        <x:v>20.1</x:v>
      </x:c>
      <x:c r="K1911" s="9" t="n">
        <x:v>7.5</x:v>
      </x:c>
      <x:c r="L1911" s="7" t="n">
        <x:v>2025</x:v>
      </x:c>
      <x:c r="M1911" s="11" t="n">
        <x:v>27780</x:v>
      </x:c>
      <x:c r="N1911" s="7" t="n">
        <x:v>1</x:v>
      </x:c>
      <x:c r="O1911" s="7" t="n">
        <x:v>0</x:v>
      </x:c>
      <x:c r="P1911" s="9" t="n">
        <x:v>6.78</x:v>
      </x:c>
      <x:c r="Q1911" s="7" t="n">
        <x:f>'Guide'!$B$5-L1911</x:f>
        <x:v>1</x:v>
      </x:c>
      <x:c r="R1911" s="9" t="n">
        <x:f>K1911-P1911</x:f>
        <x:v>0.7199999999999998</x:v>
      </x:c>
      <x:c r="S1911" s="10" t="n">
        <x:f>IF(K1911&gt;0,R1911/K1911,"")</x:f>
        <x:v>0.09599999999999996</x:v>
      </x:c>
    </x:row>
    <x:row r="1912">
      <x:c r="A1912" s="7" t="n">
        <x:v>1908</x:v>
      </x:c>
      <x:c r="B1912" s="7" t="str">
        <x:v>Tata</x:v>
      </x:c>
      <x:c r="C1912" s="7" t="str">
        <x:v>Punch</x:v>
      </x:c>
      <x:c r="D1912" s="7" t="str">
        <x:v>Pure</x:v>
      </x:c>
      <x:c r="E1912" s="7" t="str">
        <x:v>Petrol</x:v>
      </x:c>
      <x:c r="F1912" s="7" t="str">
        <x:v>Manual</x:v>
      </x:c>
      <x:c r="G1912" s="7" t="str">
        <x:v>Micro SUV</x:v>
      </x:c>
      <x:c r="H1912" s="7" t="n">
        <x:v>1199</x:v>
      </x:c>
      <x:c r="I1912" s="7" t="n">
        <x:v>87</x:v>
      </x:c>
      <x:c r="J1912" s="9" t="n">
        <x:v>20.1</x:v>
      </x:c>
      <x:c r="K1912" s="9" t="n">
        <x:v>7.5</x:v>
      </x:c>
      <x:c r="L1912" s="7" t="n">
        <x:v>2020</x:v>
      </x:c>
      <x:c r="M1912" s="11" t="n">
        <x:v>117976</x:v>
      </x:c>
      <x:c r="N1912" s="7" t="n">
        <x:v>1</x:v>
      </x:c>
      <x:c r="O1912" s="7" t="n">
        <x:v>0</x:v>
      </x:c>
      <x:c r="P1912" s="9" t="n">
        <x:v>2.86</x:v>
      </x:c>
      <x:c r="Q1912" s="7" t="n">
        <x:f>'Guide'!$B$5-L1912</x:f>
        <x:v>6</x:v>
      </x:c>
      <x:c r="R1912" s="9" t="n">
        <x:f>K1912-P1912</x:f>
        <x:v>4.640000000000001</x:v>
      </x:c>
      <x:c r="S1912" s="10" t="n">
        <x:f>IF(K1912&gt;0,R1912/K1912,"")</x:f>
        <x:v>0.6186666666666667</x:v>
      </x:c>
    </x:row>
    <x:row r="1913">
      <x:c r="A1913" s="7" t="n">
        <x:v>1909</x:v>
      </x:c>
      <x:c r="B1913" s="7" t="str">
        <x:v>Tata</x:v>
      </x:c>
      <x:c r="C1913" s="7" t="str">
        <x:v>Punch</x:v>
      </x:c>
      <x:c r="D1913" s="7" t="str">
        <x:v>Pure</x:v>
      </x:c>
      <x:c r="E1913" s="7" t="str">
        <x:v>Petrol</x:v>
      </x:c>
      <x:c r="F1913" s="7" t="str">
        <x:v>Manual</x:v>
      </x:c>
      <x:c r="G1913" s="7" t="str">
        <x:v>Micro SUV</x:v>
      </x:c>
      <x:c r="H1913" s="7" t="n">
        <x:v>1199</x:v>
      </x:c>
      <x:c r="I1913" s="7" t="n">
        <x:v>87</x:v>
      </x:c>
      <x:c r="J1913" s="9" t="n">
        <x:v>20.1</x:v>
      </x:c>
      <x:c r="K1913" s="9" t="n">
        <x:v>7.5</x:v>
      </x:c>
      <x:c r="L1913" s="7" t="n">
        <x:v>2021</x:v>
      </x:c>
      <x:c r="M1913" s="11" t="n">
        <x:v>73856</x:v>
      </x:c>
      <x:c r="N1913" s="7" t="n">
        <x:v>1</x:v>
      </x:c>
      <x:c r="O1913" s="7" t="n">
        <x:v>0</x:v>
      </x:c>
      <x:c r="P1913" s="9" t="n">
        <x:v>4.08</x:v>
      </x:c>
      <x:c r="Q1913" s="7" t="n">
        <x:f>'Guide'!$B$5-L1913</x:f>
        <x:v>5</x:v>
      </x:c>
      <x:c r="R1913" s="9" t="n">
        <x:f>K1913-P1913</x:f>
        <x:v>3.42</x:v>
      </x:c>
      <x:c r="S1913" s="10" t="n">
        <x:f>IF(K1913&gt;0,R1913/K1913,"")</x:f>
        <x:v>0.456</x:v>
      </x:c>
    </x:row>
    <x:row r="1914">
      <x:c r="A1914" s="7" t="n">
        <x:v>1910</x:v>
      </x:c>
      <x:c r="B1914" s="7" t="str">
        <x:v>Tata</x:v>
      </x:c>
      <x:c r="C1914" s="7" t="str">
        <x:v>Punch</x:v>
      </x:c>
      <x:c r="D1914" s="7" t="str">
        <x:v>Pure</x:v>
      </x:c>
      <x:c r="E1914" s="7" t="str">
        <x:v>Petrol</x:v>
      </x:c>
      <x:c r="F1914" s="7" t="str">
        <x:v>Manual</x:v>
      </x:c>
      <x:c r="G1914" s="7" t="str">
        <x:v>Micro SUV</x:v>
      </x:c>
      <x:c r="H1914" s="7" t="n">
        <x:v>1199</x:v>
      </x:c>
      <x:c r="I1914" s="7" t="n">
        <x:v>87</x:v>
      </x:c>
      <x:c r="J1914" s="9" t="n">
        <x:v>20.1</x:v>
      </x:c>
      <x:c r="K1914" s="9" t="n">
        <x:v>7.5</x:v>
      </x:c>
      <x:c r="L1914" s="7" t="n">
        <x:v>2023</x:v>
      </x:c>
      <x:c r="M1914" s="11" t="n">
        <x:v>30621</x:v>
      </x:c>
      <x:c r="N1914" s="7" t="n">
        <x:v>1</x:v>
      </x:c>
      <x:c r="O1914" s="7" t="n">
        <x:v>0</x:v>
      </x:c>
      <x:c r="P1914" s="9" t="n">
        <x:v>5.46</x:v>
      </x:c>
      <x:c r="Q1914" s="7" t="n">
        <x:f>'Guide'!$B$5-L1914</x:f>
        <x:v>3</x:v>
      </x:c>
      <x:c r="R1914" s="9" t="n">
        <x:f>K1914-P1914</x:f>
        <x:v>2.04</x:v>
      </x:c>
      <x:c r="S1914" s="10" t="n">
        <x:f>IF(K1914&gt;0,R1914/K1914,"")</x:f>
        <x:v>0.272</x:v>
      </x:c>
    </x:row>
    <x:row r="1915">
      <x:c r="A1915" s="7" t="n">
        <x:v>1911</x:v>
      </x:c>
      <x:c r="B1915" s="7" t="str">
        <x:v>Tata</x:v>
      </x:c>
      <x:c r="C1915" s="7" t="str">
        <x:v>Punch</x:v>
      </x:c>
      <x:c r="D1915" s="7" t="str">
        <x:v>Pure</x:v>
      </x:c>
      <x:c r="E1915" s="7" t="str">
        <x:v>Petrol</x:v>
      </x:c>
      <x:c r="F1915" s="7" t="str">
        <x:v>Manual</x:v>
      </x:c>
      <x:c r="G1915" s="7" t="str">
        <x:v>Micro SUV</x:v>
      </x:c>
      <x:c r="H1915" s="7" t="n">
        <x:v>1199</x:v>
      </x:c>
      <x:c r="I1915" s="7" t="n">
        <x:v>87</x:v>
      </x:c>
      <x:c r="J1915" s="9" t="n">
        <x:v>20.1</x:v>
      </x:c>
      <x:c r="K1915" s="9" t="n">
        <x:v>7.5</x:v>
      </x:c>
      <x:c r="L1915" s="7" t="n">
        <x:v>2024</x:v>
      </x:c>
      <x:c r="M1915" s="11" t="n">
        <x:v>28254</x:v>
      </x:c>
      <x:c r="N1915" s="7" t="n">
        <x:v>1</x:v>
      </x:c>
      <x:c r="O1915" s="7" t="n">
        <x:v>0</x:v>
      </x:c>
      <x:c r="P1915" s="9" t="n">
        <x:v>6.09</x:v>
      </x:c>
      <x:c r="Q1915" s="7" t="n">
        <x:f>'Guide'!$B$5-L1915</x:f>
        <x:v>2</x:v>
      </x:c>
      <x:c r="R1915" s="9" t="n">
        <x:f>K1915-P1915</x:f>
        <x:v>1.4100000000000001</x:v>
      </x:c>
      <x:c r="S1915" s="10" t="n">
        <x:f>IF(K1915&gt;0,R1915/K1915,"")</x:f>
        <x:v>0.18800000000000003</x:v>
      </x:c>
    </x:row>
    <x:row r="1916">
      <x:c r="A1916" s="7" t="n">
        <x:v>1912</x:v>
      </x:c>
      <x:c r="B1916" s="7" t="str">
        <x:v>Tata</x:v>
      </x:c>
      <x:c r="C1916" s="7" t="str">
        <x:v>Punch</x:v>
      </x:c>
      <x:c r="D1916" s="7" t="str">
        <x:v>Pure</x:v>
      </x:c>
      <x:c r="E1916" s="7" t="str">
        <x:v>Petrol</x:v>
      </x:c>
      <x:c r="F1916" s="7" t="str">
        <x:v>Manual</x:v>
      </x:c>
      <x:c r="G1916" s="7" t="str">
        <x:v>Micro SUV</x:v>
      </x:c>
      <x:c r="H1916" s="7" t="n">
        <x:v>1199</x:v>
      </x:c>
      <x:c r="I1916" s="7" t="n">
        <x:v>87</x:v>
      </x:c>
      <x:c r="J1916" s="9" t="n">
        <x:v>20.1</x:v>
      </x:c>
      <x:c r="K1916" s="9" t="n">
        <x:v>7.5</x:v>
      </x:c>
      <x:c r="L1916" s="7" t="n">
        <x:v>2020</x:v>
      </x:c>
      <x:c r="M1916" s="11" t="n">
        <x:v>83699</x:v>
      </x:c>
      <x:c r="N1916" s="7" t="n">
        <x:v>3</x:v>
      </x:c>
      <x:c r="O1916" s="7" t="n">
        <x:v>0</x:v>
      </x:c>
      <x:c r="P1916" s="9" t="n">
        <x:v>2.37</x:v>
      </x:c>
      <x:c r="Q1916" s="7" t="n">
        <x:f>'Guide'!$B$5-L1916</x:f>
        <x:v>6</x:v>
      </x:c>
      <x:c r="R1916" s="9" t="n">
        <x:f>K1916-P1916</x:f>
        <x:v>5.13</x:v>
      </x:c>
      <x:c r="S1916" s="10" t="n">
        <x:f>IF(K1916&gt;0,R1916/K1916,"")</x:f>
        <x:v>0.6839999999999999</x:v>
      </x:c>
    </x:row>
    <x:row r="1917">
      <x:c r="A1917" s="7" t="n">
        <x:v>1913</x:v>
      </x:c>
      <x:c r="B1917" s="7" t="str">
        <x:v>Tata</x:v>
      </x:c>
      <x:c r="C1917" s="7" t="str">
        <x:v>Punch</x:v>
      </x:c>
      <x:c r="D1917" s="7" t="str">
        <x:v>Pure</x:v>
      </x:c>
      <x:c r="E1917" s="7" t="str">
        <x:v>Petrol</x:v>
      </x:c>
      <x:c r="F1917" s="7" t="str">
        <x:v>Manual</x:v>
      </x:c>
      <x:c r="G1917" s="7" t="str">
        <x:v>Micro SUV</x:v>
      </x:c>
      <x:c r="H1917" s="7" t="n">
        <x:v>1199</x:v>
      </x:c>
      <x:c r="I1917" s="7" t="n">
        <x:v>87</x:v>
      </x:c>
      <x:c r="J1917" s="9" t="n">
        <x:v>20.1</x:v>
      </x:c>
      <x:c r="K1917" s="9" t="n">
        <x:v>7.5</x:v>
      </x:c>
      <x:c r="L1917" s="7" t="n">
        <x:v>2022</x:v>
      </x:c>
      <x:c r="M1917" s="11" t="n">
        <x:v>55859</x:v>
      </x:c>
      <x:c r="N1917" s="7" t="n">
        <x:v>1</x:v>
      </x:c>
      <x:c r="O1917" s="7" t="n">
        <x:v>0</x:v>
      </x:c>
      <x:c r="P1917" s="9" t="n">
        <x:v>4.35</x:v>
      </x:c>
      <x:c r="Q1917" s="7" t="n">
        <x:f>'Guide'!$B$5-L1917</x:f>
        <x:v>4</x:v>
      </x:c>
      <x:c r="R1917" s="9" t="n">
        <x:f>K1917-P1917</x:f>
        <x:v>3.1500000000000004</x:v>
      </x:c>
      <x:c r="S1917" s="10" t="n">
        <x:f>IF(K1917&gt;0,R1917/K1917,"")</x:f>
        <x:v>0.42000000000000004</x:v>
      </x:c>
    </x:row>
    <x:row r="1918">
      <x:c r="A1918" s="7" t="n">
        <x:v>1914</x:v>
      </x:c>
      <x:c r="B1918" s="7" t="str">
        <x:v>Tata</x:v>
      </x:c>
      <x:c r="C1918" s="7" t="str">
        <x:v>Punch</x:v>
      </x:c>
      <x:c r="D1918" s="7" t="str">
        <x:v>Pure</x:v>
      </x:c>
      <x:c r="E1918" s="7" t="str">
        <x:v>Petrol</x:v>
      </x:c>
      <x:c r="F1918" s="7" t="str">
        <x:v>Manual</x:v>
      </x:c>
      <x:c r="G1918" s="7" t="str">
        <x:v>Micro SUV</x:v>
      </x:c>
      <x:c r="H1918" s="7" t="n">
        <x:v>1199</x:v>
      </x:c>
      <x:c r="I1918" s="7" t="n">
        <x:v>87</x:v>
      </x:c>
      <x:c r="J1918" s="9" t="n">
        <x:v>20.1</x:v>
      </x:c>
      <x:c r="K1918" s="9" t="n">
        <x:v>7.5</x:v>
      </x:c>
      <x:c r="L1918" s="7" t="n">
        <x:v>2022</x:v>
      </x:c>
      <x:c r="M1918" s="11" t="n">
        <x:v>54002</x:v>
      </x:c>
      <x:c r="N1918" s="7" t="n">
        <x:v>1</x:v>
      </x:c>
      <x:c r="O1918" s="7" t="n">
        <x:v>0</x:v>
      </x:c>
      <x:c r="P1918" s="9" t="n">
        <x:v>4.91</x:v>
      </x:c>
      <x:c r="Q1918" s="7" t="n">
        <x:f>'Guide'!$B$5-L1918</x:f>
        <x:v>4</x:v>
      </x:c>
      <x:c r="R1918" s="9" t="n">
        <x:f>K1918-P1918</x:f>
        <x:v>2.59</x:v>
      </x:c>
      <x:c r="S1918" s="10" t="n">
        <x:f>IF(K1918&gt;0,R1918/K1918,"")</x:f>
        <x:v>0.3453333333333333</x:v>
      </x:c>
    </x:row>
    <x:row r="1919">
      <x:c r="A1919" s="7" t="n">
        <x:v>1915</x:v>
      </x:c>
      <x:c r="B1919" s="7" t="str">
        <x:v>Tata</x:v>
      </x:c>
      <x:c r="C1919" s="7" t="str">
        <x:v>Punch</x:v>
      </x:c>
      <x:c r="D1919" s="7" t="str">
        <x:v>Pure</x:v>
      </x:c>
      <x:c r="E1919" s="7" t="str">
        <x:v>Petrol</x:v>
      </x:c>
      <x:c r="F1919" s="7" t="str">
        <x:v>Manual</x:v>
      </x:c>
      <x:c r="G1919" s="7" t="str">
        <x:v>Micro SUV</x:v>
      </x:c>
      <x:c r="H1919" s="7" t="n">
        <x:v>1199</x:v>
      </x:c>
      <x:c r="I1919" s="7" t="n">
        <x:v>87</x:v>
      </x:c>
      <x:c r="J1919" s="9" t="n">
        <x:v>20.1</x:v>
      </x:c>
      <x:c r="K1919" s="9" t="n">
        <x:v>7.5</x:v>
      </x:c>
      <x:c r="L1919" s="7" t="n">
        <x:v>2026</x:v>
      </x:c>
      <x:c r="M1919" s="11" t="n">
        <x:v>5915</x:v>
      </x:c>
      <x:c r="N1919" s="7" t="n">
        <x:v>1</x:v>
      </x:c>
      <x:c r="O1919" s="7" t="n">
        <x:v>0</x:v>
      </x:c>
      <x:c r="P1919" s="9" t="n">
        <x:v>7.38</x:v>
      </x:c>
      <x:c r="Q1919" s="7" t="n">
        <x:f>'Guide'!$B$5-L1919</x:f>
        <x:v>0</x:v>
      </x:c>
      <x:c r="R1919" s="9" t="n">
        <x:f>K1919-P1919</x:f>
        <x:v>0.1200000000000001</x:v>
      </x:c>
      <x:c r="S1919" s="10" t="n">
        <x:f>IF(K1919&gt;0,R1919/K1919,"")</x:f>
        <x:v>0.016000000000000014</x:v>
      </x:c>
    </x:row>
    <x:row r="1920">
      <x:c r="A1920" s="7" t="n">
        <x:v>1916</x:v>
      </x:c>
      <x:c r="B1920" s="7" t="str">
        <x:v>Tata</x:v>
      </x:c>
      <x:c r="C1920" s="7" t="str">
        <x:v>Punch</x:v>
      </x:c>
      <x:c r="D1920" s="7" t="str">
        <x:v>Pure</x:v>
      </x:c>
      <x:c r="E1920" s="7" t="str">
        <x:v>Petrol</x:v>
      </x:c>
      <x:c r="F1920" s="7" t="str">
        <x:v>Manual</x:v>
      </x:c>
      <x:c r="G1920" s="7" t="str">
        <x:v>Micro SUV</x:v>
      </x:c>
      <x:c r="H1920" s="7" t="n">
        <x:v>1199</x:v>
      </x:c>
      <x:c r="I1920" s="7" t="n">
        <x:v>87</x:v>
      </x:c>
      <x:c r="J1920" s="9" t="n">
        <x:v>20.1</x:v>
      </x:c>
      <x:c r="K1920" s="9" t="n">
        <x:v>7.5</x:v>
      </x:c>
      <x:c r="L1920" s="7" t="n">
        <x:v>2024</x:v>
      </x:c>
      <x:c r="M1920" s="11" t="n">
        <x:v>34528</x:v>
      </x:c>
      <x:c r="N1920" s="7" t="n">
        <x:v>1</x:v>
      </x:c>
      <x:c r="O1920" s="7" t="n">
        <x:v>0</x:v>
      </x:c>
      <x:c r="P1920" s="9" t="n">
        <x:v>6.32</x:v>
      </x:c>
      <x:c r="Q1920" s="7" t="n">
        <x:f>'Guide'!$B$5-L1920</x:f>
        <x:v>2</x:v>
      </x:c>
      <x:c r="R1920" s="9" t="n">
        <x:f>K1920-P1920</x:f>
        <x:v>1.1799999999999997</x:v>
      </x:c>
      <x:c r="S1920" s="10" t="n">
        <x:f>IF(K1920&gt;0,R1920/K1920,"")</x:f>
        <x:v>0.1573333333333333</x:v>
      </x:c>
    </x:row>
    <x:row r="1921">
      <x:c r="A1921" s="7" t="n">
        <x:v>1917</x:v>
      </x:c>
      <x:c r="B1921" s="7" t="str">
        <x:v>Tata</x:v>
      </x:c>
      <x:c r="C1921" s="7" t="str">
        <x:v>Punch</x:v>
      </x:c>
      <x:c r="D1921" s="7" t="str">
        <x:v>Pure</x:v>
      </x:c>
      <x:c r="E1921" s="7" t="str">
        <x:v>Petrol</x:v>
      </x:c>
      <x:c r="F1921" s="7" t="str">
        <x:v>Manual</x:v>
      </x:c>
      <x:c r="G1921" s="7" t="str">
        <x:v>Micro SUV</x:v>
      </x:c>
      <x:c r="H1921" s="7" t="n">
        <x:v>1199</x:v>
      </x:c>
      <x:c r="I1921" s="7" t="n">
        <x:v>87</x:v>
      </x:c>
      <x:c r="J1921" s="9" t="n">
        <x:v>20.1</x:v>
      </x:c>
      <x:c r="K1921" s="9" t="n">
        <x:v>7.5</x:v>
      </x:c>
      <x:c r="L1921" s="7" t="n">
        <x:v>2025</x:v>
      </x:c>
      <x:c r="M1921" s="11" t="n">
        <x:v>12487</x:v>
      </x:c>
      <x:c r="N1921" s="7" t="n">
        <x:v>1</x:v>
      </x:c>
      <x:c r="O1921" s="7" t="n">
        <x:v>0</x:v>
      </x:c>
      <x:c r="P1921" s="9" t="n">
        <x:v>6.49</x:v>
      </x:c>
      <x:c r="Q1921" s="7" t="n">
        <x:f>'Guide'!$B$5-L1921</x:f>
        <x:v>1</x:v>
      </x:c>
      <x:c r="R1921" s="9" t="n">
        <x:f>K1921-P1921</x:f>
        <x:v>1.0099999999999998</x:v>
      </x:c>
      <x:c r="S1921" s="10" t="n">
        <x:f>IF(K1921&gt;0,R1921/K1921,"")</x:f>
        <x:v>0.13466666666666663</x:v>
      </x:c>
    </x:row>
    <x:row r="1922">
      <x:c r="A1922" s="7" t="n">
        <x:v>1918</x:v>
      </x:c>
      <x:c r="B1922" s="7" t="str">
        <x:v>Tata</x:v>
      </x:c>
      <x:c r="C1922" s="7" t="str">
        <x:v>Punch</x:v>
      </x:c>
      <x:c r="D1922" s="7" t="str">
        <x:v>Pure</x:v>
      </x:c>
      <x:c r="E1922" s="7" t="str">
        <x:v>Petrol</x:v>
      </x:c>
      <x:c r="F1922" s="7" t="str">
        <x:v>Manual</x:v>
      </x:c>
      <x:c r="G1922" s="7" t="str">
        <x:v>Micro SUV</x:v>
      </x:c>
      <x:c r="H1922" s="7" t="n">
        <x:v>1199</x:v>
      </x:c>
      <x:c r="I1922" s="7" t="n">
        <x:v>87</x:v>
      </x:c>
      <x:c r="J1922" s="9" t="n">
        <x:v>20.1</x:v>
      </x:c>
      <x:c r="K1922" s="9" t="n">
        <x:v>7.5</x:v>
      </x:c>
      <x:c r="L1922" s="7" t="n">
        <x:v>2021</x:v>
      </x:c>
      <x:c r="M1922" s="11" t="n">
        <x:v>58202</x:v>
      </x:c>
      <x:c r="N1922" s="7" t="n">
        <x:v>1</x:v>
      </x:c>
      <x:c r="O1922" s="7" t="n">
        <x:v>0</x:v>
      </x:c>
      <x:c r="P1922" s="9" t="n">
        <x:v>4.04</x:v>
      </x:c>
      <x:c r="Q1922" s="7" t="n">
        <x:f>'Guide'!$B$5-L1922</x:f>
        <x:v>5</x:v>
      </x:c>
      <x:c r="R1922" s="9" t="n">
        <x:f>K1922-P1922</x:f>
        <x:v>3.46</x:v>
      </x:c>
      <x:c r="S1922" s="10" t="n">
        <x:f>IF(K1922&gt;0,R1922/K1922,"")</x:f>
        <x:v>0.4613333333333333</x:v>
      </x:c>
    </x:row>
    <x:row r="1923">
      <x:c r="A1923" s="7" t="n">
        <x:v>1919</x:v>
      </x:c>
      <x:c r="B1923" s="7" t="str">
        <x:v>Tata</x:v>
      </x:c>
      <x:c r="C1923" s="7" t="str">
        <x:v>Punch</x:v>
      </x:c>
      <x:c r="D1923" s="7" t="str">
        <x:v>Pure</x:v>
      </x:c>
      <x:c r="E1923" s="7" t="str">
        <x:v>Petrol</x:v>
      </x:c>
      <x:c r="F1923" s="7" t="str">
        <x:v>Manual</x:v>
      </x:c>
      <x:c r="G1923" s="7" t="str">
        <x:v>Micro SUV</x:v>
      </x:c>
      <x:c r="H1923" s="7" t="n">
        <x:v>1199</x:v>
      </x:c>
      <x:c r="I1923" s="7" t="n">
        <x:v>87</x:v>
      </x:c>
      <x:c r="J1923" s="9" t="n">
        <x:v>20.1</x:v>
      </x:c>
      <x:c r="K1923" s="9" t="n">
        <x:v>7.5</x:v>
      </x:c>
      <x:c r="L1923" s="7" t="n">
        <x:v>2023</x:v>
      </x:c>
      <x:c r="M1923" s="11" t="n">
        <x:v>64556</x:v>
      </x:c>
      <x:c r="N1923" s="7" t="n">
        <x:v>1</x:v>
      </x:c>
      <x:c r="O1923" s="7" t="n">
        <x:v>0</x:v>
      </x:c>
      <x:c r="P1923" s="9" t="n">
        <x:v>5.5</x:v>
      </x:c>
      <x:c r="Q1923" s="7" t="n">
        <x:f>'Guide'!$B$5-L1923</x:f>
        <x:v>3</x:v>
      </x:c>
      <x:c r="R1923" s="9" t="n">
        <x:f>K1923-P1923</x:f>
        <x:v>2</x:v>
      </x:c>
      <x:c r="S1923" s="10" t="n">
        <x:f>IF(K1923&gt;0,R1923/K1923,"")</x:f>
        <x:v>0.26666666666666666</x:v>
      </x:c>
    </x:row>
    <x:row r="1924">
      <x:c r="A1924" s="7" t="n">
        <x:v>1920</x:v>
      </x:c>
      <x:c r="B1924" s="7" t="str">
        <x:v>Tata</x:v>
      </x:c>
      <x:c r="C1924" s="7" t="str">
        <x:v>Punch</x:v>
      </x:c>
      <x:c r="D1924" s="7" t="str">
        <x:v>Pure</x:v>
      </x:c>
      <x:c r="E1924" s="7" t="str">
        <x:v>Petrol</x:v>
      </x:c>
      <x:c r="F1924" s="7" t="str">
        <x:v>Manual</x:v>
      </x:c>
      <x:c r="G1924" s="7" t="str">
        <x:v>Micro SUV</x:v>
      </x:c>
      <x:c r="H1924" s="7" t="n">
        <x:v>1199</x:v>
      </x:c>
      <x:c r="I1924" s="7" t="n">
        <x:v>87</x:v>
      </x:c>
      <x:c r="J1924" s="9" t="n">
        <x:v>20.1</x:v>
      </x:c>
      <x:c r="K1924" s="9" t="n">
        <x:v>7.5</x:v>
      </x:c>
      <x:c r="L1924" s="7" t="n">
        <x:v>2020</x:v>
      </x:c>
      <x:c r="M1924" s="11" t="n">
        <x:v>109363</x:v>
      </x:c>
      <x:c r="N1924" s="7" t="n">
        <x:v>1</x:v>
      </x:c>
      <x:c r="O1924" s="7" t="n">
        <x:v>0</x:v>
      </x:c>
      <x:c r="P1924" s="9" t="n">
        <x:v>3.15</x:v>
      </x:c>
      <x:c r="Q1924" s="7" t="n">
        <x:f>'Guide'!$B$5-L1924</x:f>
        <x:v>6</x:v>
      </x:c>
      <x:c r="R1924" s="9" t="n">
        <x:f>K1924-P1924</x:f>
        <x:v>4.35</x:v>
      </x:c>
      <x:c r="S1924" s="10" t="n">
        <x:f>IF(K1924&gt;0,R1924/K1924,"")</x:f>
        <x:v>0.58</x:v>
      </x:c>
    </x:row>
    <x:row r="1925">
      <x:c r="A1925" s="7" t="n">
        <x:v>1921</x:v>
      </x:c>
      <x:c r="B1925" s="7" t="str">
        <x:v>Tata</x:v>
      </x:c>
      <x:c r="C1925" s="7" t="str">
        <x:v>Punch</x:v>
      </x:c>
      <x:c r="D1925" s="7" t="str">
        <x:v>Pure</x:v>
      </x:c>
      <x:c r="E1925" s="7" t="str">
        <x:v>Petrol</x:v>
      </x:c>
      <x:c r="F1925" s="7" t="str">
        <x:v>Manual</x:v>
      </x:c>
      <x:c r="G1925" s="7" t="str">
        <x:v>Micro SUV</x:v>
      </x:c>
      <x:c r="H1925" s="7" t="n">
        <x:v>1199</x:v>
      </x:c>
      <x:c r="I1925" s="7" t="n">
        <x:v>87</x:v>
      </x:c>
      <x:c r="J1925" s="9" t="n">
        <x:v>20.1</x:v>
      </x:c>
      <x:c r="K1925" s="9" t="n">
        <x:v>7.5</x:v>
      </x:c>
      <x:c r="L1925" s="7" t="n">
        <x:v>2021</x:v>
      </x:c>
      <x:c r="M1925" s="11" t="n">
        <x:v>89694</x:v>
      </x:c>
      <x:c r="N1925" s="7" t="n">
        <x:v>1</x:v>
      </x:c>
      <x:c r="O1925" s="7" t="n">
        <x:v>0</x:v>
      </x:c>
      <x:c r="P1925" s="9" t="n">
        <x:v>3.8</x:v>
      </x:c>
      <x:c r="Q1925" s="7" t="n">
        <x:f>'Guide'!$B$5-L1925</x:f>
        <x:v>5</x:v>
      </x:c>
      <x:c r="R1925" s="9" t="n">
        <x:f>K1925-P1925</x:f>
        <x:v>3.7</x:v>
      </x:c>
      <x:c r="S1925" s="10" t="n">
        <x:f>IF(K1925&gt;0,R1925/K1925,"")</x:f>
        <x:v>0.49333333333333335</x:v>
      </x:c>
    </x:row>
    <x:row r="1926">
      <x:c r="A1926" s="7" t="n">
        <x:v>1922</x:v>
      </x:c>
      <x:c r="B1926" s="7" t="str">
        <x:v>Tata</x:v>
      </x:c>
      <x:c r="C1926" s="7" t="str">
        <x:v>Punch</x:v>
      </x:c>
      <x:c r="D1926" s="7" t="str">
        <x:v>Pure</x:v>
      </x:c>
      <x:c r="E1926" s="7" t="str">
        <x:v>Petrol</x:v>
      </x:c>
      <x:c r="F1926" s="7" t="str">
        <x:v>Manual</x:v>
      </x:c>
      <x:c r="G1926" s="7" t="str">
        <x:v>Micro SUV</x:v>
      </x:c>
      <x:c r="H1926" s="7" t="n">
        <x:v>1199</x:v>
      </x:c>
      <x:c r="I1926" s="7" t="n">
        <x:v>87</x:v>
      </x:c>
      <x:c r="J1926" s="9" t="n">
        <x:v>20.1</x:v>
      </x:c>
      <x:c r="K1926" s="9" t="n">
        <x:v>7.5</x:v>
      </x:c>
      <x:c r="L1926" s="7" t="n">
        <x:v>2026</x:v>
      </x:c>
      <x:c r="M1926" s="11" t="n">
        <x:v>5097</x:v>
      </x:c>
      <x:c r="N1926" s="7" t="n">
        <x:v>1</x:v>
      </x:c>
      <x:c r="O1926" s="7" t="n">
        <x:v>0</x:v>
      </x:c>
      <x:c r="P1926" s="9" t="n">
        <x:v>7.56</x:v>
      </x:c>
      <x:c r="Q1926" s="7" t="n">
        <x:f>'Guide'!$B$5-L1926</x:f>
        <x:v>0</x:v>
      </x:c>
      <x:c r="R1926" s="9" t="n">
        <x:f>K1926-P1926</x:f>
        <x:v>-0.05999999999999961</x:v>
      </x:c>
      <x:c r="S1926" s="10" t="n">
        <x:f>IF(K1926&gt;0,R1926/K1926,"")</x:f>
        <x:v>-0.007999999999999948</x:v>
      </x:c>
    </x:row>
    <x:row r="1927">
      <x:c r="A1927" s="7" t="n">
        <x:v>1923</x:v>
      </x:c>
      <x:c r="B1927" s="7" t="str">
        <x:v>Tata</x:v>
      </x:c>
      <x:c r="C1927" s="7" t="str">
        <x:v>Punch</x:v>
      </x:c>
      <x:c r="D1927" s="7" t="str">
        <x:v>Pure</x:v>
      </x:c>
      <x:c r="E1927" s="7" t="str">
        <x:v>Petrol</x:v>
      </x:c>
      <x:c r="F1927" s="7" t="str">
        <x:v>Manual</x:v>
      </x:c>
      <x:c r="G1927" s="7" t="str">
        <x:v>Micro SUV</x:v>
      </x:c>
      <x:c r="H1927" s="7" t="n">
        <x:v>1199</x:v>
      </x:c>
      <x:c r="I1927" s="7" t="n">
        <x:v>87</x:v>
      </x:c>
      <x:c r="J1927" s="9" t="n">
        <x:v>20.1</x:v>
      </x:c>
      <x:c r="K1927" s="9" t="n">
        <x:v>7.5</x:v>
      </x:c>
      <x:c r="L1927" s="7" t="n">
        <x:v>2025</x:v>
      </x:c>
      <x:c r="M1927" s="11" t="n">
        <x:v>13742</x:v>
      </x:c>
      <x:c r="N1927" s="7" t="n">
        <x:v>3</x:v>
      </x:c>
      <x:c r="O1927" s="7" t="n">
        <x:v>0</x:v>
      </x:c>
      <x:c r="P1927" s="9" t="n">
        <x:v>5.72</x:v>
      </x:c>
      <x:c r="Q1927" s="7" t="n">
        <x:f>'Guide'!$B$5-L1927</x:f>
        <x:v>1</x:v>
      </x:c>
      <x:c r="R1927" s="9" t="n">
        <x:f>K1927-P1927</x:f>
        <x:v>1.7800000000000002</x:v>
      </x:c>
      <x:c r="S1927" s="10" t="n">
        <x:f>IF(K1927&gt;0,R1927/K1927,"")</x:f>
        <x:v>0.23733333333333337</x:v>
      </x:c>
    </x:row>
    <x:row r="1928">
      <x:c r="A1928" s="7" t="n">
        <x:v>1924</x:v>
      </x:c>
      <x:c r="B1928" s="7" t="str">
        <x:v>Tata</x:v>
      </x:c>
      <x:c r="C1928" s="7" t="str">
        <x:v>Punch</x:v>
      </x:c>
      <x:c r="D1928" s="7" t="str">
        <x:v>Pure</x:v>
      </x:c>
      <x:c r="E1928" s="7" t="str">
        <x:v>Petrol</x:v>
      </x:c>
      <x:c r="F1928" s="7" t="str">
        <x:v>Manual</x:v>
      </x:c>
      <x:c r="G1928" s="7" t="str">
        <x:v>Micro SUV</x:v>
      </x:c>
      <x:c r="H1928" s="7" t="n">
        <x:v>1199</x:v>
      </x:c>
      <x:c r="I1928" s="7" t="n">
        <x:v>87</x:v>
      </x:c>
      <x:c r="J1928" s="9" t="n">
        <x:v>20.1</x:v>
      </x:c>
      <x:c r="K1928" s="9" t="n">
        <x:v>7.5</x:v>
      </x:c>
      <x:c r="L1928" s="7" t="n">
        <x:v>2020</x:v>
      </x:c>
      <x:c r="M1928" s="11" t="n">
        <x:v>88789</x:v>
      </x:c>
      <x:c r="N1928" s="7" t="n">
        <x:v>1</x:v>
      </x:c>
      <x:c r="O1928" s="7" t="n">
        <x:v>0</x:v>
      </x:c>
      <x:c r="P1928" s="9" t="n">
        <x:v>3.24</x:v>
      </x:c>
      <x:c r="Q1928" s="7" t="n">
        <x:f>'Guide'!$B$5-L1928</x:f>
        <x:v>6</x:v>
      </x:c>
      <x:c r="R1928" s="9" t="n">
        <x:f>K1928-P1928</x:f>
        <x:v>4.26</x:v>
      </x:c>
      <x:c r="S1928" s="10" t="n">
        <x:f>IF(K1928&gt;0,R1928/K1928,"")</x:f>
        <x:v>0.568</x:v>
      </x:c>
    </x:row>
    <x:row r="1929">
      <x:c r="A1929" s="7" t="n">
        <x:v>1925</x:v>
      </x:c>
      <x:c r="B1929" s="7" t="str">
        <x:v>Tata</x:v>
      </x:c>
      <x:c r="C1929" s="7" t="str">
        <x:v>Punch</x:v>
      </x:c>
      <x:c r="D1929" s="7" t="str">
        <x:v>Pure</x:v>
      </x:c>
      <x:c r="E1929" s="7" t="str">
        <x:v>Petrol</x:v>
      </x:c>
      <x:c r="F1929" s="7" t="str">
        <x:v>Manual</x:v>
      </x:c>
      <x:c r="G1929" s="7" t="str">
        <x:v>Micro SUV</x:v>
      </x:c>
      <x:c r="H1929" s="7" t="n">
        <x:v>1199</x:v>
      </x:c>
      <x:c r="I1929" s="7" t="n">
        <x:v>87</x:v>
      </x:c>
      <x:c r="J1929" s="9" t="n">
        <x:v>20.1</x:v>
      </x:c>
      <x:c r="K1929" s="9" t="n">
        <x:v>7.5</x:v>
      </x:c>
      <x:c r="L1929" s="7" t="n">
        <x:v>2026</x:v>
      </x:c>
      <x:c r="M1929" s="11" t="n">
        <x:v>6724</x:v>
      </x:c>
      <x:c r="N1929" s="7" t="n">
        <x:v>3</x:v>
      </x:c>
      <x:c r="O1929" s="7" t="n">
        <x:v>0</x:v>
      </x:c>
      <x:c r="P1929" s="9" t="n">
        <x:v>6.62</x:v>
      </x:c>
      <x:c r="Q1929" s="7" t="n">
        <x:f>'Guide'!$B$5-L1929</x:f>
        <x:v>0</x:v>
      </x:c>
      <x:c r="R1929" s="9" t="n">
        <x:f>K1929-P1929</x:f>
        <x:v>0.8799999999999999</x:v>
      </x:c>
      <x:c r="S1929" s="10" t="n">
        <x:f>IF(K1929&gt;0,R1929/K1929,"")</x:f>
        <x:v>0.11733333333333332</x:v>
      </x:c>
    </x:row>
    <x:row r="1930">
      <x:c r="A1930" s="7" t="n">
        <x:v>1926</x:v>
      </x:c>
      <x:c r="B1930" s="7" t="str">
        <x:v>Tata</x:v>
      </x:c>
      <x:c r="C1930" s="7" t="str">
        <x:v>Punch</x:v>
      </x:c>
      <x:c r="D1930" s="7" t="str">
        <x:v>Pure</x:v>
      </x:c>
      <x:c r="E1930" s="7" t="str">
        <x:v>Petrol</x:v>
      </x:c>
      <x:c r="F1930" s="7" t="str">
        <x:v>Manual</x:v>
      </x:c>
      <x:c r="G1930" s="7" t="str">
        <x:v>Micro SUV</x:v>
      </x:c>
      <x:c r="H1930" s="7" t="n">
        <x:v>1199</x:v>
      </x:c>
      <x:c r="I1930" s="7" t="n">
        <x:v>87</x:v>
      </x:c>
      <x:c r="J1930" s="9" t="n">
        <x:v>20.1</x:v>
      </x:c>
      <x:c r="K1930" s="9" t="n">
        <x:v>7.5</x:v>
      </x:c>
      <x:c r="L1930" s="7" t="n">
        <x:v>2020</x:v>
      </x:c>
      <x:c r="M1930" s="11" t="n">
        <x:v>52374</x:v>
      </x:c>
      <x:c r="N1930" s="7" t="n">
        <x:v>1</x:v>
      </x:c>
      <x:c r="O1930" s="7" t="n">
        <x:v>0</x:v>
      </x:c>
      <x:c r="P1930" s="9" t="n">
        <x:v>3.69</x:v>
      </x:c>
      <x:c r="Q1930" s="7" t="n">
        <x:f>'Guide'!$B$5-L1930</x:f>
        <x:v>6</x:v>
      </x:c>
      <x:c r="R1930" s="9" t="n">
        <x:f>K1930-P1930</x:f>
        <x:v>3.81</x:v>
      </x:c>
      <x:c r="S1930" s="10" t="n">
        <x:f>IF(K1930&gt;0,R1930/K1930,"")</x:f>
        <x:v>0.508</x:v>
      </x:c>
    </x:row>
    <x:row r="1931">
      <x:c r="A1931" s="7" t="n">
        <x:v>1927</x:v>
      </x:c>
      <x:c r="B1931" s="7" t="str">
        <x:v>Tata</x:v>
      </x:c>
      <x:c r="C1931" s="7" t="str">
        <x:v>Punch</x:v>
      </x:c>
      <x:c r="D1931" s="7" t="str">
        <x:v>Pure</x:v>
      </x:c>
      <x:c r="E1931" s="7" t="str">
        <x:v>Petrol</x:v>
      </x:c>
      <x:c r="F1931" s="7" t="str">
        <x:v>Manual</x:v>
      </x:c>
      <x:c r="G1931" s="7" t="str">
        <x:v>Micro SUV</x:v>
      </x:c>
      <x:c r="H1931" s="7" t="n">
        <x:v>1199</x:v>
      </x:c>
      <x:c r="I1931" s="7" t="n">
        <x:v>87</x:v>
      </x:c>
      <x:c r="J1931" s="9" t="n">
        <x:v>20.1</x:v>
      </x:c>
      <x:c r="K1931" s="9" t="n">
        <x:v>7.5</x:v>
      </x:c>
      <x:c r="L1931" s="7" t="n">
        <x:v>2025</x:v>
      </x:c>
      <x:c r="M1931" s="11" t="n">
        <x:v>19280</x:v>
      </x:c>
      <x:c r="N1931" s="7" t="n">
        <x:v>1</x:v>
      </x:c>
      <x:c r="O1931" s="7" t="n">
        <x:v>0</x:v>
      </x:c>
      <x:c r="P1931" s="9" t="n">
        <x:v>7.04</x:v>
      </x:c>
      <x:c r="Q1931" s="7" t="n">
        <x:f>'Guide'!$B$5-L1931</x:f>
        <x:v>1</x:v>
      </x:c>
      <x:c r="R1931" s="9" t="n">
        <x:f>K1931-P1931</x:f>
        <x:v>0.45999999999999996</x:v>
      </x:c>
      <x:c r="S1931" s="10" t="n">
        <x:f>IF(K1931&gt;0,R1931/K1931,"")</x:f>
        <x:v>0.06133333333333333</x:v>
      </x:c>
    </x:row>
    <x:row r="1932">
      <x:c r="A1932" s="7" t="n">
        <x:v>1928</x:v>
      </x:c>
      <x:c r="B1932" s="7" t="str">
        <x:v>Tata</x:v>
      </x:c>
      <x:c r="C1932" s="7" t="str">
        <x:v>Punch</x:v>
      </x:c>
      <x:c r="D1932" s="7" t="str">
        <x:v>Pure</x:v>
      </x:c>
      <x:c r="E1932" s="7" t="str">
        <x:v>Petrol</x:v>
      </x:c>
      <x:c r="F1932" s="7" t="str">
        <x:v>Manual</x:v>
      </x:c>
      <x:c r="G1932" s="7" t="str">
        <x:v>Micro SUV</x:v>
      </x:c>
      <x:c r="H1932" s="7" t="n">
        <x:v>1199</x:v>
      </x:c>
      <x:c r="I1932" s="7" t="n">
        <x:v>87</x:v>
      </x:c>
      <x:c r="J1932" s="9" t="n">
        <x:v>20.1</x:v>
      </x:c>
      <x:c r="K1932" s="9" t="n">
        <x:v>7.5</x:v>
      </x:c>
      <x:c r="L1932" s="7" t="n">
        <x:v>2021</x:v>
      </x:c>
      <x:c r="M1932" s="11" t="n">
        <x:v>108712</x:v>
      </x:c>
      <x:c r="N1932" s="7" t="n">
        <x:v>3</x:v>
      </x:c>
      <x:c r="O1932" s="7" t="n">
        <x:v>0</x:v>
      </x:c>
      <x:c r="P1932" s="9" t="n">
        <x:v>2.88</x:v>
      </x:c>
      <x:c r="Q1932" s="7" t="n">
        <x:f>'Guide'!$B$5-L1932</x:f>
        <x:v>5</x:v>
      </x:c>
      <x:c r="R1932" s="9" t="n">
        <x:f>K1932-P1932</x:f>
        <x:v>4.62</x:v>
      </x:c>
      <x:c r="S1932" s="10" t="n">
        <x:f>IF(K1932&gt;0,R1932/K1932,"")</x:f>
        <x:v>0.616</x:v>
      </x:c>
    </x:row>
    <x:row r="1933">
      <x:c r="A1933" s="7" t="n">
        <x:v>1929</x:v>
      </x:c>
      <x:c r="B1933" s="7" t="str">
        <x:v>Tata</x:v>
      </x:c>
      <x:c r="C1933" s="7" t="str">
        <x:v>Punch</x:v>
      </x:c>
      <x:c r="D1933" s="7" t="str">
        <x:v>Pure</x:v>
      </x:c>
      <x:c r="E1933" s="7" t="str">
        <x:v>Petrol</x:v>
      </x:c>
      <x:c r="F1933" s="7" t="str">
        <x:v>Manual</x:v>
      </x:c>
      <x:c r="G1933" s="7" t="str">
        <x:v>Micro SUV</x:v>
      </x:c>
      <x:c r="H1933" s="7" t="n">
        <x:v>1199</x:v>
      </x:c>
      <x:c r="I1933" s="7" t="n">
        <x:v>87</x:v>
      </x:c>
      <x:c r="J1933" s="9" t="n">
        <x:v>20.1</x:v>
      </x:c>
      <x:c r="K1933" s="9" t="n">
        <x:v>7.5</x:v>
      </x:c>
      <x:c r="L1933" s="7" t="n">
        <x:v>2026</x:v>
      </x:c>
      <x:c r="M1933" s="11" t="n">
        <x:v>7443</x:v>
      </x:c>
      <x:c r="N1933" s="7" t="n">
        <x:v>1</x:v>
      </x:c>
      <x:c r="O1933" s="7" t="n">
        <x:v>0</x:v>
      </x:c>
      <x:c r="P1933" s="9" t="n">
        <x:v>7.14</x:v>
      </x:c>
      <x:c r="Q1933" s="7" t="n">
        <x:f>'Guide'!$B$5-L1933</x:f>
        <x:v>0</x:v>
      </x:c>
      <x:c r="R1933" s="9" t="n">
        <x:f>K1933-P1933</x:f>
        <x:v>0.3600000000000003</x:v>
      </x:c>
      <x:c r="S1933" s="10" t="n">
        <x:f>IF(K1933&gt;0,R1933/K1933,"")</x:f>
        <x:v>0.04800000000000004</x:v>
      </x:c>
    </x:row>
    <x:row r="1934">
      <x:c r="A1934" s="7" t="n">
        <x:v>1930</x:v>
      </x:c>
      <x:c r="B1934" s="7" t="str">
        <x:v>Tata</x:v>
      </x:c>
      <x:c r="C1934" s="7" t="str">
        <x:v>Punch</x:v>
      </x:c>
      <x:c r="D1934" s="7" t="str">
        <x:v>Pure</x:v>
      </x:c>
      <x:c r="E1934" s="7" t="str">
        <x:v>Petrol</x:v>
      </x:c>
      <x:c r="F1934" s="7" t="str">
        <x:v>Manual</x:v>
      </x:c>
      <x:c r="G1934" s="7" t="str">
        <x:v>Micro SUV</x:v>
      </x:c>
      <x:c r="H1934" s="7" t="n">
        <x:v>1199</x:v>
      </x:c>
      <x:c r="I1934" s="7" t="n">
        <x:v>87</x:v>
      </x:c>
      <x:c r="J1934" s="9" t="n">
        <x:v>20.1</x:v>
      </x:c>
      <x:c r="K1934" s="9" t="n">
        <x:v>7.5</x:v>
      </x:c>
      <x:c r="L1934" s="7" t="n">
        <x:v>2026</x:v>
      </x:c>
      <x:c r="M1934" s="11" t="n">
        <x:v>6699</x:v>
      </x:c>
      <x:c r="N1934" s="7" t="n">
        <x:v>1</x:v>
      </x:c>
      <x:c r="O1934" s="7" t="n">
        <x:v>0</x:v>
      </x:c>
      <x:c r="P1934" s="9" t="n">
        <x:v>7.84</x:v>
      </x:c>
      <x:c r="Q1934" s="7" t="n">
        <x:f>'Guide'!$B$5-L1934</x:f>
        <x:v>0</x:v>
      </x:c>
      <x:c r="R1934" s="9" t="n">
        <x:f>K1934-P1934</x:f>
        <x:v>-0.33999999999999986</x:v>
      </x:c>
      <x:c r="S1934" s="10" t="n">
        <x:f>IF(K1934&gt;0,R1934/K1934,"")</x:f>
        <x:v>-0.045333333333333316</x:v>
      </x:c>
    </x:row>
    <x:row r="1935">
      <x:c r="A1935" s="7" t="n">
        <x:v>1931</x:v>
      </x:c>
      <x:c r="B1935" s="7" t="str">
        <x:v>Tata</x:v>
      </x:c>
      <x:c r="C1935" s="7" t="str">
        <x:v>Punch</x:v>
      </x:c>
      <x:c r="D1935" s="7" t="str">
        <x:v>Pure</x:v>
      </x:c>
      <x:c r="E1935" s="7" t="str">
        <x:v>Petrol</x:v>
      </x:c>
      <x:c r="F1935" s="7" t="str">
        <x:v>Manual</x:v>
      </x:c>
      <x:c r="G1935" s="7" t="str">
        <x:v>Micro SUV</x:v>
      </x:c>
      <x:c r="H1935" s="7" t="n">
        <x:v>1199</x:v>
      </x:c>
      <x:c r="I1935" s="7" t="n">
        <x:v>87</x:v>
      </x:c>
      <x:c r="J1935" s="9" t="n">
        <x:v>20.1</x:v>
      </x:c>
      <x:c r="K1935" s="9" t="n">
        <x:v>7.5</x:v>
      </x:c>
      <x:c r="L1935" s="7" t="n">
        <x:v>2023</x:v>
      </x:c>
      <x:c r="M1935" s="11" t="n">
        <x:v>29901</x:v>
      </x:c>
      <x:c r="N1935" s="7" t="n">
        <x:v>2</x:v>
      </x:c>
      <x:c r="O1935" s="7" t="n">
        <x:v>0</x:v>
      </x:c>
      <x:c r="P1935" s="9" t="n">
        <x:v>5.42</x:v>
      </x:c>
      <x:c r="Q1935" s="7" t="n">
        <x:f>'Guide'!$B$5-L1935</x:f>
        <x:v>3</x:v>
      </x:c>
      <x:c r="R1935" s="9" t="n">
        <x:f>K1935-P1935</x:f>
        <x:v>2.08</x:v>
      </x:c>
      <x:c r="S1935" s="10" t="n">
        <x:f>IF(K1935&gt;0,R1935/K1935,"")</x:f>
        <x:v>0.2773333333333333</x:v>
      </x:c>
    </x:row>
    <x:row r="1936">
      <x:c r="A1936" s="7" t="n">
        <x:v>1932</x:v>
      </x:c>
      <x:c r="B1936" s="7" t="str">
        <x:v>Tata</x:v>
      </x:c>
      <x:c r="C1936" s="7" t="str">
        <x:v>Punch</x:v>
      </x:c>
      <x:c r="D1936" s="7" t="str">
        <x:v>Pure</x:v>
      </x:c>
      <x:c r="E1936" s="7" t="str">
        <x:v>Petrol</x:v>
      </x:c>
      <x:c r="F1936" s="7" t="str">
        <x:v>Manual</x:v>
      </x:c>
      <x:c r="G1936" s="7" t="str">
        <x:v>Micro SUV</x:v>
      </x:c>
      <x:c r="H1936" s="7" t="n">
        <x:v>1199</x:v>
      </x:c>
      <x:c r="I1936" s="7" t="n">
        <x:v>87</x:v>
      </x:c>
      <x:c r="J1936" s="9" t="n">
        <x:v>20.1</x:v>
      </x:c>
      <x:c r="K1936" s="9" t="n">
        <x:v>7.5</x:v>
      </x:c>
      <x:c r="L1936" s="7" t="n">
        <x:v>2025</x:v>
      </x:c>
      <x:c r="M1936" s="11" t="n">
        <x:v>18926</x:v>
      </x:c>
      <x:c r="N1936" s="7" t="n">
        <x:v>2</x:v>
      </x:c>
      <x:c r="O1936" s="7" t="n">
        <x:v>0</x:v>
      </x:c>
      <x:c r="P1936" s="9" t="n">
        <x:v>6.46</x:v>
      </x:c>
      <x:c r="Q1936" s="7" t="n">
        <x:f>'Guide'!$B$5-L1936</x:f>
        <x:v>1</x:v>
      </x:c>
      <x:c r="R1936" s="9" t="n">
        <x:f>K1936-P1936</x:f>
        <x:v>1.04</x:v>
      </x:c>
      <x:c r="S1936" s="10" t="n">
        <x:f>IF(K1936&gt;0,R1936/K1936,"")</x:f>
        <x:v>0.13866666666666666</x:v>
      </x:c>
    </x:row>
    <x:row r="1937">
      <x:c r="A1937" s="7" t="n">
        <x:v>1933</x:v>
      </x:c>
      <x:c r="B1937" s="7" t="str">
        <x:v>Tata</x:v>
      </x:c>
      <x:c r="C1937" s="7" t="str">
        <x:v>Punch</x:v>
      </x:c>
      <x:c r="D1937" s="7" t="str">
        <x:v>Pure</x:v>
      </x:c>
      <x:c r="E1937" s="7" t="str">
        <x:v>Petrol</x:v>
      </x:c>
      <x:c r="F1937" s="7" t="str">
        <x:v>Manual</x:v>
      </x:c>
      <x:c r="G1937" s="7" t="str">
        <x:v>Micro SUV</x:v>
      </x:c>
      <x:c r="H1937" s="7" t="n">
        <x:v>1199</x:v>
      </x:c>
      <x:c r="I1937" s="7" t="n">
        <x:v>87</x:v>
      </x:c>
      <x:c r="J1937" s="9" t="n">
        <x:v>20.1</x:v>
      </x:c>
      <x:c r="K1937" s="9" t="n">
        <x:v>7.5</x:v>
      </x:c>
      <x:c r="L1937" s="7" t="n">
        <x:v>2026</x:v>
      </x:c>
      <x:c r="M1937" s="11" t="n">
        <x:v>4892</x:v>
      </x:c>
      <x:c r="N1937" s="7" t="n">
        <x:v>1</x:v>
      </x:c>
      <x:c r="O1937" s="7" t="n">
        <x:v>0</x:v>
      </x:c>
      <x:c r="P1937" s="9" t="n">
        <x:v>7.33</x:v>
      </x:c>
      <x:c r="Q1937" s="7" t="n">
        <x:f>'Guide'!$B$5-L1937</x:f>
        <x:v>0</x:v>
      </x:c>
      <x:c r="R1937" s="9" t="n">
        <x:f>K1937-P1937</x:f>
        <x:v>0.16999999999999993</x:v>
      </x:c>
      <x:c r="S1937" s="10" t="n">
        <x:f>IF(K1937&gt;0,R1937/K1937,"")</x:f>
        <x:v>0.022666666666666658</x:v>
      </x:c>
    </x:row>
    <x:row r="1938">
      <x:c r="A1938" s="7" t="n">
        <x:v>1934</x:v>
      </x:c>
      <x:c r="B1938" s="7" t="str">
        <x:v>Tata</x:v>
      </x:c>
      <x:c r="C1938" s="7" t="str">
        <x:v>Punch</x:v>
      </x:c>
      <x:c r="D1938" s="7" t="str">
        <x:v>Pure</x:v>
      </x:c>
      <x:c r="E1938" s="7" t="str">
        <x:v>Petrol</x:v>
      </x:c>
      <x:c r="F1938" s="7" t="str">
        <x:v>Manual</x:v>
      </x:c>
      <x:c r="G1938" s="7" t="str">
        <x:v>Micro SUV</x:v>
      </x:c>
      <x:c r="H1938" s="7" t="n">
        <x:v>1199</x:v>
      </x:c>
      <x:c r="I1938" s="7" t="n">
        <x:v>87</x:v>
      </x:c>
      <x:c r="J1938" s="9" t="n">
        <x:v>20.1</x:v>
      </x:c>
      <x:c r="K1938" s="9" t="n">
        <x:v>7.5</x:v>
      </x:c>
      <x:c r="L1938" s="7" t="n">
        <x:v>2024</x:v>
      </x:c>
      <x:c r="M1938" s="11" t="n">
        <x:v>46921</x:v>
      </x:c>
      <x:c r="N1938" s="7" t="n">
        <x:v>1</x:v>
      </x:c>
      <x:c r="O1938" s="7" t="n">
        <x:v>0</x:v>
      </x:c>
      <x:c r="P1938" s="9" t="n">
        <x:v>5.56</x:v>
      </x:c>
      <x:c r="Q1938" s="7" t="n">
        <x:f>'Guide'!$B$5-L1938</x:f>
        <x:v>2</x:v>
      </x:c>
      <x:c r="R1938" s="9" t="n">
        <x:f>K1938-P1938</x:f>
        <x:v>1.9400000000000004</x:v>
      </x:c>
      <x:c r="S1938" s="10" t="n">
        <x:f>IF(K1938&gt;0,R1938/K1938,"")</x:f>
        <x:v>0.2586666666666667</x:v>
      </x:c>
    </x:row>
    <x:row r="1939">
      <x:c r="A1939" s="7" t="n">
        <x:v>1935</x:v>
      </x:c>
      <x:c r="B1939" s="7" t="str">
        <x:v>Tata</x:v>
      </x:c>
      <x:c r="C1939" s="7" t="str">
        <x:v>Punch</x:v>
      </x:c>
      <x:c r="D1939" s="7" t="str">
        <x:v>Pure</x:v>
      </x:c>
      <x:c r="E1939" s="7" t="str">
        <x:v>Petrol</x:v>
      </x:c>
      <x:c r="F1939" s="7" t="str">
        <x:v>Manual</x:v>
      </x:c>
      <x:c r="G1939" s="7" t="str">
        <x:v>Micro SUV</x:v>
      </x:c>
      <x:c r="H1939" s="7" t="n">
        <x:v>1199</x:v>
      </x:c>
      <x:c r="I1939" s="7" t="n">
        <x:v>87</x:v>
      </x:c>
      <x:c r="J1939" s="9" t="n">
        <x:v>20.1</x:v>
      </x:c>
      <x:c r="K1939" s="9" t="n">
        <x:v>7.5</x:v>
      </x:c>
      <x:c r="L1939" s="7" t="n">
        <x:v>2026</x:v>
      </x:c>
      <x:c r="M1939" s="11" t="n">
        <x:v>8102</x:v>
      </x:c>
      <x:c r="N1939" s="7" t="n">
        <x:v>1</x:v>
      </x:c>
      <x:c r="O1939" s="7" t="n">
        <x:v>0</x:v>
      </x:c>
      <x:c r="P1939" s="9" t="n">
        <x:v>7.27</x:v>
      </x:c>
      <x:c r="Q1939" s="7" t="n">
        <x:f>'Guide'!$B$5-L1939</x:f>
        <x:v>0</x:v>
      </x:c>
      <x:c r="R1939" s="9" t="n">
        <x:f>K1939-P1939</x:f>
        <x:v>0.23000000000000043</x:v>
      </x:c>
      <x:c r="S1939" s="10" t="n">
        <x:f>IF(K1939&gt;0,R1939/K1939,"")</x:f>
        <x:v>0.030666666666666724</x:v>
      </x:c>
    </x:row>
    <x:row r="1940">
      <x:c r="A1940" s="7" t="n">
        <x:v>1936</x:v>
      </x:c>
      <x:c r="B1940" s="7" t="str">
        <x:v>Tata</x:v>
      </x:c>
      <x:c r="C1940" s="7" t="str">
        <x:v>Punch</x:v>
      </x:c>
      <x:c r="D1940" s="7" t="str">
        <x:v>Pure</x:v>
      </x:c>
      <x:c r="E1940" s="7" t="str">
        <x:v>Petrol</x:v>
      </x:c>
      <x:c r="F1940" s="7" t="str">
        <x:v>Manual</x:v>
      </x:c>
      <x:c r="G1940" s="7" t="str">
        <x:v>Micro SUV</x:v>
      </x:c>
      <x:c r="H1940" s="7" t="n">
        <x:v>1199</x:v>
      </x:c>
      <x:c r="I1940" s="7" t="n">
        <x:v>87</x:v>
      </x:c>
      <x:c r="J1940" s="9" t="n">
        <x:v>20.1</x:v>
      </x:c>
      <x:c r="K1940" s="9" t="n">
        <x:v>7.5</x:v>
      </x:c>
      <x:c r="L1940" s="7" t="n">
        <x:v>2024</x:v>
      </x:c>
      <x:c r="M1940" s="11" t="n">
        <x:v>42941</x:v>
      </x:c>
      <x:c r="N1940" s="7" t="n">
        <x:v>1</x:v>
      </x:c>
      <x:c r="O1940" s="7" t="n">
        <x:v>0</x:v>
      </x:c>
      <x:c r="P1940" s="9" t="n">
        <x:v>6.3</x:v>
      </x:c>
      <x:c r="Q1940" s="7" t="n">
        <x:f>'Guide'!$B$5-L1940</x:f>
        <x:v>2</x:v>
      </x:c>
      <x:c r="R1940" s="9" t="n">
        <x:f>K1940-P1940</x:f>
        <x:v>1.2000000000000002</x:v>
      </x:c>
      <x:c r="S1940" s="10" t="n">
        <x:f>IF(K1940&gt;0,R1940/K1940,"")</x:f>
        <x:v>0.16000000000000003</x:v>
      </x:c>
    </x:row>
    <x:row r="1941">
      <x:c r="A1941" s="7" t="n">
        <x:v>1937</x:v>
      </x:c>
      <x:c r="B1941" s="7" t="str">
        <x:v>Tata</x:v>
      </x:c>
      <x:c r="C1941" s="7" t="str">
        <x:v>Punch</x:v>
      </x:c>
      <x:c r="D1941" s="7" t="str">
        <x:v>Pure</x:v>
      </x:c>
      <x:c r="E1941" s="7" t="str">
        <x:v>Petrol</x:v>
      </x:c>
      <x:c r="F1941" s="7" t="str">
        <x:v>Manual</x:v>
      </x:c>
      <x:c r="G1941" s="7" t="str">
        <x:v>Micro SUV</x:v>
      </x:c>
      <x:c r="H1941" s="7" t="n">
        <x:v>1199</x:v>
      </x:c>
      <x:c r="I1941" s="7" t="n">
        <x:v>87</x:v>
      </x:c>
      <x:c r="J1941" s="9" t="n">
        <x:v>20.1</x:v>
      </x:c>
      <x:c r="K1941" s="9" t="n">
        <x:v>7.5</x:v>
      </x:c>
      <x:c r="L1941" s="7" t="n">
        <x:v>2021</x:v>
      </x:c>
      <x:c r="M1941" s="11" t="n">
        <x:v>77651</x:v>
      </x:c>
      <x:c r="N1941" s="7" t="n">
        <x:v>1</x:v>
      </x:c>
      <x:c r="O1941" s="7" t="n">
        <x:v>0</x:v>
      </x:c>
      <x:c r="P1941" s="9" t="n">
        <x:v>3.87</x:v>
      </x:c>
      <x:c r="Q1941" s="7" t="n">
        <x:f>'Guide'!$B$5-L1941</x:f>
        <x:v>5</x:v>
      </x:c>
      <x:c r="R1941" s="9" t="n">
        <x:f>K1941-P1941</x:f>
        <x:v>3.63</x:v>
      </x:c>
      <x:c r="S1941" s="10" t="n">
        <x:f>IF(K1941&gt;0,R1941/K1941,"")</x:f>
        <x:v>0.484</x:v>
      </x:c>
    </x:row>
    <x:row r="1942">
      <x:c r="A1942" s="7" t="n">
        <x:v>1938</x:v>
      </x:c>
      <x:c r="B1942" s="7" t="str">
        <x:v>Tata</x:v>
      </x:c>
      <x:c r="C1942" s="7" t="str">
        <x:v>Punch</x:v>
      </x:c>
      <x:c r="D1942" s="7" t="str">
        <x:v>Pure</x:v>
      </x:c>
      <x:c r="E1942" s="7" t="str">
        <x:v>Petrol</x:v>
      </x:c>
      <x:c r="F1942" s="7" t="str">
        <x:v>Manual</x:v>
      </x:c>
      <x:c r="G1942" s="7" t="str">
        <x:v>Micro SUV</x:v>
      </x:c>
      <x:c r="H1942" s="7" t="n">
        <x:v>1199</x:v>
      </x:c>
      <x:c r="I1942" s="7" t="n">
        <x:v>87</x:v>
      </x:c>
      <x:c r="J1942" s="9" t="n">
        <x:v>20.1</x:v>
      </x:c>
      <x:c r="K1942" s="9" t="n">
        <x:v>7.5</x:v>
      </x:c>
      <x:c r="L1942" s="7" t="n">
        <x:v>2020</x:v>
      </x:c>
      <x:c r="M1942" s="11" t="n">
        <x:v>68327</x:v>
      </x:c>
      <x:c r="N1942" s="7" t="n">
        <x:v>3</x:v>
      </x:c>
      <x:c r="O1942" s="7" t="n">
        <x:v>0</x:v>
      </x:c>
      <x:c r="P1942" s="9" t="n">
        <x:v>2.85</x:v>
      </x:c>
      <x:c r="Q1942" s="7" t="n">
        <x:f>'Guide'!$B$5-L1942</x:f>
        <x:v>6</x:v>
      </x:c>
      <x:c r="R1942" s="9" t="n">
        <x:f>K1942-P1942</x:f>
        <x:v>4.65</x:v>
      </x:c>
      <x:c r="S1942" s="10" t="n">
        <x:f>IF(K1942&gt;0,R1942/K1942,"")</x:f>
        <x:v>0.62</x:v>
      </x:c>
    </x:row>
    <x:row r="1943">
      <x:c r="A1943" s="7" t="n">
        <x:v>1939</x:v>
      </x:c>
      <x:c r="B1943" s="7" t="str">
        <x:v>Tata</x:v>
      </x:c>
      <x:c r="C1943" s="7" t="str">
        <x:v>Punch</x:v>
      </x:c>
      <x:c r="D1943" s="7" t="str">
        <x:v>Pure</x:v>
      </x:c>
      <x:c r="E1943" s="7" t="str">
        <x:v>Petrol</x:v>
      </x:c>
      <x:c r="F1943" s="7" t="str">
        <x:v>Manual</x:v>
      </x:c>
      <x:c r="G1943" s="7" t="str">
        <x:v>Micro SUV</x:v>
      </x:c>
      <x:c r="H1943" s="7" t="n">
        <x:v>1199</x:v>
      </x:c>
      <x:c r="I1943" s="7" t="n">
        <x:v>87</x:v>
      </x:c>
      <x:c r="J1943" s="9" t="n">
        <x:v>20.1</x:v>
      </x:c>
      <x:c r="K1943" s="9" t="n">
        <x:v>7.5</x:v>
      </x:c>
      <x:c r="L1943" s="7" t="n">
        <x:v>2020</x:v>
      </x:c>
      <x:c r="M1943" s="11" t="n">
        <x:v>114877</x:v>
      </x:c>
      <x:c r="N1943" s="7" t="n">
        <x:v>1</x:v>
      </x:c>
      <x:c r="O1943" s="7" t="n">
        <x:v>0</x:v>
      </x:c>
      <x:c r="P1943" s="9" t="n">
        <x:v>2.59</x:v>
      </x:c>
      <x:c r="Q1943" s="7" t="n">
        <x:f>'Guide'!$B$5-L1943</x:f>
        <x:v>6</x:v>
      </x:c>
      <x:c r="R1943" s="9" t="n">
        <x:f>K1943-P1943</x:f>
        <x:v>4.91</x:v>
      </x:c>
      <x:c r="S1943" s="10" t="n">
        <x:f>IF(K1943&gt;0,R1943/K1943,"")</x:f>
        <x:v>0.6546666666666667</x:v>
      </x:c>
    </x:row>
    <x:row r="1944">
      <x:c r="A1944" s="7" t="n">
        <x:v>1940</x:v>
      </x:c>
      <x:c r="B1944" s="7" t="str">
        <x:v>Tata</x:v>
      </x:c>
      <x:c r="C1944" s="7" t="str">
        <x:v>Punch</x:v>
      </x:c>
      <x:c r="D1944" s="7" t="str">
        <x:v>Pure</x:v>
      </x:c>
      <x:c r="E1944" s="7" t="str">
        <x:v>Petrol</x:v>
      </x:c>
      <x:c r="F1944" s="7" t="str">
        <x:v>Manual</x:v>
      </x:c>
      <x:c r="G1944" s="7" t="str">
        <x:v>Micro SUV</x:v>
      </x:c>
      <x:c r="H1944" s="7" t="n">
        <x:v>1199</x:v>
      </x:c>
      <x:c r="I1944" s="7" t="n">
        <x:v>87</x:v>
      </x:c>
      <x:c r="J1944" s="9" t="n">
        <x:v>20.1</x:v>
      </x:c>
      <x:c r="K1944" s="9" t="n">
        <x:v>7.5</x:v>
      </x:c>
      <x:c r="L1944" s="7" t="n">
        <x:v>2026</x:v>
      </x:c>
      <x:c r="M1944" s="11" t="n">
        <x:v>5087</x:v>
      </x:c>
      <x:c r="N1944" s="7" t="n">
        <x:v>1</x:v>
      </x:c>
      <x:c r="O1944" s="7" t="n">
        <x:v>0</x:v>
      </x:c>
      <x:c r="P1944" s="9" t="n">
        <x:v>7.2</x:v>
      </x:c>
      <x:c r="Q1944" s="7" t="n">
        <x:f>'Guide'!$B$5-L1944</x:f>
        <x:v>0</x:v>
      </x:c>
      <x:c r="R1944" s="9" t="n">
        <x:f>K1944-P1944</x:f>
        <x:v>0.2999999999999998</x:v>
      </x:c>
      <x:c r="S1944" s="10" t="n">
        <x:f>IF(K1944&gt;0,R1944/K1944,"")</x:f>
        <x:v>0.03999999999999997</x:v>
      </x:c>
    </x:row>
    <x:row r="1945">
      <x:c r="A1945" s="7" t="n">
        <x:v>1941</x:v>
      </x:c>
      <x:c r="B1945" s="7" t="str">
        <x:v>Tata</x:v>
      </x:c>
      <x:c r="C1945" s="7" t="str">
        <x:v>Punch</x:v>
      </x:c>
      <x:c r="D1945" s="7" t="str">
        <x:v>Pure</x:v>
      </x:c>
      <x:c r="E1945" s="7" t="str">
        <x:v>Petrol</x:v>
      </x:c>
      <x:c r="F1945" s="7" t="str">
        <x:v>Manual</x:v>
      </x:c>
      <x:c r="G1945" s="7" t="str">
        <x:v>Micro SUV</x:v>
      </x:c>
      <x:c r="H1945" s="7" t="n">
        <x:v>1199</x:v>
      </x:c>
      <x:c r="I1945" s="7" t="n">
        <x:v>87</x:v>
      </x:c>
      <x:c r="J1945" s="9" t="n">
        <x:v>20.1</x:v>
      </x:c>
      <x:c r="K1945" s="9" t="n">
        <x:v>7.5</x:v>
      </x:c>
      <x:c r="L1945" s="7" t="n">
        <x:v>2024</x:v>
      </x:c>
      <x:c r="M1945" s="11" t="n">
        <x:v>46678</x:v>
      </x:c>
      <x:c r="N1945" s="7" t="n">
        <x:v>1</x:v>
      </x:c>
      <x:c r="O1945" s="7" t="n">
        <x:v>1</x:v>
      </x:c>
      <x:c r="P1945" s="9" t="n">
        <x:v>4.97</x:v>
      </x:c>
      <x:c r="Q1945" s="7" t="n">
        <x:f>'Guide'!$B$5-L1945</x:f>
        <x:v>2</x:v>
      </x:c>
      <x:c r="R1945" s="9" t="n">
        <x:f>K1945-P1945</x:f>
        <x:v>2.5300000000000002</x:v>
      </x:c>
      <x:c r="S1945" s="10" t="n">
        <x:f>IF(K1945&gt;0,R1945/K1945,"")</x:f>
        <x:v>0.3373333333333334</x:v>
      </x:c>
    </x:row>
    <x:row r="1946">
      <x:c r="A1946" s="7" t="n">
        <x:v>1942</x:v>
      </x:c>
      <x:c r="B1946" s="7" t="str">
        <x:v>Tata</x:v>
      </x:c>
      <x:c r="C1946" s="7" t="str">
        <x:v>Punch</x:v>
      </x:c>
      <x:c r="D1946" s="7" t="str">
        <x:v>Pure</x:v>
      </x:c>
      <x:c r="E1946" s="7" t="str">
        <x:v>Petrol</x:v>
      </x:c>
      <x:c r="F1946" s="7" t="str">
        <x:v>Manual</x:v>
      </x:c>
      <x:c r="G1946" s="7" t="str">
        <x:v>Micro SUV</x:v>
      </x:c>
      <x:c r="H1946" s="7" t="n">
        <x:v>1199</x:v>
      </x:c>
      <x:c r="I1946" s="7" t="n">
        <x:v>87</x:v>
      </x:c>
      <x:c r="J1946" s="9" t="n">
        <x:v>20.1</x:v>
      </x:c>
      <x:c r="K1946" s="9" t="n">
        <x:v>7.5</x:v>
      </x:c>
      <x:c r="L1946" s="7" t="n">
        <x:v>2025</x:v>
      </x:c>
      <x:c r="M1946" s="11" t="n">
        <x:v>12520</x:v>
      </x:c>
      <x:c r="N1946" s="7" t="n">
        <x:v>2</x:v>
      </x:c>
      <x:c r="O1946" s="7" t="n">
        <x:v>1</x:v>
      </x:c>
      <x:c r="P1946" s="9" t="n">
        <x:v>5.25</x:v>
      </x:c>
      <x:c r="Q1946" s="7" t="n">
        <x:f>'Guide'!$B$5-L1946</x:f>
        <x:v>1</x:v>
      </x:c>
      <x:c r="R1946" s="9" t="n">
        <x:f>K1946-P1946</x:f>
        <x:v>2.25</x:v>
      </x:c>
      <x:c r="S1946" s="10" t="n">
        <x:f>IF(K1946&gt;0,R1946/K1946,"")</x:f>
        <x:v>0.3</x:v>
      </x:c>
    </x:row>
    <x:row r="1947">
      <x:c r="A1947" s="7" t="n">
        <x:v>1943</x:v>
      </x:c>
      <x:c r="B1947" s="7" t="str">
        <x:v>Tata</x:v>
      </x:c>
      <x:c r="C1947" s="7" t="str">
        <x:v>Punch</x:v>
      </x:c>
      <x:c r="D1947" s="7" t="str">
        <x:v>Pure</x:v>
      </x:c>
      <x:c r="E1947" s="7" t="str">
        <x:v>Petrol</x:v>
      </x:c>
      <x:c r="F1947" s="7" t="str">
        <x:v>Manual</x:v>
      </x:c>
      <x:c r="G1947" s="7" t="str">
        <x:v>Micro SUV</x:v>
      </x:c>
      <x:c r="H1947" s="7" t="n">
        <x:v>1199</x:v>
      </x:c>
      <x:c r="I1947" s="7" t="n">
        <x:v>87</x:v>
      </x:c>
      <x:c r="J1947" s="9" t="n">
        <x:v>20.1</x:v>
      </x:c>
      <x:c r="K1947" s="9" t="n">
        <x:v>7.5</x:v>
      </x:c>
      <x:c r="L1947" s="7" t="n">
        <x:v>2026</x:v>
      </x:c>
      <x:c r="M1947" s="11" t="n">
        <x:v>8869</x:v>
      </x:c>
      <x:c r="N1947" s="7" t="n">
        <x:v>1</x:v>
      </x:c>
      <x:c r="O1947" s="7" t="n">
        <x:v>1</x:v>
      </x:c>
      <x:c r="P1947" s="9" t="n">
        <x:v>6.31</x:v>
      </x:c>
      <x:c r="Q1947" s="7" t="n">
        <x:f>'Guide'!$B$5-L1947</x:f>
        <x:v>0</x:v>
      </x:c>
      <x:c r="R1947" s="9" t="n">
        <x:f>K1947-P1947</x:f>
        <x:v>1.1900000000000004</x:v>
      </x:c>
      <x:c r="S1947" s="10" t="n">
        <x:f>IF(K1947&gt;0,R1947/K1947,"")</x:f>
        <x:v>0.1586666666666667</x:v>
      </x:c>
    </x:row>
    <x:row r="1948">
      <x:c r="A1948" s="7" t="n">
        <x:v>1944</x:v>
      </x:c>
      <x:c r="B1948" s="7" t="str">
        <x:v>Tata</x:v>
      </x:c>
      <x:c r="C1948" s="7" t="str">
        <x:v>Punch</x:v>
      </x:c>
      <x:c r="D1948" s="7" t="str">
        <x:v>Pure</x:v>
      </x:c>
      <x:c r="E1948" s="7" t="str">
        <x:v>Petrol</x:v>
      </x:c>
      <x:c r="F1948" s="7" t="str">
        <x:v>Manual</x:v>
      </x:c>
      <x:c r="G1948" s="7" t="str">
        <x:v>Micro SUV</x:v>
      </x:c>
      <x:c r="H1948" s="7" t="n">
        <x:v>1199</x:v>
      </x:c>
      <x:c r="I1948" s="7" t="n">
        <x:v>87</x:v>
      </x:c>
      <x:c r="J1948" s="9" t="n">
        <x:v>20.1</x:v>
      </x:c>
      <x:c r="K1948" s="9" t="n">
        <x:v>7.5</x:v>
      </x:c>
      <x:c r="L1948" s="7" t="n">
        <x:v>2024</x:v>
      </x:c>
      <x:c r="M1948" s="11" t="n">
        <x:v>41284</x:v>
      </x:c>
      <x:c r="N1948" s="7" t="n">
        <x:v>1</x:v>
      </x:c>
      <x:c r="O1948" s="7" t="n">
        <x:v>0</x:v>
      </x:c>
      <x:c r="P1948" s="9" t="n">
        <x:v>5.55</x:v>
      </x:c>
      <x:c r="Q1948" s="7" t="n">
        <x:f>'Guide'!$B$5-L1948</x:f>
        <x:v>2</x:v>
      </x:c>
      <x:c r="R1948" s="9" t="n">
        <x:f>K1948-P1948</x:f>
        <x:v>1.9500000000000002</x:v>
      </x:c>
      <x:c r="S1948" s="10" t="n">
        <x:f>IF(K1948&gt;0,R1948/K1948,"")</x:f>
        <x:v>0.26</x:v>
      </x:c>
    </x:row>
    <x:row r="1949">
      <x:c r="A1949" s="7" t="n">
        <x:v>1945</x:v>
      </x:c>
      <x:c r="B1949" s="7" t="str">
        <x:v>Tata</x:v>
      </x:c>
      <x:c r="C1949" s="7" t="str">
        <x:v>Punch</x:v>
      </x:c>
      <x:c r="D1949" s="7" t="str">
        <x:v>Pure</x:v>
      </x:c>
      <x:c r="E1949" s="7" t="str">
        <x:v>Petrol</x:v>
      </x:c>
      <x:c r="F1949" s="7" t="str">
        <x:v>Manual</x:v>
      </x:c>
      <x:c r="G1949" s="7" t="str">
        <x:v>Micro SUV</x:v>
      </x:c>
      <x:c r="H1949" s="7" t="n">
        <x:v>1199</x:v>
      </x:c>
      <x:c r="I1949" s="7" t="n">
        <x:v>87</x:v>
      </x:c>
      <x:c r="J1949" s="9" t="n">
        <x:v>20.1</x:v>
      </x:c>
      <x:c r="K1949" s="9" t="n">
        <x:v>7.5</x:v>
      </x:c>
      <x:c r="L1949" s="7" t="n">
        <x:v>2021</x:v>
      </x:c>
      <x:c r="M1949" s="11" t="n">
        <x:v>96451</x:v>
      </x:c>
      <x:c r="N1949" s="7" t="n">
        <x:v>1</x:v>
      </x:c>
      <x:c r="O1949" s="7" t="n">
        <x:v>0</x:v>
      </x:c>
      <x:c r="P1949" s="9" t="n">
        <x:v>3.91</x:v>
      </x:c>
      <x:c r="Q1949" s="7" t="n">
        <x:f>'Guide'!$B$5-L1949</x:f>
        <x:v>5</x:v>
      </x:c>
      <x:c r="R1949" s="9" t="n">
        <x:f>K1949-P1949</x:f>
        <x:v>3.59</x:v>
      </x:c>
      <x:c r="S1949" s="10" t="n">
        <x:f>IF(K1949&gt;0,R1949/K1949,"")</x:f>
        <x:v>0.47866666666666663</x:v>
      </x:c>
    </x:row>
    <x:row r="1950">
      <x:c r="A1950" s="7" t="n">
        <x:v>1946</x:v>
      </x:c>
      <x:c r="B1950" s="7" t="str">
        <x:v>Tata</x:v>
      </x:c>
      <x:c r="C1950" s="7" t="str">
        <x:v>Punch</x:v>
      </x:c>
      <x:c r="D1950" s="7" t="str">
        <x:v>Pure</x:v>
      </x:c>
      <x:c r="E1950" s="7" t="str">
        <x:v>Petrol</x:v>
      </x:c>
      <x:c r="F1950" s="7" t="str">
        <x:v>Manual</x:v>
      </x:c>
      <x:c r="G1950" s="7" t="str">
        <x:v>Micro SUV</x:v>
      </x:c>
      <x:c r="H1950" s="7" t="n">
        <x:v>1199</x:v>
      </x:c>
      <x:c r="I1950" s="7" t="n">
        <x:v>87</x:v>
      </x:c>
      <x:c r="J1950" s="9" t="n">
        <x:v>20.1</x:v>
      </x:c>
      <x:c r="K1950" s="9" t="n">
        <x:v>7.5</x:v>
      </x:c>
      <x:c r="L1950" s="7" t="n">
        <x:v>2021</x:v>
      </x:c>
      <x:c r="M1950" s="11" t="n">
        <x:v>86839</x:v>
      </x:c>
      <x:c r="N1950" s="7" t="n">
        <x:v>1</x:v>
      </x:c>
      <x:c r="O1950" s="7" t="n">
        <x:v>0</x:v>
      </x:c>
      <x:c r="P1950" s="9" t="n">
        <x:v>4.11</x:v>
      </x:c>
      <x:c r="Q1950" s="7" t="n">
        <x:f>'Guide'!$B$5-L1950</x:f>
        <x:v>5</x:v>
      </x:c>
      <x:c r="R1950" s="9" t="n">
        <x:f>K1950-P1950</x:f>
        <x:v>3.3899999999999997</x:v>
      </x:c>
      <x:c r="S1950" s="10" t="n">
        <x:f>IF(K1950&gt;0,R1950/K1950,"")</x:f>
        <x:v>0.45199999999999996</x:v>
      </x:c>
    </x:row>
    <x:row r="1951">
      <x:c r="A1951" s="7" t="n">
        <x:v>1947</x:v>
      </x:c>
      <x:c r="B1951" s="7" t="str">
        <x:v>Tata</x:v>
      </x:c>
      <x:c r="C1951" s="7" t="str">
        <x:v>Punch</x:v>
      </x:c>
      <x:c r="D1951" s="7" t="str">
        <x:v>Pure</x:v>
      </x:c>
      <x:c r="E1951" s="7" t="str">
        <x:v>Petrol</x:v>
      </x:c>
      <x:c r="F1951" s="7" t="str">
        <x:v>Manual</x:v>
      </x:c>
      <x:c r="G1951" s="7" t="str">
        <x:v>Micro SUV</x:v>
      </x:c>
      <x:c r="H1951" s="7" t="n">
        <x:v>1199</x:v>
      </x:c>
      <x:c r="I1951" s="7" t="n">
        <x:v>87</x:v>
      </x:c>
      <x:c r="J1951" s="9" t="n">
        <x:v>20.1</x:v>
      </x:c>
      <x:c r="K1951" s="9" t="n">
        <x:v>7.5</x:v>
      </x:c>
      <x:c r="L1951" s="7" t="n">
        <x:v>2025</x:v>
      </x:c>
      <x:c r="M1951" s="11" t="n">
        <x:v>23723</x:v>
      </x:c>
      <x:c r="N1951" s="7" t="n">
        <x:v>2</x:v>
      </x:c>
      <x:c r="O1951" s="7" t="n">
        <x:v>0</x:v>
      </x:c>
      <x:c r="P1951" s="9" t="n">
        <x:v>6.07</x:v>
      </x:c>
      <x:c r="Q1951" s="7" t="n">
        <x:f>'Guide'!$B$5-L1951</x:f>
        <x:v>1</x:v>
      </x:c>
      <x:c r="R1951" s="9" t="n">
        <x:f>K1951-P1951</x:f>
        <x:v>1.4299999999999997</x:v>
      </x:c>
      <x:c r="S1951" s="10" t="n">
        <x:f>IF(K1951&gt;0,R1951/K1951,"")</x:f>
        <x:v>0.19066666666666662</x:v>
      </x:c>
    </x:row>
    <x:row r="1952">
      <x:c r="A1952" s="7" t="n">
        <x:v>1948</x:v>
      </x:c>
      <x:c r="B1952" s="7" t="str">
        <x:v>Tata</x:v>
      </x:c>
      <x:c r="C1952" s="7" t="str">
        <x:v>Punch</x:v>
      </x:c>
      <x:c r="D1952" s="7" t="str">
        <x:v>Pure</x:v>
      </x:c>
      <x:c r="E1952" s="7" t="str">
        <x:v>Petrol</x:v>
      </x:c>
      <x:c r="F1952" s="7" t="str">
        <x:v>Manual</x:v>
      </x:c>
      <x:c r="G1952" s="7" t="str">
        <x:v>Micro SUV</x:v>
      </x:c>
      <x:c r="H1952" s="7" t="n">
        <x:v>1199</x:v>
      </x:c>
      <x:c r="I1952" s="7" t="n">
        <x:v>87</x:v>
      </x:c>
      <x:c r="J1952" s="9" t="n">
        <x:v>20.1</x:v>
      </x:c>
      <x:c r="K1952" s="9" t="n">
        <x:v>7.5</x:v>
      </x:c>
      <x:c r="L1952" s="7" t="n">
        <x:v>2020</x:v>
      </x:c>
      <x:c r="M1952" s="11" t="n">
        <x:v>74912</x:v>
      </x:c>
      <x:c r="N1952" s="7" t="n">
        <x:v>1</x:v>
      </x:c>
      <x:c r="O1952" s="7" t="n">
        <x:v>0</x:v>
      </x:c>
      <x:c r="P1952" s="9" t="n">
        <x:v>3</x:v>
      </x:c>
      <x:c r="Q1952" s="7" t="n">
        <x:f>'Guide'!$B$5-L1952</x:f>
        <x:v>6</x:v>
      </x:c>
      <x:c r="R1952" s="9" t="n">
        <x:f>K1952-P1952</x:f>
        <x:v>4.5</x:v>
      </x:c>
      <x:c r="S1952" s="10" t="n">
        <x:f>IF(K1952&gt;0,R1952/K1952,"")</x:f>
        <x:v>0.6</x:v>
      </x:c>
    </x:row>
    <x:row r="1953">
      <x:c r="A1953" s="7" t="n">
        <x:v>1949</x:v>
      </x:c>
      <x:c r="B1953" s="7" t="str">
        <x:v>Tata</x:v>
      </x:c>
      <x:c r="C1953" s="7" t="str">
        <x:v>Punch</x:v>
      </x:c>
      <x:c r="D1953" s="7" t="str">
        <x:v>Pure</x:v>
      </x:c>
      <x:c r="E1953" s="7" t="str">
        <x:v>Petrol</x:v>
      </x:c>
      <x:c r="F1953" s="7" t="str">
        <x:v>Manual</x:v>
      </x:c>
      <x:c r="G1953" s="7" t="str">
        <x:v>Micro SUV</x:v>
      </x:c>
      <x:c r="H1953" s="7" t="n">
        <x:v>1199</x:v>
      </x:c>
      <x:c r="I1953" s="7" t="n">
        <x:v>87</x:v>
      </x:c>
      <x:c r="J1953" s="9" t="n">
        <x:v>20.1</x:v>
      </x:c>
      <x:c r="K1953" s="9" t="n">
        <x:v>7.5</x:v>
      </x:c>
      <x:c r="L1953" s="7" t="n">
        <x:v>2022</x:v>
      </x:c>
      <x:c r="M1953" s="11" t="n">
        <x:v>68654</x:v>
      </x:c>
      <x:c r="N1953" s="7" t="n">
        <x:v>2</x:v>
      </x:c>
      <x:c r="O1953" s="7" t="n">
        <x:v>0</x:v>
      </x:c>
      <x:c r="P1953" s="9" t="n">
        <x:v>3.78</x:v>
      </x:c>
      <x:c r="Q1953" s="7" t="n">
        <x:f>'Guide'!$B$5-L1953</x:f>
        <x:v>4</x:v>
      </x:c>
      <x:c r="R1953" s="9" t="n">
        <x:f>K1953-P1953</x:f>
        <x:v>3.72</x:v>
      </x:c>
      <x:c r="S1953" s="10" t="n">
        <x:f>IF(K1953&gt;0,R1953/K1953,"")</x:f>
        <x:v>0.49600000000000005</x:v>
      </x:c>
    </x:row>
    <x:row r="1954">
      <x:c r="A1954" s="7" t="n">
        <x:v>1950</x:v>
      </x:c>
      <x:c r="B1954" s="7" t="str">
        <x:v>Tata</x:v>
      </x:c>
      <x:c r="C1954" s="7" t="str">
        <x:v>Punch</x:v>
      </x:c>
      <x:c r="D1954" s="7" t="str">
        <x:v>Pure</x:v>
      </x:c>
      <x:c r="E1954" s="7" t="str">
        <x:v>Petrol</x:v>
      </x:c>
      <x:c r="F1954" s="7" t="str">
        <x:v>Manual</x:v>
      </x:c>
      <x:c r="G1954" s="7" t="str">
        <x:v>Micro SUV</x:v>
      </x:c>
      <x:c r="H1954" s="7" t="n">
        <x:v>1199</x:v>
      </x:c>
      <x:c r="I1954" s="7" t="n">
        <x:v>87</x:v>
      </x:c>
      <x:c r="J1954" s="9" t="n">
        <x:v>20.1</x:v>
      </x:c>
      <x:c r="K1954" s="9" t="n">
        <x:v>7.5</x:v>
      </x:c>
      <x:c r="L1954" s="7" t="n">
        <x:v>2023</x:v>
      </x:c>
      <x:c r="M1954" s="11" t="n">
        <x:v>46530</x:v>
      </x:c>
      <x:c r="N1954" s="7" t="n">
        <x:v>1</x:v>
      </x:c>
      <x:c r="O1954" s="7" t="n">
        <x:v>0</x:v>
      </x:c>
      <x:c r="P1954" s="9" t="n">
        <x:v>4.9</x:v>
      </x:c>
      <x:c r="Q1954" s="7" t="n">
        <x:f>'Guide'!$B$5-L1954</x:f>
        <x:v>3</x:v>
      </x:c>
      <x:c r="R1954" s="9" t="n">
        <x:f>K1954-P1954</x:f>
        <x:v>2.5999999999999996</x:v>
      </x:c>
      <x:c r="S1954" s="10" t="n">
        <x:f>IF(K1954&gt;0,R1954/K1954,"")</x:f>
        <x:v>0.3466666666666666</x:v>
      </x:c>
    </x:row>
    <x:row r="1955">
      <x:c r="A1955" s="7" t="n">
        <x:v>1951</x:v>
      </x:c>
      <x:c r="B1955" s="7" t="str">
        <x:v>Tata</x:v>
      </x:c>
      <x:c r="C1955" s="7" t="str">
        <x:v>Punch</x:v>
      </x:c>
      <x:c r="D1955" s="7" t="str">
        <x:v>Pure</x:v>
      </x:c>
      <x:c r="E1955" s="7" t="str">
        <x:v>Petrol</x:v>
      </x:c>
      <x:c r="F1955" s="7" t="str">
        <x:v>Manual</x:v>
      </x:c>
      <x:c r="G1955" s="7" t="str">
        <x:v>Micro SUV</x:v>
      </x:c>
      <x:c r="H1955" s="7" t="n">
        <x:v>1199</x:v>
      </x:c>
      <x:c r="I1955" s="7" t="n">
        <x:v>87</x:v>
      </x:c>
      <x:c r="J1955" s="9" t="n">
        <x:v>20.1</x:v>
      </x:c>
      <x:c r="K1955" s="9" t="n">
        <x:v>7.5</x:v>
      </x:c>
      <x:c r="L1955" s="7" t="n">
        <x:v>2022</x:v>
      </x:c>
      <x:c r="M1955" s="11" t="n">
        <x:v>57586</x:v>
      </x:c>
      <x:c r="N1955" s="7" t="n">
        <x:v>1</x:v>
      </x:c>
      <x:c r="O1955" s="7" t="n">
        <x:v>0</x:v>
      </x:c>
      <x:c r="P1955" s="9" t="n">
        <x:v>4.37</x:v>
      </x:c>
      <x:c r="Q1955" s="7" t="n">
        <x:f>'Guide'!$B$5-L1955</x:f>
        <x:v>4</x:v>
      </x:c>
      <x:c r="R1955" s="9" t="n">
        <x:f>K1955-P1955</x:f>
        <x:v>3.13</x:v>
      </x:c>
      <x:c r="S1955" s="10" t="n">
        <x:f>IF(K1955&gt;0,R1955/K1955,"")</x:f>
        <x:v>0.41733333333333333</x:v>
      </x:c>
    </x:row>
    <x:row r="1956">
      <x:c r="A1956" s="7" t="n">
        <x:v>1952</x:v>
      </x:c>
      <x:c r="B1956" s="7" t="str">
        <x:v>Tata</x:v>
      </x:c>
      <x:c r="C1956" s="7" t="str">
        <x:v>Punch</x:v>
      </x:c>
      <x:c r="D1956" s="7" t="str">
        <x:v>Pure</x:v>
      </x:c>
      <x:c r="E1956" s="7" t="str">
        <x:v>Petrol</x:v>
      </x:c>
      <x:c r="F1956" s="7" t="str">
        <x:v>Manual</x:v>
      </x:c>
      <x:c r="G1956" s="7" t="str">
        <x:v>Micro SUV</x:v>
      </x:c>
      <x:c r="H1956" s="7" t="n">
        <x:v>1199</x:v>
      </x:c>
      <x:c r="I1956" s="7" t="n">
        <x:v>87</x:v>
      </x:c>
      <x:c r="J1956" s="9" t="n">
        <x:v>20.1</x:v>
      </x:c>
      <x:c r="K1956" s="9" t="n">
        <x:v>7.5</x:v>
      </x:c>
      <x:c r="L1956" s="7" t="n">
        <x:v>2021</x:v>
      </x:c>
      <x:c r="M1956" s="11" t="n">
        <x:v>100684</x:v>
      </x:c>
      <x:c r="N1956" s="7" t="n">
        <x:v>2</x:v>
      </x:c>
      <x:c r="O1956" s="7" t="n">
        <x:v>0</x:v>
      </x:c>
      <x:c r="P1956" s="9" t="n">
        <x:v>2.94</x:v>
      </x:c>
      <x:c r="Q1956" s="7" t="n">
        <x:f>'Guide'!$B$5-L1956</x:f>
        <x:v>5</x:v>
      </x:c>
      <x:c r="R1956" s="9" t="n">
        <x:f>K1956-P1956</x:f>
        <x:v>4.5600000000000005</x:v>
      </x:c>
      <x:c r="S1956" s="10" t="n">
        <x:f>IF(K1956&gt;0,R1956/K1956,"")</x:f>
        <x:v>0.6080000000000001</x:v>
      </x:c>
    </x:row>
    <x:row r="1957">
      <x:c r="A1957" s="7" t="n">
        <x:v>1953</x:v>
      </x:c>
      <x:c r="B1957" s="7" t="str">
        <x:v>Tata</x:v>
      </x:c>
      <x:c r="C1957" s="7" t="str">
        <x:v>Punch</x:v>
      </x:c>
      <x:c r="D1957" s="7" t="str">
        <x:v>Pure</x:v>
      </x:c>
      <x:c r="E1957" s="7" t="str">
        <x:v>Petrol</x:v>
      </x:c>
      <x:c r="F1957" s="7" t="str">
        <x:v>Manual</x:v>
      </x:c>
      <x:c r="G1957" s="7" t="str">
        <x:v>Micro SUV</x:v>
      </x:c>
      <x:c r="H1957" s="7" t="n">
        <x:v>1199</x:v>
      </x:c>
      <x:c r="I1957" s="7" t="n">
        <x:v>87</x:v>
      </x:c>
      <x:c r="J1957" s="9" t="n">
        <x:v>20.1</x:v>
      </x:c>
      <x:c r="K1957" s="9" t="n">
        <x:v>7.5</x:v>
      </x:c>
      <x:c r="L1957" s="7" t="n">
        <x:v>2025</x:v>
      </x:c>
      <x:c r="M1957" s="11" t="n">
        <x:v>18498</x:v>
      </x:c>
      <x:c r="N1957" s="7" t="n">
        <x:v>1</x:v>
      </x:c>
      <x:c r="O1957" s="7" t="n">
        <x:v>1</x:v>
      </x:c>
      <x:c r="P1957" s="9" t="n">
        <x:v>6.33</x:v>
      </x:c>
      <x:c r="Q1957" s="7" t="n">
        <x:f>'Guide'!$B$5-L1957</x:f>
        <x:v>1</x:v>
      </x:c>
      <x:c r="R1957" s="9" t="n">
        <x:f>K1957-P1957</x:f>
        <x:v>1.17</x:v>
      </x:c>
      <x:c r="S1957" s="10" t="n">
        <x:f>IF(K1957&gt;0,R1957/K1957,"")</x:f>
        <x:v>0.156</x:v>
      </x:c>
    </x:row>
    <x:row r="1958">
      <x:c r="A1958" s="7" t="n">
        <x:v>1954</x:v>
      </x:c>
      <x:c r="B1958" s="7" t="str">
        <x:v>Tata</x:v>
      </x:c>
      <x:c r="C1958" s="7" t="str">
        <x:v>Punch</x:v>
      </x:c>
      <x:c r="D1958" s="7" t="str">
        <x:v>Pure</x:v>
      </x:c>
      <x:c r="E1958" s="7" t="str">
        <x:v>Petrol</x:v>
      </x:c>
      <x:c r="F1958" s="7" t="str">
        <x:v>Manual</x:v>
      </x:c>
      <x:c r="G1958" s="7" t="str">
        <x:v>Micro SUV</x:v>
      </x:c>
      <x:c r="H1958" s="7" t="n">
        <x:v>1199</x:v>
      </x:c>
      <x:c r="I1958" s="7" t="n">
        <x:v>87</x:v>
      </x:c>
      <x:c r="J1958" s="9" t="n">
        <x:v>20.1</x:v>
      </x:c>
      <x:c r="K1958" s="9" t="n">
        <x:v>7.5</x:v>
      </x:c>
      <x:c r="L1958" s="7" t="n">
        <x:v>2021</x:v>
      </x:c>
      <x:c r="M1958" s="11" t="n">
        <x:v>94782</x:v>
      </x:c>
      <x:c r="N1958" s="7" t="n">
        <x:v>2</x:v>
      </x:c>
      <x:c r="O1958" s="7" t="n">
        <x:v>0</x:v>
      </x:c>
      <x:c r="P1958" s="9" t="n">
        <x:v>3.03</x:v>
      </x:c>
      <x:c r="Q1958" s="7" t="n">
        <x:f>'Guide'!$B$5-L1958</x:f>
        <x:v>5</x:v>
      </x:c>
      <x:c r="R1958" s="9" t="n">
        <x:f>K1958-P1958</x:f>
        <x:v>4.470000000000001</x:v>
      </x:c>
      <x:c r="S1958" s="10" t="n">
        <x:f>IF(K1958&gt;0,R1958/K1958,"")</x:f>
        <x:v>0.5960000000000001</x:v>
      </x:c>
    </x:row>
    <x:row r="1959">
      <x:c r="A1959" s="7" t="n">
        <x:v>1955</x:v>
      </x:c>
      <x:c r="B1959" s="7" t="str">
        <x:v>Tata</x:v>
      </x:c>
      <x:c r="C1959" s="7" t="str">
        <x:v>Punch</x:v>
      </x:c>
      <x:c r="D1959" s="7" t="str">
        <x:v>Pure</x:v>
      </x:c>
      <x:c r="E1959" s="7" t="str">
        <x:v>Petrol</x:v>
      </x:c>
      <x:c r="F1959" s="7" t="str">
        <x:v>Manual</x:v>
      </x:c>
      <x:c r="G1959" s="7" t="str">
        <x:v>Micro SUV</x:v>
      </x:c>
      <x:c r="H1959" s="7" t="n">
        <x:v>1199</x:v>
      </x:c>
      <x:c r="I1959" s="7" t="n">
        <x:v>87</x:v>
      </x:c>
      <x:c r="J1959" s="9" t="n">
        <x:v>20.1</x:v>
      </x:c>
      <x:c r="K1959" s="9" t="n">
        <x:v>7.5</x:v>
      </x:c>
      <x:c r="L1959" s="7" t="n">
        <x:v>2023</x:v>
      </x:c>
      <x:c r="M1959" s="11" t="n">
        <x:v>54459</x:v>
      </x:c>
      <x:c r="N1959" s="7" t="n">
        <x:v>2</x:v>
      </x:c>
      <x:c r="O1959" s="7" t="n">
        <x:v>0</x:v>
      </x:c>
      <x:c r="P1959" s="9" t="n">
        <x:v>4.47</x:v>
      </x:c>
      <x:c r="Q1959" s="7" t="n">
        <x:f>'Guide'!$B$5-L1959</x:f>
        <x:v>3</x:v>
      </x:c>
      <x:c r="R1959" s="9" t="n">
        <x:f>K1959-P1959</x:f>
        <x:v>3.0300000000000002</x:v>
      </x:c>
      <x:c r="S1959" s="10" t="n">
        <x:f>IF(K1959&gt;0,R1959/K1959,"")</x:f>
        <x:v>0.404</x:v>
      </x:c>
    </x:row>
    <x:row r="1960">
      <x:c r="A1960" s="7" t="n">
        <x:v>1956</x:v>
      </x:c>
      <x:c r="B1960" s="7" t="str">
        <x:v>Tata</x:v>
      </x:c>
      <x:c r="C1960" s="7" t="str">
        <x:v>Punch</x:v>
      </x:c>
      <x:c r="D1960" s="7" t="str">
        <x:v>Pure</x:v>
      </x:c>
      <x:c r="E1960" s="7" t="str">
        <x:v>Petrol</x:v>
      </x:c>
      <x:c r="F1960" s="7" t="str">
        <x:v>Manual</x:v>
      </x:c>
      <x:c r="G1960" s="7" t="str">
        <x:v>Micro SUV</x:v>
      </x:c>
      <x:c r="H1960" s="7" t="n">
        <x:v>1199</x:v>
      </x:c>
      <x:c r="I1960" s="7" t="n">
        <x:v>87</x:v>
      </x:c>
      <x:c r="J1960" s="9" t="n">
        <x:v>20.1</x:v>
      </x:c>
      <x:c r="K1960" s="9" t="n">
        <x:v>7.5</x:v>
      </x:c>
      <x:c r="L1960" s="7" t="n">
        <x:v>2026</x:v>
      </x:c>
      <x:c r="M1960" s="11" t="n">
        <x:v>9704</x:v>
      </x:c>
      <x:c r="N1960" s="7" t="n">
        <x:v>1</x:v>
      </x:c>
      <x:c r="O1960" s="7" t="n">
        <x:v>0</x:v>
      </x:c>
      <x:c r="P1960" s="9" t="n">
        <x:v>7.16</x:v>
      </x:c>
      <x:c r="Q1960" s="7" t="n">
        <x:f>'Guide'!$B$5-L1960</x:f>
        <x:v>0</x:v>
      </x:c>
      <x:c r="R1960" s="9" t="n">
        <x:f>K1960-P1960</x:f>
        <x:v>0.33999999999999986</x:v>
      </x:c>
      <x:c r="S1960" s="10" t="n">
        <x:f>IF(K1960&gt;0,R1960/K1960,"")</x:f>
        <x:v>0.045333333333333316</x:v>
      </x:c>
    </x:row>
    <x:row r="1961">
      <x:c r="A1961" s="7" t="n">
        <x:v>1957</x:v>
      </x:c>
      <x:c r="B1961" s="7" t="str">
        <x:v>Tata</x:v>
      </x:c>
      <x:c r="C1961" s="7" t="str">
        <x:v>Punch</x:v>
      </x:c>
      <x:c r="D1961" s="7" t="str">
        <x:v>Pure</x:v>
      </x:c>
      <x:c r="E1961" s="7" t="str">
        <x:v>Petrol</x:v>
      </x:c>
      <x:c r="F1961" s="7" t="str">
        <x:v>Manual</x:v>
      </x:c>
      <x:c r="G1961" s="7" t="str">
        <x:v>Micro SUV</x:v>
      </x:c>
      <x:c r="H1961" s="7" t="n">
        <x:v>1199</x:v>
      </x:c>
      <x:c r="I1961" s="7" t="n">
        <x:v>87</x:v>
      </x:c>
      <x:c r="J1961" s="9" t="n">
        <x:v>20.1</x:v>
      </x:c>
      <x:c r="K1961" s="9" t="n">
        <x:v>7.5</x:v>
      </x:c>
      <x:c r="L1961" s="7" t="n">
        <x:v>2020</x:v>
      </x:c>
      <x:c r="M1961" s="11" t="n">
        <x:v>115008</x:v>
      </x:c>
      <x:c r="N1961" s="7" t="n">
        <x:v>1</x:v>
      </x:c>
      <x:c r="O1961" s="7" t="n">
        <x:v>1</x:v>
      </x:c>
      <x:c r="P1961" s="9" t="n">
        <x:v>1.82</x:v>
      </x:c>
      <x:c r="Q1961" s="7" t="n">
        <x:f>'Guide'!$B$5-L1961</x:f>
        <x:v>6</x:v>
      </x:c>
      <x:c r="R1961" s="9" t="n">
        <x:f>K1961-P1961</x:f>
        <x:v>5.68</x:v>
      </x:c>
      <x:c r="S1961" s="10" t="n">
        <x:f>IF(K1961&gt;0,R1961/K1961,"")</x:f>
        <x:v>0.7573333333333333</x:v>
      </x:c>
    </x:row>
    <x:row r="1962">
      <x:c r="A1962" s="7" t="n">
        <x:v>1958</x:v>
      </x:c>
      <x:c r="B1962" s="7" t="str">
        <x:v>Tata</x:v>
      </x:c>
      <x:c r="C1962" s="7" t="str">
        <x:v>Punch</x:v>
      </x:c>
      <x:c r="D1962" s="7" t="str">
        <x:v>Pure</x:v>
      </x:c>
      <x:c r="E1962" s="7" t="str">
        <x:v>Petrol</x:v>
      </x:c>
      <x:c r="F1962" s="7" t="str">
        <x:v>Manual</x:v>
      </x:c>
      <x:c r="G1962" s="7" t="str">
        <x:v>Micro SUV</x:v>
      </x:c>
      <x:c r="H1962" s="7" t="n">
        <x:v>1199</x:v>
      </x:c>
      <x:c r="I1962" s="7" t="n">
        <x:v>87</x:v>
      </x:c>
      <x:c r="J1962" s="9" t="n">
        <x:v>20.1</x:v>
      </x:c>
      <x:c r="K1962" s="9" t="n">
        <x:v>7.5</x:v>
      </x:c>
      <x:c r="L1962" s="7" t="n">
        <x:v>2023</x:v>
      </x:c>
      <x:c r="M1962" s="11" t="n">
        <x:v>37558</x:v>
      </x:c>
      <x:c r="N1962" s="7" t="n">
        <x:v>2</x:v>
      </x:c>
      <x:c r="O1962" s="7" t="n">
        <x:v>0</x:v>
      </x:c>
      <x:c r="P1962" s="9" t="n">
        <x:v>5.04</x:v>
      </x:c>
      <x:c r="Q1962" s="7" t="n">
        <x:f>'Guide'!$B$5-L1962</x:f>
        <x:v>3</x:v>
      </x:c>
      <x:c r="R1962" s="9" t="n">
        <x:f>K1962-P1962</x:f>
        <x:v>2.46</x:v>
      </x:c>
      <x:c r="S1962" s="10" t="n">
        <x:f>IF(K1962&gt;0,R1962/K1962,"")</x:f>
        <x:v>0.328</x:v>
      </x:c>
    </x:row>
    <x:row r="1963">
      <x:c r="A1963" s="7" t="n">
        <x:v>1959</x:v>
      </x:c>
      <x:c r="B1963" s="7" t="str">
        <x:v>Tata</x:v>
      </x:c>
      <x:c r="C1963" s="7" t="str">
        <x:v>Punch</x:v>
      </x:c>
      <x:c r="D1963" s="7" t="str">
        <x:v>Pure</x:v>
      </x:c>
      <x:c r="E1963" s="7" t="str">
        <x:v>Petrol</x:v>
      </x:c>
      <x:c r="F1963" s="7" t="str">
        <x:v>Manual</x:v>
      </x:c>
      <x:c r="G1963" s="7" t="str">
        <x:v>Micro SUV</x:v>
      </x:c>
      <x:c r="H1963" s="7" t="n">
        <x:v>1199</x:v>
      </x:c>
      <x:c r="I1963" s="7" t="n">
        <x:v>87</x:v>
      </x:c>
      <x:c r="J1963" s="9" t="n">
        <x:v>20.1</x:v>
      </x:c>
      <x:c r="K1963" s="9" t="n">
        <x:v>7.5</x:v>
      </x:c>
      <x:c r="L1963" s="7" t="n">
        <x:v>2022</x:v>
      </x:c>
      <x:c r="M1963" s="11" t="n">
        <x:v>87054</x:v>
      </x:c>
      <x:c r="N1963" s="7" t="n">
        <x:v>2</x:v>
      </x:c>
      <x:c r="O1963" s="7" t="n">
        <x:v>0</x:v>
      </x:c>
      <x:c r="P1963" s="9" t="n">
        <x:v>3.71</x:v>
      </x:c>
      <x:c r="Q1963" s="7" t="n">
        <x:f>'Guide'!$B$5-L1963</x:f>
        <x:v>4</x:v>
      </x:c>
      <x:c r="R1963" s="9" t="n">
        <x:f>K1963-P1963</x:f>
        <x:v>3.79</x:v>
      </x:c>
      <x:c r="S1963" s="10" t="n">
        <x:f>IF(K1963&gt;0,R1963/K1963,"")</x:f>
        <x:v>0.5053333333333333</x:v>
      </x:c>
    </x:row>
    <x:row r="1964">
      <x:c r="A1964" s="7" t="n">
        <x:v>1960</x:v>
      </x:c>
      <x:c r="B1964" s="7" t="str">
        <x:v>Tata</x:v>
      </x:c>
      <x:c r="C1964" s="7" t="str">
        <x:v>Punch</x:v>
      </x:c>
      <x:c r="D1964" s="7" t="str">
        <x:v>Pure</x:v>
      </x:c>
      <x:c r="E1964" s="7" t="str">
        <x:v>Petrol</x:v>
      </x:c>
      <x:c r="F1964" s="7" t="str">
        <x:v>Manual</x:v>
      </x:c>
      <x:c r="G1964" s="7" t="str">
        <x:v>Micro SUV</x:v>
      </x:c>
      <x:c r="H1964" s="7" t="n">
        <x:v>1199</x:v>
      </x:c>
      <x:c r="I1964" s="7" t="n">
        <x:v>87</x:v>
      </x:c>
      <x:c r="J1964" s="9" t="n">
        <x:v>20.1</x:v>
      </x:c>
      <x:c r="K1964" s="9" t="n">
        <x:v>7.5</x:v>
      </x:c>
      <x:c r="L1964" s="7" t="n">
        <x:v>2021</x:v>
      </x:c>
      <x:c r="M1964" s="11" t="n">
        <x:v>94192</x:v>
      </x:c>
      <x:c r="N1964" s="7" t="n">
        <x:v>1</x:v>
      </x:c>
      <x:c r="O1964" s="7" t="n">
        <x:v>0</x:v>
      </x:c>
      <x:c r="P1964" s="9" t="n">
        <x:v>3.35</x:v>
      </x:c>
      <x:c r="Q1964" s="7" t="n">
        <x:f>'Guide'!$B$5-L1964</x:f>
        <x:v>5</x:v>
      </x:c>
      <x:c r="R1964" s="9" t="n">
        <x:f>K1964-P1964</x:f>
        <x:v>4.15</x:v>
      </x:c>
      <x:c r="S1964" s="10" t="n">
        <x:f>IF(K1964&gt;0,R1964/K1964,"")</x:f>
        <x:v>0.5533333333333333</x:v>
      </x:c>
    </x:row>
    <x:row r="1965">
      <x:c r="A1965" s="7" t="n">
        <x:v>1961</x:v>
      </x:c>
      <x:c r="B1965" s="7" t="str">
        <x:v>Tata</x:v>
      </x:c>
      <x:c r="C1965" s="7" t="str">
        <x:v>Punch</x:v>
      </x:c>
      <x:c r="D1965" s="7" t="str">
        <x:v>Pure</x:v>
      </x:c>
      <x:c r="E1965" s="7" t="str">
        <x:v>Petrol</x:v>
      </x:c>
      <x:c r="F1965" s="7" t="str">
        <x:v>Manual</x:v>
      </x:c>
      <x:c r="G1965" s="7" t="str">
        <x:v>Micro SUV</x:v>
      </x:c>
      <x:c r="H1965" s="7" t="n">
        <x:v>1199</x:v>
      </x:c>
      <x:c r="I1965" s="7" t="n">
        <x:v>87</x:v>
      </x:c>
      <x:c r="J1965" s="9" t="n">
        <x:v>20.1</x:v>
      </x:c>
      <x:c r="K1965" s="9" t="n">
        <x:v>7.5</x:v>
      </x:c>
      <x:c r="L1965" s="7" t="n">
        <x:v>2020</x:v>
      </x:c>
      <x:c r="M1965" s="11" t="n">
        <x:v>125411</x:v>
      </x:c>
      <x:c r="N1965" s="7" t="n">
        <x:v>1</x:v>
      </x:c>
      <x:c r="O1965" s="7" t="n">
        <x:v>0</x:v>
      </x:c>
      <x:c r="P1965" s="9" t="n">
        <x:v>2.85</x:v>
      </x:c>
      <x:c r="Q1965" s="7" t="n">
        <x:f>'Guide'!$B$5-L1965</x:f>
        <x:v>6</x:v>
      </x:c>
      <x:c r="R1965" s="9" t="n">
        <x:f>K1965-P1965</x:f>
        <x:v>4.65</x:v>
      </x:c>
      <x:c r="S1965" s="10" t="n">
        <x:f>IF(K1965&gt;0,R1965/K1965,"")</x:f>
        <x:v>0.62</x:v>
      </x:c>
    </x:row>
    <x:row r="1966">
      <x:c r="A1966" s="7" t="n">
        <x:v>1962</x:v>
      </x:c>
      <x:c r="B1966" s="7" t="str">
        <x:v>Tata</x:v>
      </x:c>
      <x:c r="C1966" s="7" t="str">
        <x:v>Punch</x:v>
      </x:c>
      <x:c r="D1966" s="7" t="str">
        <x:v>Pure</x:v>
      </x:c>
      <x:c r="E1966" s="7" t="str">
        <x:v>Petrol</x:v>
      </x:c>
      <x:c r="F1966" s="7" t="str">
        <x:v>Manual</x:v>
      </x:c>
      <x:c r="G1966" s="7" t="str">
        <x:v>Micro SUV</x:v>
      </x:c>
      <x:c r="H1966" s="7" t="n">
        <x:v>1199</x:v>
      </x:c>
      <x:c r="I1966" s="7" t="n">
        <x:v>87</x:v>
      </x:c>
      <x:c r="J1966" s="9" t="n">
        <x:v>20.1</x:v>
      </x:c>
      <x:c r="K1966" s="9" t="n">
        <x:v>7.5</x:v>
      </x:c>
      <x:c r="L1966" s="7" t="n">
        <x:v>2026</x:v>
      </x:c>
      <x:c r="M1966" s="11" t="n">
        <x:v>8727</x:v>
      </x:c>
      <x:c r="N1966" s="7" t="n">
        <x:v>1</x:v>
      </x:c>
      <x:c r="O1966" s="7" t="n">
        <x:v>0</x:v>
      </x:c>
      <x:c r="P1966" s="9" t="n">
        <x:v>7.46</x:v>
      </x:c>
      <x:c r="Q1966" s="7" t="n">
        <x:f>'Guide'!$B$5-L1966</x:f>
        <x:v>0</x:v>
      </x:c>
      <x:c r="R1966" s="9" t="n">
        <x:f>K1966-P1966</x:f>
        <x:v>0.040000000000000036</x:v>
      </x:c>
      <x:c r="S1966" s="10" t="n">
        <x:f>IF(K1966&gt;0,R1966/K1966,"")</x:f>
        <x:v>0.005333333333333338</x:v>
      </x:c>
    </x:row>
    <x:row r="1967">
      <x:c r="A1967" s="7" t="n">
        <x:v>1963</x:v>
      </x:c>
      <x:c r="B1967" s="7" t="str">
        <x:v>Tata</x:v>
      </x:c>
      <x:c r="C1967" s="7" t="str">
        <x:v>Punch</x:v>
      </x:c>
      <x:c r="D1967" s="7" t="str">
        <x:v>Pure</x:v>
      </x:c>
      <x:c r="E1967" s="7" t="str">
        <x:v>Petrol</x:v>
      </x:c>
      <x:c r="F1967" s="7" t="str">
        <x:v>Manual</x:v>
      </x:c>
      <x:c r="G1967" s="7" t="str">
        <x:v>Micro SUV</x:v>
      </x:c>
      <x:c r="H1967" s="7" t="n">
        <x:v>1199</x:v>
      </x:c>
      <x:c r="I1967" s="7" t="n">
        <x:v>87</x:v>
      </x:c>
      <x:c r="J1967" s="9" t="n">
        <x:v>20.1</x:v>
      </x:c>
      <x:c r="K1967" s="9" t="n">
        <x:v>7.5</x:v>
      </x:c>
      <x:c r="L1967" s="7" t="n">
        <x:v>2021</x:v>
      </x:c>
      <x:c r="M1967" s="11" t="n">
        <x:v>90014</x:v>
      </x:c>
      <x:c r="N1967" s="7" t="n">
        <x:v>1</x:v>
      </x:c>
      <x:c r="O1967" s="7" t="n">
        <x:v>0</x:v>
      </x:c>
      <x:c r="P1967" s="9" t="n">
        <x:v>3.74</x:v>
      </x:c>
      <x:c r="Q1967" s="7" t="n">
        <x:f>'Guide'!$B$5-L1967</x:f>
        <x:v>5</x:v>
      </x:c>
      <x:c r="R1967" s="9" t="n">
        <x:f>K1967-P1967</x:f>
        <x:v>3.76</x:v>
      </x:c>
      <x:c r="S1967" s="10" t="n">
        <x:f>IF(K1967&gt;0,R1967/K1967,"")</x:f>
        <x:v>0.5013333333333333</x:v>
      </x:c>
    </x:row>
    <x:row r="1968">
      <x:c r="A1968" s="7" t="n">
        <x:v>1964</x:v>
      </x:c>
      <x:c r="B1968" s="7" t="str">
        <x:v>Tata</x:v>
      </x:c>
      <x:c r="C1968" s="7" t="str">
        <x:v>Punch</x:v>
      </x:c>
      <x:c r="D1968" s="7" t="str">
        <x:v>Pure</x:v>
      </x:c>
      <x:c r="E1968" s="7" t="str">
        <x:v>Petrol</x:v>
      </x:c>
      <x:c r="F1968" s="7" t="str">
        <x:v>Manual</x:v>
      </x:c>
      <x:c r="G1968" s="7" t="str">
        <x:v>Micro SUV</x:v>
      </x:c>
      <x:c r="H1968" s="7" t="n">
        <x:v>1199</x:v>
      </x:c>
      <x:c r="I1968" s="7" t="n">
        <x:v>87</x:v>
      </x:c>
      <x:c r="J1968" s="9" t="n">
        <x:v>20.1</x:v>
      </x:c>
      <x:c r="K1968" s="9" t="n">
        <x:v>7.5</x:v>
      </x:c>
      <x:c r="L1968" s="7" t="n">
        <x:v>2021</x:v>
      </x:c>
      <x:c r="M1968" s="11" t="n">
        <x:v>98266</x:v>
      </x:c>
      <x:c r="N1968" s="7" t="n">
        <x:v>1</x:v>
      </x:c>
      <x:c r="O1968" s="7" t="n">
        <x:v>1</x:v>
      </x:c>
      <x:c r="P1968" s="9" t="n">
        <x:v>3.12</x:v>
      </x:c>
      <x:c r="Q1968" s="7" t="n">
        <x:f>'Guide'!$B$5-L1968</x:f>
        <x:v>5</x:v>
      </x:c>
      <x:c r="R1968" s="9" t="n">
        <x:f>K1968-P1968</x:f>
        <x:v>4.38</x:v>
      </x:c>
      <x:c r="S1968" s="10" t="n">
        <x:f>IF(K1968&gt;0,R1968/K1968,"")</x:f>
        <x:v>0.584</x:v>
      </x:c>
    </x:row>
    <x:row r="1969">
      <x:c r="A1969" s="7" t="n">
        <x:v>1965</x:v>
      </x:c>
      <x:c r="B1969" s="7" t="str">
        <x:v>Tata</x:v>
      </x:c>
      <x:c r="C1969" s="7" t="str">
        <x:v>Punch</x:v>
      </x:c>
      <x:c r="D1969" s="7" t="str">
        <x:v>Pure</x:v>
      </x:c>
      <x:c r="E1969" s="7" t="str">
        <x:v>Petrol</x:v>
      </x:c>
      <x:c r="F1969" s="7" t="str">
        <x:v>Manual</x:v>
      </x:c>
      <x:c r="G1969" s="7" t="str">
        <x:v>Micro SUV</x:v>
      </x:c>
      <x:c r="H1969" s="7" t="n">
        <x:v>1199</x:v>
      </x:c>
      <x:c r="I1969" s="7" t="n">
        <x:v>87</x:v>
      </x:c>
      <x:c r="J1969" s="9" t="n">
        <x:v>20.1</x:v>
      </x:c>
      <x:c r="K1969" s="9" t="n">
        <x:v>7.5</x:v>
      </x:c>
      <x:c r="L1969" s="7" t="n">
        <x:v>2022</x:v>
      </x:c>
      <x:c r="M1969" s="11" t="n">
        <x:v>80095</x:v>
      </x:c>
      <x:c r="N1969" s="7" t="n">
        <x:v>1</x:v>
      </x:c>
      <x:c r="O1969" s="7" t="n">
        <x:v>0</x:v>
      </x:c>
      <x:c r="P1969" s="9" t="n">
        <x:v>4.31</x:v>
      </x:c>
      <x:c r="Q1969" s="7" t="n">
        <x:f>'Guide'!$B$5-L1969</x:f>
        <x:v>4</x:v>
      </x:c>
      <x:c r="R1969" s="9" t="n">
        <x:f>K1969-P1969</x:f>
        <x:v>3.1900000000000004</x:v>
      </x:c>
      <x:c r="S1969" s="10" t="n">
        <x:f>IF(K1969&gt;0,R1969/K1969,"")</x:f>
        <x:v>0.4253333333333334</x:v>
      </x:c>
    </x:row>
    <x:row r="1970">
      <x:c r="A1970" s="7" t="n">
        <x:v>1966</x:v>
      </x:c>
      <x:c r="B1970" s="7" t="str">
        <x:v>Tata</x:v>
      </x:c>
      <x:c r="C1970" s="7" t="str">
        <x:v>Punch</x:v>
      </x:c>
      <x:c r="D1970" s="7" t="str">
        <x:v>Pure</x:v>
      </x:c>
      <x:c r="E1970" s="7" t="str">
        <x:v>Petrol</x:v>
      </x:c>
      <x:c r="F1970" s="7" t="str">
        <x:v>Manual</x:v>
      </x:c>
      <x:c r="G1970" s="7" t="str">
        <x:v>Micro SUV</x:v>
      </x:c>
      <x:c r="H1970" s="7" t="n">
        <x:v>1199</x:v>
      </x:c>
      <x:c r="I1970" s="7" t="n">
        <x:v>87</x:v>
      </x:c>
      <x:c r="J1970" s="9" t="n">
        <x:v>20.1</x:v>
      </x:c>
      <x:c r="K1970" s="9" t="n">
        <x:v>7.5</x:v>
      </x:c>
      <x:c r="L1970" s="7" t="n">
        <x:v>2025</x:v>
      </x:c>
      <x:c r="M1970" s="11" t="n">
        <x:v>18699</x:v>
      </x:c>
      <x:c r="N1970" s="7" t="n">
        <x:v>1</x:v>
      </x:c>
      <x:c r="O1970" s="7" t="n">
        <x:v>0</x:v>
      </x:c>
      <x:c r="P1970" s="9" t="n">
        <x:v>7.04</x:v>
      </x:c>
      <x:c r="Q1970" s="7" t="n">
        <x:f>'Guide'!$B$5-L1970</x:f>
        <x:v>1</x:v>
      </x:c>
      <x:c r="R1970" s="9" t="n">
        <x:f>K1970-P1970</x:f>
        <x:v>0.45999999999999996</x:v>
      </x:c>
      <x:c r="S1970" s="10" t="n">
        <x:f>IF(K1970&gt;0,R1970/K1970,"")</x:f>
        <x:v>0.06133333333333333</x:v>
      </x:c>
    </x:row>
    <x:row r="1971">
      <x:c r="A1971" s="7" t="n">
        <x:v>1967</x:v>
      </x:c>
      <x:c r="B1971" s="7" t="str">
        <x:v>Tata</x:v>
      </x:c>
      <x:c r="C1971" s="7" t="str">
        <x:v>Punch</x:v>
      </x:c>
      <x:c r="D1971" s="7" t="str">
        <x:v>Pure</x:v>
      </x:c>
      <x:c r="E1971" s="7" t="str">
        <x:v>Petrol</x:v>
      </x:c>
      <x:c r="F1971" s="7" t="str">
        <x:v>Manual</x:v>
      </x:c>
      <x:c r="G1971" s="7" t="str">
        <x:v>Micro SUV</x:v>
      </x:c>
      <x:c r="H1971" s="7" t="n">
        <x:v>1199</x:v>
      </x:c>
      <x:c r="I1971" s="7" t="n">
        <x:v>87</x:v>
      </x:c>
      <x:c r="J1971" s="9" t="n">
        <x:v>20.1</x:v>
      </x:c>
      <x:c r="K1971" s="9" t="n">
        <x:v>7.5</x:v>
      </x:c>
      <x:c r="L1971" s="7" t="n">
        <x:v>2026</x:v>
      </x:c>
      <x:c r="M1971" s="11" t="n">
        <x:v>8695</x:v>
      </x:c>
      <x:c r="N1971" s="7" t="n">
        <x:v>1</x:v>
      </x:c>
      <x:c r="O1971" s="7" t="n">
        <x:v>0</x:v>
      </x:c>
      <x:c r="P1971" s="9" t="n">
        <x:v>7.5</x:v>
      </x:c>
      <x:c r="Q1971" s="7" t="n">
        <x:f>'Guide'!$B$5-L1971</x:f>
        <x:v>0</x:v>
      </x:c>
      <x:c r="R1971" s="9" t="n">
        <x:f>K1971-P1971</x:f>
        <x:v>0</x:v>
      </x:c>
      <x:c r="S1971" s="10" t="n">
        <x:f>IF(K1971&gt;0,R1971/K1971,"")</x:f>
        <x:v>0</x:v>
      </x:c>
    </x:row>
    <x:row r="1972">
      <x:c r="A1972" s="7" t="n">
        <x:v>1968</x:v>
      </x:c>
      <x:c r="B1972" s="7" t="str">
        <x:v>Tata</x:v>
      </x:c>
      <x:c r="C1972" s="7" t="str">
        <x:v>Punch</x:v>
      </x:c>
      <x:c r="D1972" s="7" t="str">
        <x:v>Pure</x:v>
      </x:c>
      <x:c r="E1972" s="7" t="str">
        <x:v>Petrol</x:v>
      </x:c>
      <x:c r="F1972" s="7" t="str">
        <x:v>Manual</x:v>
      </x:c>
      <x:c r="G1972" s="7" t="str">
        <x:v>Micro SUV</x:v>
      </x:c>
      <x:c r="H1972" s="7" t="n">
        <x:v>1199</x:v>
      </x:c>
      <x:c r="I1972" s="7" t="n">
        <x:v>87</x:v>
      </x:c>
      <x:c r="J1972" s="9" t="n">
        <x:v>20.1</x:v>
      </x:c>
      <x:c r="K1972" s="9" t="n">
        <x:v>7.5</x:v>
      </x:c>
      <x:c r="L1972" s="7" t="n">
        <x:v>2022</x:v>
      </x:c>
      <x:c r="M1972" s="11" t="n">
        <x:v>51615</x:v>
      </x:c>
      <x:c r="N1972" s="7" t="n">
        <x:v>1</x:v>
      </x:c>
      <x:c r="O1972" s="7" t="n">
        <x:v>0</x:v>
      </x:c>
      <x:c r="P1972" s="9" t="n">
        <x:v>4.94</x:v>
      </x:c>
      <x:c r="Q1972" s="7" t="n">
        <x:f>'Guide'!$B$5-L1972</x:f>
        <x:v>4</x:v>
      </x:c>
      <x:c r="R1972" s="9" t="n">
        <x:f>K1972-P1972</x:f>
        <x:v>2.5599999999999996</x:v>
      </x:c>
      <x:c r="S1972" s="10" t="n">
        <x:f>IF(K1972&gt;0,R1972/K1972,"")</x:f>
        <x:v>0.34133333333333327</x:v>
      </x:c>
    </x:row>
    <x:row r="1973">
      <x:c r="A1973" s="7" t="n">
        <x:v>1969</x:v>
      </x:c>
      <x:c r="B1973" s="7" t="str">
        <x:v>Tata</x:v>
      </x:c>
      <x:c r="C1973" s="7" t="str">
        <x:v>Punch</x:v>
      </x:c>
      <x:c r="D1973" s="7" t="str">
        <x:v>Pure</x:v>
      </x:c>
      <x:c r="E1973" s="7" t="str">
        <x:v>Petrol</x:v>
      </x:c>
      <x:c r="F1973" s="7" t="str">
        <x:v>Manual</x:v>
      </x:c>
      <x:c r="G1973" s="7" t="str">
        <x:v>Micro SUV</x:v>
      </x:c>
      <x:c r="H1973" s="7" t="n">
        <x:v>1199</x:v>
      </x:c>
      <x:c r="I1973" s="7" t="n">
        <x:v>87</x:v>
      </x:c>
      <x:c r="J1973" s="9" t="n">
        <x:v>20.1</x:v>
      </x:c>
      <x:c r="K1973" s="9" t="n">
        <x:v>7.5</x:v>
      </x:c>
      <x:c r="L1973" s="7" t="n">
        <x:v>2023</x:v>
      </x:c>
      <x:c r="M1973" s="11" t="n">
        <x:v>39948</x:v>
      </x:c>
      <x:c r="N1973" s="7" t="n">
        <x:v>1</x:v>
      </x:c>
      <x:c r="O1973" s="7" t="n">
        <x:v>0</x:v>
      </x:c>
      <x:c r="P1973" s="9" t="n">
        <x:v>5.03</x:v>
      </x:c>
      <x:c r="Q1973" s="7" t="n">
        <x:f>'Guide'!$B$5-L1973</x:f>
        <x:v>3</x:v>
      </x:c>
      <x:c r="R1973" s="9" t="n">
        <x:f>K1973-P1973</x:f>
        <x:v>2.4699999999999998</x:v>
      </x:c>
      <x:c r="S1973" s="10" t="n">
        <x:f>IF(K1973&gt;0,R1973/K1973,"")</x:f>
        <x:v>0.3293333333333333</x:v>
      </x:c>
    </x:row>
    <x:row r="1974">
      <x:c r="A1974" s="7" t="n">
        <x:v>1970</x:v>
      </x:c>
      <x:c r="B1974" s="7" t="str">
        <x:v>Tata</x:v>
      </x:c>
      <x:c r="C1974" s="7" t="str">
        <x:v>Punch</x:v>
      </x:c>
      <x:c r="D1974" s="7" t="str">
        <x:v>Pure</x:v>
      </x:c>
      <x:c r="E1974" s="7" t="str">
        <x:v>Petrol</x:v>
      </x:c>
      <x:c r="F1974" s="7" t="str">
        <x:v>Manual</x:v>
      </x:c>
      <x:c r="G1974" s="7" t="str">
        <x:v>Micro SUV</x:v>
      </x:c>
      <x:c r="H1974" s="7" t="n">
        <x:v>1199</x:v>
      </x:c>
      <x:c r="I1974" s="7" t="n">
        <x:v>87</x:v>
      </x:c>
      <x:c r="J1974" s="9" t="n">
        <x:v>20.1</x:v>
      </x:c>
      <x:c r="K1974" s="9" t="n">
        <x:v>7.5</x:v>
      </x:c>
      <x:c r="L1974" s="7" t="n">
        <x:v>2023</x:v>
      </x:c>
      <x:c r="M1974" s="11" t="n">
        <x:v>56963</x:v>
      </x:c>
      <x:c r="N1974" s="7" t="n">
        <x:v>1</x:v>
      </x:c>
      <x:c r="O1974" s="7" t="n">
        <x:v>0</x:v>
      </x:c>
      <x:c r="P1974" s="9" t="n">
        <x:v>5.44</x:v>
      </x:c>
      <x:c r="Q1974" s="7" t="n">
        <x:f>'Guide'!$B$5-L1974</x:f>
        <x:v>3</x:v>
      </x:c>
      <x:c r="R1974" s="9" t="n">
        <x:f>K1974-P1974</x:f>
        <x:v>2.0599999999999996</x:v>
      </x:c>
      <x:c r="S1974" s="10" t="n">
        <x:f>IF(K1974&gt;0,R1974/K1974,"")</x:f>
        <x:v>0.2746666666666666</x:v>
      </x:c>
    </x:row>
    <x:row r="1975">
      <x:c r="A1975" s="7" t="n">
        <x:v>1971</x:v>
      </x:c>
      <x:c r="B1975" s="7" t="str">
        <x:v>Tata</x:v>
      </x:c>
      <x:c r="C1975" s="7" t="str">
        <x:v>Punch</x:v>
      </x:c>
      <x:c r="D1975" s="7" t="str">
        <x:v>Pure</x:v>
      </x:c>
      <x:c r="E1975" s="7" t="str">
        <x:v>Petrol</x:v>
      </x:c>
      <x:c r="F1975" s="7" t="str">
        <x:v>Manual</x:v>
      </x:c>
      <x:c r="G1975" s="7" t="str">
        <x:v>Micro SUV</x:v>
      </x:c>
      <x:c r="H1975" s="7" t="n">
        <x:v>1199</x:v>
      </x:c>
      <x:c r="I1975" s="7" t="n">
        <x:v>87</x:v>
      </x:c>
      <x:c r="J1975" s="9" t="n">
        <x:v>20.1</x:v>
      </x:c>
      <x:c r="K1975" s="9" t="n">
        <x:v>7.5</x:v>
      </x:c>
      <x:c r="L1975" s="7" t="n">
        <x:v>2021</x:v>
      </x:c>
      <x:c r="M1975" s="11" t="n">
        <x:v>90453</x:v>
      </x:c>
      <x:c r="N1975" s="7" t="n">
        <x:v>1</x:v>
      </x:c>
      <x:c r="O1975" s="7" t="n">
        <x:v>0</x:v>
      </x:c>
      <x:c r="P1975" s="9" t="n">
        <x:v>3.65</x:v>
      </x:c>
      <x:c r="Q1975" s="7" t="n">
        <x:f>'Guide'!$B$5-L1975</x:f>
        <x:v>5</x:v>
      </x:c>
      <x:c r="R1975" s="9" t="n">
        <x:f>K1975-P1975</x:f>
        <x:v>3.85</x:v>
      </x:c>
      <x:c r="S1975" s="10" t="n">
        <x:f>IF(K1975&gt;0,R1975/K1975,"")</x:f>
        <x:v>0.5133333333333333</x:v>
      </x:c>
    </x:row>
    <x:row r="1976">
      <x:c r="A1976" s="7" t="n">
        <x:v>1972</x:v>
      </x:c>
      <x:c r="B1976" s="7" t="str">
        <x:v>Tata</x:v>
      </x:c>
      <x:c r="C1976" s="7" t="str">
        <x:v>Punch</x:v>
      </x:c>
      <x:c r="D1976" s="7" t="str">
        <x:v>Pure</x:v>
      </x:c>
      <x:c r="E1976" s="7" t="str">
        <x:v>Petrol</x:v>
      </x:c>
      <x:c r="F1976" s="7" t="str">
        <x:v>Manual</x:v>
      </x:c>
      <x:c r="G1976" s="7" t="str">
        <x:v>Micro SUV</x:v>
      </x:c>
      <x:c r="H1976" s="7" t="n">
        <x:v>1199</x:v>
      </x:c>
      <x:c r="I1976" s="7" t="n">
        <x:v>87</x:v>
      </x:c>
      <x:c r="J1976" s="9" t="n">
        <x:v>20.1</x:v>
      </x:c>
      <x:c r="K1976" s="9" t="n">
        <x:v>7.5</x:v>
      </x:c>
      <x:c r="L1976" s="7" t="n">
        <x:v>2020</x:v>
      </x:c>
      <x:c r="M1976" s="11" t="n">
        <x:v>113013</x:v>
      </x:c>
      <x:c r="N1976" s="7" t="n">
        <x:v>1</x:v>
      </x:c>
      <x:c r="O1976" s="7" t="n">
        <x:v>1</x:v>
      </x:c>
      <x:c r="P1976" s="9" t="n">
        <x:v>2.07</x:v>
      </x:c>
      <x:c r="Q1976" s="7" t="n">
        <x:f>'Guide'!$B$5-L1976</x:f>
        <x:v>6</x:v>
      </x:c>
      <x:c r="R1976" s="9" t="n">
        <x:f>K1976-P1976</x:f>
        <x:v>5.43</x:v>
      </x:c>
      <x:c r="S1976" s="10" t="n">
        <x:f>IF(K1976&gt;0,R1976/K1976,"")</x:f>
        <x:v>0.724</x:v>
      </x:c>
    </x:row>
    <x:row r="1977">
      <x:c r="A1977" s="7" t="n">
        <x:v>1973</x:v>
      </x:c>
      <x:c r="B1977" s="7" t="str">
        <x:v>Tata</x:v>
      </x:c>
      <x:c r="C1977" s="7" t="str">
        <x:v>Punch</x:v>
      </x:c>
      <x:c r="D1977" s="7" t="str">
        <x:v>Pure</x:v>
      </x:c>
      <x:c r="E1977" s="7" t="str">
        <x:v>Petrol</x:v>
      </x:c>
      <x:c r="F1977" s="7" t="str">
        <x:v>Manual</x:v>
      </x:c>
      <x:c r="G1977" s="7" t="str">
        <x:v>Micro SUV</x:v>
      </x:c>
      <x:c r="H1977" s="7" t="n">
        <x:v>1199</x:v>
      </x:c>
      <x:c r="I1977" s="7" t="n">
        <x:v>87</x:v>
      </x:c>
      <x:c r="J1977" s="9" t="n">
        <x:v>20.1</x:v>
      </x:c>
      <x:c r="K1977" s="9" t="n">
        <x:v>7.5</x:v>
      </x:c>
      <x:c r="L1977" s="7" t="n">
        <x:v>2022</x:v>
      </x:c>
      <x:c r="M1977" s="11" t="n">
        <x:v>48761</x:v>
      </x:c>
      <x:c r="N1977" s="7" t="n">
        <x:v>2</x:v>
      </x:c>
      <x:c r="O1977" s="7" t="n">
        <x:v>0</x:v>
      </x:c>
      <x:c r="P1977" s="9" t="n">
        <x:v>4.47</x:v>
      </x:c>
      <x:c r="Q1977" s="7" t="n">
        <x:f>'Guide'!$B$5-L1977</x:f>
        <x:v>4</x:v>
      </x:c>
      <x:c r="R1977" s="9" t="n">
        <x:f>K1977-P1977</x:f>
        <x:v>3.0300000000000002</x:v>
      </x:c>
      <x:c r="S1977" s="10" t="n">
        <x:f>IF(K1977&gt;0,R1977/K1977,"")</x:f>
        <x:v>0.404</x:v>
      </x:c>
    </x:row>
    <x:row r="1978">
      <x:c r="A1978" s="7" t="n">
        <x:v>1974</x:v>
      </x:c>
      <x:c r="B1978" s="7" t="str">
        <x:v>Tata</x:v>
      </x:c>
      <x:c r="C1978" s="7" t="str">
        <x:v>Punch</x:v>
      </x:c>
      <x:c r="D1978" s="7" t="str">
        <x:v>Pure</x:v>
      </x:c>
      <x:c r="E1978" s="7" t="str">
        <x:v>Petrol</x:v>
      </x:c>
      <x:c r="F1978" s="7" t="str">
        <x:v>Manual</x:v>
      </x:c>
      <x:c r="G1978" s="7" t="str">
        <x:v>Micro SUV</x:v>
      </x:c>
      <x:c r="H1978" s="7" t="n">
        <x:v>1199</x:v>
      </x:c>
      <x:c r="I1978" s="7" t="n">
        <x:v>87</x:v>
      </x:c>
      <x:c r="J1978" s="9" t="n">
        <x:v>20.1</x:v>
      </x:c>
      <x:c r="K1978" s="9" t="n">
        <x:v>7.5</x:v>
      </x:c>
      <x:c r="L1978" s="7" t="n">
        <x:v>2026</x:v>
      </x:c>
      <x:c r="M1978" s="11" t="n">
        <x:v>4668</x:v>
      </x:c>
      <x:c r="N1978" s="7" t="n">
        <x:v>1</x:v>
      </x:c>
      <x:c r="O1978" s="7" t="n">
        <x:v>0</x:v>
      </x:c>
      <x:c r="P1978" s="9" t="n">
        <x:v>7.16</x:v>
      </x:c>
      <x:c r="Q1978" s="7" t="n">
        <x:f>'Guide'!$B$5-L1978</x:f>
        <x:v>0</x:v>
      </x:c>
      <x:c r="R1978" s="9" t="n">
        <x:f>K1978-P1978</x:f>
        <x:v>0.33999999999999986</x:v>
      </x:c>
      <x:c r="S1978" s="10" t="n">
        <x:f>IF(K1978&gt;0,R1978/K1978,"")</x:f>
        <x:v>0.045333333333333316</x:v>
      </x:c>
    </x:row>
    <x:row r="1979">
      <x:c r="A1979" s="7" t="n">
        <x:v>1975</x:v>
      </x:c>
      <x:c r="B1979" s="7" t="str">
        <x:v>Tata</x:v>
      </x:c>
      <x:c r="C1979" s="7" t="str">
        <x:v>Punch</x:v>
      </x:c>
      <x:c r="D1979" s="7" t="str">
        <x:v>Pure</x:v>
      </x:c>
      <x:c r="E1979" s="7" t="str">
        <x:v>Petrol</x:v>
      </x:c>
      <x:c r="F1979" s="7" t="str">
        <x:v>Manual</x:v>
      </x:c>
      <x:c r="G1979" s="7" t="str">
        <x:v>Micro SUV</x:v>
      </x:c>
      <x:c r="H1979" s="7" t="n">
        <x:v>1199</x:v>
      </x:c>
      <x:c r="I1979" s="7" t="n">
        <x:v>87</x:v>
      </x:c>
      <x:c r="J1979" s="9" t="n">
        <x:v>20.1</x:v>
      </x:c>
      <x:c r="K1979" s="9" t="n">
        <x:v>7.5</x:v>
      </x:c>
      <x:c r="L1979" s="7" t="n">
        <x:v>2023</x:v>
      </x:c>
      <x:c r="M1979" s="11" t="n">
        <x:v>28777</x:v>
      </x:c>
      <x:c r="N1979" s="7" t="n">
        <x:v>1</x:v>
      </x:c>
      <x:c r="O1979" s="7" t="n">
        <x:v>0</x:v>
      </x:c>
      <x:c r="P1979" s="9" t="n">
        <x:v>5.45</x:v>
      </x:c>
      <x:c r="Q1979" s="7" t="n">
        <x:f>'Guide'!$B$5-L1979</x:f>
        <x:v>3</x:v>
      </x:c>
      <x:c r="R1979" s="9" t="n">
        <x:f>K1979-P1979</x:f>
        <x:v>2.05</x:v>
      </x:c>
      <x:c r="S1979" s="10" t="n">
        <x:f>IF(K1979&gt;0,R1979/K1979,"")</x:f>
        <x:v>0.2733333333333333</x:v>
      </x:c>
    </x:row>
    <x:row r="1980">
      <x:c r="A1980" s="7" t="n">
        <x:v>1976</x:v>
      </x:c>
      <x:c r="B1980" s="7" t="str">
        <x:v>Tata</x:v>
      </x:c>
      <x:c r="C1980" s="7" t="str">
        <x:v>Punch</x:v>
      </x:c>
      <x:c r="D1980" s="7" t="str">
        <x:v>Pure</x:v>
      </x:c>
      <x:c r="E1980" s="7" t="str">
        <x:v>Petrol</x:v>
      </x:c>
      <x:c r="F1980" s="7" t="str">
        <x:v>Manual</x:v>
      </x:c>
      <x:c r="G1980" s="7" t="str">
        <x:v>Micro SUV</x:v>
      </x:c>
      <x:c r="H1980" s="7" t="n">
        <x:v>1199</x:v>
      </x:c>
      <x:c r="I1980" s="7" t="n">
        <x:v>87</x:v>
      </x:c>
      <x:c r="J1980" s="9" t="n">
        <x:v>20.1</x:v>
      </x:c>
      <x:c r="K1980" s="9" t="n">
        <x:v>7.5</x:v>
      </x:c>
      <x:c r="L1980" s="7" t="n">
        <x:v>2024</x:v>
      </x:c>
      <x:c r="M1980" s="11" t="n">
        <x:v>40903</x:v>
      </x:c>
      <x:c r="N1980" s="7" t="n">
        <x:v>1</x:v>
      </x:c>
      <x:c r="O1980" s="7" t="n">
        <x:v>0</x:v>
      </x:c>
      <x:c r="P1980" s="9" t="n">
        <x:v>5.79</x:v>
      </x:c>
      <x:c r="Q1980" s="7" t="n">
        <x:f>'Guide'!$B$5-L1980</x:f>
        <x:v>2</x:v>
      </x:c>
      <x:c r="R1980" s="9" t="n">
        <x:f>K1980-P1980</x:f>
        <x:v>1.71</x:v>
      </x:c>
      <x:c r="S1980" s="10" t="n">
        <x:f>IF(K1980&gt;0,R1980/K1980,"")</x:f>
        <x:v>0.228</x:v>
      </x:c>
    </x:row>
    <x:row r="1981">
      <x:c r="A1981" s="7" t="n">
        <x:v>1977</x:v>
      </x:c>
      <x:c r="B1981" s="7" t="str">
        <x:v>Tata</x:v>
      </x:c>
      <x:c r="C1981" s="7" t="str">
        <x:v>Punch</x:v>
      </x:c>
      <x:c r="D1981" s="7" t="str">
        <x:v>Pure</x:v>
      </x:c>
      <x:c r="E1981" s="7" t="str">
        <x:v>Petrol</x:v>
      </x:c>
      <x:c r="F1981" s="7" t="str">
        <x:v>Manual</x:v>
      </x:c>
      <x:c r="G1981" s="7" t="str">
        <x:v>Micro SUV</x:v>
      </x:c>
      <x:c r="H1981" s="7" t="n">
        <x:v>1199</x:v>
      </x:c>
      <x:c r="I1981" s="7" t="n">
        <x:v>87</x:v>
      </x:c>
      <x:c r="J1981" s="9" t="n">
        <x:v>20.1</x:v>
      </x:c>
      <x:c r="K1981" s="9" t="n">
        <x:v>7.5</x:v>
      </x:c>
      <x:c r="L1981" s="7" t="n">
        <x:v>2022</x:v>
      </x:c>
      <x:c r="M1981" s="11" t="n">
        <x:v>39028</x:v>
      </x:c>
      <x:c r="N1981" s="7" t="n">
        <x:v>1</x:v>
      </x:c>
      <x:c r="O1981" s="7" t="n">
        <x:v>0</x:v>
      </x:c>
      <x:c r="P1981" s="9" t="n">
        <x:v>4.8</x:v>
      </x:c>
      <x:c r="Q1981" s="7" t="n">
        <x:f>'Guide'!$B$5-L1981</x:f>
        <x:v>4</x:v>
      </x:c>
      <x:c r="R1981" s="9" t="n">
        <x:f>K1981-P1981</x:f>
        <x:v>2.7</x:v>
      </x:c>
      <x:c r="S1981" s="10" t="n">
        <x:f>IF(K1981&gt;0,R1981/K1981,"")</x:f>
        <x:v>0.36000000000000004</x:v>
      </x:c>
    </x:row>
    <x:row r="1982">
      <x:c r="A1982" s="7" t="n">
        <x:v>1978</x:v>
      </x:c>
      <x:c r="B1982" s="7" t="str">
        <x:v>Tata</x:v>
      </x:c>
      <x:c r="C1982" s="7" t="str">
        <x:v>Punch</x:v>
      </x:c>
      <x:c r="D1982" s="7" t="str">
        <x:v>Pure</x:v>
      </x:c>
      <x:c r="E1982" s="7" t="str">
        <x:v>Petrol</x:v>
      </x:c>
      <x:c r="F1982" s="7" t="str">
        <x:v>Manual</x:v>
      </x:c>
      <x:c r="G1982" s="7" t="str">
        <x:v>Micro SUV</x:v>
      </x:c>
      <x:c r="H1982" s="7" t="n">
        <x:v>1199</x:v>
      </x:c>
      <x:c r="I1982" s="7" t="n">
        <x:v>87</x:v>
      </x:c>
      <x:c r="J1982" s="9" t="n">
        <x:v>20.1</x:v>
      </x:c>
      <x:c r="K1982" s="9" t="n">
        <x:v>7.5</x:v>
      </x:c>
      <x:c r="L1982" s="7" t="n">
        <x:v>2022</x:v>
      </x:c>
      <x:c r="M1982" s="11" t="n">
        <x:v>62297</x:v>
      </x:c>
      <x:c r="N1982" s="7" t="n">
        <x:v>1</x:v>
      </x:c>
      <x:c r="O1982" s="7" t="n">
        <x:v>0</x:v>
      </x:c>
      <x:c r="P1982" s="9" t="n">
        <x:v>4.78</x:v>
      </x:c>
      <x:c r="Q1982" s="7" t="n">
        <x:f>'Guide'!$B$5-L1982</x:f>
        <x:v>4</x:v>
      </x:c>
      <x:c r="R1982" s="9" t="n">
        <x:f>K1982-P1982</x:f>
        <x:v>2.7199999999999998</x:v>
      </x:c>
      <x:c r="S1982" s="10" t="n">
        <x:f>IF(K1982&gt;0,R1982/K1982,"")</x:f>
        <x:v>0.36266666666666664</x:v>
      </x:c>
    </x:row>
    <x:row r="1983">
      <x:c r="A1983" s="7" t="n">
        <x:v>1979</x:v>
      </x:c>
      <x:c r="B1983" s="7" t="str">
        <x:v>Tata</x:v>
      </x:c>
      <x:c r="C1983" s="7" t="str">
        <x:v>Punch</x:v>
      </x:c>
      <x:c r="D1983" s="7" t="str">
        <x:v>Pure</x:v>
      </x:c>
      <x:c r="E1983" s="7" t="str">
        <x:v>Petrol</x:v>
      </x:c>
      <x:c r="F1983" s="7" t="str">
        <x:v>Manual</x:v>
      </x:c>
      <x:c r="G1983" s="7" t="str">
        <x:v>Micro SUV</x:v>
      </x:c>
      <x:c r="H1983" s="7" t="n">
        <x:v>1199</x:v>
      </x:c>
      <x:c r="I1983" s="7" t="n">
        <x:v>87</x:v>
      </x:c>
      <x:c r="J1983" s="9" t="n">
        <x:v>20.1</x:v>
      </x:c>
      <x:c r="K1983" s="9" t="n">
        <x:v>7.5</x:v>
      </x:c>
      <x:c r="L1983" s="7" t="n">
        <x:v>2025</x:v>
      </x:c>
      <x:c r="M1983" s="11" t="n">
        <x:v>21577</x:v>
      </x:c>
      <x:c r="N1983" s="7" t="n">
        <x:v>1</x:v>
      </x:c>
      <x:c r="O1983" s="7" t="n">
        <x:v>0</x:v>
      </x:c>
      <x:c r="P1983" s="9" t="n">
        <x:v>6.59</x:v>
      </x:c>
      <x:c r="Q1983" s="7" t="n">
        <x:f>'Guide'!$B$5-L1983</x:f>
        <x:v>1</x:v>
      </x:c>
      <x:c r="R1983" s="9" t="n">
        <x:f>K1983-P1983</x:f>
        <x:v>0.9100000000000001</x:v>
      </x:c>
      <x:c r="S1983" s="10" t="n">
        <x:f>IF(K1983&gt;0,R1983/K1983,"")</x:f>
        <x:v>0.12133333333333335</x:v>
      </x:c>
    </x:row>
    <x:row r="1984">
      <x:c r="A1984" s="7" t="n">
        <x:v>1980</x:v>
      </x:c>
      <x:c r="B1984" s="7" t="str">
        <x:v>Tata</x:v>
      </x:c>
      <x:c r="C1984" s="7" t="str">
        <x:v>Punch</x:v>
      </x:c>
      <x:c r="D1984" s="7" t="str">
        <x:v>Pure</x:v>
      </x:c>
      <x:c r="E1984" s="7" t="str">
        <x:v>Petrol</x:v>
      </x:c>
      <x:c r="F1984" s="7" t="str">
        <x:v>Manual</x:v>
      </x:c>
      <x:c r="G1984" s="7" t="str">
        <x:v>Micro SUV</x:v>
      </x:c>
      <x:c r="H1984" s="7" t="n">
        <x:v>1199</x:v>
      </x:c>
      <x:c r="I1984" s="7" t="n">
        <x:v>87</x:v>
      </x:c>
      <x:c r="J1984" s="9" t="n">
        <x:v>20.1</x:v>
      </x:c>
      <x:c r="K1984" s="9" t="n">
        <x:v>7.5</x:v>
      </x:c>
      <x:c r="L1984" s="7" t="n">
        <x:v>2024</x:v>
      </x:c>
      <x:c r="M1984" s="11" t="n">
        <x:v>21735</x:v>
      </x:c>
      <x:c r="N1984" s="7" t="n">
        <x:v>2</x:v>
      </x:c>
      <x:c r="O1984" s="7" t="n">
        <x:v>0</x:v>
      </x:c>
      <x:c r="P1984" s="9" t="n">
        <x:v>5.45</x:v>
      </x:c>
      <x:c r="Q1984" s="7" t="n">
        <x:f>'Guide'!$B$5-L1984</x:f>
        <x:v>2</x:v>
      </x:c>
      <x:c r="R1984" s="9" t="n">
        <x:f>K1984-P1984</x:f>
        <x:v>2.05</x:v>
      </x:c>
      <x:c r="S1984" s="10" t="n">
        <x:f>IF(K1984&gt;0,R1984/K1984,"")</x:f>
        <x:v>0.2733333333333333</x:v>
      </x:c>
    </x:row>
    <x:row r="1985">
      <x:c r="A1985" s="7" t="n">
        <x:v>1981</x:v>
      </x:c>
      <x:c r="B1985" s="7" t="str">
        <x:v>Tata</x:v>
      </x:c>
      <x:c r="C1985" s="7" t="str">
        <x:v>Punch</x:v>
      </x:c>
      <x:c r="D1985" s="7" t="str">
        <x:v>Pure</x:v>
      </x:c>
      <x:c r="E1985" s="7" t="str">
        <x:v>Petrol</x:v>
      </x:c>
      <x:c r="F1985" s="7" t="str">
        <x:v>Manual</x:v>
      </x:c>
      <x:c r="G1985" s="7" t="str">
        <x:v>Micro SUV</x:v>
      </x:c>
      <x:c r="H1985" s="7" t="n">
        <x:v>1199</x:v>
      </x:c>
      <x:c r="I1985" s="7" t="n">
        <x:v>87</x:v>
      </x:c>
      <x:c r="J1985" s="9" t="n">
        <x:v>20.1</x:v>
      </x:c>
      <x:c r="K1985" s="9" t="n">
        <x:v>7.5</x:v>
      </x:c>
      <x:c r="L1985" s="7" t="n">
        <x:v>2021</x:v>
      </x:c>
      <x:c r="M1985" s="11" t="n">
        <x:v>71846</x:v>
      </x:c>
      <x:c r="N1985" s="7" t="n">
        <x:v>2</x:v>
      </x:c>
      <x:c r="O1985" s="7" t="n">
        <x:v>1</x:v>
      </x:c>
      <x:c r="P1985" s="9" t="n">
        <x:v>2.31</x:v>
      </x:c>
      <x:c r="Q1985" s="7" t="n">
        <x:f>'Guide'!$B$5-L1985</x:f>
        <x:v>5</x:v>
      </x:c>
      <x:c r="R1985" s="9" t="n">
        <x:f>K1985-P1985</x:f>
        <x:v>5.1899999999999995</x:v>
      </x:c>
      <x:c r="S1985" s="10" t="n">
        <x:f>IF(K1985&gt;0,R1985/K1985,"")</x:f>
        <x:v>0.692</x:v>
      </x:c>
    </x:row>
    <x:row r="1986">
      <x:c r="A1986" s="7" t="n">
        <x:v>1982</x:v>
      </x:c>
      <x:c r="B1986" s="7" t="str">
        <x:v>Tata</x:v>
      </x:c>
      <x:c r="C1986" s="7" t="str">
        <x:v>Punch</x:v>
      </x:c>
      <x:c r="D1986" s="7" t="str">
        <x:v>Pure</x:v>
      </x:c>
      <x:c r="E1986" s="7" t="str">
        <x:v>Petrol</x:v>
      </x:c>
      <x:c r="F1986" s="7" t="str">
        <x:v>Manual</x:v>
      </x:c>
      <x:c r="G1986" s="7" t="str">
        <x:v>Micro SUV</x:v>
      </x:c>
      <x:c r="H1986" s="7" t="n">
        <x:v>1199</x:v>
      </x:c>
      <x:c r="I1986" s="7" t="n">
        <x:v>87</x:v>
      </x:c>
      <x:c r="J1986" s="9" t="n">
        <x:v>20.1</x:v>
      </x:c>
      <x:c r="K1986" s="9" t="n">
        <x:v>7.5</x:v>
      </x:c>
      <x:c r="L1986" s="7" t="n">
        <x:v>2023</x:v>
      </x:c>
      <x:c r="M1986" s="11" t="n">
        <x:v>53366</x:v>
      </x:c>
      <x:c r="N1986" s="7" t="n">
        <x:v>1</x:v>
      </x:c>
      <x:c r="O1986" s="7" t="n">
        <x:v>0</x:v>
      </x:c>
      <x:c r="P1986" s="9" t="n">
        <x:v>5.23</x:v>
      </x:c>
      <x:c r="Q1986" s="7" t="n">
        <x:f>'Guide'!$B$5-L1986</x:f>
        <x:v>3</x:v>
      </x:c>
      <x:c r="R1986" s="9" t="n">
        <x:f>K1986-P1986</x:f>
        <x:v>2.2699999999999996</x:v>
      </x:c>
      <x:c r="S1986" s="10" t="n">
        <x:f>IF(K1986&gt;0,R1986/K1986,"")</x:f>
        <x:v>0.3026666666666666</x:v>
      </x:c>
    </x:row>
    <x:row r="1987">
      <x:c r="A1987" s="7" t="n">
        <x:v>1983</x:v>
      </x:c>
      <x:c r="B1987" s="7" t="str">
        <x:v>Tata</x:v>
      </x:c>
      <x:c r="C1987" s="7" t="str">
        <x:v>Punch</x:v>
      </x:c>
      <x:c r="D1987" s="7" t="str">
        <x:v>Pure</x:v>
      </x:c>
      <x:c r="E1987" s="7" t="str">
        <x:v>Petrol</x:v>
      </x:c>
      <x:c r="F1987" s="7" t="str">
        <x:v>Manual</x:v>
      </x:c>
      <x:c r="G1987" s="7" t="str">
        <x:v>Micro SUV</x:v>
      </x:c>
      <x:c r="H1987" s="7" t="n">
        <x:v>1199</x:v>
      </x:c>
      <x:c r="I1987" s="7" t="n">
        <x:v>87</x:v>
      </x:c>
      <x:c r="J1987" s="9" t="n">
        <x:v>20.1</x:v>
      </x:c>
      <x:c r="K1987" s="9" t="n">
        <x:v>7.5</x:v>
      </x:c>
      <x:c r="L1987" s="7" t="n">
        <x:v>2021</x:v>
      </x:c>
      <x:c r="M1987" s="11" t="n">
        <x:v>95719</x:v>
      </x:c>
      <x:c r="N1987" s="7" t="n">
        <x:v>1</x:v>
      </x:c>
      <x:c r="O1987" s="7" t="n">
        <x:v>0</x:v>
      </x:c>
      <x:c r="P1987" s="9" t="n">
        <x:v>3.55</x:v>
      </x:c>
      <x:c r="Q1987" s="7" t="n">
        <x:f>'Guide'!$B$5-L1987</x:f>
        <x:v>5</x:v>
      </x:c>
      <x:c r="R1987" s="9" t="n">
        <x:f>K1987-P1987</x:f>
        <x:v>3.95</x:v>
      </x:c>
      <x:c r="S1987" s="10" t="n">
        <x:f>IF(K1987&gt;0,R1987/K1987,"")</x:f>
        <x:v>0.5266666666666667</x:v>
      </x:c>
    </x:row>
    <x:row r="1988">
      <x:c r="A1988" s="7" t="n">
        <x:v>1984</x:v>
      </x:c>
      <x:c r="B1988" s="7" t="str">
        <x:v>Tata</x:v>
      </x:c>
      <x:c r="C1988" s="7" t="str">
        <x:v>Punch</x:v>
      </x:c>
      <x:c r="D1988" s="7" t="str">
        <x:v>Pure</x:v>
      </x:c>
      <x:c r="E1988" s="7" t="str">
        <x:v>Petrol</x:v>
      </x:c>
      <x:c r="F1988" s="7" t="str">
        <x:v>Manual</x:v>
      </x:c>
      <x:c r="G1988" s="7" t="str">
        <x:v>Micro SUV</x:v>
      </x:c>
      <x:c r="H1988" s="7" t="n">
        <x:v>1199</x:v>
      </x:c>
      <x:c r="I1988" s="7" t="n">
        <x:v>87</x:v>
      </x:c>
      <x:c r="J1988" s="9" t="n">
        <x:v>20.1</x:v>
      </x:c>
      <x:c r="K1988" s="9" t="n">
        <x:v>7.5</x:v>
      </x:c>
      <x:c r="L1988" s="7" t="n">
        <x:v>2024</x:v>
      </x:c>
      <x:c r="M1988" s="11" t="n">
        <x:v>40466</x:v>
      </x:c>
      <x:c r="N1988" s="7" t="n">
        <x:v>1</x:v>
      </x:c>
      <x:c r="O1988" s="7" t="n">
        <x:v>0</x:v>
      </x:c>
      <x:c r="P1988" s="9" t="n">
        <x:v>6.04</x:v>
      </x:c>
      <x:c r="Q1988" s="7" t="n">
        <x:f>'Guide'!$B$5-L1988</x:f>
        <x:v>2</x:v>
      </x:c>
      <x:c r="R1988" s="9" t="n">
        <x:f>K1988-P1988</x:f>
        <x:v>1.46</x:v>
      </x:c>
      <x:c r="S1988" s="10" t="n">
        <x:f>IF(K1988&gt;0,R1988/K1988,"")</x:f>
        <x:v>0.19466666666666665</x:v>
      </x:c>
    </x:row>
    <x:row r="1989">
      <x:c r="A1989" s="7" t="n">
        <x:v>1985</x:v>
      </x:c>
      <x:c r="B1989" s="7" t="str">
        <x:v>Tata</x:v>
      </x:c>
      <x:c r="C1989" s="7" t="str">
        <x:v>Punch</x:v>
      </x:c>
      <x:c r="D1989" s="7" t="str">
        <x:v>Pure</x:v>
      </x:c>
      <x:c r="E1989" s="7" t="str">
        <x:v>Petrol</x:v>
      </x:c>
      <x:c r="F1989" s="7" t="str">
        <x:v>Manual</x:v>
      </x:c>
      <x:c r="G1989" s="7" t="str">
        <x:v>Micro SUV</x:v>
      </x:c>
      <x:c r="H1989" s="7" t="n">
        <x:v>1199</x:v>
      </x:c>
      <x:c r="I1989" s="7" t="n">
        <x:v>87</x:v>
      </x:c>
      <x:c r="J1989" s="9" t="n">
        <x:v>20.1</x:v>
      </x:c>
      <x:c r="K1989" s="9" t="n">
        <x:v>7.5</x:v>
      </x:c>
      <x:c r="L1989" s="7" t="n">
        <x:v>2022</x:v>
      </x:c>
      <x:c r="M1989" s="11" t="n">
        <x:v>56625</x:v>
      </x:c>
      <x:c r="N1989" s="7" t="n">
        <x:v>2</x:v>
      </x:c>
      <x:c r="O1989" s="7" t="n">
        <x:v>1</x:v>
      </x:c>
      <x:c r="P1989" s="9" t="n">
        <x:v>3.02</x:v>
      </x:c>
      <x:c r="Q1989" s="7" t="n">
        <x:f>'Guide'!$B$5-L1989</x:f>
        <x:v>4</x:v>
      </x:c>
      <x:c r="R1989" s="9" t="n">
        <x:f>K1989-P1989</x:f>
        <x:v>4.48</x:v>
      </x:c>
      <x:c r="S1989" s="10" t="n">
        <x:f>IF(K1989&gt;0,R1989/K1989,"")</x:f>
        <x:v>0.5973333333333334</x:v>
      </x:c>
    </x:row>
    <x:row r="1990">
      <x:c r="A1990" s="7" t="n">
        <x:v>1986</x:v>
      </x:c>
      <x:c r="B1990" s="7" t="str">
        <x:v>Tata</x:v>
      </x:c>
      <x:c r="C1990" s="7" t="str">
        <x:v>Punch</x:v>
      </x:c>
      <x:c r="D1990" s="7" t="str">
        <x:v>Pure</x:v>
      </x:c>
      <x:c r="E1990" s="7" t="str">
        <x:v>Petrol</x:v>
      </x:c>
      <x:c r="F1990" s="7" t="str">
        <x:v>Manual</x:v>
      </x:c>
      <x:c r="G1990" s="7" t="str">
        <x:v>Micro SUV</x:v>
      </x:c>
      <x:c r="H1990" s="7" t="n">
        <x:v>1199</x:v>
      </x:c>
      <x:c r="I1990" s="7" t="n">
        <x:v>87</x:v>
      </x:c>
      <x:c r="J1990" s="9" t="n">
        <x:v>20.1</x:v>
      </x:c>
      <x:c r="K1990" s="9" t="n">
        <x:v>7.5</x:v>
      </x:c>
      <x:c r="L1990" s="7" t="n">
        <x:v>2021</x:v>
      </x:c>
      <x:c r="M1990" s="11" t="n">
        <x:v>53079</x:v>
      </x:c>
      <x:c r="N1990" s="7" t="n">
        <x:v>1</x:v>
      </x:c>
      <x:c r="O1990" s="7" t="n">
        <x:v>0</x:v>
      </x:c>
      <x:c r="P1990" s="9" t="n">
        <x:v>4.4</x:v>
      </x:c>
      <x:c r="Q1990" s="7" t="n">
        <x:f>'Guide'!$B$5-L1990</x:f>
        <x:v>5</x:v>
      </x:c>
      <x:c r="R1990" s="9" t="n">
        <x:f>K1990-P1990</x:f>
        <x:v>3.0999999999999996</x:v>
      </x:c>
      <x:c r="S1990" s="10" t="n">
        <x:f>IF(K1990&gt;0,R1990/K1990,"")</x:f>
        <x:v>0.4133333333333333</x:v>
      </x:c>
    </x:row>
    <x:row r="1991">
      <x:c r="A1991" s="7" t="n">
        <x:v>1987</x:v>
      </x:c>
      <x:c r="B1991" s="7" t="str">
        <x:v>Tata</x:v>
      </x:c>
      <x:c r="C1991" s="7" t="str">
        <x:v>Punch</x:v>
      </x:c>
      <x:c r="D1991" s="7" t="str">
        <x:v>Pure</x:v>
      </x:c>
      <x:c r="E1991" s="7" t="str">
        <x:v>Petrol</x:v>
      </x:c>
      <x:c r="F1991" s="7" t="str">
        <x:v>Manual</x:v>
      </x:c>
      <x:c r="G1991" s="7" t="str">
        <x:v>Micro SUV</x:v>
      </x:c>
      <x:c r="H1991" s="7" t="n">
        <x:v>1199</x:v>
      </x:c>
      <x:c r="I1991" s="7" t="n">
        <x:v>87</x:v>
      </x:c>
      <x:c r="J1991" s="9" t="n">
        <x:v>20.1</x:v>
      </x:c>
      <x:c r="K1991" s="9" t="n">
        <x:v>7.5</x:v>
      </x:c>
      <x:c r="L1991" s="7" t="n">
        <x:v>2024</x:v>
      </x:c>
      <x:c r="M1991" s="11" t="n">
        <x:v>23152</x:v>
      </x:c>
      <x:c r="N1991" s="7" t="n">
        <x:v>1</x:v>
      </x:c>
      <x:c r="O1991" s="7" t="n">
        <x:v>0</x:v>
      </x:c>
      <x:c r="P1991" s="9" t="n">
        <x:v>5.71</x:v>
      </x:c>
      <x:c r="Q1991" s="7" t="n">
        <x:f>'Guide'!$B$5-L1991</x:f>
        <x:v>2</x:v>
      </x:c>
      <x:c r="R1991" s="9" t="n">
        <x:f>K1991-P1991</x:f>
        <x:v>1.79</x:v>
      </x:c>
      <x:c r="S1991" s="10" t="n">
        <x:f>IF(K1991&gt;0,R1991/K1991,"")</x:f>
        <x:v>0.23866666666666667</x:v>
      </x:c>
    </x:row>
    <x:row r="1992">
      <x:c r="A1992" s="7" t="n">
        <x:v>1988</x:v>
      </x:c>
      <x:c r="B1992" s="7" t="str">
        <x:v>Tata</x:v>
      </x:c>
      <x:c r="C1992" s="7" t="str">
        <x:v>Punch</x:v>
      </x:c>
      <x:c r="D1992" s="7" t="str">
        <x:v>Pure</x:v>
      </x:c>
      <x:c r="E1992" s="7" t="str">
        <x:v>Petrol</x:v>
      </x:c>
      <x:c r="F1992" s="7" t="str">
        <x:v>Manual</x:v>
      </x:c>
      <x:c r="G1992" s="7" t="str">
        <x:v>Micro SUV</x:v>
      </x:c>
      <x:c r="H1992" s="7" t="n">
        <x:v>1199</x:v>
      </x:c>
      <x:c r="I1992" s="7" t="n">
        <x:v>87</x:v>
      </x:c>
      <x:c r="J1992" s="9" t="n">
        <x:v>20.1</x:v>
      </x:c>
      <x:c r="K1992" s="9" t="n">
        <x:v>7.5</x:v>
      </x:c>
      <x:c r="L1992" s="7" t="n">
        <x:v>2021</x:v>
      </x:c>
      <x:c r="M1992" s="11" t="n">
        <x:v>89925</x:v>
      </x:c>
      <x:c r="N1992" s="7" t="n">
        <x:v>2</x:v>
      </x:c>
      <x:c r="O1992" s="7" t="n">
        <x:v>0</x:v>
      </x:c>
      <x:c r="P1992" s="9" t="n">
        <x:v>3.27</x:v>
      </x:c>
      <x:c r="Q1992" s="7" t="n">
        <x:f>'Guide'!$B$5-L1992</x:f>
        <x:v>5</x:v>
      </x:c>
      <x:c r="R1992" s="9" t="n">
        <x:f>K1992-P1992</x:f>
        <x:v>4.23</x:v>
      </x:c>
      <x:c r="S1992" s="10" t="n">
        <x:f>IF(K1992&gt;0,R1992/K1992,"")</x:f>
        <x:v>0.5640000000000001</x:v>
      </x:c>
    </x:row>
    <x:row r="1993">
      <x:c r="A1993" s="7" t="n">
        <x:v>1989</x:v>
      </x:c>
      <x:c r="B1993" s="7" t="str">
        <x:v>Tata</x:v>
      </x:c>
      <x:c r="C1993" s="7" t="str">
        <x:v>Punch</x:v>
      </x:c>
      <x:c r="D1993" s="7" t="str">
        <x:v>Pure</x:v>
      </x:c>
      <x:c r="E1993" s="7" t="str">
        <x:v>Petrol</x:v>
      </x:c>
      <x:c r="F1993" s="7" t="str">
        <x:v>Manual</x:v>
      </x:c>
      <x:c r="G1993" s="7" t="str">
        <x:v>Micro SUV</x:v>
      </x:c>
      <x:c r="H1993" s="7" t="n">
        <x:v>1199</x:v>
      </x:c>
      <x:c r="I1993" s="7" t="n">
        <x:v>87</x:v>
      </x:c>
      <x:c r="J1993" s="9" t="n">
        <x:v>20.1</x:v>
      </x:c>
      <x:c r="K1993" s="9" t="n">
        <x:v>7.5</x:v>
      </x:c>
      <x:c r="L1993" s="7" t="n">
        <x:v>2022</x:v>
      </x:c>
      <x:c r="M1993" s="11" t="n">
        <x:v>40283</x:v>
      </x:c>
      <x:c r="N1993" s="7" t="n">
        <x:v>2</x:v>
      </x:c>
      <x:c r="O1993" s="7" t="n">
        <x:v>0</x:v>
      </x:c>
      <x:c r="P1993" s="9" t="n">
        <x:v>4.66</x:v>
      </x:c>
      <x:c r="Q1993" s="7" t="n">
        <x:f>'Guide'!$B$5-L1993</x:f>
        <x:v>4</x:v>
      </x:c>
      <x:c r="R1993" s="9" t="n">
        <x:f>K1993-P1993</x:f>
        <x:v>2.84</x:v>
      </x:c>
      <x:c r="S1993" s="10" t="n">
        <x:f>IF(K1993&gt;0,R1993/K1993,"")</x:f>
        <x:v>0.37866666666666665</x:v>
      </x:c>
    </x:row>
    <x:row r="1994">
      <x:c r="A1994" s="7" t="n">
        <x:v>1990</x:v>
      </x:c>
      <x:c r="B1994" s="7" t="str">
        <x:v>Tata</x:v>
      </x:c>
      <x:c r="C1994" s="7" t="str">
        <x:v>Punch</x:v>
      </x:c>
      <x:c r="D1994" s="7" t="str">
        <x:v>Pure</x:v>
      </x:c>
      <x:c r="E1994" s="7" t="str">
        <x:v>Petrol</x:v>
      </x:c>
      <x:c r="F1994" s="7" t="str">
        <x:v>Manual</x:v>
      </x:c>
      <x:c r="G1994" s="7" t="str">
        <x:v>Micro SUV</x:v>
      </x:c>
      <x:c r="H1994" s="7" t="n">
        <x:v>1199</x:v>
      </x:c>
      <x:c r="I1994" s="7" t="n">
        <x:v>87</x:v>
      </x:c>
      <x:c r="J1994" s="9" t="n">
        <x:v>20.1</x:v>
      </x:c>
      <x:c r="K1994" s="9" t="n">
        <x:v>7.5</x:v>
      </x:c>
      <x:c r="L1994" s="7" t="n">
        <x:v>2020</x:v>
      </x:c>
      <x:c r="M1994" s="11" t="n">
        <x:v>79355</x:v>
      </x:c>
      <x:c r="N1994" s="7" t="n">
        <x:v>1</x:v>
      </x:c>
      <x:c r="O1994" s="7" t="n">
        <x:v>0</x:v>
      </x:c>
      <x:c r="P1994" s="9" t="n">
        <x:v>2.93</x:v>
      </x:c>
      <x:c r="Q1994" s="7" t="n">
        <x:f>'Guide'!$B$5-L1994</x:f>
        <x:v>6</x:v>
      </x:c>
      <x:c r="R1994" s="9" t="n">
        <x:f>K1994-P1994</x:f>
        <x:v>4.57</x:v>
      </x:c>
      <x:c r="S1994" s="10" t="n">
        <x:f>IF(K1994&gt;0,R1994/K1994,"")</x:f>
        <x:v>0.6093333333333334</x:v>
      </x:c>
    </x:row>
    <x:row r="1995">
      <x:c r="A1995" s="7" t="n">
        <x:v>1991</x:v>
      </x:c>
      <x:c r="B1995" s="7" t="str">
        <x:v>Tata</x:v>
      </x:c>
      <x:c r="C1995" s="7" t="str">
        <x:v>Punch</x:v>
      </x:c>
      <x:c r="D1995" s="7" t="str">
        <x:v>Pure</x:v>
      </x:c>
      <x:c r="E1995" s="7" t="str">
        <x:v>Petrol</x:v>
      </x:c>
      <x:c r="F1995" s="7" t="str">
        <x:v>Manual</x:v>
      </x:c>
      <x:c r="G1995" s="7" t="str">
        <x:v>Micro SUV</x:v>
      </x:c>
      <x:c r="H1995" s="7" t="n">
        <x:v>1199</x:v>
      </x:c>
      <x:c r="I1995" s="7" t="n">
        <x:v>87</x:v>
      </x:c>
      <x:c r="J1995" s="9" t="n">
        <x:v>20.1</x:v>
      </x:c>
      <x:c r="K1995" s="9" t="n">
        <x:v>7.5</x:v>
      </x:c>
      <x:c r="L1995" s="7" t="n">
        <x:v>2020</x:v>
      </x:c>
      <x:c r="M1995" s="11" t="n">
        <x:v>115763</x:v>
      </x:c>
      <x:c r="N1995" s="7" t="n">
        <x:v>2</x:v>
      </x:c>
      <x:c r="O1995" s="7" t="n">
        <x:v>0</x:v>
      </x:c>
      <x:c r="P1995" s="9" t="n">
        <x:v>2.48</x:v>
      </x:c>
      <x:c r="Q1995" s="7" t="n">
        <x:f>'Guide'!$B$5-L1995</x:f>
        <x:v>6</x:v>
      </x:c>
      <x:c r="R1995" s="9" t="n">
        <x:f>K1995-P1995</x:f>
        <x:v>5.02</x:v>
      </x:c>
      <x:c r="S1995" s="10" t="n">
        <x:f>IF(K1995&gt;0,R1995/K1995,"")</x:f>
        <x:v>0.6693333333333332</x:v>
      </x:c>
    </x:row>
    <x:row r="1996">
      <x:c r="A1996" s="7" t="n">
        <x:v>1992</x:v>
      </x:c>
      <x:c r="B1996" s="7" t="str">
        <x:v>Tata</x:v>
      </x:c>
      <x:c r="C1996" s="7" t="str">
        <x:v>Punch</x:v>
      </x:c>
      <x:c r="D1996" s="7" t="str">
        <x:v>Pure</x:v>
      </x:c>
      <x:c r="E1996" s="7" t="str">
        <x:v>Petrol</x:v>
      </x:c>
      <x:c r="F1996" s="7" t="str">
        <x:v>Manual</x:v>
      </x:c>
      <x:c r="G1996" s="7" t="str">
        <x:v>Micro SUV</x:v>
      </x:c>
      <x:c r="H1996" s="7" t="n">
        <x:v>1199</x:v>
      </x:c>
      <x:c r="I1996" s="7" t="n">
        <x:v>87</x:v>
      </x:c>
      <x:c r="J1996" s="9" t="n">
        <x:v>20.1</x:v>
      </x:c>
      <x:c r="K1996" s="9" t="n">
        <x:v>7.5</x:v>
      </x:c>
      <x:c r="L1996" s="7" t="n">
        <x:v>2023</x:v>
      </x:c>
      <x:c r="M1996" s="11" t="n">
        <x:v>56983</x:v>
      </x:c>
      <x:c r="N1996" s="7" t="n">
        <x:v>1</x:v>
      </x:c>
      <x:c r="O1996" s="7" t="n">
        <x:v>0</x:v>
      </x:c>
      <x:c r="P1996" s="9" t="n">
        <x:v>5</x:v>
      </x:c>
      <x:c r="Q1996" s="7" t="n">
        <x:f>'Guide'!$B$5-L1996</x:f>
        <x:v>3</x:v>
      </x:c>
      <x:c r="R1996" s="9" t="n">
        <x:f>K1996-P1996</x:f>
        <x:v>2.5</x:v>
      </x:c>
      <x:c r="S1996" s="10" t="n">
        <x:f>IF(K1996&gt;0,R1996/K1996,"")</x:f>
        <x:v>0.3333333333333333</x:v>
      </x:c>
    </x:row>
    <x:row r="1997">
      <x:c r="A1997" s="7" t="n">
        <x:v>1993</x:v>
      </x:c>
      <x:c r="B1997" s="7" t="str">
        <x:v>Tata</x:v>
      </x:c>
      <x:c r="C1997" s="7" t="str">
        <x:v>Punch</x:v>
      </x:c>
      <x:c r="D1997" s="7" t="str">
        <x:v>Pure</x:v>
      </x:c>
      <x:c r="E1997" s="7" t="str">
        <x:v>Petrol</x:v>
      </x:c>
      <x:c r="F1997" s="7" t="str">
        <x:v>Manual</x:v>
      </x:c>
      <x:c r="G1997" s="7" t="str">
        <x:v>Micro SUV</x:v>
      </x:c>
      <x:c r="H1997" s="7" t="n">
        <x:v>1199</x:v>
      </x:c>
      <x:c r="I1997" s="7" t="n">
        <x:v>87</x:v>
      </x:c>
      <x:c r="J1997" s="9" t="n">
        <x:v>20.1</x:v>
      </x:c>
      <x:c r="K1997" s="9" t="n">
        <x:v>7.5</x:v>
      </x:c>
      <x:c r="L1997" s="7" t="n">
        <x:v>2025</x:v>
      </x:c>
      <x:c r="M1997" s="11" t="n">
        <x:v>13299</x:v>
      </x:c>
      <x:c r="N1997" s="7" t="n">
        <x:v>2</x:v>
      </x:c>
      <x:c r="O1997" s="7" t="n">
        <x:v>1</x:v>
      </x:c>
      <x:c r="P1997" s="9" t="n">
        <x:v>5.61</x:v>
      </x:c>
      <x:c r="Q1997" s="7" t="n">
        <x:f>'Guide'!$B$5-L1997</x:f>
        <x:v>1</x:v>
      </x:c>
      <x:c r="R1997" s="9" t="n">
        <x:f>K1997-P1997</x:f>
        <x:v>1.8899999999999997</x:v>
      </x:c>
      <x:c r="S1997" s="10" t="n">
        <x:f>IF(K1997&gt;0,R1997/K1997,"")</x:f>
        <x:v>0.25199999999999995</x:v>
      </x:c>
    </x:row>
    <x:row r="1998">
      <x:c r="A1998" s="7" t="n">
        <x:v>1994</x:v>
      </x:c>
      <x:c r="B1998" s="7" t="str">
        <x:v>Tata</x:v>
      </x:c>
      <x:c r="C1998" s="7" t="str">
        <x:v>Punch</x:v>
      </x:c>
      <x:c r="D1998" s="7" t="str">
        <x:v>Pure</x:v>
      </x:c>
      <x:c r="E1998" s="7" t="str">
        <x:v>Petrol</x:v>
      </x:c>
      <x:c r="F1998" s="7" t="str">
        <x:v>Manual</x:v>
      </x:c>
      <x:c r="G1998" s="7" t="str">
        <x:v>Micro SUV</x:v>
      </x:c>
      <x:c r="H1998" s="7" t="n">
        <x:v>1199</x:v>
      </x:c>
      <x:c r="I1998" s="7" t="n">
        <x:v>87</x:v>
      </x:c>
      <x:c r="J1998" s="9" t="n">
        <x:v>20.1</x:v>
      </x:c>
      <x:c r="K1998" s="9" t="n">
        <x:v>7.5</x:v>
      </x:c>
      <x:c r="L1998" s="7" t="n">
        <x:v>2026</x:v>
      </x:c>
      <x:c r="M1998" s="11" t="n">
        <x:v>7600</x:v>
      </x:c>
      <x:c r="N1998" s="7" t="n">
        <x:v>2</x:v>
      </x:c>
      <x:c r="O1998" s="7" t="n">
        <x:v>0</x:v>
      </x:c>
      <x:c r="P1998" s="9" t="n">
        <x:v>7.32</x:v>
      </x:c>
      <x:c r="Q1998" s="7" t="n">
        <x:f>'Guide'!$B$5-L1998</x:f>
        <x:v>0</x:v>
      </x:c>
      <x:c r="R1998" s="9" t="n">
        <x:f>K1998-P1998</x:f>
        <x:v>0.17999999999999972</x:v>
      </x:c>
      <x:c r="S1998" s="10" t="n">
        <x:f>IF(K1998&gt;0,R1998/K1998,"")</x:f>
        <x:v>0.023999999999999962</x:v>
      </x:c>
    </x:row>
    <x:row r="1999">
      <x:c r="A1999" s="7" t="n">
        <x:v>1995</x:v>
      </x:c>
      <x:c r="B1999" s="7" t="str">
        <x:v>Tata</x:v>
      </x:c>
      <x:c r="C1999" s="7" t="str">
        <x:v>Punch</x:v>
      </x:c>
      <x:c r="D1999" s="7" t="str">
        <x:v>Pure</x:v>
      </x:c>
      <x:c r="E1999" s="7" t="str">
        <x:v>Petrol</x:v>
      </x:c>
      <x:c r="F1999" s="7" t="str">
        <x:v>Manual</x:v>
      </x:c>
      <x:c r="G1999" s="7" t="str">
        <x:v>Micro SUV</x:v>
      </x:c>
      <x:c r="H1999" s="7" t="n">
        <x:v>1199</x:v>
      </x:c>
      <x:c r="I1999" s="7" t="n">
        <x:v>87</x:v>
      </x:c>
      <x:c r="J1999" s="9" t="n">
        <x:v>20.1</x:v>
      </x:c>
      <x:c r="K1999" s="9" t="n">
        <x:v>7.5</x:v>
      </x:c>
      <x:c r="L1999" s="7" t="n">
        <x:v>2020</x:v>
      </x:c>
      <x:c r="M1999" s="11" t="n">
        <x:v>67158</x:v>
      </x:c>
      <x:c r="N1999" s="7" t="n">
        <x:v>1</x:v>
      </x:c>
      <x:c r="O1999" s="7" t="n">
        <x:v>0</x:v>
      </x:c>
      <x:c r="P1999" s="9" t="n">
        <x:v>3.32</x:v>
      </x:c>
      <x:c r="Q1999" s="7" t="n">
        <x:f>'Guide'!$B$5-L1999</x:f>
        <x:v>6</x:v>
      </x:c>
      <x:c r="R1999" s="9" t="n">
        <x:f>K1999-P1999</x:f>
        <x:v>4.18</x:v>
      </x:c>
      <x:c r="S1999" s="10" t="n">
        <x:f>IF(K1999&gt;0,R1999/K1999,"")</x:f>
        <x:v>0.5573333333333333</x:v>
      </x:c>
    </x:row>
    <x:row r="2000">
      <x:c r="A2000" s="7" t="n">
        <x:v>1996</x:v>
      </x:c>
      <x:c r="B2000" s="7" t="str">
        <x:v>Tata</x:v>
      </x:c>
      <x:c r="C2000" s="7" t="str">
        <x:v>Punch</x:v>
      </x:c>
      <x:c r="D2000" s="7" t="str">
        <x:v>Pure</x:v>
      </x:c>
      <x:c r="E2000" s="7" t="str">
        <x:v>Petrol</x:v>
      </x:c>
      <x:c r="F2000" s="7" t="str">
        <x:v>Manual</x:v>
      </x:c>
      <x:c r="G2000" s="7" t="str">
        <x:v>Micro SUV</x:v>
      </x:c>
      <x:c r="H2000" s="7" t="n">
        <x:v>1199</x:v>
      </x:c>
      <x:c r="I2000" s="7" t="n">
        <x:v>87</x:v>
      </x:c>
      <x:c r="J2000" s="9" t="n">
        <x:v>20.1</x:v>
      </x:c>
      <x:c r="K2000" s="9" t="n">
        <x:v>7.5</x:v>
      </x:c>
      <x:c r="L2000" s="7" t="n">
        <x:v>2023</x:v>
      </x:c>
      <x:c r="M2000" s="11" t="n">
        <x:v>49904</x:v>
      </x:c>
      <x:c r="N2000" s="7" t="n">
        <x:v>1</x:v>
      </x:c>
      <x:c r="O2000" s="7" t="n">
        <x:v>0</x:v>
      </x:c>
      <x:c r="P2000" s="9" t="n">
        <x:v>5.2</x:v>
      </x:c>
      <x:c r="Q2000" s="7" t="n">
        <x:f>'Guide'!$B$5-L2000</x:f>
        <x:v>3</x:v>
      </x:c>
      <x:c r="R2000" s="9" t="n">
        <x:f>K2000-P2000</x:f>
        <x:v>2.3</x:v>
      </x:c>
      <x:c r="S2000" s="10" t="n">
        <x:f>IF(K2000&gt;0,R2000/K2000,"")</x:f>
        <x:v>0.30666666666666664</x:v>
      </x:c>
    </x:row>
    <x:row r="2001">
      <x:c r="A2001" s="7" t="n">
        <x:v>1997</x:v>
      </x:c>
      <x:c r="B2001" s="7" t="str">
        <x:v>Tata</x:v>
      </x:c>
      <x:c r="C2001" s="7" t="str">
        <x:v>Punch</x:v>
      </x:c>
      <x:c r="D2001" s="7" t="str">
        <x:v>Pure</x:v>
      </x:c>
      <x:c r="E2001" s="7" t="str">
        <x:v>Petrol</x:v>
      </x:c>
      <x:c r="F2001" s="7" t="str">
        <x:v>Manual</x:v>
      </x:c>
      <x:c r="G2001" s="7" t="str">
        <x:v>Micro SUV</x:v>
      </x:c>
      <x:c r="H2001" s="7" t="n">
        <x:v>1199</x:v>
      </x:c>
      <x:c r="I2001" s="7" t="n">
        <x:v>87</x:v>
      </x:c>
      <x:c r="J2001" s="9" t="n">
        <x:v>20.1</x:v>
      </x:c>
      <x:c r="K2001" s="9" t="n">
        <x:v>7.5</x:v>
      </x:c>
      <x:c r="L2001" s="7" t="n">
        <x:v>2022</x:v>
      </x:c>
      <x:c r="M2001" s="11" t="n">
        <x:v>41269</x:v>
      </x:c>
      <x:c r="N2001" s="7" t="n">
        <x:v>1</x:v>
      </x:c>
      <x:c r="O2001" s="7" t="n">
        <x:v>1</x:v>
      </x:c>
      <x:c r="P2001" s="9" t="n">
        <x:v>4.31</x:v>
      </x:c>
      <x:c r="Q2001" s="7" t="n">
        <x:f>'Guide'!$B$5-L2001</x:f>
        <x:v>4</x:v>
      </x:c>
      <x:c r="R2001" s="9" t="n">
        <x:f>K2001-P2001</x:f>
        <x:v>3.1900000000000004</x:v>
      </x:c>
      <x:c r="S2001" s="10" t="n">
        <x:f>IF(K2001&gt;0,R2001/K2001,"")</x:f>
        <x:v>0.4253333333333334</x:v>
      </x:c>
    </x:row>
    <x:row r="2002">
      <x:c r="A2002" s="7" t="n">
        <x:v>1998</x:v>
      </x:c>
      <x:c r="B2002" s="7" t="str">
        <x:v>Tata</x:v>
      </x:c>
      <x:c r="C2002" s="7" t="str">
        <x:v>Punch</x:v>
      </x:c>
      <x:c r="D2002" s="7" t="str">
        <x:v>Pure</x:v>
      </x:c>
      <x:c r="E2002" s="7" t="str">
        <x:v>Petrol</x:v>
      </x:c>
      <x:c r="F2002" s="7" t="str">
        <x:v>Manual</x:v>
      </x:c>
      <x:c r="G2002" s="7" t="str">
        <x:v>Micro SUV</x:v>
      </x:c>
      <x:c r="H2002" s="7" t="n">
        <x:v>1199</x:v>
      </x:c>
      <x:c r="I2002" s="7" t="n">
        <x:v>87</x:v>
      </x:c>
      <x:c r="J2002" s="9" t="n">
        <x:v>20.1</x:v>
      </x:c>
      <x:c r="K2002" s="9" t="n">
        <x:v>7.5</x:v>
      </x:c>
      <x:c r="L2002" s="7" t="n">
        <x:v>2024</x:v>
      </x:c>
      <x:c r="M2002" s="11" t="n">
        <x:v>43748</x:v>
      </x:c>
      <x:c r="N2002" s="7" t="n">
        <x:v>2</x:v>
      </x:c>
      <x:c r="O2002" s="7" t="n">
        <x:v>0</x:v>
      </x:c>
      <x:c r="P2002" s="9" t="n">
        <x:v>5.41</x:v>
      </x:c>
      <x:c r="Q2002" s="7" t="n">
        <x:f>'Guide'!$B$5-L2002</x:f>
        <x:v>2</x:v>
      </x:c>
      <x:c r="R2002" s="9" t="n">
        <x:f>K2002-P2002</x:f>
        <x:v>2.09</x:v>
      </x:c>
      <x:c r="S2002" s="10" t="n">
        <x:f>IF(K2002&gt;0,R2002/K2002,"")</x:f>
        <x:v>0.2786666666666667</x:v>
      </x:c>
    </x:row>
    <x:row r="2003">
      <x:c r="A2003" s="7" t="n">
        <x:v>1999</x:v>
      </x:c>
      <x:c r="B2003" s="7" t="str">
        <x:v>Tata</x:v>
      </x:c>
      <x:c r="C2003" s="7" t="str">
        <x:v>Punch</x:v>
      </x:c>
      <x:c r="D2003" s="7" t="str">
        <x:v>Pure</x:v>
      </x:c>
      <x:c r="E2003" s="7" t="str">
        <x:v>Petrol</x:v>
      </x:c>
      <x:c r="F2003" s="7" t="str">
        <x:v>Manual</x:v>
      </x:c>
      <x:c r="G2003" s="7" t="str">
        <x:v>Micro SUV</x:v>
      </x:c>
      <x:c r="H2003" s="7" t="n">
        <x:v>1199</x:v>
      </x:c>
      <x:c r="I2003" s="7" t="n">
        <x:v>87</x:v>
      </x:c>
      <x:c r="J2003" s="9" t="n">
        <x:v>20.1</x:v>
      </x:c>
      <x:c r="K2003" s="9" t="n">
        <x:v>7.5</x:v>
      </x:c>
      <x:c r="L2003" s="7" t="n">
        <x:v>2026</x:v>
      </x:c>
      <x:c r="M2003" s="11" t="n">
        <x:v>8509</x:v>
      </x:c>
      <x:c r="N2003" s="7" t="n">
        <x:v>3</x:v>
      </x:c>
      <x:c r="O2003" s="7" t="n">
        <x:v>0</x:v>
      </x:c>
      <x:c r="P2003" s="9" t="n">
        <x:v>6.26</x:v>
      </x:c>
      <x:c r="Q2003" s="7" t="n">
        <x:f>'Guide'!$B$5-L2003</x:f>
        <x:v>0</x:v>
      </x:c>
      <x:c r="R2003" s="9" t="n">
        <x:f>K2003-P2003</x:f>
        <x:v>1.2400000000000002</x:v>
      </x:c>
      <x:c r="S2003" s="10" t="n">
        <x:f>IF(K2003&gt;0,R2003/K2003,"")</x:f>
        <x:v>0.16533333333333336</x:v>
      </x:c>
    </x:row>
    <x:row r="2004">
      <x:c r="A2004" s="7" t="n">
        <x:v>2000</x:v>
      </x:c>
      <x:c r="B2004" s="7" t="str">
        <x:v>Tata</x:v>
      </x:c>
      <x:c r="C2004" s="7" t="str">
        <x:v>Punch</x:v>
      </x:c>
      <x:c r="D2004" s="7" t="str">
        <x:v>Pure</x:v>
      </x:c>
      <x:c r="E2004" s="7" t="str">
        <x:v>Petrol</x:v>
      </x:c>
      <x:c r="F2004" s="7" t="str">
        <x:v>Manual</x:v>
      </x:c>
      <x:c r="G2004" s="7" t="str">
        <x:v>Micro SUV</x:v>
      </x:c>
      <x:c r="H2004" s="7" t="n">
        <x:v>1199</x:v>
      </x:c>
      <x:c r="I2004" s="7" t="n">
        <x:v>87</x:v>
      </x:c>
      <x:c r="J2004" s="9" t="n">
        <x:v>20.1</x:v>
      </x:c>
      <x:c r="K2004" s="9" t="n">
        <x:v>7.5</x:v>
      </x:c>
      <x:c r="L2004" s="7" t="n">
        <x:v>2026</x:v>
      </x:c>
      <x:c r="M2004" s="11" t="n">
        <x:v>8654</x:v>
      </x:c>
      <x:c r="N2004" s="7" t="n">
        <x:v>1</x:v>
      </x:c>
      <x:c r="O2004" s="7" t="n">
        <x:v>0</x:v>
      </x:c>
      <x:c r="P2004" s="9" t="n">
        <x:v>7.68</x:v>
      </x:c>
      <x:c r="Q2004" s="7" t="n">
        <x:f>'Guide'!$B$5-L2004</x:f>
        <x:v>0</x:v>
      </x:c>
      <x:c r="R2004" s="9" t="n">
        <x:f>K2004-P2004</x:f>
        <x:v>-0.17999999999999972</x:v>
      </x:c>
      <x:c r="S2004" s="10" t="n">
        <x:f>IF(K2004&gt;0,R2004/K2004,"")</x:f>
        <x:v>-0.023999999999999962</x:v>
      </x:c>
    </x:row>
    <x:row r="2005">
      <x:c r="A2005" s="7" t="n">
        <x:v>2001</x:v>
      </x:c>
      <x:c r="B2005" s="7" t="str">
        <x:v>Tata</x:v>
      </x:c>
      <x:c r="C2005" s="7" t="str">
        <x:v>Punch</x:v>
      </x:c>
      <x:c r="D2005" s="7" t="str">
        <x:v>Adventure AMT</x:v>
      </x:c>
      <x:c r="E2005" s="7" t="str">
        <x:v>Petrol</x:v>
      </x:c>
      <x:c r="F2005" s="7" t="str">
        <x:v>Automatic</x:v>
      </x:c>
      <x:c r="G2005" s="7" t="str">
        <x:v>Micro SUV</x:v>
      </x:c>
      <x:c r="H2005" s="7" t="n">
        <x:v>1199</x:v>
      </x:c>
      <x:c r="I2005" s="7" t="n">
        <x:v>87</x:v>
      </x:c>
      <x:c r="J2005" s="9" t="n">
        <x:v>18.8</x:v>
      </x:c>
      <x:c r="K2005" s="9" t="n">
        <x:v>9</x:v>
      </x:c>
      <x:c r="L2005" s="7" t="n">
        <x:v>2025</x:v>
      </x:c>
      <x:c r="M2005" s="11" t="n">
        <x:v>26269</x:v>
      </x:c>
      <x:c r="N2005" s="7" t="n">
        <x:v>3</x:v>
      </x:c>
      <x:c r="O2005" s="7" t="n">
        <x:v>0</x:v>
      </x:c>
      <x:c r="P2005" s="9" t="n">
        <x:v>7.52</x:v>
      </x:c>
      <x:c r="Q2005" s="7" t="n">
        <x:f>'Guide'!$B$5-L2005</x:f>
        <x:v>1</x:v>
      </x:c>
      <x:c r="R2005" s="9" t="n">
        <x:f>K2005-P2005</x:f>
        <x:v>1.4800000000000004</x:v>
      </x:c>
      <x:c r="S2005" s="10" t="n">
        <x:f>IF(K2005&gt;0,R2005/K2005,"")</x:f>
        <x:v>0.1644444444444445</x:v>
      </x:c>
    </x:row>
    <x:row r="2006">
      <x:c r="A2006" s="7" t="n">
        <x:v>2002</x:v>
      </x:c>
      <x:c r="B2006" s="7" t="str">
        <x:v>Tata</x:v>
      </x:c>
      <x:c r="C2006" s="7" t="str">
        <x:v>Punch</x:v>
      </x:c>
      <x:c r="D2006" s="7" t="str">
        <x:v>Adventure AMT</x:v>
      </x:c>
      <x:c r="E2006" s="7" t="str">
        <x:v>Petrol</x:v>
      </x:c>
      <x:c r="F2006" s="7" t="str">
        <x:v>Automatic</x:v>
      </x:c>
      <x:c r="G2006" s="7" t="str">
        <x:v>Micro SUV</x:v>
      </x:c>
      <x:c r="H2006" s="7" t="n">
        <x:v>1199</x:v>
      </x:c>
      <x:c r="I2006" s="7" t="n">
        <x:v>87</x:v>
      </x:c>
      <x:c r="J2006" s="9" t="n">
        <x:v>18.8</x:v>
      </x:c>
      <x:c r="K2006" s="9" t="n">
        <x:v>9</x:v>
      </x:c>
      <x:c r="L2006" s="7" t="n">
        <x:v>2022</x:v>
      </x:c>
      <x:c r="M2006" s="11" t="n">
        <x:v>79392</x:v>
      </x:c>
      <x:c r="N2006" s="7" t="n">
        <x:v>1</x:v>
      </x:c>
      <x:c r="O2006" s="7" t="n">
        <x:v>0</x:v>
      </x:c>
      <x:c r="P2006" s="9" t="n">
        <x:v>5.55</x:v>
      </x:c>
      <x:c r="Q2006" s="7" t="n">
        <x:f>'Guide'!$B$5-L2006</x:f>
        <x:v>4</x:v>
      </x:c>
      <x:c r="R2006" s="9" t="n">
        <x:f>K2006-P2006</x:f>
        <x:v>3.45</x:v>
      </x:c>
      <x:c r="S2006" s="10" t="n">
        <x:f>IF(K2006&gt;0,R2006/K2006,"")</x:f>
        <x:v>0.38333333333333336</x:v>
      </x:c>
    </x:row>
    <x:row r="2007">
      <x:c r="A2007" s="7" t="n">
        <x:v>2003</x:v>
      </x:c>
      <x:c r="B2007" s="7" t="str">
        <x:v>Tata</x:v>
      </x:c>
      <x:c r="C2007" s="7" t="str">
        <x:v>Punch</x:v>
      </x:c>
      <x:c r="D2007" s="7" t="str">
        <x:v>Adventure AMT</x:v>
      </x:c>
      <x:c r="E2007" s="7" t="str">
        <x:v>Petrol</x:v>
      </x:c>
      <x:c r="F2007" s="7" t="str">
        <x:v>Automatic</x:v>
      </x:c>
      <x:c r="G2007" s="7" t="str">
        <x:v>Micro SUV</x:v>
      </x:c>
      <x:c r="H2007" s="7" t="n">
        <x:v>1199</x:v>
      </x:c>
      <x:c r="I2007" s="7" t="n">
        <x:v>87</x:v>
      </x:c>
      <x:c r="J2007" s="9" t="n">
        <x:v>18.8</x:v>
      </x:c>
      <x:c r="K2007" s="9" t="n">
        <x:v>9</x:v>
      </x:c>
      <x:c r="L2007" s="7" t="n">
        <x:v>2022</x:v>
      </x:c>
      <x:c r="M2007" s="11" t="n">
        <x:v>70938</x:v>
      </x:c>
      <x:c r="N2007" s="7" t="n">
        <x:v>1</x:v>
      </x:c>
      <x:c r="O2007" s="7" t="n">
        <x:v>1</x:v>
      </x:c>
      <x:c r="P2007" s="9" t="n">
        <x:v>4.48</x:v>
      </x:c>
      <x:c r="Q2007" s="7" t="n">
        <x:f>'Guide'!$B$5-L2007</x:f>
        <x:v>4</x:v>
      </x:c>
      <x:c r="R2007" s="9" t="n">
        <x:f>K2007-P2007</x:f>
        <x:v>4.52</x:v>
      </x:c>
      <x:c r="S2007" s="10" t="n">
        <x:f>IF(K2007&gt;0,R2007/K2007,"")</x:f>
        <x:v>0.5022222222222221</x:v>
      </x:c>
    </x:row>
    <x:row r="2008">
      <x:c r="A2008" s="7" t="n">
        <x:v>2004</x:v>
      </x:c>
      <x:c r="B2008" s="7" t="str">
        <x:v>Tata</x:v>
      </x:c>
      <x:c r="C2008" s="7" t="str">
        <x:v>Punch</x:v>
      </x:c>
      <x:c r="D2008" s="7" t="str">
        <x:v>Adventure AMT</x:v>
      </x:c>
      <x:c r="E2008" s="7" t="str">
        <x:v>Petrol</x:v>
      </x:c>
      <x:c r="F2008" s="7" t="str">
        <x:v>Automatic</x:v>
      </x:c>
      <x:c r="G2008" s="7" t="str">
        <x:v>Micro SUV</x:v>
      </x:c>
      <x:c r="H2008" s="7" t="n">
        <x:v>1199</x:v>
      </x:c>
      <x:c r="I2008" s="7" t="n">
        <x:v>87</x:v>
      </x:c>
      <x:c r="J2008" s="9" t="n">
        <x:v>18.8</x:v>
      </x:c>
      <x:c r="K2008" s="9" t="n">
        <x:v>9</x:v>
      </x:c>
      <x:c r="L2008" s="7" t="n">
        <x:v>2021</x:v>
      </x:c>
      <x:c r="M2008" s="11" t="n">
        <x:v>104888</x:v>
      </x:c>
      <x:c r="N2008" s="7" t="n">
        <x:v>3</x:v>
      </x:c>
      <x:c r="O2008" s="7" t="n">
        <x:v>0</x:v>
      </x:c>
      <x:c r="P2008" s="9" t="n">
        <x:v>3.77</x:v>
      </x:c>
      <x:c r="Q2008" s="7" t="n">
        <x:f>'Guide'!$B$5-L2008</x:f>
        <x:v>5</x:v>
      </x:c>
      <x:c r="R2008" s="9" t="n">
        <x:f>K2008-P2008</x:f>
        <x:v>5.23</x:v>
      </x:c>
      <x:c r="S2008" s="10" t="n">
        <x:f>IF(K2008&gt;0,R2008/K2008,"")</x:f>
        <x:v>0.5811111111111111</x:v>
      </x:c>
    </x:row>
    <x:row r="2009">
      <x:c r="A2009" s="7" t="n">
        <x:v>2005</x:v>
      </x:c>
      <x:c r="B2009" s="7" t="str">
        <x:v>Tata</x:v>
      </x:c>
      <x:c r="C2009" s="7" t="str">
        <x:v>Punch</x:v>
      </x:c>
      <x:c r="D2009" s="7" t="str">
        <x:v>Adventure AMT</x:v>
      </x:c>
      <x:c r="E2009" s="7" t="str">
        <x:v>Petrol</x:v>
      </x:c>
      <x:c r="F2009" s="7" t="str">
        <x:v>Automatic</x:v>
      </x:c>
      <x:c r="G2009" s="7" t="str">
        <x:v>Micro SUV</x:v>
      </x:c>
      <x:c r="H2009" s="7" t="n">
        <x:v>1199</x:v>
      </x:c>
      <x:c r="I2009" s="7" t="n">
        <x:v>87</x:v>
      </x:c>
      <x:c r="J2009" s="9" t="n">
        <x:v>18.8</x:v>
      </x:c>
      <x:c r="K2009" s="9" t="n">
        <x:v>9</x:v>
      </x:c>
      <x:c r="L2009" s="7" t="n">
        <x:v>2022</x:v>
      </x:c>
      <x:c r="M2009" s="11" t="n">
        <x:v>40963</x:v>
      </x:c>
      <x:c r="N2009" s="7" t="n">
        <x:v>1</x:v>
      </x:c>
      <x:c r="O2009" s="7" t="n">
        <x:v>0</x:v>
      </x:c>
      <x:c r="P2009" s="9" t="n">
        <x:v>5.34</x:v>
      </x:c>
      <x:c r="Q2009" s="7" t="n">
        <x:f>'Guide'!$B$5-L2009</x:f>
        <x:v>4</x:v>
      </x:c>
      <x:c r="R2009" s="9" t="n">
        <x:f>K2009-P2009</x:f>
        <x:v>3.66</x:v>
      </x:c>
      <x:c r="S2009" s="10" t="n">
        <x:f>IF(K2009&gt;0,R2009/K2009,"")</x:f>
        <x:v>0.4066666666666667</x:v>
      </x:c>
    </x:row>
    <x:row r="2010">
      <x:c r="A2010" s="7" t="n">
        <x:v>2006</x:v>
      </x:c>
      <x:c r="B2010" s="7" t="str">
        <x:v>Tata</x:v>
      </x:c>
      <x:c r="C2010" s="7" t="str">
        <x:v>Punch</x:v>
      </x:c>
      <x:c r="D2010" s="7" t="str">
        <x:v>Adventure AMT</x:v>
      </x:c>
      <x:c r="E2010" s="7" t="str">
        <x:v>Petrol</x:v>
      </x:c>
      <x:c r="F2010" s="7" t="str">
        <x:v>Automatic</x:v>
      </x:c>
      <x:c r="G2010" s="7" t="str">
        <x:v>Micro SUV</x:v>
      </x:c>
      <x:c r="H2010" s="7" t="n">
        <x:v>1199</x:v>
      </x:c>
      <x:c r="I2010" s="7" t="n">
        <x:v>87</x:v>
      </x:c>
      <x:c r="J2010" s="9" t="n">
        <x:v>18.8</x:v>
      </x:c>
      <x:c r="K2010" s="9" t="n">
        <x:v>9</x:v>
      </x:c>
      <x:c r="L2010" s="7" t="n">
        <x:v>2026</x:v>
      </x:c>
      <x:c r="M2010" s="11" t="n">
        <x:v>8491</x:v>
      </x:c>
      <x:c r="N2010" s="7" t="n">
        <x:v>1</x:v>
      </x:c>
      <x:c r="O2010" s="7" t="n">
        <x:v>0</x:v>
      </x:c>
      <x:c r="P2010" s="9" t="n">
        <x:v>8.96</x:v>
      </x:c>
      <x:c r="Q2010" s="7" t="n">
        <x:f>'Guide'!$B$5-L2010</x:f>
        <x:v>0</x:v>
      </x:c>
      <x:c r="R2010" s="9" t="n">
        <x:f>K2010-P2010</x:f>
        <x:v>0.03999999999999915</x:v>
      </x:c>
      <x:c r="S2010" s="10" t="n">
        <x:f>IF(K2010&gt;0,R2010/K2010,"")</x:f>
        <x:v>0.00444444444444435</x:v>
      </x:c>
    </x:row>
    <x:row r="2011">
      <x:c r="A2011" s="7" t="n">
        <x:v>2007</x:v>
      </x:c>
      <x:c r="B2011" s="7" t="str">
        <x:v>Tata</x:v>
      </x:c>
      <x:c r="C2011" s="7" t="str">
        <x:v>Punch</x:v>
      </x:c>
      <x:c r="D2011" s="7" t="str">
        <x:v>Adventure AMT</x:v>
      </x:c>
      <x:c r="E2011" s="7" t="str">
        <x:v>Petrol</x:v>
      </x:c>
      <x:c r="F2011" s="7" t="str">
        <x:v>Automatic</x:v>
      </x:c>
      <x:c r="G2011" s="7" t="str">
        <x:v>Micro SUV</x:v>
      </x:c>
      <x:c r="H2011" s="7" t="n">
        <x:v>1199</x:v>
      </x:c>
      <x:c r="I2011" s="7" t="n">
        <x:v>87</x:v>
      </x:c>
      <x:c r="J2011" s="9" t="n">
        <x:v>18.8</x:v>
      </x:c>
      <x:c r="K2011" s="9" t="n">
        <x:v>9</x:v>
      </x:c>
      <x:c r="L2011" s="7" t="n">
        <x:v>2026</x:v>
      </x:c>
      <x:c r="M2011" s="11" t="n">
        <x:v>9695</x:v>
      </x:c>
      <x:c r="N2011" s="7" t="n">
        <x:v>1</x:v>
      </x:c>
      <x:c r="O2011" s="7" t="n">
        <x:v>1</x:v>
      </x:c>
      <x:c r="P2011" s="9" t="n">
        <x:v>7.84</x:v>
      </x:c>
      <x:c r="Q2011" s="7" t="n">
        <x:f>'Guide'!$B$5-L2011</x:f>
        <x:v>0</x:v>
      </x:c>
      <x:c r="R2011" s="9" t="n">
        <x:f>K2011-P2011</x:f>
        <x:v>1.1600000000000001</x:v>
      </x:c>
      <x:c r="S2011" s="10" t="n">
        <x:f>IF(K2011&gt;0,R2011/K2011,"")</x:f>
        <x:v>0.12888888888888891</x:v>
      </x:c>
    </x:row>
    <x:row r="2012">
      <x:c r="A2012" s="7" t="n">
        <x:v>2008</x:v>
      </x:c>
      <x:c r="B2012" s="7" t="str">
        <x:v>Tata</x:v>
      </x:c>
      <x:c r="C2012" s="7" t="str">
        <x:v>Punch</x:v>
      </x:c>
      <x:c r="D2012" s="7" t="str">
        <x:v>Adventure AMT</x:v>
      </x:c>
      <x:c r="E2012" s="7" t="str">
        <x:v>Petrol</x:v>
      </x:c>
      <x:c r="F2012" s="7" t="str">
        <x:v>Automatic</x:v>
      </x:c>
      <x:c r="G2012" s="7" t="str">
        <x:v>Micro SUV</x:v>
      </x:c>
      <x:c r="H2012" s="7" t="n">
        <x:v>1199</x:v>
      </x:c>
      <x:c r="I2012" s="7" t="n">
        <x:v>87</x:v>
      </x:c>
      <x:c r="J2012" s="9" t="n">
        <x:v>18.8</x:v>
      </x:c>
      <x:c r="K2012" s="9" t="n">
        <x:v>9</x:v>
      </x:c>
      <x:c r="L2012" s="7" t="n">
        <x:v>2024</x:v>
      </x:c>
      <x:c r="M2012" s="11" t="n">
        <x:v>49516</x:v>
      </x:c>
      <x:c r="N2012" s="7" t="n">
        <x:v>1</x:v>
      </x:c>
      <x:c r="O2012" s="7" t="n">
        <x:v>0</x:v>
      </x:c>
      <x:c r="P2012" s="9" t="n">
        <x:v>6.82</x:v>
      </x:c>
      <x:c r="Q2012" s="7" t="n">
        <x:f>'Guide'!$B$5-L2012</x:f>
        <x:v>2</x:v>
      </x:c>
      <x:c r="R2012" s="9" t="n">
        <x:f>K2012-P2012</x:f>
        <x:v>2.1799999999999997</x:v>
      </x:c>
      <x:c r="S2012" s="10" t="n">
        <x:f>IF(K2012&gt;0,R2012/K2012,"")</x:f>
        <x:v>0.2422222222222222</x:v>
      </x:c>
    </x:row>
    <x:row r="2013">
      <x:c r="A2013" s="7" t="n">
        <x:v>2009</x:v>
      </x:c>
      <x:c r="B2013" s="7" t="str">
        <x:v>Tata</x:v>
      </x:c>
      <x:c r="C2013" s="7" t="str">
        <x:v>Punch</x:v>
      </x:c>
      <x:c r="D2013" s="7" t="str">
        <x:v>Adventure AMT</x:v>
      </x:c>
      <x:c r="E2013" s="7" t="str">
        <x:v>Petrol</x:v>
      </x:c>
      <x:c r="F2013" s="7" t="str">
        <x:v>Automatic</x:v>
      </x:c>
      <x:c r="G2013" s="7" t="str">
        <x:v>Micro SUV</x:v>
      </x:c>
      <x:c r="H2013" s="7" t="n">
        <x:v>1199</x:v>
      </x:c>
      <x:c r="I2013" s="7" t="n">
        <x:v>87</x:v>
      </x:c>
      <x:c r="J2013" s="9" t="n">
        <x:v>18.8</x:v>
      </x:c>
      <x:c r="K2013" s="9" t="n">
        <x:v>9</x:v>
      </x:c>
      <x:c r="L2013" s="7" t="n">
        <x:v>2023</x:v>
      </x:c>
      <x:c r="M2013" s="11" t="n">
        <x:v>38215</x:v>
      </x:c>
      <x:c r="N2013" s="7" t="n">
        <x:v>1</x:v>
      </x:c>
      <x:c r="O2013" s="7" t="n">
        <x:v>0</x:v>
      </x:c>
      <x:c r="P2013" s="9" t="n">
        <x:v>6.31</x:v>
      </x:c>
      <x:c r="Q2013" s="7" t="n">
        <x:f>'Guide'!$B$5-L2013</x:f>
        <x:v>3</x:v>
      </x:c>
      <x:c r="R2013" s="9" t="n">
        <x:f>K2013-P2013</x:f>
        <x:v>2.6900000000000004</x:v>
      </x:c>
      <x:c r="S2013" s="10" t="n">
        <x:f>IF(K2013&gt;0,R2013/K2013,"")</x:f>
        <x:v>0.2988888888888889</x:v>
      </x:c>
    </x:row>
    <x:row r="2014">
      <x:c r="A2014" s="7" t="n">
        <x:v>2010</x:v>
      </x:c>
      <x:c r="B2014" s="7" t="str">
        <x:v>Tata</x:v>
      </x:c>
      <x:c r="C2014" s="7" t="str">
        <x:v>Punch</x:v>
      </x:c>
      <x:c r="D2014" s="7" t="str">
        <x:v>Adventure AMT</x:v>
      </x:c>
      <x:c r="E2014" s="7" t="str">
        <x:v>Petrol</x:v>
      </x:c>
      <x:c r="F2014" s="7" t="str">
        <x:v>Automatic</x:v>
      </x:c>
      <x:c r="G2014" s="7" t="str">
        <x:v>Micro SUV</x:v>
      </x:c>
      <x:c r="H2014" s="7" t="n">
        <x:v>1199</x:v>
      </x:c>
      <x:c r="I2014" s="7" t="n">
        <x:v>87</x:v>
      </x:c>
      <x:c r="J2014" s="9" t="n">
        <x:v>18.8</x:v>
      </x:c>
      <x:c r="K2014" s="9" t="n">
        <x:v>9</x:v>
      </x:c>
      <x:c r="L2014" s="7" t="n">
        <x:v>2020</x:v>
      </x:c>
      <x:c r="M2014" s="11" t="n">
        <x:v>55224</x:v>
      </x:c>
      <x:c r="N2014" s="7" t="n">
        <x:v>2</x:v>
      </x:c>
      <x:c r="O2014" s="7" t="n">
        <x:v>0</x:v>
      </x:c>
      <x:c r="P2014" s="9" t="n">
        <x:v>3.42</x:v>
      </x:c>
      <x:c r="Q2014" s="7" t="n">
        <x:f>'Guide'!$B$5-L2014</x:f>
        <x:v>6</x:v>
      </x:c>
      <x:c r="R2014" s="9" t="n">
        <x:f>K2014-P2014</x:f>
        <x:v>5.58</x:v>
      </x:c>
      <x:c r="S2014" s="10" t="n">
        <x:f>IF(K2014&gt;0,R2014/K2014,"")</x:f>
        <x:v>0.62</x:v>
      </x:c>
    </x:row>
    <x:row r="2015">
      <x:c r="A2015" s="7" t="n">
        <x:v>2011</x:v>
      </x:c>
      <x:c r="B2015" s="7" t="str">
        <x:v>Tata</x:v>
      </x:c>
      <x:c r="C2015" s="7" t="str">
        <x:v>Punch</x:v>
      </x:c>
      <x:c r="D2015" s="7" t="str">
        <x:v>Adventure AMT</x:v>
      </x:c>
      <x:c r="E2015" s="7" t="str">
        <x:v>Petrol</x:v>
      </x:c>
      <x:c r="F2015" s="7" t="str">
        <x:v>Automatic</x:v>
      </x:c>
      <x:c r="G2015" s="7" t="str">
        <x:v>Micro SUV</x:v>
      </x:c>
      <x:c r="H2015" s="7" t="n">
        <x:v>1199</x:v>
      </x:c>
      <x:c r="I2015" s="7" t="n">
        <x:v>87</x:v>
      </x:c>
      <x:c r="J2015" s="9" t="n">
        <x:v>18.8</x:v>
      </x:c>
      <x:c r="K2015" s="9" t="n">
        <x:v>9</x:v>
      </x:c>
      <x:c r="L2015" s="7" t="n">
        <x:v>2025</x:v>
      </x:c>
      <x:c r="M2015" s="11" t="n">
        <x:v>16330</x:v>
      </x:c>
      <x:c r="N2015" s="7" t="n">
        <x:v>2</x:v>
      </x:c>
      <x:c r="O2015" s="7" t="n">
        <x:v>1</x:v>
      </x:c>
      <x:c r="P2015" s="9" t="n">
        <x:v>7.23</x:v>
      </x:c>
      <x:c r="Q2015" s="7" t="n">
        <x:f>'Guide'!$B$5-L2015</x:f>
        <x:v>1</x:v>
      </x:c>
      <x:c r="R2015" s="9" t="n">
        <x:f>K2015-P2015</x:f>
        <x:v>1.7699999999999996</x:v>
      </x:c>
      <x:c r="S2015" s="10" t="n">
        <x:f>IF(K2015&gt;0,R2015/K2015,"")</x:f>
        <x:v>0.19666666666666663</x:v>
      </x:c>
    </x:row>
    <x:row r="2016">
      <x:c r="A2016" s="7" t="n">
        <x:v>2012</x:v>
      </x:c>
      <x:c r="B2016" s="7" t="str">
        <x:v>Tata</x:v>
      </x:c>
      <x:c r="C2016" s="7" t="str">
        <x:v>Punch</x:v>
      </x:c>
      <x:c r="D2016" s="7" t="str">
        <x:v>Adventure AMT</x:v>
      </x:c>
      <x:c r="E2016" s="7" t="str">
        <x:v>Petrol</x:v>
      </x:c>
      <x:c r="F2016" s="7" t="str">
        <x:v>Automatic</x:v>
      </x:c>
      <x:c r="G2016" s="7" t="str">
        <x:v>Micro SUV</x:v>
      </x:c>
      <x:c r="H2016" s="7" t="n">
        <x:v>1199</x:v>
      </x:c>
      <x:c r="I2016" s="7" t="n">
        <x:v>87</x:v>
      </x:c>
      <x:c r="J2016" s="9" t="n">
        <x:v>18.8</x:v>
      </x:c>
      <x:c r="K2016" s="9" t="n">
        <x:v>9</x:v>
      </x:c>
      <x:c r="L2016" s="7" t="n">
        <x:v>2026</x:v>
      </x:c>
      <x:c r="M2016" s="11" t="n">
        <x:v>9750</x:v>
      </x:c>
      <x:c r="N2016" s="7" t="n">
        <x:v>2</x:v>
      </x:c>
      <x:c r="O2016" s="7" t="n">
        <x:v>0</x:v>
      </x:c>
      <x:c r="P2016" s="9" t="n">
        <x:v>8.74</x:v>
      </x:c>
      <x:c r="Q2016" s="7" t="n">
        <x:f>'Guide'!$B$5-L2016</x:f>
        <x:v>0</x:v>
      </x:c>
      <x:c r="R2016" s="9" t="n">
        <x:f>K2016-P2016</x:f>
        <x:v>0.2599999999999998</x:v>
      </x:c>
      <x:c r="S2016" s="10" t="n">
        <x:f>IF(K2016&gt;0,R2016/K2016,"")</x:f>
        <x:v>0.028888888888888867</x:v>
      </x:c>
    </x:row>
    <x:row r="2017">
      <x:c r="A2017" s="7" t="n">
        <x:v>2013</x:v>
      </x:c>
      <x:c r="B2017" s="7" t="str">
        <x:v>Tata</x:v>
      </x:c>
      <x:c r="C2017" s="7" t="str">
        <x:v>Punch</x:v>
      </x:c>
      <x:c r="D2017" s="7" t="str">
        <x:v>Adventure AMT</x:v>
      </x:c>
      <x:c r="E2017" s="7" t="str">
        <x:v>Petrol</x:v>
      </x:c>
      <x:c r="F2017" s="7" t="str">
        <x:v>Automatic</x:v>
      </x:c>
      <x:c r="G2017" s="7" t="str">
        <x:v>Micro SUV</x:v>
      </x:c>
      <x:c r="H2017" s="7" t="n">
        <x:v>1199</x:v>
      </x:c>
      <x:c r="I2017" s="7" t="n">
        <x:v>87</x:v>
      </x:c>
      <x:c r="J2017" s="9" t="n">
        <x:v>18.8</x:v>
      </x:c>
      <x:c r="K2017" s="9" t="n">
        <x:v>9</x:v>
      </x:c>
      <x:c r="L2017" s="7" t="n">
        <x:v>2024</x:v>
      </x:c>
      <x:c r="M2017" s="11" t="n">
        <x:v>49659</x:v>
      </x:c>
      <x:c r="N2017" s="7" t="n">
        <x:v>1</x:v>
      </x:c>
      <x:c r="O2017" s="7" t="n">
        <x:v>0</x:v>
      </x:c>
      <x:c r="P2017" s="9" t="n">
        <x:v>6.79</x:v>
      </x:c>
      <x:c r="Q2017" s="7" t="n">
        <x:f>'Guide'!$B$5-L2017</x:f>
        <x:v>2</x:v>
      </x:c>
      <x:c r="R2017" s="9" t="n">
        <x:f>K2017-P2017</x:f>
        <x:v>2.21</x:v>
      </x:c>
      <x:c r="S2017" s="10" t="n">
        <x:f>IF(K2017&gt;0,R2017/K2017,"")</x:f>
        <x:v>0.24555555555555555</x:v>
      </x:c>
    </x:row>
    <x:row r="2018">
      <x:c r="A2018" s="7" t="n">
        <x:v>2014</x:v>
      </x:c>
      <x:c r="B2018" s="7" t="str">
        <x:v>Tata</x:v>
      </x:c>
      <x:c r="C2018" s="7" t="str">
        <x:v>Punch</x:v>
      </x:c>
      <x:c r="D2018" s="7" t="str">
        <x:v>Adventure AMT</x:v>
      </x:c>
      <x:c r="E2018" s="7" t="str">
        <x:v>Petrol</x:v>
      </x:c>
      <x:c r="F2018" s="7" t="str">
        <x:v>Automatic</x:v>
      </x:c>
      <x:c r="G2018" s="7" t="str">
        <x:v>Micro SUV</x:v>
      </x:c>
      <x:c r="H2018" s="7" t="n">
        <x:v>1199</x:v>
      </x:c>
      <x:c r="I2018" s="7" t="n">
        <x:v>87</x:v>
      </x:c>
      <x:c r="J2018" s="9" t="n">
        <x:v>18.8</x:v>
      </x:c>
      <x:c r="K2018" s="9" t="n">
        <x:v>9</x:v>
      </x:c>
      <x:c r="L2018" s="7" t="n">
        <x:v>2025</x:v>
      </x:c>
      <x:c r="M2018" s="11" t="n">
        <x:v>26146</x:v>
      </x:c>
      <x:c r="N2018" s="7" t="n">
        <x:v>2</x:v>
      </x:c>
      <x:c r="O2018" s="7" t="n">
        <x:v>0</x:v>
      </x:c>
      <x:c r="P2018" s="9" t="n">
        <x:v>7.61</x:v>
      </x:c>
      <x:c r="Q2018" s="7" t="n">
        <x:f>'Guide'!$B$5-L2018</x:f>
        <x:v>1</x:v>
      </x:c>
      <x:c r="R2018" s="9" t="n">
        <x:f>K2018-P2018</x:f>
        <x:v>1.3899999999999997</x:v>
      </x:c>
      <x:c r="S2018" s="10" t="n">
        <x:f>IF(K2018&gt;0,R2018/K2018,"")</x:f>
        <x:v>0.1544444444444444</x:v>
      </x:c>
    </x:row>
    <x:row r="2019">
      <x:c r="A2019" s="7" t="n">
        <x:v>2015</x:v>
      </x:c>
      <x:c r="B2019" s="7" t="str">
        <x:v>Tata</x:v>
      </x:c>
      <x:c r="C2019" s="7" t="str">
        <x:v>Punch</x:v>
      </x:c>
      <x:c r="D2019" s="7" t="str">
        <x:v>Adventure AMT</x:v>
      </x:c>
      <x:c r="E2019" s="7" t="str">
        <x:v>Petrol</x:v>
      </x:c>
      <x:c r="F2019" s="7" t="str">
        <x:v>Automatic</x:v>
      </x:c>
      <x:c r="G2019" s="7" t="str">
        <x:v>Micro SUV</x:v>
      </x:c>
      <x:c r="H2019" s="7" t="n">
        <x:v>1199</x:v>
      </x:c>
      <x:c r="I2019" s="7" t="n">
        <x:v>87</x:v>
      </x:c>
      <x:c r="J2019" s="9" t="n">
        <x:v>18.8</x:v>
      </x:c>
      <x:c r="K2019" s="9" t="n">
        <x:v>9</x:v>
      </x:c>
      <x:c r="L2019" s="7" t="n">
        <x:v>2021</x:v>
      </x:c>
      <x:c r="M2019" s="11" t="n">
        <x:v>96840</x:v>
      </x:c>
      <x:c r="N2019" s="7" t="n">
        <x:v>1</x:v>
      </x:c>
      <x:c r="O2019" s="7" t="n">
        <x:v>0</x:v>
      </x:c>
      <x:c r="P2019" s="9" t="n">
        <x:v>4.74</x:v>
      </x:c>
      <x:c r="Q2019" s="7" t="n">
        <x:f>'Guide'!$B$5-L2019</x:f>
        <x:v>5</x:v>
      </x:c>
      <x:c r="R2019" s="9" t="n">
        <x:f>K2019-P2019</x:f>
        <x:v>4.26</x:v>
      </x:c>
      <x:c r="S2019" s="10" t="n">
        <x:f>IF(K2019&gt;0,R2019/K2019,"")</x:f>
        <x:v>0.47333333333333333</x:v>
      </x:c>
    </x:row>
    <x:row r="2020">
      <x:c r="A2020" s="7" t="n">
        <x:v>2016</x:v>
      </x:c>
      <x:c r="B2020" s="7" t="str">
        <x:v>Tata</x:v>
      </x:c>
      <x:c r="C2020" s="7" t="str">
        <x:v>Punch</x:v>
      </x:c>
      <x:c r="D2020" s="7" t="str">
        <x:v>Adventure AMT</x:v>
      </x:c>
      <x:c r="E2020" s="7" t="str">
        <x:v>Petrol</x:v>
      </x:c>
      <x:c r="F2020" s="7" t="str">
        <x:v>Automatic</x:v>
      </x:c>
      <x:c r="G2020" s="7" t="str">
        <x:v>Micro SUV</x:v>
      </x:c>
      <x:c r="H2020" s="7" t="n">
        <x:v>1199</x:v>
      </x:c>
      <x:c r="I2020" s="7" t="n">
        <x:v>87</x:v>
      </x:c>
      <x:c r="J2020" s="9" t="n">
        <x:v>18.8</x:v>
      </x:c>
      <x:c r="K2020" s="9" t="n">
        <x:v>9</x:v>
      </x:c>
      <x:c r="L2020" s="7" t="n">
        <x:v>2024</x:v>
      </x:c>
      <x:c r="M2020" s="11" t="n">
        <x:v>49558</x:v>
      </x:c>
      <x:c r="N2020" s="7" t="n">
        <x:v>1</x:v>
      </x:c>
      <x:c r="O2020" s="7" t="n">
        <x:v>0</x:v>
      </x:c>
      <x:c r="P2020" s="9" t="n">
        <x:v>7.3</x:v>
      </x:c>
      <x:c r="Q2020" s="7" t="n">
        <x:f>'Guide'!$B$5-L2020</x:f>
        <x:v>2</x:v>
      </x:c>
      <x:c r="R2020" s="9" t="n">
        <x:f>K2020-P2020</x:f>
        <x:v>1.7000000000000002</x:v>
      </x:c>
      <x:c r="S2020" s="10" t="n">
        <x:f>IF(K2020&gt;0,R2020/K2020,"")</x:f>
        <x:v>0.1888888888888889</x:v>
      </x:c>
    </x:row>
    <x:row r="2021">
      <x:c r="A2021" s="7" t="n">
        <x:v>2017</x:v>
      </x:c>
      <x:c r="B2021" s="7" t="str">
        <x:v>Tata</x:v>
      </x:c>
      <x:c r="C2021" s="7" t="str">
        <x:v>Punch</x:v>
      </x:c>
      <x:c r="D2021" s="7" t="str">
        <x:v>Adventure AMT</x:v>
      </x:c>
      <x:c r="E2021" s="7" t="str">
        <x:v>Petrol</x:v>
      </x:c>
      <x:c r="F2021" s="7" t="str">
        <x:v>Automatic</x:v>
      </x:c>
      <x:c r="G2021" s="7" t="str">
        <x:v>Micro SUV</x:v>
      </x:c>
      <x:c r="H2021" s="7" t="n">
        <x:v>1199</x:v>
      </x:c>
      <x:c r="I2021" s="7" t="n">
        <x:v>87</x:v>
      </x:c>
      <x:c r="J2021" s="9" t="n">
        <x:v>18.8</x:v>
      </x:c>
      <x:c r="K2021" s="9" t="n">
        <x:v>9</x:v>
      </x:c>
      <x:c r="L2021" s="7" t="n">
        <x:v>2025</x:v>
      </x:c>
      <x:c r="M2021" s="11" t="n">
        <x:v>19817</x:v>
      </x:c>
      <x:c r="N2021" s="7" t="n">
        <x:v>1</x:v>
      </x:c>
      <x:c r="O2021" s="7" t="n">
        <x:v>0</x:v>
      </x:c>
      <x:c r="P2021" s="9" t="n">
        <x:v>8.29</x:v>
      </x:c>
      <x:c r="Q2021" s="7" t="n">
        <x:f>'Guide'!$B$5-L2021</x:f>
        <x:v>1</x:v>
      </x:c>
      <x:c r="R2021" s="9" t="n">
        <x:f>K2021-P2021</x:f>
        <x:v>0.7100000000000009</x:v>
      </x:c>
      <x:c r="S2021" s="10" t="n">
        <x:f>IF(K2021&gt;0,R2021/K2021,"")</x:f>
        <x:v>0.07888888888888898</x:v>
      </x:c>
    </x:row>
    <x:row r="2022">
      <x:c r="A2022" s="7" t="n">
        <x:v>2018</x:v>
      </x:c>
      <x:c r="B2022" s="7" t="str">
        <x:v>Tata</x:v>
      </x:c>
      <x:c r="C2022" s="7" t="str">
        <x:v>Punch</x:v>
      </x:c>
      <x:c r="D2022" s="7" t="str">
        <x:v>Adventure AMT</x:v>
      </x:c>
      <x:c r="E2022" s="7" t="str">
        <x:v>Petrol</x:v>
      </x:c>
      <x:c r="F2022" s="7" t="str">
        <x:v>Automatic</x:v>
      </x:c>
      <x:c r="G2022" s="7" t="str">
        <x:v>Micro SUV</x:v>
      </x:c>
      <x:c r="H2022" s="7" t="n">
        <x:v>1199</x:v>
      </x:c>
      <x:c r="I2022" s="7" t="n">
        <x:v>87</x:v>
      </x:c>
      <x:c r="J2022" s="9" t="n">
        <x:v>18.8</x:v>
      </x:c>
      <x:c r="K2022" s="9" t="n">
        <x:v>9</x:v>
      </x:c>
      <x:c r="L2022" s="7" t="n">
        <x:v>2026</x:v>
      </x:c>
      <x:c r="M2022" s="11" t="n">
        <x:v>8790</x:v>
      </x:c>
      <x:c r="N2022" s="7" t="n">
        <x:v>2</x:v>
      </x:c>
      <x:c r="O2022" s="7" t="n">
        <x:v>1</x:v>
      </x:c>
      <x:c r="P2022" s="9" t="n">
        <x:v>7.42</x:v>
      </x:c>
      <x:c r="Q2022" s="7" t="n">
        <x:f>'Guide'!$B$5-L2022</x:f>
        <x:v>0</x:v>
      </x:c>
      <x:c r="R2022" s="9" t="n">
        <x:f>K2022-P2022</x:f>
        <x:v>1.58</x:v>
      </x:c>
      <x:c r="S2022" s="10" t="n">
        <x:f>IF(K2022&gt;0,R2022/K2022,"")</x:f>
        <x:v>0.17555555555555558</x:v>
      </x:c>
    </x:row>
    <x:row r="2023">
      <x:c r="A2023" s="7" t="n">
        <x:v>2019</x:v>
      </x:c>
      <x:c r="B2023" s="7" t="str">
        <x:v>Tata</x:v>
      </x:c>
      <x:c r="C2023" s="7" t="str">
        <x:v>Punch</x:v>
      </x:c>
      <x:c r="D2023" s="7" t="str">
        <x:v>Adventure AMT</x:v>
      </x:c>
      <x:c r="E2023" s="7" t="str">
        <x:v>Petrol</x:v>
      </x:c>
      <x:c r="F2023" s="7" t="str">
        <x:v>Automatic</x:v>
      </x:c>
      <x:c r="G2023" s="7" t="str">
        <x:v>Micro SUV</x:v>
      </x:c>
      <x:c r="H2023" s="7" t="n">
        <x:v>1199</x:v>
      </x:c>
      <x:c r="I2023" s="7" t="n">
        <x:v>87</x:v>
      </x:c>
      <x:c r="J2023" s="9" t="n">
        <x:v>18.8</x:v>
      </x:c>
      <x:c r="K2023" s="9" t="n">
        <x:v>9</x:v>
      </x:c>
      <x:c r="L2023" s="7" t="n">
        <x:v>2025</x:v>
      </x:c>
      <x:c r="M2023" s="11" t="n">
        <x:v>20076</x:v>
      </x:c>
      <x:c r="N2023" s="7" t="n">
        <x:v>1</x:v>
      </x:c>
      <x:c r="O2023" s="7" t="n">
        <x:v>0</x:v>
      </x:c>
      <x:c r="P2023" s="9" t="n">
        <x:v>7.75</x:v>
      </x:c>
      <x:c r="Q2023" s="7" t="n">
        <x:f>'Guide'!$B$5-L2023</x:f>
        <x:v>1</x:v>
      </x:c>
      <x:c r="R2023" s="9" t="n">
        <x:f>K2023-P2023</x:f>
        <x:v>1.25</x:v>
      </x:c>
      <x:c r="S2023" s="10" t="n">
        <x:f>IF(K2023&gt;0,R2023/K2023,"")</x:f>
        <x:v>0.1388888888888889</x:v>
      </x:c>
    </x:row>
    <x:row r="2024">
      <x:c r="A2024" s="7" t="n">
        <x:v>2020</x:v>
      </x:c>
      <x:c r="B2024" s="7" t="str">
        <x:v>Tata</x:v>
      </x:c>
      <x:c r="C2024" s="7" t="str">
        <x:v>Punch</x:v>
      </x:c>
      <x:c r="D2024" s="7" t="str">
        <x:v>Adventure AMT</x:v>
      </x:c>
      <x:c r="E2024" s="7" t="str">
        <x:v>Petrol</x:v>
      </x:c>
      <x:c r="F2024" s="7" t="str">
        <x:v>Automatic</x:v>
      </x:c>
      <x:c r="G2024" s="7" t="str">
        <x:v>Micro SUV</x:v>
      </x:c>
      <x:c r="H2024" s="7" t="n">
        <x:v>1199</x:v>
      </x:c>
      <x:c r="I2024" s="7" t="n">
        <x:v>87</x:v>
      </x:c>
      <x:c r="J2024" s="9" t="n">
        <x:v>18.8</x:v>
      </x:c>
      <x:c r="K2024" s="9" t="n">
        <x:v>9</x:v>
      </x:c>
      <x:c r="L2024" s="7" t="n">
        <x:v>2022</x:v>
      </x:c>
      <x:c r="M2024" s="11" t="n">
        <x:v>45850</x:v>
      </x:c>
      <x:c r="N2024" s="7" t="n">
        <x:v>1</x:v>
      </x:c>
      <x:c r="O2024" s="7" t="n">
        <x:v>0</x:v>
      </x:c>
      <x:c r="P2024" s="9" t="n">
        <x:v>5.74</x:v>
      </x:c>
      <x:c r="Q2024" s="7" t="n">
        <x:f>'Guide'!$B$5-L2024</x:f>
        <x:v>4</x:v>
      </x:c>
      <x:c r="R2024" s="9" t="n">
        <x:f>K2024-P2024</x:f>
        <x:v>3.26</x:v>
      </x:c>
      <x:c r="S2024" s="10" t="n">
        <x:f>IF(K2024&gt;0,R2024/K2024,"")</x:f>
        <x:v>0.3622222222222222</x:v>
      </x:c>
    </x:row>
    <x:row r="2025">
      <x:c r="A2025" s="7" t="n">
        <x:v>2021</x:v>
      </x:c>
      <x:c r="B2025" s="7" t="str">
        <x:v>Tata</x:v>
      </x:c>
      <x:c r="C2025" s="7" t="str">
        <x:v>Punch</x:v>
      </x:c>
      <x:c r="D2025" s="7" t="str">
        <x:v>Adventure AMT</x:v>
      </x:c>
      <x:c r="E2025" s="7" t="str">
        <x:v>Petrol</x:v>
      </x:c>
      <x:c r="F2025" s="7" t="str">
        <x:v>Automatic</x:v>
      </x:c>
      <x:c r="G2025" s="7" t="str">
        <x:v>Micro SUV</x:v>
      </x:c>
      <x:c r="H2025" s="7" t="n">
        <x:v>1199</x:v>
      </x:c>
      <x:c r="I2025" s="7" t="n">
        <x:v>87</x:v>
      </x:c>
      <x:c r="J2025" s="9" t="n">
        <x:v>18.8</x:v>
      </x:c>
      <x:c r="K2025" s="9" t="n">
        <x:v>9</x:v>
      </x:c>
      <x:c r="L2025" s="7" t="n">
        <x:v>2020</x:v>
      </x:c>
      <x:c r="M2025" s="11" t="n">
        <x:v>98695</x:v>
      </x:c>
      <x:c r="N2025" s="7" t="n">
        <x:v>1</x:v>
      </x:c>
      <x:c r="O2025" s="7" t="n">
        <x:v>0</x:v>
      </x:c>
      <x:c r="P2025" s="9" t="n">
        <x:v>3.5</x:v>
      </x:c>
      <x:c r="Q2025" s="7" t="n">
        <x:f>'Guide'!$B$5-L2025</x:f>
        <x:v>6</x:v>
      </x:c>
      <x:c r="R2025" s="9" t="n">
        <x:f>K2025-P2025</x:f>
        <x:v>5.5</x:v>
      </x:c>
      <x:c r="S2025" s="10" t="n">
        <x:f>IF(K2025&gt;0,R2025/K2025,"")</x:f>
        <x:v>0.6111111111111112</x:v>
      </x:c>
    </x:row>
    <x:row r="2026">
      <x:c r="A2026" s="7" t="n">
        <x:v>2022</x:v>
      </x:c>
      <x:c r="B2026" s="7" t="str">
        <x:v>Tata</x:v>
      </x:c>
      <x:c r="C2026" s="7" t="str">
        <x:v>Punch</x:v>
      </x:c>
      <x:c r="D2026" s="7" t="str">
        <x:v>Adventure AMT</x:v>
      </x:c>
      <x:c r="E2026" s="7" t="str">
        <x:v>Petrol</x:v>
      </x:c>
      <x:c r="F2026" s="7" t="str">
        <x:v>Automatic</x:v>
      </x:c>
      <x:c r="G2026" s="7" t="str">
        <x:v>Micro SUV</x:v>
      </x:c>
      <x:c r="H2026" s="7" t="n">
        <x:v>1199</x:v>
      </x:c>
      <x:c r="I2026" s="7" t="n">
        <x:v>87</x:v>
      </x:c>
      <x:c r="J2026" s="9" t="n">
        <x:v>18.8</x:v>
      </x:c>
      <x:c r="K2026" s="9" t="n">
        <x:v>9</x:v>
      </x:c>
      <x:c r="L2026" s="7" t="n">
        <x:v>2024</x:v>
      </x:c>
      <x:c r="M2026" s="11" t="n">
        <x:v>40910</x:v>
      </x:c>
      <x:c r="N2026" s="7" t="n">
        <x:v>1</x:v>
      </x:c>
      <x:c r="O2026" s="7" t="n">
        <x:v>0</x:v>
      </x:c>
      <x:c r="P2026" s="9" t="n">
        <x:v>6.84</x:v>
      </x:c>
      <x:c r="Q2026" s="7" t="n">
        <x:f>'Guide'!$B$5-L2026</x:f>
        <x:v>2</x:v>
      </x:c>
      <x:c r="R2026" s="9" t="n">
        <x:f>K2026-P2026</x:f>
        <x:v>2.16</x:v>
      </x:c>
      <x:c r="S2026" s="10" t="n">
        <x:f>IF(K2026&gt;0,R2026/K2026,"")</x:f>
        <x:v>0.24000000000000002</x:v>
      </x:c>
    </x:row>
    <x:row r="2027">
      <x:c r="A2027" s="7" t="n">
        <x:v>2023</x:v>
      </x:c>
      <x:c r="B2027" s="7" t="str">
        <x:v>Tata</x:v>
      </x:c>
      <x:c r="C2027" s="7" t="str">
        <x:v>Punch</x:v>
      </x:c>
      <x:c r="D2027" s="7" t="str">
        <x:v>Adventure AMT</x:v>
      </x:c>
      <x:c r="E2027" s="7" t="str">
        <x:v>Petrol</x:v>
      </x:c>
      <x:c r="F2027" s="7" t="str">
        <x:v>Automatic</x:v>
      </x:c>
      <x:c r="G2027" s="7" t="str">
        <x:v>Micro SUV</x:v>
      </x:c>
      <x:c r="H2027" s="7" t="n">
        <x:v>1199</x:v>
      </x:c>
      <x:c r="I2027" s="7" t="n">
        <x:v>87</x:v>
      </x:c>
      <x:c r="J2027" s="9" t="n">
        <x:v>18.8</x:v>
      </x:c>
      <x:c r="K2027" s="9" t="n">
        <x:v>9</x:v>
      </x:c>
      <x:c r="L2027" s="7" t="n">
        <x:v>2026</x:v>
      </x:c>
      <x:c r="M2027" s="11" t="n">
        <x:v>5566</x:v>
      </x:c>
      <x:c r="N2027" s="7" t="n">
        <x:v>1</x:v>
      </x:c>
      <x:c r="O2027" s="7" t="n">
        <x:v>0</x:v>
      </x:c>
      <x:c r="P2027" s="9" t="n">
        <x:v>9.11</x:v>
      </x:c>
      <x:c r="Q2027" s="7" t="n">
        <x:f>'Guide'!$B$5-L2027</x:f>
        <x:v>0</x:v>
      </x:c>
      <x:c r="R2027" s="9" t="n">
        <x:f>K2027-P2027</x:f>
        <x:v>-0.10999999999999943</x:v>
      </x:c>
      <x:c r="S2027" s="10" t="n">
        <x:f>IF(K2027&gt;0,R2027/K2027,"")</x:f>
        <x:v>-0.012222222222222159</x:v>
      </x:c>
    </x:row>
    <x:row r="2028">
      <x:c r="A2028" s="7" t="n">
        <x:v>2024</x:v>
      </x:c>
      <x:c r="B2028" s="7" t="str">
        <x:v>Tata</x:v>
      </x:c>
      <x:c r="C2028" s="7" t="str">
        <x:v>Punch</x:v>
      </x:c>
      <x:c r="D2028" s="7" t="str">
        <x:v>Adventure AMT</x:v>
      </x:c>
      <x:c r="E2028" s="7" t="str">
        <x:v>Petrol</x:v>
      </x:c>
      <x:c r="F2028" s="7" t="str">
        <x:v>Automatic</x:v>
      </x:c>
      <x:c r="G2028" s="7" t="str">
        <x:v>Micro SUV</x:v>
      </x:c>
      <x:c r="H2028" s="7" t="n">
        <x:v>1199</x:v>
      </x:c>
      <x:c r="I2028" s="7" t="n">
        <x:v>87</x:v>
      </x:c>
      <x:c r="J2028" s="9" t="n">
        <x:v>18.8</x:v>
      </x:c>
      <x:c r="K2028" s="9" t="n">
        <x:v>9</x:v>
      </x:c>
      <x:c r="L2028" s="7" t="n">
        <x:v>2020</x:v>
      </x:c>
      <x:c r="M2028" s="11" t="n">
        <x:v>109019</x:v>
      </x:c>
      <x:c r="N2028" s="7" t="n">
        <x:v>1</x:v>
      </x:c>
      <x:c r="O2028" s="7" t="n">
        <x:v>0</x:v>
      </x:c>
      <x:c r="P2028" s="9" t="n">
        <x:v>3.43</x:v>
      </x:c>
      <x:c r="Q2028" s="7" t="n">
        <x:f>'Guide'!$B$5-L2028</x:f>
        <x:v>6</x:v>
      </x:c>
      <x:c r="R2028" s="9" t="n">
        <x:f>K2028-P2028</x:f>
        <x:v>5.57</x:v>
      </x:c>
      <x:c r="S2028" s="10" t="n">
        <x:f>IF(K2028&gt;0,R2028/K2028,"")</x:f>
        <x:v>0.6188888888888889</x:v>
      </x:c>
    </x:row>
    <x:row r="2029">
      <x:c r="A2029" s="7" t="n">
        <x:v>2025</x:v>
      </x:c>
      <x:c r="B2029" s="7" t="str">
        <x:v>Tata</x:v>
      </x:c>
      <x:c r="C2029" s="7" t="str">
        <x:v>Punch</x:v>
      </x:c>
      <x:c r="D2029" s="7" t="str">
        <x:v>Adventure AMT</x:v>
      </x:c>
      <x:c r="E2029" s="7" t="str">
        <x:v>Petrol</x:v>
      </x:c>
      <x:c r="F2029" s="7" t="str">
        <x:v>Automatic</x:v>
      </x:c>
      <x:c r="G2029" s="7" t="str">
        <x:v>Micro SUV</x:v>
      </x:c>
      <x:c r="H2029" s="7" t="n">
        <x:v>1199</x:v>
      </x:c>
      <x:c r="I2029" s="7" t="n">
        <x:v>87</x:v>
      </x:c>
      <x:c r="J2029" s="9" t="n">
        <x:v>18.8</x:v>
      </x:c>
      <x:c r="K2029" s="9" t="n">
        <x:v>9</x:v>
      </x:c>
      <x:c r="L2029" s="7" t="n">
        <x:v>2020</x:v>
      </x:c>
      <x:c r="M2029" s="11" t="n">
        <x:v>79065</x:v>
      </x:c>
      <x:c r="N2029" s="7" t="n">
        <x:v>1</x:v>
      </x:c>
      <x:c r="O2029" s="7" t="n">
        <x:v>0</x:v>
      </x:c>
      <x:c r="P2029" s="9" t="n">
        <x:v>3.81</x:v>
      </x:c>
      <x:c r="Q2029" s="7" t="n">
        <x:f>'Guide'!$B$5-L2029</x:f>
        <x:v>6</x:v>
      </x:c>
      <x:c r="R2029" s="9" t="n">
        <x:f>K2029-P2029</x:f>
        <x:v>5.1899999999999995</x:v>
      </x:c>
      <x:c r="S2029" s="10" t="n">
        <x:f>IF(K2029&gt;0,R2029/K2029,"")</x:f>
        <x:v>0.5766666666666667</x:v>
      </x:c>
    </x:row>
    <x:row r="2030">
      <x:c r="A2030" s="7" t="n">
        <x:v>2026</x:v>
      </x:c>
      <x:c r="B2030" s="7" t="str">
        <x:v>Tata</x:v>
      </x:c>
      <x:c r="C2030" s="7" t="str">
        <x:v>Punch</x:v>
      </x:c>
      <x:c r="D2030" s="7" t="str">
        <x:v>Adventure AMT</x:v>
      </x:c>
      <x:c r="E2030" s="7" t="str">
        <x:v>Petrol</x:v>
      </x:c>
      <x:c r="F2030" s="7" t="str">
        <x:v>Automatic</x:v>
      </x:c>
      <x:c r="G2030" s="7" t="str">
        <x:v>Micro SUV</x:v>
      </x:c>
      <x:c r="H2030" s="7" t="n">
        <x:v>1199</x:v>
      </x:c>
      <x:c r="I2030" s="7" t="n">
        <x:v>87</x:v>
      </x:c>
      <x:c r="J2030" s="9" t="n">
        <x:v>18.8</x:v>
      </x:c>
      <x:c r="K2030" s="9" t="n">
        <x:v>9</x:v>
      </x:c>
      <x:c r="L2030" s="7" t="n">
        <x:v>2025</x:v>
      </x:c>
      <x:c r="M2030" s="11" t="n">
        <x:v>12506</x:v>
      </x:c>
      <x:c r="N2030" s="7" t="n">
        <x:v>1</x:v>
      </x:c>
      <x:c r="O2030" s="7" t="n">
        <x:v>0</x:v>
      </x:c>
      <x:c r="P2030" s="9" t="n">
        <x:v>8.52</x:v>
      </x:c>
      <x:c r="Q2030" s="7" t="n">
        <x:f>'Guide'!$B$5-L2030</x:f>
        <x:v>1</x:v>
      </x:c>
      <x:c r="R2030" s="9" t="n">
        <x:f>K2030-P2030</x:f>
        <x:v>0.4800000000000004</x:v>
      </x:c>
      <x:c r="S2030" s="10" t="n">
        <x:f>IF(K2030&gt;0,R2030/K2030,"")</x:f>
        <x:v>0.05333333333333338</x:v>
      </x:c>
    </x:row>
    <x:row r="2031">
      <x:c r="A2031" s="7" t="n">
        <x:v>2027</x:v>
      </x:c>
      <x:c r="B2031" s="7" t="str">
        <x:v>Tata</x:v>
      </x:c>
      <x:c r="C2031" s="7" t="str">
        <x:v>Punch</x:v>
      </x:c>
      <x:c r="D2031" s="7" t="str">
        <x:v>Adventure AMT</x:v>
      </x:c>
      <x:c r="E2031" s="7" t="str">
        <x:v>Petrol</x:v>
      </x:c>
      <x:c r="F2031" s="7" t="str">
        <x:v>Automatic</x:v>
      </x:c>
      <x:c r="G2031" s="7" t="str">
        <x:v>Micro SUV</x:v>
      </x:c>
      <x:c r="H2031" s="7" t="n">
        <x:v>1199</x:v>
      </x:c>
      <x:c r="I2031" s="7" t="n">
        <x:v>87</x:v>
      </x:c>
      <x:c r="J2031" s="9" t="n">
        <x:v>18.8</x:v>
      </x:c>
      <x:c r="K2031" s="9" t="n">
        <x:v>9</x:v>
      </x:c>
      <x:c r="L2031" s="7" t="n">
        <x:v>2024</x:v>
      </x:c>
      <x:c r="M2031" s="11" t="n">
        <x:v>26317</x:v>
      </x:c>
      <x:c r="N2031" s="7" t="n">
        <x:v>1</x:v>
      </x:c>
      <x:c r="O2031" s="7" t="n">
        <x:v>0</x:v>
      </x:c>
      <x:c r="P2031" s="9" t="n">
        <x:v>7.05</x:v>
      </x:c>
      <x:c r="Q2031" s="7" t="n">
        <x:f>'Guide'!$B$5-L2031</x:f>
        <x:v>2</x:v>
      </x:c>
      <x:c r="R2031" s="9" t="n">
        <x:f>K2031-P2031</x:f>
        <x:v>1.9500000000000002</x:v>
      </x:c>
      <x:c r="S2031" s="10" t="n">
        <x:f>IF(K2031&gt;0,R2031/K2031,"")</x:f>
        <x:v>0.21666666666666667</x:v>
      </x:c>
    </x:row>
    <x:row r="2032">
      <x:c r="A2032" s="7" t="n">
        <x:v>2028</x:v>
      </x:c>
      <x:c r="B2032" s="7" t="str">
        <x:v>Tata</x:v>
      </x:c>
      <x:c r="C2032" s="7" t="str">
        <x:v>Punch</x:v>
      </x:c>
      <x:c r="D2032" s="7" t="str">
        <x:v>Adventure AMT</x:v>
      </x:c>
      <x:c r="E2032" s="7" t="str">
        <x:v>Petrol</x:v>
      </x:c>
      <x:c r="F2032" s="7" t="str">
        <x:v>Automatic</x:v>
      </x:c>
      <x:c r="G2032" s="7" t="str">
        <x:v>Micro SUV</x:v>
      </x:c>
      <x:c r="H2032" s="7" t="n">
        <x:v>1199</x:v>
      </x:c>
      <x:c r="I2032" s="7" t="n">
        <x:v>87</x:v>
      </x:c>
      <x:c r="J2032" s="9" t="n">
        <x:v>18.8</x:v>
      </x:c>
      <x:c r="K2032" s="9" t="n">
        <x:v>9</x:v>
      </x:c>
      <x:c r="L2032" s="7" t="n">
        <x:v>2026</x:v>
      </x:c>
      <x:c r="M2032" s="11" t="n">
        <x:v>6394</x:v>
      </x:c>
      <x:c r="N2032" s="7" t="n">
        <x:v>2</x:v>
      </x:c>
      <x:c r="O2032" s="7" t="n">
        <x:v>0</x:v>
      </x:c>
      <x:c r="P2032" s="9" t="n">
        <x:v>8.31</x:v>
      </x:c>
      <x:c r="Q2032" s="7" t="n">
        <x:f>'Guide'!$B$5-L2032</x:f>
        <x:v>0</x:v>
      </x:c>
      <x:c r="R2032" s="9" t="n">
        <x:f>K2032-P2032</x:f>
        <x:v>0.6899999999999995</x:v>
      </x:c>
      <x:c r="S2032" s="10" t="n">
        <x:f>IF(K2032&gt;0,R2032/K2032,"")</x:f>
        <x:v>0.0766666666666666</x:v>
      </x:c>
    </x:row>
    <x:row r="2033">
      <x:c r="A2033" s="7" t="n">
        <x:v>2029</x:v>
      </x:c>
      <x:c r="B2033" s="7" t="str">
        <x:v>Tata</x:v>
      </x:c>
      <x:c r="C2033" s="7" t="str">
        <x:v>Punch</x:v>
      </x:c>
      <x:c r="D2033" s="7" t="str">
        <x:v>Adventure AMT</x:v>
      </x:c>
      <x:c r="E2033" s="7" t="str">
        <x:v>Petrol</x:v>
      </x:c>
      <x:c r="F2033" s="7" t="str">
        <x:v>Automatic</x:v>
      </x:c>
      <x:c r="G2033" s="7" t="str">
        <x:v>Micro SUV</x:v>
      </x:c>
      <x:c r="H2033" s="7" t="n">
        <x:v>1199</x:v>
      </x:c>
      <x:c r="I2033" s="7" t="n">
        <x:v>87</x:v>
      </x:c>
      <x:c r="J2033" s="9" t="n">
        <x:v>18.8</x:v>
      </x:c>
      <x:c r="K2033" s="9" t="n">
        <x:v>9</x:v>
      </x:c>
      <x:c r="L2033" s="7" t="n">
        <x:v>2021</x:v>
      </x:c>
      <x:c r="M2033" s="11" t="n">
        <x:v>56013</x:v>
      </x:c>
      <x:c r="N2033" s="7" t="n">
        <x:v>1</x:v>
      </x:c>
      <x:c r="O2033" s="7" t="n">
        <x:v>0</x:v>
      </x:c>
      <x:c r="P2033" s="9" t="n">
        <x:v>4.96</x:v>
      </x:c>
      <x:c r="Q2033" s="7" t="n">
        <x:f>'Guide'!$B$5-L2033</x:f>
        <x:v>5</x:v>
      </x:c>
      <x:c r="R2033" s="9" t="n">
        <x:f>K2033-P2033</x:f>
        <x:v>4.04</x:v>
      </x:c>
      <x:c r="S2033" s="10" t="n">
        <x:f>IF(K2033&gt;0,R2033/K2033,"")</x:f>
        <x:v>0.4488888888888889</x:v>
      </x:c>
    </x:row>
    <x:row r="2034">
      <x:c r="A2034" s="7" t="n">
        <x:v>2030</x:v>
      </x:c>
      <x:c r="B2034" s="7" t="str">
        <x:v>Tata</x:v>
      </x:c>
      <x:c r="C2034" s="7" t="str">
        <x:v>Punch</x:v>
      </x:c>
      <x:c r="D2034" s="7" t="str">
        <x:v>Adventure AMT</x:v>
      </x:c>
      <x:c r="E2034" s="7" t="str">
        <x:v>Petrol</x:v>
      </x:c>
      <x:c r="F2034" s="7" t="str">
        <x:v>Automatic</x:v>
      </x:c>
      <x:c r="G2034" s="7" t="str">
        <x:v>Micro SUV</x:v>
      </x:c>
      <x:c r="H2034" s="7" t="n">
        <x:v>1199</x:v>
      </x:c>
      <x:c r="I2034" s="7" t="n">
        <x:v>87</x:v>
      </x:c>
      <x:c r="J2034" s="9" t="n">
        <x:v>18.8</x:v>
      </x:c>
      <x:c r="K2034" s="9" t="n">
        <x:v>9</x:v>
      </x:c>
      <x:c r="L2034" s="7" t="n">
        <x:v>2021</x:v>
      </x:c>
      <x:c r="M2034" s="11" t="n">
        <x:v>49330</x:v>
      </x:c>
      <x:c r="N2034" s="7" t="n">
        <x:v>2</x:v>
      </x:c>
      <x:c r="O2034" s="7" t="n">
        <x:v>0</x:v>
      </x:c>
      <x:c r="P2034" s="9" t="n">
        <x:v>4.63</x:v>
      </x:c>
      <x:c r="Q2034" s="7" t="n">
        <x:f>'Guide'!$B$5-L2034</x:f>
        <x:v>5</x:v>
      </x:c>
      <x:c r="R2034" s="9" t="n">
        <x:f>K2034-P2034</x:f>
        <x:v>4.37</x:v>
      </x:c>
      <x:c r="S2034" s="10" t="n">
        <x:f>IF(K2034&gt;0,R2034/K2034,"")</x:f>
        <x:v>0.4855555555555556</x:v>
      </x:c>
    </x:row>
    <x:row r="2035">
      <x:c r="A2035" s="7" t="n">
        <x:v>2031</x:v>
      </x:c>
      <x:c r="B2035" s="7" t="str">
        <x:v>Tata</x:v>
      </x:c>
      <x:c r="C2035" s="7" t="str">
        <x:v>Punch</x:v>
      </x:c>
      <x:c r="D2035" s="7" t="str">
        <x:v>Adventure AMT</x:v>
      </x:c>
      <x:c r="E2035" s="7" t="str">
        <x:v>Petrol</x:v>
      </x:c>
      <x:c r="F2035" s="7" t="str">
        <x:v>Automatic</x:v>
      </x:c>
      <x:c r="G2035" s="7" t="str">
        <x:v>Micro SUV</x:v>
      </x:c>
      <x:c r="H2035" s="7" t="n">
        <x:v>1199</x:v>
      </x:c>
      <x:c r="I2035" s="7" t="n">
        <x:v>87</x:v>
      </x:c>
      <x:c r="J2035" s="9" t="n">
        <x:v>18.8</x:v>
      </x:c>
      <x:c r="K2035" s="9" t="n">
        <x:v>9</x:v>
      </x:c>
      <x:c r="L2035" s="7" t="n">
        <x:v>2023</x:v>
      </x:c>
      <x:c r="M2035" s="11" t="n">
        <x:v>62505</x:v>
      </x:c>
      <x:c r="N2035" s="7" t="n">
        <x:v>2</x:v>
      </x:c>
      <x:c r="O2035" s="7" t="n">
        <x:v>0</x:v>
      </x:c>
      <x:c r="P2035" s="9" t="n">
        <x:v>5.71</x:v>
      </x:c>
      <x:c r="Q2035" s="7" t="n">
        <x:f>'Guide'!$B$5-L2035</x:f>
        <x:v>3</x:v>
      </x:c>
      <x:c r="R2035" s="9" t="n">
        <x:f>K2035-P2035</x:f>
        <x:v>3.29</x:v>
      </x:c>
      <x:c r="S2035" s="10" t="n">
        <x:f>IF(K2035&gt;0,R2035/K2035,"")</x:f>
        <x:v>0.3655555555555556</x:v>
      </x:c>
    </x:row>
    <x:row r="2036">
      <x:c r="A2036" s="7" t="n">
        <x:v>2032</x:v>
      </x:c>
      <x:c r="B2036" s="7" t="str">
        <x:v>Tata</x:v>
      </x:c>
      <x:c r="C2036" s="7" t="str">
        <x:v>Punch</x:v>
      </x:c>
      <x:c r="D2036" s="7" t="str">
        <x:v>Adventure AMT</x:v>
      </x:c>
      <x:c r="E2036" s="7" t="str">
        <x:v>Petrol</x:v>
      </x:c>
      <x:c r="F2036" s="7" t="str">
        <x:v>Automatic</x:v>
      </x:c>
      <x:c r="G2036" s="7" t="str">
        <x:v>Micro SUV</x:v>
      </x:c>
      <x:c r="H2036" s="7" t="n">
        <x:v>1199</x:v>
      </x:c>
      <x:c r="I2036" s="7" t="n">
        <x:v>87</x:v>
      </x:c>
      <x:c r="J2036" s="9" t="n">
        <x:v>18.8</x:v>
      </x:c>
      <x:c r="K2036" s="9" t="n">
        <x:v>9</x:v>
      </x:c>
      <x:c r="L2036" s="7" t="n">
        <x:v>2021</x:v>
      </x:c>
      <x:c r="M2036" s="11" t="n">
        <x:v>86547</x:v>
      </x:c>
      <x:c r="N2036" s="7" t="n">
        <x:v>1</x:v>
      </x:c>
      <x:c r="O2036" s="7" t="n">
        <x:v>0</x:v>
      </x:c>
      <x:c r="P2036" s="9" t="n">
        <x:v>4.24</x:v>
      </x:c>
      <x:c r="Q2036" s="7" t="n">
        <x:f>'Guide'!$B$5-L2036</x:f>
        <x:v>5</x:v>
      </x:c>
      <x:c r="R2036" s="9" t="n">
        <x:f>K2036-P2036</x:f>
        <x:v>4.76</x:v>
      </x:c>
      <x:c r="S2036" s="10" t="n">
        <x:f>IF(K2036&gt;0,R2036/K2036,"")</x:f>
        <x:v>0.5288888888888889</x:v>
      </x:c>
    </x:row>
    <x:row r="2037">
      <x:c r="A2037" s="7" t="n">
        <x:v>2033</x:v>
      </x:c>
      <x:c r="B2037" s="7" t="str">
        <x:v>Tata</x:v>
      </x:c>
      <x:c r="C2037" s="7" t="str">
        <x:v>Punch</x:v>
      </x:c>
      <x:c r="D2037" s="7" t="str">
        <x:v>Adventure AMT</x:v>
      </x:c>
      <x:c r="E2037" s="7" t="str">
        <x:v>Petrol</x:v>
      </x:c>
      <x:c r="F2037" s="7" t="str">
        <x:v>Automatic</x:v>
      </x:c>
      <x:c r="G2037" s="7" t="str">
        <x:v>Micro SUV</x:v>
      </x:c>
      <x:c r="H2037" s="7" t="n">
        <x:v>1199</x:v>
      </x:c>
      <x:c r="I2037" s="7" t="n">
        <x:v>87</x:v>
      </x:c>
      <x:c r="J2037" s="9" t="n">
        <x:v>18.8</x:v>
      </x:c>
      <x:c r="K2037" s="9" t="n">
        <x:v>9</x:v>
      </x:c>
      <x:c r="L2037" s="7" t="n">
        <x:v>2023</x:v>
      </x:c>
      <x:c r="M2037" s="11" t="n">
        <x:v>35657</x:v>
      </x:c>
      <x:c r="N2037" s="7" t="n">
        <x:v>2</x:v>
      </x:c>
      <x:c r="O2037" s="7" t="n">
        <x:v>0</x:v>
      </x:c>
      <x:c r="P2037" s="9" t="n">
        <x:v>6.04</x:v>
      </x:c>
      <x:c r="Q2037" s="7" t="n">
        <x:f>'Guide'!$B$5-L2037</x:f>
        <x:v>3</x:v>
      </x:c>
      <x:c r="R2037" s="9" t="n">
        <x:f>K2037-P2037</x:f>
        <x:v>2.96</x:v>
      </x:c>
      <x:c r="S2037" s="10" t="n">
        <x:f>IF(K2037&gt;0,R2037/K2037,"")</x:f>
        <x:v>0.3288888888888889</x:v>
      </x:c>
    </x:row>
    <x:row r="2038">
      <x:c r="A2038" s="7" t="n">
        <x:v>2034</x:v>
      </x:c>
      <x:c r="B2038" s="7" t="str">
        <x:v>Tata</x:v>
      </x:c>
      <x:c r="C2038" s="7" t="str">
        <x:v>Punch</x:v>
      </x:c>
      <x:c r="D2038" s="7" t="str">
        <x:v>Adventure AMT</x:v>
      </x:c>
      <x:c r="E2038" s="7" t="str">
        <x:v>Petrol</x:v>
      </x:c>
      <x:c r="F2038" s="7" t="str">
        <x:v>Automatic</x:v>
      </x:c>
      <x:c r="G2038" s="7" t="str">
        <x:v>Micro SUV</x:v>
      </x:c>
      <x:c r="H2038" s="7" t="n">
        <x:v>1199</x:v>
      </x:c>
      <x:c r="I2038" s="7" t="n">
        <x:v>87</x:v>
      </x:c>
      <x:c r="J2038" s="9" t="n">
        <x:v>18.8</x:v>
      </x:c>
      <x:c r="K2038" s="9" t="n">
        <x:v>9</x:v>
      </x:c>
      <x:c r="L2038" s="7" t="n">
        <x:v>2020</x:v>
      </x:c>
      <x:c r="M2038" s="11" t="n">
        <x:v>87139</x:v>
      </x:c>
      <x:c r="N2038" s="7" t="n">
        <x:v>1</x:v>
      </x:c>
      <x:c r="O2038" s="7" t="n">
        <x:v>0</x:v>
      </x:c>
      <x:c r="P2038" s="9" t="n">
        <x:v>3.85</x:v>
      </x:c>
      <x:c r="Q2038" s="7" t="n">
        <x:f>'Guide'!$B$5-L2038</x:f>
        <x:v>6</x:v>
      </x:c>
      <x:c r="R2038" s="9" t="n">
        <x:f>K2038-P2038</x:f>
        <x:v>5.15</x:v>
      </x:c>
      <x:c r="S2038" s="10" t="n">
        <x:f>IF(K2038&gt;0,R2038/K2038,"")</x:f>
        <x:v>0.5722222222222223</x:v>
      </x:c>
    </x:row>
    <x:row r="2039">
      <x:c r="A2039" s="7" t="n">
        <x:v>2035</x:v>
      </x:c>
      <x:c r="B2039" s="7" t="str">
        <x:v>Tata</x:v>
      </x:c>
      <x:c r="C2039" s="7" t="str">
        <x:v>Punch</x:v>
      </x:c>
      <x:c r="D2039" s="7" t="str">
        <x:v>Adventure AMT</x:v>
      </x:c>
      <x:c r="E2039" s="7" t="str">
        <x:v>Petrol</x:v>
      </x:c>
      <x:c r="F2039" s="7" t="str">
        <x:v>Automatic</x:v>
      </x:c>
      <x:c r="G2039" s="7" t="str">
        <x:v>Micro SUV</x:v>
      </x:c>
      <x:c r="H2039" s="7" t="n">
        <x:v>1199</x:v>
      </x:c>
      <x:c r="I2039" s="7" t="n">
        <x:v>87</x:v>
      </x:c>
      <x:c r="J2039" s="9" t="n">
        <x:v>18.8</x:v>
      </x:c>
      <x:c r="K2039" s="9" t="n">
        <x:v>9</x:v>
      </x:c>
      <x:c r="L2039" s="7" t="n">
        <x:v>2024</x:v>
      </x:c>
      <x:c r="M2039" s="11" t="n">
        <x:v>41377</x:v>
      </x:c>
      <x:c r="N2039" s="7" t="n">
        <x:v>3</x:v>
      </x:c>
      <x:c r="O2039" s="7" t="n">
        <x:v>0</x:v>
      </x:c>
      <x:c r="P2039" s="9" t="n">
        <x:v>6.48</x:v>
      </x:c>
      <x:c r="Q2039" s="7" t="n">
        <x:f>'Guide'!$B$5-L2039</x:f>
        <x:v>2</x:v>
      </x:c>
      <x:c r="R2039" s="9" t="n">
        <x:f>K2039-P2039</x:f>
        <x:v>2.5199999999999996</x:v>
      </x:c>
      <x:c r="S2039" s="10" t="n">
        <x:f>IF(K2039&gt;0,R2039/K2039,"")</x:f>
        <x:v>0.27999999999999997</x:v>
      </x:c>
    </x:row>
    <x:row r="2040">
      <x:c r="A2040" s="7" t="n">
        <x:v>2036</x:v>
      </x:c>
      <x:c r="B2040" s="7" t="str">
        <x:v>Tata</x:v>
      </x:c>
      <x:c r="C2040" s="7" t="str">
        <x:v>Punch</x:v>
      </x:c>
      <x:c r="D2040" s="7" t="str">
        <x:v>Adventure AMT</x:v>
      </x:c>
      <x:c r="E2040" s="7" t="str">
        <x:v>Petrol</x:v>
      </x:c>
      <x:c r="F2040" s="7" t="str">
        <x:v>Automatic</x:v>
      </x:c>
      <x:c r="G2040" s="7" t="str">
        <x:v>Micro SUV</x:v>
      </x:c>
      <x:c r="H2040" s="7" t="n">
        <x:v>1199</x:v>
      </x:c>
      <x:c r="I2040" s="7" t="n">
        <x:v>87</x:v>
      </x:c>
      <x:c r="J2040" s="9" t="n">
        <x:v>18.8</x:v>
      </x:c>
      <x:c r="K2040" s="9" t="n">
        <x:v>9</x:v>
      </x:c>
      <x:c r="L2040" s="7" t="n">
        <x:v>2025</x:v>
      </x:c>
      <x:c r="M2040" s="11" t="n">
        <x:v>23112</x:v>
      </x:c>
      <x:c r="N2040" s="7" t="n">
        <x:v>1</x:v>
      </x:c>
      <x:c r="O2040" s="7" t="n">
        <x:v>0</x:v>
      </x:c>
      <x:c r="P2040" s="9" t="n">
        <x:v>7.8</x:v>
      </x:c>
      <x:c r="Q2040" s="7" t="n">
        <x:f>'Guide'!$B$5-L2040</x:f>
        <x:v>1</x:v>
      </x:c>
      <x:c r="R2040" s="9" t="n">
        <x:f>K2040-P2040</x:f>
        <x:v>1.2000000000000002</x:v>
      </x:c>
      <x:c r="S2040" s="10" t="n">
        <x:f>IF(K2040&gt;0,R2040/K2040,"")</x:f>
        <x:v>0.13333333333333336</x:v>
      </x:c>
    </x:row>
    <x:row r="2041">
      <x:c r="A2041" s="7" t="n">
        <x:v>2037</x:v>
      </x:c>
      <x:c r="B2041" s="7" t="str">
        <x:v>Tata</x:v>
      </x:c>
      <x:c r="C2041" s="7" t="str">
        <x:v>Punch</x:v>
      </x:c>
      <x:c r="D2041" s="7" t="str">
        <x:v>Adventure AMT</x:v>
      </x:c>
      <x:c r="E2041" s="7" t="str">
        <x:v>Petrol</x:v>
      </x:c>
      <x:c r="F2041" s="7" t="str">
        <x:v>Automatic</x:v>
      </x:c>
      <x:c r="G2041" s="7" t="str">
        <x:v>Micro SUV</x:v>
      </x:c>
      <x:c r="H2041" s="7" t="n">
        <x:v>1199</x:v>
      </x:c>
      <x:c r="I2041" s="7" t="n">
        <x:v>87</x:v>
      </x:c>
      <x:c r="J2041" s="9" t="n">
        <x:v>18.8</x:v>
      </x:c>
      <x:c r="K2041" s="9" t="n">
        <x:v>9</x:v>
      </x:c>
      <x:c r="L2041" s="7" t="n">
        <x:v>2023</x:v>
      </x:c>
      <x:c r="M2041" s="11" t="n">
        <x:v>52171</x:v>
      </x:c>
      <x:c r="N2041" s="7" t="n">
        <x:v>1</x:v>
      </x:c>
      <x:c r="O2041" s="7" t="n">
        <x:v>1</x:v>
      </x:c>
      <x:c r="P2041" s="9" t="n">
        <x:v>5.18</x:v>
      </x:c>
      <x:c r="Q2041" s="7" t="n">
        <x:f>'Guide'!$B$5-L2041</x:f>
        <x:v>3</x:v>
      </x:c>
      <x:c r="R2041" s="9" t="n">
        <x:f>K2041-P2041</x:f>
        <x:v>3.8200000000000003</x:v>
      </x:c>
      <x:c r="S2041" s="10" t="n">
        <x:f>IF(K2041&gt;0,R2041/K2041,"")</x:f>
        <x:v>0.42444444444444446</x:v>
      </x:c>
    </x:row>
    <x:row r="2042">
      <x:c r="A2042" s="7" t="n">
        <x:v>2038</x:v>
      </x:c>
      <x:c r="B2042" s="7" t="str">
        <x:v>Tata</x:v>
      </x:c>
      <x:c r="C2042" s="7" t="str">
        <x:v>Punch</x:v>
      </x:c>
      <x:c r="D2042" s="7" t="str">
        <x:v>Adventure AMT</x:v>
      </x:c>
      <x:c r="E2042" s="7" t="str">
        <x:v>Petrol</x:v>
      </x:c>
      <x:c r="F2042" s="7" t="str">
        <x:v>Automatic</x:v>
      </x:c>
      <x:c r="G2042" s="7" t="str">
        <x:v>Micro SUV</x:v>
      </x:c>
      <x:c r="H2042" s="7" t="n">
        <x:v>1199</x:v>
      </x:c>
      <x:c r="I2042" s="7" t="n">
        <x:v>87</x:v>
      </x:c>
      <x:c r="J2042" s="9" t="n">
        <x:v>18.8</x:v>
      </x:c>
      <x:c r="K2042" s="9" t="n">
        <x:v>9</x:v>
      </x:c>
      <x:c r="L2042" s="7" t="n">
        <x:v>2022</x:v>
      </x:c>
      <x:c r="M2042" s="11" t="n">
        <x:v>77645</x:v>
      </x:c>
      <x:c r="N2042" s="7" t="n">
        <x:v>1</x:v>
      </x:c>
      <x:c r="O2042" s="7" t="n">
        <x:v>0</x:v>
      </x:c>
      <x:c r="P2042" s="9" t="n">
        <x:v>5.34</x:v>
      </x:c>
      <x:c r="Q2042" s="7" t="n">
        <x:f>'Guide'!$B$5-L2042</x:f>
        <x:v>4</x:v>
      </x:c>
      <x:c r="R2042" s="9" t="n">
        <x:f>K2042-P2042</x:f>
        <x:v>3.66</x:v>
      </x:c>
      <x:c r="S2042" s="10" t="n">
        <x:f>IF(K2042&gt;0,R2042/K2042,"")</x:f>
        <x:v>0.4066666666666667</x:v>
      </x:c>
    </x:row>
    <x:row r="2043">
      <x:c r="A2043" s="7" t="n">
        <x:v>2039</x:v>
      </x:c>
      <x:c r="B2043" s="7" t="str">
        <x:v>Tata</x:v>
      </x:c>
      <x:c r="C2043" s="7" t="str">
        <x:v>Punch</x:v>
      </x:c>
      <x:c r="D2043" s="7" t="str">
        <x:v>Adventure AMT</x:v>
      </x:c>
      <x:c r="E2043" s="7" t="str">
        <x:v>Petrol</x:v>
      </x:c>
      <x:c r="F2043" s="7" t="str">
        <x:v>Automatic</x:v>
      </x:c>
      <x:c r="G2043" s="7" t="str">
        <x:v>Micro SUV</x:v>
      </x:c>
      <x:c r="H2043" s="7" t="n">
        <x:v>1199</x:v>
      </x:c>
      <x:c r="I2043" s="7" t="n">
        <x:v>87</x:v>
      </x:c>
      <x:c r="J2043" s="9" t="n">
        <x:v>18.8</x:v>
      </x:c>
      <x:c r="K2043" s="9" t="n">
        <x:v>9</x:v>
      </x:c>
      <x:c r="L2043" s="7" t="n">
        <x:v>2021</x:v>
      </x:c>
      <x:c r="M2043" s="11" t="n">
        <x:v>50849</x:v>
      </x:c>
      <x:c r="N2043" s="7" t="n">
        <x:v>1</x:v>
      </x:c>
      <x:c r="O2043" s="7" t="n">
        <x:v>0</x:v>
      </x:c>
      <x:c r="P2043" s="9" t="n">
        <x:v>4.59</x:v>
      </x:c>
      <x:c r="Q2043" s="7" t="n">
        <x:f>'Guide'!$B$5-L2043</x:f>
        <x:v>5</x:v>
      </x:c>
      <x:c r="R2043" s="9" t="n">
        <x:f>K2043-P2043</x:f>
        <x:v>4.41</x:v>
      </x:c>
      <x:c r="S2043" s="10" t="n">
        <x:f>IF(K2043&gt;0,R2043/K2043,"")</x:f>
        <x:v>0.49</x:v>
      </x:c>
    </x:row>
    <x:row r="2044">
      <x:c r="A2044" s="7" t="n">
        <x:v>2040</x:v>
      </x:c>
      <x:c r="B2044" s="7" t="str">
        <x:v>Tata</x:v>
      </x:c>
      <x:c r="C2044" s="7" t="str">
        <x:v>Punch</x:v>
      </x:c>
      <x:c r="D2044" s="7" t="str">
        <x:v>Adventure AMT</x:v>
      </x:c>
      <x:c r="E2044" s="7" t="str">
        <x:v>Petrol</x:v>
      </x:c>
      <x:c r="F2044" s="7" t="str">
        <x:v>Automatic</x:v>
      </x:c>
      <x:c r="G2044" s="7" t="str">
        <x:v>Micro SUV</x:v>
      </x:c>
      <x:c r="H2044" s="7" t="n">
        <x:v>1199</x:v>
      </x:c>
      <x:c r="I2044" s="7" t="n">
        <x:v>87</x:v>
      </x:c>
      <x:c r="J2044" s="9" t="n">
        <x:v>18.8</x:v>
      </x:c>
      <x:c r="K2044" s="9" t="n">
        <x:v>9</x:v>
      </x:c>
      <x:c r="L2044" s="7" t="n">
        <x:v>2023</x:v>
      </x:c>
      <x:c r="M2044" s="11" t="n">
        <x:v>30994</x:v>
      </x:c>
      <x:c r="N2044" s="7" t="n">
        <x:v>2</x:v>
      </x:c>
      <x:c r="O2044" s="7" t="n">
        <x:v>0</x:v>
      </x:c>
      <x:c r="P2044" s="9" t="n">
        <x:v>6.28</x:v>
      </x:c>
      <x:c r="Q2044" s="7" t="n">
        <x:f>'Guide'!$B$5-L2044</x:f>
        <x:v>3</x:v>
      </x:c>
      <x:c r="R2044" s="9" t="n">
        <x:f>K2044-P2044</x:f>
        <x:v>2.7199999999999998</x:v>
      </x:c>
      <x:c r="S2044" s="10" t="n">
        <x:f>IF(K2044&gt;0,R2044/K2044,"")</x:f>
        <x:v>0.30222222222222217</x:v>
      </x:c>
    </x:row>
    <x:row r="2045">
      <x:c r="A2045" s="7" t="n">
        <x:v>2041</x:v>
      </x:c>
      <x:c r="B2045" s="7" t="str">
        <x:v>Tata</x:v>
      </x:c>
      <x:c r="C2045" s="7" t="str">
        <x:v>Punch</x:v>
      </x:c>
      <x:c r="D2045" s="7" t="str">
        <x:v>Adventure AMT</x:v>
      </x:c>
      <x:c r="E2045" s="7" t="str">
        <x:v>Petrol</x:v>
      </x:c>
      <x:c r="F2045" s="7" t="str">
        <x:v>Automatic</x:v>
      </x:c>
      <x:c r="G2045" s="7" t="str">
        <x:v>Micro SUV</x:v>
      </x:c>
      <x:c r="H2045" s="7" t="n">
        <x:v>1199</x:v>
      </x:c>
      <x:c r="I2045" s="7" t="n">
        <x:v>87</x:v>
      </x:c>
      <x:c r="J2045" s="9" t="n">
        <x:v>18.8</x:v>
      </x:c>
      <x:c r="K2045" s="9" t="n">
        <x:v>9</x:v>
      </x:c>
      <x:c r="L2045" s="7" t="n">
        <x:v>2020</x:v>
      </x:c>
      <x:c r="M2045" s="11" t="n">
        <x:v>116976</x:v>
      </x:c>
      <x:c r="N2045" s="7" t="n">
        <x:v>1</x:v>
      </x:c>
      <x:c r="O2045" s="7" t="n">
        <x:v>0</x:v>
      </x:c>
      <x:c r="P2045" s="9" t="n">
        <x:v>3.65</x:v>
      </x:c>
      <x:c r="Q2045" s="7" t="n">
        <x:f>'Guide'!$B$5-L2045</x:f>
        <x:v>6</x:v>
      </x:c>
      <x:c r="R2045" s="9" t="n">
        <x:f>K2045-P2045</x:f>
        <x:v>5.35</x:v>
      </x:c>
      <x:c r="S2045" s="10" t="n">
        <x:f>IF(K2045&gt;0,R2045/K2045,"")</x:f>
        <x:v>0.5944444444444444</x:v>
      </x:c>
    </x:row>
    <x:row r="2046">
      <x:c r="A2046" s="7" t="n">
        <x:v>2042</x:v>
      </x:c>
      <x:c r="B2046" s="7" t="str">
        <x:v>Tata</x:v>
      </x:c>
      <x:c r="C2046" s="7" t="str">
        <x:v>Punch</x:v>
      </x:c>
      <x:c r="D2046" s="7" t="str">
        <x:v>Adventure AMT</x:v>
      </x:c>
      <x:c r="E2046" s="7" t="str">
        <x:v>Petrol</x:v>
      </x:c>
      <x:c r="F2046" s="7" t="str">
        <x:v>Automatic</x:v>
      </x:c>
      <x:c r="G2046" s="7" t="str">
        <x:v>Micro SUV</x:v>
      </x:c>
      <x:c r="H2046" s="7" t="n">
        <x:v>1199</x:v>
      </x:c>
      <x:c r="I2046" s="7" t="n">
        <x:v>87</x:v>
      </x:c>
      <x:c r="J2046" s="9" t="n">
        <x:v>18.8</x:v>
      </x:c>
      <x:c r="K2046" s="9" t="n">
        <x:v>9</x:v>
      </x:c>
      <x:c r="L2046" s="7" t="n">
        <x:v>2022</x:v>
      </x:c>
      <x:c r="M2046" s="11" t="n">
        <x:v>59687</x:v>
      </x:c>
      <x:c r="N2046" s="7" t="n">
        <x:v>1</x:v>
      </x:c>
      <x:c r="O2046" s="7" t="n">
        <x:v>0</x:v>
      </x:c>
      <x:c r="P2046" s="9" t="n">
        <x:v>5.63</x:v>
      </x:c>
      <x:c r="Q2046" s="7" t="n">
        <x:f>'Guide'!$B$5-L2046</x:f>
        <x:v>4</x:v>
      </x:c>
      <x:c r="R2046" s="9" t="n">
        <x:f>K2046-P2046</x:f>
        <x:v>3.37</x:v>
      </x:c>
      <x:c r="S2046" s="10" t="n">
        <x:f>IF(K2046&gt;0,R2046/K2046,"")</x:f>
        <x:v>0.37444444444444447</x:v>
      </x:c>
    </x:row>
    <x:row r="2047">
      <x:c r="A2047" s="7" t="n">
        <x:v>2043</x:v>
      </x:c>
      <x:c r="B2047" s="7" t="str">
        <x:v>Tata</x:v>
      </x:c>
      <x:c r="C2047" s="7" t="str">
        <x:v>Punch</x:v>
      </x:c>
      <x:c r="D2047" s="7" t="str">
        <x:v>Adventure AMT</x:v>
      </x:c>
      <x:c r="E2047" s="7" t="str">
        <x:v>Petrol</x:v>
      </x:c>
      <x:c r="F2047" s="7" t="str">
        <x:v>Automatic</x:v>
      </x:c>
      <x:c r="G2047" s="7" t="str">
        <x:v>Micro SUV</x:v>
      </x:c>
      <x:c r="H2047" s="7" t="n">
        <x:v>1199</x:v>
      </x:c>
      <x:c r="I2047" s="7" t="n">
        <x:v>87</x:v>
      </x:c>
      <x:c r="J2047" s="9" t="n">
        <x:v>18.8</x:v>
      </x:c>
      <x:c r="K2047" s="9" t="n">
        <x:v>9</x:v>
      </x:c>
      <x:c r="L2047" s="7" t="n">
        <x:v>2024</x:v>
      </x:c>
      <x:c r="M2047" s="11" t="n">
        <x:v>40062</x:v>
      </x:c>
      <x:c r="N2047" s="7" t="n">
        <x:v>2</x:v>
      </x:c>
      <x:c r="O2047" s="7" t="n">
        <x:v>0</x:v>
      </x:c>
      <x:c r="P2047" s="9" t="n">
        <x:v>6.78</x:v>
      </x:c>
      <x:c r="Q2047" s="7" t="n">
        <x:f>'Guide'!$B$5-L2047</x:f>
        <x:v>2</x:v>
      </x:c>
      <x:c r="R2047" s="9" t="n">
        <x:f>K2047-P2047</x:f>
        <x:v>2.2199999999999998</x:v>
      </x:c>
      <x:c r="S2047" s="10" t="n">
        <x:f>IF(K2047&gt;0,R2047/K2047,"")</x:f>
        <x:v>0.24666666666666665</x:v>
      </x:c>
    </x:row>
    <x:row r="2048">
      <x:c r="A2048" s="7" t="n">
        <x:v>2044</x:v>
      </x:c>
      <x:c r="B2048" s="7" t="str">
        <x:v>Tata</x:v>
      </x:c>
      <x:c r="C2048" s="7" t="str">
        <x:v>Punch</x:v>
      </x:c>
      <x:c r="D2048" s="7" t="str">
        <x:v>Adventure AMT</x:v>
      </x:c>
      <x:c r="E2048" s="7" t="str">
        <x:v>Petrol</x:v>
      </x:c>
      <x:c r="F2048" s="7" t="str">
        <x:v>Automatic</x:v>
      </x:c>
      <x:c r="G2048" s="7" t="str">
        <x:v>Micro SUV</x:v>
      </x:c>
      <x:c r="H2048" s="7" t="n">
        <x:v>1199</x:v>
      </x:c>
      <x:c r="I2048" s="7" t="n">
        <x:v>87</x:v>
      </x:c>
      <x:c r="J2048" s="9" t="n">
        <x:v>18.8</x:v>
      </x:c>
      <x:c r="K2048" s="9" t="n">
        <x:v>9</x:v>
      </x:c>
      <x:c r="L2048" s="7" t="n">
        <x:v>2020</x:v>
      </x:c>
      <x:c r="M2048" s="11" t="n">
        <x:v>129159</x:v>
      </x:c>
      <x:c r="N2048" s="7" t="n">
        <x:v>1</x:v>
      </x:c>
      <x:c r="O2048" s="7" t="n">
        <x:v>0</x:v>
      </x:c>
      <x:c r="P2048" s="9" t="n">
        <x:v>3.33</x:v>
      </x:c>
      <x:c r="Q2048" s="7" t="n">
        <x:f>'Guide'!$B$5-L2048</x:f>
        <x:v>6</x:v>
      </x:c>
      <x:c r="R2048" s="9" t="n">
        <x:f>K2048-P2048</x:f>
        <x:v>5.67</x:v>
      </x:c>
      <x:c r="S2048" s="10" t="n">
        <x:f>IF(K2048&gt;0,R2048/K2048,"")</x:f>
        <x:v>0.63</x:v>
      </x:c>
    </x:row>
    <x:row r="2049">
      <x:c r="A2049" s="7" t="n">
        <x:v>2045</x:v>
      </x:c>
      <x:c r="B2049" s="7" t="str">
        <x:v>Tata</x:v>
      </x:c>
      <x:c r="C2049" s="7" t="str">
        <x:v>Punch</x:v>
      </x:c>
      <x:c r="D2049" s="7" t="str">
        <x:v>Adventure AMT</x:v>
      </x:c>
      <x:c r="E2049" s="7" t="str">
        <x:v>Petrol</x:v>
      </x:c>
      <x:c r="F2049" s="7" t="str">
        <x:v>Automatic</x:v>
      </x:c>
      <x:c r="G2049" s="7" t="str">
        <x:v>Micro SUV</x:v>
      </x:c>
      <x:c r="H2049" s="7" t="n">
        <x:v>1199</x:v>
      </x:c>
      <x:c r="I2049" s="7" t="n">
        <x:v>87</x:v>
      </x:c>
      <x:c r="J2049" s="9" t="n">
        <x:v>18.8</x:v>
      </x:c>
      <x:c r="K2049" s="9" t="n">
        <x:v>9</x:v>
      </x:c>
      <x:c r="L2049" s="7" t="n">
        <x:v>2020</x:v>
      </x:c>
      <x:c r="M2049" s="11" t="n">
        <x:v>91657</x:v>
      </x:c>
      <x:c r="N2049" s="7" t="n">
        <x:v>1</x:v>
      </x:c>
      <x:c r="O2049" s="7" t="n">
        <x:v>1</x:v>
      </x:c>
      <x:c r="P2049" s="9" t="n">
        <x:v>2.64</x:v>
      </x:c>
      <x:c r="Q2049" s="7" t="n">
        <x:f>'Guide'!$B$5-L2049</x:f>
        <x:v>6</x:v>
      </x:c>
      <x:c r="R2049" s="9" t="n">
        <x:f>K2049-P2049</x:f>
        <x:v>6.359999999999999</x:v>
      </x:c>
      <x:c r="S2049" s="10" t="n">
        <x:f>IF(K2049&gt;0,R2049/K2049,"")</x:f>
        <x:v>0.7066666666666666</x:v>
      </x:c>
    </x:row>
    <x:row r="2050">
      <x:c r="A2050" s="7" t="n">
        <x:v>2046</x:v>
      </x:c>
      <x:c r="B2050" s="7" t="str">
        <x:v>Tata</x:v>
      </x:c>
      <x:c r="C2050" s="7" t="str">
        <x:v>Punch</x:v>
      </x:c>
      <x:c r="D2050" s="7" t="str">
        <x:v>Adventure AMT</x:v>
      </x:c>
      <x:c r="E2050" s="7" t="str">
        <x:v>Petrol</x:v>
      </x:c>
      <x:c r="F2050" s="7" t="str">
        <x:v>Automatic</x:v>
      </x:c>
      <x:c r="G2050" s="7" t="str">
        <x:v>Micro SUV</x:v>
      </x:c>
      <x:c r="H2050" s="7" t="n">
        <x:v>1199</x:v>
      </x:c>
      <x:c r="I2050" s="7" t="n">
        <x:v>87</x:v>
      </x:c>
      <x:c r="J2050" s="9" t="n">
        <x:v>18.8</x:v>
      </x:c>
      <x:c r="K2050" s="9" t="n">
        <x:v>9</x:v>
      </x:c>
      <x:c r="L2050" s="7" t="n">
        <x:v>2021</x:v>
      </x:c>
      <x:c r="M2050" s="11" t="n">
        <x:v>84188</x:v>
      </x:c>
      <x:c r="N2050" s="7" t="n">
        <x:v>1</x:v>
      </x:c>
      <x:c r="O2050" s="7" t="n">
        <x:v>0</x:v>
      </x:c>
      <x:c r="P2050" s="9" t="n">
        <x:v>4.72</x:v>
      </x:c>
      <x:c r="Q2050" s="7" t="n">
        <x:f>'Guide'!$B$5-L2050</x:f>
        <x:v>5</x:v>
      </x:c>
      <x:c r="R2050" s="9" t="n">
        <x:f>K2050-P2050</x:f>
        <x:v>4.28</x:v>
      </x:c>
      <x:c r="S2050" s="10" t="n">
        <x:f>IF(K2050&gt;0,R2050/K2050,"")</x:f>
        <x:v>0.47555555555555556</x:v>
      </x:c>
    </x:row>
    <x:row r="2051">
      <x:c r="A2051" s="7" t="n">
        <x:v>2047</x:v>
      </x:c>
      <x:c r="B2051" s="7" t="str">
        <x:v>Tata</x:v>
      </x:c>
      <x:c r="C2051" s="7" t="str">
        <x:v>Punch</x:v>
      </x:c>
      <x:c r="D2051" s="7" t="str">
        <x:v>Adventure AMT</x:v>
      </x:c>
      <x:c r="E2051" s="7" t="str">
        <x:v>Petrol</x:v>
      </x:c>
      <x:c r="F2051" s="7" t="str">
        <x:v>Automatic</x:v>
      </x:c>
      <x:c r="G2051" s="7" t="str">
        <x:v>Micro SUV</x:v>
      </x:c>
      <x:c r="H2051" s="7" t="n">
        <x:v>1199</x:v>
      </x:c>
      <x:c r="I2051" s="7" t="n">
        <x:v>87</x:v>
      </x:c>
      <x:c r="J2051" s="9" t="n">
        <x:v>18.8</x:v>
      </x:c>
      <x:c r="K2051" s="9" t="n">
        <x:v>9</x:v>
      </x:c>
      <x:c r="L2051" s="7" t="n">
        <x:v>2022</x:v>
      </x:c>
      <x:c r="M2051" s="11" t="n">
        <x:v>49515</x:v>
      </x:c>
      <x:c r="N2051" s="7" t="n">
        <x:v>1</x:v>
      </x:c>
      <x:c r="O2051" s="7" t="n">
        <x:v>0</x:v>
      </x:c>
      <x:c r="P2051" s="9" t="n">
        <x:v>5.84</x:v>
      </x:c>
      <x:c r="Q2051" s="7" t="n">
        <x:f>'Guide'!$B$5-L2051</x:f>
        <x:v>4</x:v>
      </x:c>
      <x:c r="R2051" s="9" t="n">
        <x:f>K2051-P2051</x:f>
        <x:v>3.16</x:v>
      </x:c>
      <x:c r="S2051" s="10" t="n">
        <x:f>IF(K2051&gt;0,R2051/K2051,"")</x:f>
        <x:v>0.35111111111111115</x:v>
      </x:c>
    </x:row>
    <x:row r="2052">
      <x:c r="A2052" s="7" t="n">
        <x:v>2048</x:v>
      </x:c>
      <x:c r="B2052" s="7" t="str">
        <x:v>Tata</x:v>
      </x:c>
      <x:c r="C2052" s="7" t="str">
        <x:v>Punch</x:v>
      </x:c>
      <x:c r="D2052" s="7" t="str">
        <x:v>Adventure AMT</x:v>
      </x:c>
      <x:c r="E2052" s="7" t="str">
        <x:v>Petrol</x:v>
      </x:c>
      <x:c r="F2052" s="7" t="str">
        <x:v>Automatic</x:v>
      </x:c>
      <x:c r="G2052" s="7" t="str">
        <x:v>Micro SUV</x:v>
      </x:c>
      <x:c r="H2052" s="7" t="n">
        <x:v>1199</x:v>
      </x:c>
      <x:c r="I2052" s="7" t="n">
        <x:v>87</x:v>
      </x:c>
      <x:c r="J2052" s="9" t="n">
        <x:v>18.8</x:v>
      </x:c>
      <x:c r="K2052" s="9" t="n">
        <x:v>9</x:v>
      </x:c>
      <x:c r="L2052" s="7" t="n">
        <x:v>2026</x:v>
      </x:c>
      <x:c r="M2052" s="11" t="n">
        <x:v>9998</x:v>
      </x:c>
      <x:c r="N2052" s="7" t="n">
        <x:v>1</x:v>
      </x:c>
      <x:c r="O2052" s="7" t="n">
        <x:v>0</x:v>
      </x:c>
      <x:c r="P2052" s="9" t="n">
        <x:v>9.27</x:v>
      </x:c>
      <x:c r="Q2052" s="7" t="n">
        <x:f>'Guide'!$B$5-L2052</x:f>
        <x:v>0</x:v>
      </x:c>
      <x:c r="R2052" s="9" t="n">
        <x:f>K2052-P2052</x:f>
        <x:v>-0.2699999999999996</x:v>
      </x:c>
      <x:c r="S2052" s="10" t="n">
        <x:f>IF(K2052&gt;0,R2052/K2052,"")</x:f>
        <x:v>-0.029999999999999954</x:v>
      </x:c>
    </x:row>
    <x:row r="2053">
      <x:c r="A2053" s="7" t="n">
        <x:v>2049</x:v>
      </x:c>
      <x:c r="B2053" s="7" t="str">
        <x:v>Tata</x:v>
      </x:c>
      <x:c r="C2053" s="7" t="str">
        <x:v>Punch</x:v>
      </x:c>
      <x:c r="D2053" s="7" t="str">
        <x:v>Adventure AMT</x:v>
      </x:c>
      <x:c r="E2053" s="7" t="str">
        <x:v>Petrol</x:v>
      </x:c>
      <x:c r="F2053" s="7" t="str">
        <x:v>Automatic</x:v>
      </x:c>
      <x:c r="G2053" s="7" t="str">
        <x:v>Micro SUV</x:v>
      </x:c>
      <x:c r="H2053" s="7" t="n">
        <x:v>1199</x:v>
      </x:c>
      <x:c r="I2053" s="7" t="n">
        <x:v>87</x:v>
      </x:c>
      <x:c r="J2053" s="9" t="n">
        <x:v>18.8</x:v>
      </x:c>
      <x:c r="K2053" s="9" t="n">
        <x:v>9</x:v>
      </x:c>
      <x:c r="L2053" s="7" t="n">
        <x:v>2026</x:v>
      </x:c>
      <x:c r="M2053" s="11" t="n">
        <x:v>7042</x:v>
      </x:c>
      <x:c r="N2053" s="7" t="n">
        <x:v>1</x:v>
      </x:c>
      <x:c r="O2053" s="7" t="n">
        <x:v>0</x:v>
      </x:c>
      <x:c r="P2053" s="9" t="n">
        <x:v>8.92</x:v>
      </x:c>
      <x:c r="Q2053" s="7" t="n">
        <x:f>'Guide'!$B$5-L2053</x:f>
        <x:v>0</x:v>
      </x:c>
      <x:c r="R2053" s="9" t="n">
        <x:f>K2053-P2053</x:f>
        <x:v>0.08000000000000007</x:v>
      </x:c>
      <x:c r="S2053" s="10" t="n">
        <x:f>IF(K2053&gt;0,R2053/K2053,"")</x:f>
        <x:v>0.008888888888888898</x:v>
      </x:c>
    </x:row>
    <x:row r="2054">
      <x:c r="A2054" s="7" t="n">
        <x:v>2050</x:v>
      </x:c>
      <x:c r="B2054" s="7" t="str">
        <x:v>Tata</x:v>
      </x:c>
      <x:c r="C2054" s="7" t="str">
        <x:v>Punch</x:v>
      </x:c>
      <x:c r="D2054" s="7" t="str">
        <x:v>Adventure AMT</x:v>
      </x:c>
      <x:c r="E2054" s="7" t="str">
        <x:v>Petrol</x:v>
      </x:c>
      <x:c r="F2054" s="7" t="str">
        <x:v>Automatic</x:v>
      </x:c>
      <x:c r="G2054" s="7" t="str">
        <x:v>Micro SUV</x:v>
      </x:c>
      <x:c r="H2054" s="7" t="n">
        <x:v>1199</x:v>
      </x:c>
      <x:c r="I2054" s="7" t="n">
        <x:v>87</x:v>
      </x:c>
      <x:c r="J2054" s="9" t="n">
        <x:v>18.8</x:v>
      </x:c>
      <x:c r="K2054" s="9" t="n">
        <x:v>9</x:v>
      </x:c>
      <x:c r="L2054" s="7" t="n">
        <x:v>2020</x:v>
      </x:c>
      <x:c r="M2054" s="11" t="n">
        <x:v>65233</x:v>
      </x:c>
      <x:c r="N2054" s="7" t="n">
        <x:v>2</x:v>
      </x:c>
      <x:c r="O2054" s="7" t="n">
        <x:v>0</x:v>
      </x:c>
      <x:c r="P2054" s="9" t="n">
        <x:v>3.55</x:v>
      </x:c>
      <x:c r="Q2054" s="7" t="n">
        <x:f>'Guide'!$B$5-L2054</x:f>
        <x:v>6</x:v>
      </x:c>
      <x:c r="R2054" s="9" t="n">
        <x:f>K2054-P2054</x:f>
        <x:v>5.45</x:v>
      </x:c>
      <x:c r="S2054" s="10" t="n">
        <x:f>IF(K2054&gt;0,R2054/K2054,"")</x:f>
        <x:v>0.6055555555555556</x:v>
      </x:c>
    </x:row>
    <x:row r="2055">
      <x:c r="A2055" s="7" t="n">
        <x:v>2051</x:v>
      </x:c>
      <x:c r="B2055" s="7" t="str">
        <x:v>Tata</x:v>
      </x:c>
      <x:c r="C2055" s="7" t="str">
        <x:v>Punch</x:v>
      </x:c>
      <x:c r="D2055" s="7" t="str">
        <x:v>Adventure AMT</x:v>
      </x:c>
      <x:c r="E2055" s="7" t="str">
        <x:v>Petrol</x:v>
      </x:c>
      <x:c r="F2055" s="7" t="str">
        <x:v>Automatic</x:v>
      </x:c>
      <x:c r="G2055" s="7" t="str">
        <x:v>Micro SUV</x:v>
      </x:c>
      <x:c r="H2055" s="7" t="n">
        <x:v>1199</x:v>
      </x:c>
      <x:c r="I2055" s="7" t="n">
        <x:v>87</x:v>
      </x:c>
      <x:c r="J2055" s="9" t="n">
        <x:v>18.8</x:v>
      </x:c>
      <x:c r="K2055" s="9" t="n">
        <x:v>9</x:v>
      </x:c>
      <x:c r="L2055" s="7" t="n">
        <x:v>2022</x:v>
      </x:c>
      <x:c r="M2055" s="11" t="n">
        <x:v>62778</x:v>
      </x:c>
      <x:c r="N2055" s="7" t="n">
        <x:v>2</x:v>
      </x:c>
      <x:c r="O2055" s="7" t="n">
        <x:v>0</x:v>
      </x:c>
      <x:c r="P2055" s="9" t="n">
        <x:v>5.23</x:v>
      </x:c>
      <x:c r="Q2055" s="7" t="n">
        <x:f>'Guide'!$B$5-L2055</x:f>
        <x:v>4</x:v>
      </x:c>
      <x:c r="R2055" s="9" t="n">
        <x:f>K2055-P2055</x:f>
        <x:v>3.7699999999999996</x:v>
      </x:c>
      <x:c r="S2055" s="10" t="n">
        <x:f>IF(K2055&gt;0,R2055/K2055,"")</x:f>
        <x:v>0.41888888888888887</x:v>
      </x:c>
    </x:row>
    <x:row r="2056">
      <x:c r="A2056" s="7" t="n">
        <x:v>2052</x:v>
      </x:c>
      <x:c r="B2056" s="7" t="str">
        <x:v>Tata</x:v>
      </x:c>
      <x:c r="C2056" s="7" t="str">
        <x:v>Punch</x:v>
      </x:c>
      <x:c r="D2056" s="7" t="str">
        <x:v>Adventure AMT</x:v>
      </x:c>
      <x:c r="E2056" s="7" t="str">
        <x:v>Petrol</x:v>
      </x:c>
      <x:c r="F2056" s="7" t="str">
        <x:v>Automatic</x:v>
      </x:c>
      <x:c r="G2056" s="7" t="str">
        <x:v>Micro SUV</x:v>
      </x:c>
      <x:c r="H2056" s="7" t="n">
        <x:v>1199</x:v>
      </x:c>
      <x:c r="I2056" s="7" t="n">
        <x:v>87</x:v>
      </x:c>
      <x:c r="J2056" s="9" t="n">
        <x:v>18.8</x:v>
      </x:c>
      <x:c r="K2056" s="9" t="n">
        <x:v>9</x:v>
      </x:c>
      <x:c r="L2056" s="7" t="n">
        <x:v>2025</x:v>
      </x:c>
      <x:c r="M2056" s="11" t="n">
        <x:v>13405</x:v>
      </x:c>
      <x:c r="N2056" s="7" t="n">
        <x:v>1</x:v>
      </x:c>
      <x:c r="O2056" s="7" t="n">
        <x:v>0</x:v>
      </x:c>
      <x:c r="P2056" s="9" t="n">
        <x:v>8.08</x:v>
      </x:c>
      <x:c r="Q2056" s="7" t="n">
        <x:f>'Guide'!$B$5-L2056</x:f>
        <x:v>1</x:v>
      </x:c>
      <x:c r="R2056" s="9" t="n">
        <x:f>K2056-P2056</x:f>
        <x:v>0.9199999999999999</x:v>
      </x:c>
      <x:c r="S2056" s="10" t="n">
        <x:f>IF(K2056&gt;0,R2056/K2056,"")</x:f>
        <x:v>0.10222222222222221</x:v>
      </x:c>
    </x:row>
    <x:row r="2057">
      <x:c r="A2057" s="7" t="n">
        <x:v>2053</x:v>
      </x:c>
      <x:c r="B2057" s="7" t="str">
        <x:v>Tata</x:v>
      </x:c>
      <x:c r="C2057" s="7" t="str">
        <x:v>Punch</x:v>
      </x:c>
      <x:c r="D2057" s="7" t="str">
        <x:v>Adventure AMT</x:v>
      </x:c>
      <x:c r="E2057" s="7" t="str">
        <x:v>Petrol</x:v>
      </x:c>
      <x:c r="F2057" s="7" t="str">
        <x:v>Automatic</x:v>
      </x:c>
      <x:c r="G2057" s="7" t="str">
        <x:v>Micro SUV</x:v>
      </x:c>
      <x:c r="H2057" s="7" t="n">
        <x:v>1199</x:v>
      </x:c>
      <x:c r="I2057" s="7" t="n">
        <x:v>87</x:v>
      </x:c>
      <x:c r="J2057" s="9" t="n">
        <x:v>18.8</x:v>
      </x:c>
      <x:c r="K2057" s="9" t="n">
        <x:v>9</x:v>
      </x:c>
      <x:c r="L2057" s="7" t="n">
        <x:v>2022</x:v>
      </x:c>
      <x:c r="M2057" s="11" t="n">
        <x:v>87197</x:v>
      </x:c>
      <x:c r="N2057" s="7" t="n">
        <x:v>1</x:v>
      </x:c>
      <x:c r="O2057" s="7" t="n">
        <x:v>0</x:v>
      </x:c>
      <x:c r="P2057" s="9" t="n">
        <x:v>5.04</x:v>
      </x:c>
      <x:c r="Q2057" s="7" t="n">
        <x:f>'Guide'!$B$5-L2057</x:f>
        <x:v>4</x:v>
      </x:c>
      <x:c r="R2057" s="9" t="n">
        <x:f>K2057-P2057</x:f>
        <x:v>3.96</x:v>
      </x:c>
      <x:c r="S2057" s="10" t="n">
        <x:f>IF(K2057&gt;0,R2057/K2057,"")</x:f>
        <x:v>0.44</x:v>
      </x:c>
    </x:row>
    <x:row r="2058">
      <x:c r="A2058" s="7" t="n">
        <x:v>2054</x:v>
      </x:c>
      <x:c r="B2058" s="7" t="str">
        <x:v>Tata</x:v>
      </x:c>
      <x:c r="C2058" s="7" t="str">
        <x:v>Punch</x:v>
      </x:c>
      <x:c r="D2058" s="7" t="str">
        <x:v>Adventure AMT</x:v>
      </x:c>
      <x:c r="E2058" s="7" t="str">
        <x:v>Petrol</x:v>
      </x:c>
      <x:c r="F2058" s="7" t="str">
        <x:v>Automatic</x:v>
      </x:c>
      <x:c r="G2058" s="7" t="str">
        <x:v>Micro SUV</x:v>
      </x:c>
      <x:c r="H2058" s="7" t="n">
        <x:v>1199</x:v>
      </x:c>
      <x:c r="I2058" s="7" t="n">
        <x:v>87</x:v>
      </x:c>
      <x:c r="J2058" s="9" t="n">
        <x:v>18.8</x:v>
      </x:c>
      <x:c r="K2058" s="9" t="n">
        <x:v>9</x:v>
      </x:c>
      <x:c r="L2058" s="7" t="n">
        <x:v>2022</x:v>
      </x:c>
      <x:c r="M2058" s="11" t="n">
        <x:v>47788</x:v>
      </x:c>
      <x:c r="N2058" s="7" t="n">
        <x:v>1</x:v>
      </x:c>
      <x:c r="O2058" s="7" t="n">
        <x:v>0</x:v>
      </x:c>
      <x:c r="P2058" s="9" t="n">
        <x:v>5.4</x:v>
      </x:c>
      <x:c r="Q2058" s="7" t="n">
        <x:f>'Guide'!$B$5-L2058</x:f>
        <x:v>4</x:v>
      </x:c>
      <x:c r="R2058" s="9" t="n">
        <x:f>K2058-P2058</x:f>
        <x:v>3.5999999999999996</x:v>
      </x:c>
      <x:c r="S2058" s="10" t="n">
        <x:f>IF(K2058&gt;0,R2058/K2058,"")</x:f>
        <x:v>0.39999999999999997</x:v>
      </x:c>
    </x:row>
    <x:row r="2059">
      <x:c r="A2059" s="7" t="n">
        <x:v>2055</x:v>
      </x:c>
      <x:c r="B2059" s="7" t="str">
        <x:v>Tata</x:v>
      </x:c>
      <x:c r="C2059" s="7" t="str">
        <x:v>Punch</x:v>
      </x:c>
      <x:c r="D2059" s="7" t="str">
        <x:v>Adventure AMT</x:v>
      </x:c>
      <x:c r="E2059" s="7" t="str">
        <x:v>Petrol</x:v>
      </x:c>
      <x:c r="F2059" s="7" t="str">
        <x:v>Automatic</x:v>
      </x:c>
      <x:c r="G2059" s="7" t="str">
        <x:v>Micro SUV</x:v>
      </x:c>
      <x:c r="H2059" s="7" t="n">
        <x:v>1199</x:v>
      </x:c>
      <x:c r="I2059" s="7" t="n">
        <x:v>87</x:v>
      </x:c>
      <x:c r="J2059" s="9" t="n">
        <x:v>18.8</x:v>
      </x:c>
      <x:c r="K2059" s="9" t="n">
        <x:v>9</x:v>
      </x:c>
      <x:c r="L2059" s="7" t="n">
        <x:v>2023</x:v>
      </x:c>
      <x:c r="M2059" s="11" t="n">
        <x:v>68606</x:v>
      </x:c>
      <x:c r="N2059" s="7" t="n">
        <x:v>2</x:v>
      </x:c>
      <x:c r="O2059" s="7" t="n">
        <x:v>0</x:v>
      </x:c>
      <x:c r="P2059" s="9" t="n">
        <x:v>5.84</x:v>
      </x:c>
      <x:c r="Q2059" s="7" t="n">
        <x:f>'Guide'!$B$5-L2059</x:f>
        <x:v>3</x:v>
      </x:c>
      <x:c r="R2059" s="9" t="n">
        <x:f>K2059-P2059</x:f>
        <x:v>3.16</x:v>
      </x:c>
      <x:c r="S2059" s="10" t="n">
        <x:f>IF(K2059&gt;0,R2059/K2059,"")</x:f>
        <x:v>0.35111111111111115</x:v>
      </x:c>
    </x:row>
    <x:row r="2060">
      <x:c r="A2060" s="7" t="n">
        <x:v>2056</x:v>
      </x:c>
      <x:c r="B2060" s="7" t="str">
        <x:v>Tata</x:v>
      </x:c>
      <x:c r="C2060" s="7" t="str">
        <x:v>Punch</x:v>
      </x:c>
      <x:c r="D2060" s="7" t="str">
        <x:v>Adventure AMT</x:v>
      </x:c>
      <x:c r="E2060" s="7" t="str">
        <x:v>Petrol</x:v>
      </x:c>
      <x:c r="F2060" s="7" t="str">
        <x:v>Automatic</x:v>
      </x:c>
      <x:c r="G2060" s="7" t="str">
        <x:v>Micro SUV</x:v>
      </x:c>
      <x:c r="H2060" s="7" t="n">
        <x:v>1199</x:v>
      </x:c>
      <x:c r="I2060" s="7" t="n">
        <x:v>87</x:v>
      </x:c>
      <x:c r="J2060" s="9" t="n">
        <x:v>18.8</x:v>
      </x:c>
      <x:c r="K2060" s="9" t="n">
        <x:v>9</x:v>
      </x:c>
      <x:c r="L2060" s="7" t="n">
        <x:v>2025</x:v>
      </x:c>
      <x:c r="M2060" s="11" t="n">
        <x:v>24440</x:v>
      </x:c>
      <x:c r="N2060" s="7" t="n">
        <x:v>1</x:v>
      </x:c>
      <x:c r="O2060" s="7" t="n">
        <x:v>0</x:v>
      </x:c>
      <x:c r="P2060" s="9" t="n">
        <x:v>7.86</x:v>
      </x:c>
      <x:c r="Q2060" s="7" t="n">
        <x:f>'Guide'!$B$5-L2060</x:f>
        <x:v>1</x:v>
      </x:c>
      <x:c r="R2060" s="9" t="n">
        <x:f>K2060-P2060</x:f>
        <x:v>1.1399999999999997</x:v>
      </x:c>
      <x:c r="S2060" s="10" t="n">
        <x:f>IF(K2060&gt;0,R2060/K2060,"")</x:f>
        <x:v>0.12666666666666662</x:v>
      </x:c>
    </x:row>
    <x:row r="2061">
      <x:c r="A2061" s="7" t="n">
        <x:v>2057</x:v>
      </x:c>
      <x:c r="B2061" s="7" t="str">
        <x:v>Tata</x:v>
      </x:c>
      <x:c r="C2061" s="7" t="str">
        <x:v>Punch</x:v>
      </x:c>
      <x:c r="D2061" s="7" t="str">
        <x:v>Adventure AMT</x:v>
      </x:c>
      <x:c r="E2061" s="7" t="str">
        <x:v>Petrol</x:v>
      </x:c>
      <x:c r="F2061" s="7" t="str">
        <x:v>Automatic</x:v>
      </x:c>
      <x:c r="G2061" s="7" t="str">
        <x:v>Micro SUV</x:v>
      </x:c>
      <x:c r="H2061" s="7" t="n">
        <x:v>1199</x:v>
      </x:c>
      <x:c r="I2061" s="7" t="n">
        <x:v>87</x:v>
      </x:c>
      <x:c r="J2061" s="9" t="n">
        <x:v>18.8</x:v>
      </x:c>
      <x:c r="K2061" s="9" t="n">
        <x:v>9</x:v>
      </x:c>
      <x:c r="L2061" s="7" t="n">
        <x:v>2020</x:v>
      </x:c>
      <x:c r="M2061" s="11" t="n">
        <x:v>108912</x:v>
      </x:c>
      <x:c r="N2061" s="7" t="n">
        <x:v>1</x:v>
      </x:c>
      <x:c r="O2061" s="7" t="n">
        <x:v>0</x:v>
      </x:c>
      <x:c r="P2061" s="9" t="n">
        <x:v>3.36</x:v>
      </x:c>
      <x:c r="Q2061" s="7" t="n">
        <x:f>'Guide'!$B$5-L2061</x:f>
        <x:v>6</x:v>
      </x:c>
      <x:c r="R2061" s="9" t="n">
        <x:f>K2061-P2061</x:f>
        <x:v>5.640000000000001</x:v>
      </x:c>
      <x:c r="S2061" s="10" t="n">
        <x:f>IF(K2061&gt;0,R2061/K2061,"")</x:f>
        <x:v>0.6266666666666667</x:v>
      </x:c>
    </x:row>
    <x:row r="2062">
      <x:c r="A2062" s="7" t="n">
        <x:v>2058</x:v>
      </x:c>
      <x:c r="B2062" s="7" t="str">
        <x:v>Tata</x:v>
      </x:c>
      <x:c r="C2062" s="7" t="str">
        <x:v>Punch</x:v>
      </x:c>
      <x:c r="D2062" s="7" t="str">
        <x:v>Adventure AMT</x:v>
      </x:c>
      <x:c r="E2062" s="7" t="str">
        <x:v>Petrol</x:v>
      </x:c>
      <x:c r="F2062" s="7" t="str">
        <x:v>Automatic</x:v>
      </x:c>
      <x:c r="G2062" s="7" t="str">
        <x:v>Micro SUV</x:v>
      </x:c>
      <x:c r="H2062" s="7" t="n">
        <x:v>1199</x:v>
      </x:c>
      <x:c r="I2062" s="7" t="n">
        <x:v>87</x:v>
      </x:c>
      <x:c r="J2062" s="9" t="n">
        <x:v>18.8</x:v>
      </x:c>
      <x:c r="K2062" s="9" t="n">
        <x:v>9</x:v>
      </x:c>
      <x:c r="L2062" s="7" t="n">
        <x:v>2023</x:v>
      </x:c>
      <x:c r="M2062" s="11" t="n">
        <x:v>32200</x:v>
      </x:c>
      <x:c r="N2062" s="7" t="n">
        <x:v>2</x:v>
      </x:c>
      <x:c r="O2062" s="7" t="n">
        <x:v>0</x:v>
      </x:c>
      <x:c r="P2062" s="9" t="n">
        <x:v>6.08</x:v>
      </x:c>
      <x:c r="Q2062" s="7" t="n">
        <x:f>'Guide'!$B$5-L2062</x:f>
        <x:v>3</x:v>
      </x:c>
      <x:c r="R2062" s="9" t="n">
        <x:f>K2062-P2062</x:f>
        <x:v>2.92</x:v>
      </x:c>
      <x:c r="S2062" s="10" t="n">
        <x:f>IF(K2062&gt;0,R2062/K2062,"")</x:f>
        <x:v>0.3244444444444444</x:v>
      </x:c>
    </x:row>
    <x:row r="2063">
      <x:c r="A2063" s="7" t="n">
        <x:v>2059</x:v>
      </x:c>
      <x:c r="B2063" s="7" t="str">
        <x:v>Tata</x:v>
      </x:c>
      <x:c r="C2063" s="7" t="str">
        <x:v>Punch</x:v>
      </x:c>
      <x:c r="D2063" s="7" t="str">
        <x:v>Adventure AMT</x:v>
      </x:c>
      <x:c r="E2063" s="7" t="str">
        <x:v>Petrol</x:v>
      </x:c>
      <x:c r="F2063" s="7" t="str">
        <x:v>Automatic</x:v>
      </x:c>
      <x:c r="G2063" s="7" t="str">
        <x:v>Micro SUV</x:v>
      </x:c>
      <x:c r="H2063" s="7" t="n">
        <x:v>1199</x:v>
      </x:c>
      <x:c r="I2063" s="7" t="n">
        <x:v>87</x:v>
      </x:c>
      <x:c r="J2063" s="9" t="n">
        <x:v>18.8</x:v>
      </x:c>
      <x:c r="K2063" s="9" t="n">
        <x:v>9</x:v>
      </x:c>
      <x:c r="L2063" s="7" t="n">
        <x:v>2021</x:v>
      </x:c>
      <x:c r="M2063" s="11" t="n">
        <x:v>95671</x:v>
      </x:c>
      <x:c r="N2063" s="7" t="n">
        <x:v>1</x:v>
      </x:c>
      <x:c r="O2063" s="7" t="n">
        <x:v>0</x:v>
      </x:c>
      <x:c r="P2063" s="9" t="n">
        <x:v>4.5</x:v>
      </x:c>
      <x:c r="Q2063" s="7" t="n">
        <x:f>'Guide'!$B$5-L2063</x:f>
        <x:v>5</x:v>
      </x:c>
      <x:c r="R2063" s="9" t="n">
        <x:f>K2063-P2063</x:f>
        <x:v>4.5</x:v>
      </x:c>
      <x:c r="S2063" s="10" t="n">
        <x:f>IF(K2063&gt;0,R2063/K2063,"")</x:f>
        <x:v>0.5</x:v>
      </x:c>
    </x:row>
    <x:row r="2064">
      <x:c r="A2064" s="7" t="n">
        <x:v>2060</x:v>
      </x:c>
      <x:c r="B2064" s="7" t="str">
        <x:v>Tata</x:v>
      </x:c>
      <x:c r="C2064" s="7" t="str">
        <x:v>Punch</x:v>
      </x:c>
      <x:c r="D2064" s="7" t="str">
        <x:v>Adventure AMT</x:v>
      </x:c>
      <x:c r="E2064" s="7" t="str">
        <x:v>Petrol</x:v>
      </x:c>
      <x:c r="F2064" s="7" t="str">
        <x:v>Automatic</x:v>
      </x:c>
      <x:c r="G2064" s="7" t="str">
        <x:v>Micro SUV</x:v>
      </x:c>
      <x:c r="H2064" s="7" t="n">
        <x:v>1199</x:v>
      </x:c>
      <x:c r="I2064" s="7" t="n">
        <x:v>87</x:v>
      </x:c>
      <x:c r="J2064" s="9" t="n">
        <x:v>18.8</x:v>
      </x:c>
      <x:c r="K2064" s="9" t="n">
        <x:v>9</x:v>
      </x:c>
      <x:c r="L2064" s="7" t="n">
        <x:v>2025</x:v>
      </x:c>
      <x:c r="M2064" s="11" t="n">
        <x:v>20556</x:v>
      </x:c>
      <x:c r="N2064" s="7" t="n">
        <x:v>1</x:v>
      </x:c>
      <x:c r="O2064" s="7" t="n">
        <x:v>0</x:v>
      </x:c>
      <x:c r="P2064" s="9" t="n">
        <x:v>8.13</x:v>
      </x:c>
      <x:c r="Q2064" s="7" t="n">
        <x:f>'Guide'!$B$5-L2064</x:f>
        <x:v>1</x:v>
      </x:c>
      <x:c r="R2064" s="9" t="n">
        <x:f>K2064-P2064</x:f>
        <x:v>0.8699999999999992</x:v>
      </x:c>
      <x:c r="S2064" s="10" t="n">
        <x:f>IF(K2064&gt;0,R2064/K2064,"")</x:f>
        <x:v>0.09666666666666658</x:v>
      </x:c>
    </x:row>
    <x:row r="2065">
      <x:c r="A2065" s="7" t="n">
        <x:v>2061</x:v>
      </x:c>
      <x:c r="B2065" s="7" t="str">
        <x:v>Tata</x:v>
      </x:c>
      <x:c r="C2065" s="7" t="str">
        <x:v>Punch</x:v>
      </x:c>
      <x:c r="D2065" s="7" t="str">
        <x:v>Adventure AMT</x:v>
      </x:c>
      <x:c r="E2065" s="7" t="str">
        <x:v>Petrol</x:v>
      </x:c>
      <x:c r="F2065" s="7" t="str">
        <x:v>Automatic</x:v>
      </x:c>
      <x:c r="G2065" s="7" t="str">
        <x:v>Micro SUV</x:v>
      </x:c>
      <x:c r="H2065" s="7" t="n">
        <x:v>1199</x:v>
      </x:c>
      <x:c r="I2065" s="7" t="n">
        <x:v>87</x:v>
      </x:c>
      <x:c r="J2065" s="9" t="n">
        <x:v>18.8</x:v>
      </x:c>
      <x:c r="K2065" s="9" t="n">
        <x:v>9</x:v>
      </x:c>
      <x:c r="L2065" s="7" t="n">
        <x:v>2026</x:v>
      </x:c>
      <x:c r="M2065" s="11" t="n">
        <x:v>9245</x:v>
      </x:c>
      <x:c r="N2065" s="7" t="n">
        <x:v>2</x:v>
      </x:c>
      <x:c r="O2065" s="7" t="n">
        <x:v>0</x:v>
      </x:c>
      <x:c r="P2065" s="9" t="n">
        <x:v>8.57</x:v>
      </x:c>
      <x:c r="Q2065" s="7" t="n">
        <x:f>'Guide'!$B$5-L2065</x:f>
        <x:v>0</x:v>
      </x:c>
      <x:c r="R2065" s="9" t="n">
        <x:f>K2065-P2065</x:f>
        <x:v>0.4299999999999997</x:v>
      </x:c>
      <x:c r="S2065" s="10" t="n">
        <x:f>IF(K2065&gt;0,R2065/K2065,"")</x:f>
        <x:v>0.047777777777777745</x:v>
      </x:c>
    </x:row>
    <x:row r="2066">
      <x:c r="A2066" s="7" t="n">
        <x:v>2062</x:v>
      </x:c>
      <x:c r="B2066" s="7" t="str">
        <x:v>Tata</x:v>
      </x:c>
      <x:c r="C2066" s="7" t="str">
        <x:v>Punch</x:v>
      </x:c>
      <x:c r="D2066" s="7" t="str">
        <x:v>Adventure AMT</x:v>
      </x:c>
      <x:c r="E2066" s="7" t="str">
        <x:v>Petrol</x:v>
      </x:c>
      <x:c r="F2066" s="7" t="str">
        <x:v>Automatic</x:v>
      </x:c>
      <x:c r="G2066" s="7" t="str">
        <x:v>Micro SUV</x:v>
      </x:c>
      <x:c r="H2066" s="7" t="n">
        <x:v>1199</x:v>
      </x:c>
      <x:c r="I2066" s="7" t="n">
        <x:v>87</x:v>
      </x:c>
      <x:c r="J2066" s="9" t="n">
        <x:v>18.8</x:v>
      </x:c>
      <x:c r="K2066" s="9" t="n">
        <x:v>9</x:v>
      </x:c>
      <x:c r="L2066" s="7" t="n">
        <x:v>2021</x:v>
      </x:c>
      <x:c r="M2066" s="11" t="n">
        <x:v>77972</x:v>
      </x:c>
      <x:c r="N2066" s="7" t="n">
        <x:v>1</x:v>
      </x:c>
      <x:c r="O2066" s="7" t="n">
        <x:v>0</x:v>
      </x:c>
      <x:c r="P2066" s="9" t="n">
        <x:v>4.4</x:v>
      </x:c>
      <x:c r="Q2066" s="7" t="n">
        <x:f>'Guide'!$B$5-L2066</x:f>
        <x:v>5</x:v>
      </x:c>
      <x:c r="R2066" s="9" t="n">
        <x:f>K2066-P2066</x:f>
        <x:v>4.6</x:v>
      </x:c>
      <x:c r="S2066" s="10" t="n">
        <x:f>IF(K2066&gt;0,R2066/K2066,"")</x:f>
        <x:v>0.5111111111111111</x:v>
      </x:c>
    </x:row>
    <x:row r="2067">
      <x:c r="A2067" s="7" t="n">
        <x:v>2063</x:v>
      </x:c>
      <x:c r="B2067" s="7" t="str">
        <x:v>Tata</x:v>
      </x:c>
      <x:c r="C2067" s="7" t="str">
        <x:v>Punch</x:v>
      </x:c>
      <x:c r="D2067" s="7" t="str">
        <x:v>Adventure AMT</x:v>
      </x:c>
      <x:c r="E2067" s="7" t="str">
        <x:v>Petrol</x:v>
      </x:c>
      <x:c r="F2067" s="7" t="str">
        <x:v>Automatic</x:v>
      </x:c>
      <x:c r="G2067" s="7" t="str">
        <x:v>Micro SUV</x:v>
      </x:c>
      <x:c r="H2067" s="7" t="n">
        <x:v>1199</x:v>
      </x:c>
      <x:c r="I2067" s="7" t="n">
        <x:v>87</x:v>
      </x:c>
      <x:c r="J2067" s="9" t="n">
        <x:v>18.8</x:v>
      </x:c>
      <x:c r="K2067" s="9" t="n">
        <x:v>9</x:v>
      </x:c>
      <x:c r="L2067" s="7" t="n">
        <x:v>2020</x:v>
      </x:c>
      <x:c r="M2067" s="11" t="n">
        <x:v>123361</x:v>
      </x:c>
      <x:c r="N2067" s="7" t="n">
        <x:v>1</x:v>
      </x:c>
      <x:c r="O2067" s="7" t="n">
        <x:v>0</x:v>
      </x:c>
      <x:c r="P2067" s="9" t="n">
        <x:v>3.51</x:v>
      </x:c>
      <x:c r="Q2067" s="7" t="n">
        <x:f>'Guide'!$B$5-L2067</x:f>
        <x:v>6</x:v>
      </x:c>
      <x:c r="R2067" s="9" t="n">
        <x:f>K2067-P2067</x:f>
        <x:v>5.49</x:v>
      </x:c>
      <x:c r="S2067" s="10" t="n">
        <x:f>IF(K2067&gt;0,R2067/K2067,"")</x:f>
        <x:v>0.61</x:v>
      </x:c>
    </x:row>
    <x:row r="2068">
      <x:c r="A2068" s="7" t="n">
        <x:v>2064</x:v>
      </x:c>
      <x:c r="B2068" s="7" t="str">
        <x:v>Tata</x:v>
      </x:c>
      <x:c r="C2068" s="7" t="str">
        <x:v>Punch</x:v>
      </x:c>
      <x:c r="D2068" s="7" t="str">
        <x:v>Adventure AMT</x:v>
      </x:c>
      <x:c r="E2068" s="7" t="str">
        <x:v>Petrol</x:v>
      </x:c>
      <x:c r="F2068" s="7" t="str">
        <x:v>Automatic</x:v>
      </x:c>
      <x:c r="G2068" s="7" t="str">
        <x:v>Micro SUV</x:v>
      </x:c>
      <x:c r="H2068" s="7" t="n">
        <x:v>1199</x:v>
      </x:c>
      <x:c r="I2068" s="7" t="n">
        <x:v>87</x:v>
      </x:c>
      <x:c r="J2068" s="9" t="n">
        <x:v>18.8</x:v>
      </x:c>
      <x:c r="K2068" s="9" t="n">
        <x:v>9</x:v>
      </x:c>
      <x:c r="L2068" s="7" t="n">
        <x:v>2021</x:v>
      </x:c>
      <x:c r="M2068" s="11" t="n">
        <x:v>77663</x:v>
      </x:c>
      <x:c r="N2068" s="7" t="n">
        <x:v>1</x:v>
      </x:c>
      <x:c r="O2068" s="7" t="n">
        <x:v>0</x:v>
      </x:c>
      <x:c r="P2068" s="9" t="n">
        <x:v>4.6</x:v>
      </x:c>
      <x:c r="Q2068" s="7" t="n">
        <x:f>'Guide'!$B$5-L2068</x:f>
        <x:v>5</x:v>
      </x:c>
      <x:c r="R2068" s="9" t="n">
        <x:f>K2068-P2068</x:f>
        <x:v>4.4</x:v>
      </x:c>
      <x:c r="S2068" s="10" t="n">
        <x:f>IF(K2068&gt;0,R2068/K2068,"")</x:f>
        <x:v>0.48888888888888893</x:v>
      </x:c>
    </x:row>
    <x:row r="2069">
      <x:c r="A2069" s="7" t="n">
        <x:v>2065</x:v>
      </x:c>
      <x:c r="B2069" s="7" t="str">
        <x:v>Tata</x:v>
      </x:c>
      <x:c r="C2069" s="7" t="str">
        <x:v>Punch</x:v>
      </x:c>
      <x:c r="D2069" s="7" t="str">
        <x:v>Adventure AMT</x:v>
      </x:c>
      <x:c r="E2069" s="7" t="str">
        <x:v>Petrol</x:v>
      </x:c>
      <x:c r="F2069" s="7" t="str">
        <x:v>Automatic</x:v>
      </x:c>
      <x:c r="G2069" s="7" t="str">
        <x:v>Micro SUV</x:v>
      </x:c>
      <x:c r="H2069" s="7" t="n">
        <x:v>1199</x:v>
      </x:c>
      <x:c r="I2069" s="7" t="n">
        <x:v>87</x:v>
      </x:c>
      <x:c r="J2069" s="9" t="n">
        <x:v>18.8</x:v>
      </x:c>
      <x:c r="K2069" s="9" t="n">
        <x:v>9</x:v>
      </x:c>
      <x:c r="L2069" s="7" t="n">
        <x:v>2022</x:v>
      </x:c>
      <x:c r="M2069" s="11" t="n">
        <x:v>79836</x:v>
      </x:c>
      <x:c r="N2069" s="7" t="n">
        <x:v>2</x:v>
      </x:c>
      <x:c r="O2069" s="7" t="n">
        <x:v>0</x:v>
      </x:c>
      <x:c r="P2069" s="9" t="n">
        <x:v>4.67</x:v>
      </x:c>
      <x:c r="Q2069" s="7" t="n">
        <x:f>'Guide'!$B$5-L2069</x:f>
        <x:v>4</x:v>
      </x:c>
      <x:c r="R2069" s="9" t="n">
        <x:f>K2069-P2069</x:f>
        <x:v>4.33</x:v>
      </x:c>
      <x:c r="S2069" s="10" t="n">
        <x:f>IF(K2069&gt;0,R2069/K2069,"")</x:f>
        <x:v>0.4811111111111111</x:v>
      </x:c>
    </x:row>
    <x:row r="2070">
      <x:c r="A2070" s="7" t="n">
        <x:v>2066</x:v>
      </x:c>
      <x:c r="B2070" s="7" t="str">
        <x:v>Tata</x:v>
      </x:c>
      <x:c r="C2070" s="7" t="str">
        <x:v>Punch</x:v>
      </x:c>
      <x:c r="D2070" s="7" t="str">
        <x:v>Adventure AMT</x:v>
      </x:c>
      <x:c r="E2070" s="7" t="str">
        <x:v>Petrol</x:v>
      </x:c>
      <x:c r="F2070" s="7" t="str">
        <x:v>Automatic</x:v>
      </x:c>
      <x:c r="G2070" s="7" t="str">
        <x:v>Micro SUV</x:v>
      </x:c>
      <x:c r="H2070" s="7" t="n">
        <x:v>1199</x:v>
      </x:c>
      <x:c r="I2070" s="7" t="n">
        <x:v>87</x:v>
      </x:c>
      <x:c r="J2070" s="9" t="n">
        <x:v>18.8</x:v>
      </x:c>
      <x:c r="K2070" s="9" t="n">
        <x:v>9</x:v>
      </x:c>
      <x:c r="L2070" s="7" t="n">
        <x:v>2026</x:v>
      </x:c>
      <x:c r="M2070" s="11" t="n">
        <x:v>9686</x:v>
      </x:c>
      <x:c r="N2070" s="7" t="n">
        <x:v>1</x:v>
      </x:c>
      <x:c r="O2070" s="7" t="n">
        <x:v>0</x:v>
      </x:c>
      <x:c r="P2070" s="9" t="n">
        <x:v>9.2</x:v>
      </x:c>
      <x:c r="Q2070" s="7" t="n">
        <x:f>'Guide'!$B$5-L2070</x:f>
        <x:v>0</x:v>
      </x:c>
      <x:c r="R2070" s="9" t="n">
        <x:f>K2070-P2070</x:f>
        <x:v>-0.1999999999999993</x:v>
      </x:c>
      <x:c r="S2070" s="10" t="n">
        <x:f>IF(K2070&gt;0,R2070/K2070,"")</x:f>
        <x:v>-0.022222222222222143</x:v>
      </x:c>
    </x:row>
    <x:row r="2071">
      <x:c r="A2071" s="7" t="n">
        <x:v>2067</x:v>
      </x:c>
      <x:c r="B2071" s="7" t="str">
        <x:v>Tata</x:v>
      </x:c>
      <x:c r="C2071" s="7" t="str">
        <x:v>Punch</x:v>
      </x:c>
      <x:c r="D2071" s="7" t="str">
        <x:v>Adventure AMT</x:v>
      </x:c>
      <x:c r="E2071" s="7" t="str">
        <x:v>Petrol</x:v>
      </x:c>
      <x:c r="F2071" s="7" t="str">
        <x:v>Automatic</x:v>
      </x:c>
      <x:c r="G2071" s="7" t="str">
        <x:v>Micro SUV</x:v>
      </x:c>
      <x:c r="H2071" s="7" t="n">
        <x:v>1199</x:v>
      </x:c>
      <x:c r="I2071" s="7" t="n">
        <x:v>87</x:v>
      </x:c>
      <x:c r="J2071" s="9" t="n">
        <x:v>18.8</x:v>
      </x:c>
      <x:c r="K2071" s="9" t="n">
        <x:v>9</x:v>
      </x:c>
      <x:c r="L2071" s="7" t="n">
        <x:v>2020</x:v>
      </x:c>
      <x:c r="M2071" s="11" t="n">
        <x:v>114948</x:v>
      </x:c>
      <x:c r="N2071" s="7" t="n">
        <x:v>1</x:v>
      </x:c>
      <x:c r="O2071" s="7" t="n">
        <x:v>0</x:v>
      </x:c>
      <x:c r="P2071" s="9" t="n">
        <x:v>3.75</x:v>
      </x:c>
      <x:c r="Q2071" s="7" t="n">
        <x:f>'Guide'!$B$5-L2071</x:f>
        <x:v>6</x:v>
      </x:c>
      <x:c r="R2071" s="9" t="n">
        <x:f>K2071-P2071</x:f>
        <x:v>5.25</x:v>
      </x:c>
      <x:c r="S2071" s="10" t="n">
        <x:f>IF(K2071&gt;0,R2071/K2071,"")</x:f>
        <x:v>0.5833333333333334</x:v>
      </x:c>
    </x:row>
    <x:row r="2072">
      <x:c r="A2072" s="7" t="n">
        <x:v>2068</x:v>
      </x:c>
      <x:c r="B2072" s="7" t="str">
        <x:v>Tata</x:v>
      </x:c>
      <x:c r="C2072" s="7" t="str">
        <x:v>Punch</x:v>
      </x:c>
      <x:c r="D2072" s="7" t="str">
        <x:v>Adventure AMT</x:v>
      </x:c>
      <x:c r="E2072" s="7" t="str">
        <x:v>Petrol</x:v>
      </x:c>
      <x:c r="F2072" s="7" t="str">
        <x:v>Automatic</x:v>
      </x:c>
      <x:c r="G2072" s="7" t="str">
        <x:v>Micro SUV</x:v>
      </x:c>
      <x:c r="H2072" s="7" t="n">
        <x:v>1199</x:v>
      </x:c>
      <x:c r="I2072" s="7" t="n">
        <x:v>87</x:v>
      </x:c>
      <x:c r="J2072" s="9" t="n">
        <x:v>18.8</x:v>
      </x:c>
      <x:c r="K2072" s="9" t="n">
        <x:v>9</x:v>
      </x:c>
      <x:c r="L2072" s="7" t="n">
        <x:v>2024</x:v>
      </x:c>
      <x:c r="M2072" s="11" t="n">
        <x:v>35167</x:v>
      </x:c>
      <x:c r="N2072" s="7" t="n">
        <x:v>3</x:v>
      </x:c>
      <x:c r="O2072" s="7" t="n">
        <x:v>0</x:v>
      </x:c>
      <x:c r="P2072" s="9" t="n">
        <x:v>6.02</x:v>
      </x:c>
      <x:c r="Q2072" s="7" t="n">
        <x:f>'Guide'!$B$5-L2072</x:f>
        <x:v>2</x:v>
      </x:c>
      <x:c r="R2072" s="9" t="n">
        <x:f>K2072-P2072</x:f>
        <x:v>2.9800000000000004</x:v>
      </x:c>
      <x:c r="S2072" s="10" t="n">
        <x:f>IF(K2072&gt;0,R2072/K2072,"")</x:f>
        <x:v>0.33111111111111113</x:v>
      </x:c>
    </x:row>
    <x:row r="2073">
      <x:c r="A2073" s="7" t="n">
        <x:v>2069</x:v>
      </x:c>
      <x:c r="B2073" s="7" t="str">
        <x:v>Tata</x:v>
      </x:c>
      <x:c r="C2073" s="7" t="str">
        <x:v>Punch</x:v>
      </x:c>
      <x:c r="D2073" s="7" t="str">
        <x:v>Adventure AMT</x:v>
      </x:c>
      <x:c r="E2073" s="7" t="str">
        <x:v>Petrol</x:v>
      </x:c>
      <x:c r="F2073" s="7" t="str">
        <x:v>Automatic</x:v>
      </x:c>
      <x:c r="G2073" s="7" t="str">
        <x:v>Micro SUV</x:v>
      </x:c>
      <x:c r="H2073" s="7" t="n">
        <x:v>1199</x:v>
      </x:c>
      <x:c r="I2073" s="7" t="n">
        <x:v>87</x:v>
      </x:c>
      <x:c r="J2073" s="9" t="n">
        <x:v>18.8</x:v>
      </x:c>
      <x:c r="K2073" s="9" t="n">
        <x:v>9</x:v>
      </x:c>
      <x:c r="L2073" s="7" t="n">
        <x:v>2023</x:v>
      </x:c>
      <x:c r="M2073" s="11" t="n">
        <x:v>68936</x:v>
      </x:c>
      <x:c r="N2073" s="7" t="n">
        <x:v>2</x:v>
      </x:c>
      <x:c r="O2073" s="7" t="n">
        <x:v>0</x:v>
      </x:c>
      <x:c r="P2073" s="9" t="n">
        <x:v>6.07</x:v>
      </x:c>
      <x:c r="Q2073" s="7" t="n">
        <x:f>'Guide'!$B$5-L2073</x:f>
        <x:v>3</x:v>
      </x:c>
      <x:c r="R2073" s="9" t="n">
        <x:f>K2073-P2073</x:f>
        <x:v>2.9299999999999997</x:v>
      </x:c>
      <x:c r="S2073" s="10" t="n">
        <x:f>IF(K2073&gt;0,R2073/K2073,"")</x:f>
        <x:v>0.32555555555555554</x:v>
      </x:c>
    </x:row>
    <x:row r="2074">
      <x:c r="A2074" s="7" t="n">
        <x:v>2070</x:v>
      </x:c>
      <x:c r="B2074" s="7" t="str">
        <x:v>Tata</x:v>
      </x:c>
      <x:c r="C2074" s="7" t="str">
        <x:v>Punch</x:v>
      </x:c>
      <x:c r="D2074" s="7" t="str">
        <x:v>Adventure AMT</x:v>
      </x:c>
      <x:c r="E2074" s="7" t="str">
        <x:v>Petrol</x:v>
      </x:c>
      <x:c r="F2074" s="7" t="str">
        <x:v>Automatic</x:v>
      </x:c>
      <x:c r="G2074" s="7" t="str">
        <x:v>Micro SUV</x:v>
      </x:c>
      <x:c r="H2074" s="7" t="n">
        <x:v>1199</x:v>
      </x:c>
      <x:c r="I2074" s="7" t="n">
        <x:v>87</x:v>
      </x:c>
      <x:c r="J2074" s="9" t="n">
        <x:v>18.8</x:v>
      </x:c>
      <x:c r="K2074" s="9" t="n">
        <x:v>9</x:v>
      </x:c>
      <x:c r="L2074" s="7" t="n">
        <x:v>2021</x:v>
      </x:c>
      <x:c r="M2074" s="11" t="n">
        <x:v>74819</x:v>
      </x:c>
      <x:c r="N2074" s="7" t="n">
        <x:v>1</x:v>
      </x:c>
      <x:c r="O2074" s="7" t="n">
        <x:v>0</x:v>
      </x:c>
      <x:c r="P2074" s="9" t="n">
        <x:v>4.26</x:v>
      </x:c>
      <x:c r="Q2074" s="7" t="n">
        <x:f>'Guide'!$B$5-L2074</x:f>
        <x:v>5</x:v>
      </x:c>
      <x:c r="R2074" s="9" t="n">
        <x:f>K2074-P2074</x:f>
        <x:v>4.74</x:v>
      </x:c>
      <x:c r="S2074" s="10" t="n">
        <x:f>IF(K2074&gt;0,R2074/K2074,"")</x:f>
        <x:v>0.5266666666666667</x:v>
      </x:c>
    </x:row>
    <x:row r="2075">
      <x:c r="A2075" s="7" t="n">
        <x:v>2071</x:v>
      </x:c>
      <x:c r="B2075" s="7" t="str">
        <x:v>Tata</x:v>
      </x:c>
      <x:c r="C2075" s="7" t="str">
        <x:v>Punch</x:v>
      </x:c>
      <x:c r="D2075" s="7" t="str">
        <x:v>Adventure AMT</x:v>
      </x:c>
      <x:c r="E2075" s="7" t="str">
        <x:v>Petrol</x:v>
      </x:c>
      <x:c r="F2075" s="7" t="str">
        <x:v>Automatic</x:v>
      </x:c>
      <x:c r="G2075" s="7" t="str">
        <x:v>Micro SUV</x:v>
      </x:c>
      <x:c r="H2075" s="7" t="n">
        <x:v>1199</x:v>
      </x:c>
      <x:c r="I2075" s="7" t="n">
        <x:v>87</x:v>
      </x:c>
      <x:c r="J2075" s="9" t="n">
        <x:v>18.8</x:v>
      </x:c>
      <x:c r="K2075" s="9" t="n">
        <x:v>9</x:v>
      </x:c>
      <x:c r="L2075" s="7" t="n">
        <x:v>2021</x:v>
      </x:c>
      <x:c r="M2075" s="11" t="n">
        <x:v>97167</x:v>
      </x:c>
      <x:c r="N2075" s="7" t="n">
        <x:v>2</x:v>
      </x:c>
      <x:c r="O2075" s="7" t="n">
        <x:v>1</x:v>
      </x:c>
      <x:c r="P2075" s="9" t="n">
        <x:v>3.19</x:v>
      </x:c>
      <x:c r="Q2075" s="7" t="n">
        <x:f>'Guide'!$B$5-L2075</x:f>
        <x:v>5</x:v>
      </x:c>
      <x:c r="R2075" s="9" t="n">
        <x:f>K2075-P2075</x:f>
        <x:v>5.8100000000000005</x:v>
      </x:c>
      <x:c r="S2075" s="10" t="n">
        <x:f>IF(K2075&gt;0,R2075/K2075,"")</x:f>
        <x:v>0.6455555555555557</x:v>
      </x:c>
    </x:row>
    <x:row r="2076">
      <x:c r="A2076" s="7" t="n">
        <x:v>2072</x:v>
      </x:c>
      <x:c r="B2076" s="7" t="str">
        <x:v>Tata</x:v>
      </x:c>
      <x:c r="C2076" s="7" t="str">
        <x:v>Punch</x:v>
      </x:c>
      <x:c r="D2076" s="7" t="str">
        <x:v>Adventure AMT</x:v>
      </x:c>
      <x:c r="E2076" s="7" t="str">
        <x:v>Petrol</x:v>
      </x:c>
      <x:c r="F2076" s="7" t="str">
        <x:v>Automatic</x:v>
      </x:c>
      <x:c r="G2076" s="7" t="str">
        <x:v>Micro SUV</x:v>
      </x:c>
      <x:c r="H2076" s="7" t="n">
        <x:v>1199</x:v>
      </x:c>
      <x:c r="I2076" s="7" t="n">
        <x:v>87</x:v>
      </x:c>
      <x:c r="J2076" s="9" t="n">
        <x:v>18.8</x:v>
      </x:c>
      <x:c r="K2076" s="9" t="n">
        <x:v>9</x:v>
      </x:c>
      <x:c r="L2076" s="7" t="n">
        <x:v>2022</x:v>
      </x:c>
      <x:c r="M2076" s="11" t="n">
        <x:v>88824</x:v>
      </x:c>
      <x:c r="N2076" s="7" t="n">
        <x:v>2</x:v>
      </x:c>
      <x:c r="O2076" s="7" t="n">
        <x:v>0</x:v>
      </x:c>
      <x:c r="P2076" s="9" t="n">
        <x:v>4.9</x:v>
      </x:c>
      <x:c r="Q2076" s="7" t="n">
        <x:f>'Guide'!$B$5-L2076</x:f>
        <x:v>4</x:v>
      </x:c>
      <x:c r="R2076" s="9" t="n">
        <x:f>K2076-P2076</x:f>
        <x:v>4.1</x:v>
      </x:c>
      <x:c r="S2076" s="10" t="n">
        <x:f>IF(K2076&gt;0,R2076/K2076,"")</x:f>
        <x:v>0.4555555555555555</x:v>
      </x:c>
    </x:row>
    <x:row r="2077">
      <x:c r="A2077" s="7" t="n">
        <x:v>2073</x:v>
      </x:c>
      <x:c r="B2077" s="7" t="str">
        <x:v>Tata</x:v>
      </x:c>
      <x:c r="C2077" s="7" t="str">
        <x:v>Punch</x:v>
      </x:c>
      <x:c r="D2077" s="7" t="str">
        <x:v>Adventure AMT</x:v>
      </x:c>
      <x:c r="E2077" s="7" t="str">
        <x:v>Petrol</x:v>
      </x:c>
      <x:c r="F2077" s="7" t="str">
        <x:v>Automatic</x:v>
      </x:c>
      <x:c r="G2077" s="7" t="str">
        <x:v>Micro SUV</x:v>
      </x:c>
      <x:c r="H2077" s="7" t="n">
        <x:v>1199</x:v>
      </x:c>
      <x:c r="I2077" s="7" t="n">
        <x:v>87</x:v>
      </x:c>
      <x:c r="J2077" s="9" t="n">
        <x:v>18.8</x:v>
      </x:c>
      <x:c r="K2077" s="9" t="n">
        <x:v>9</x:v>
      </x:c>
      <x:c r="L2077" s="7" t="n">
        <x:v>2026</x:v>
      </x:c>
      <x:c r="M2077" s="11" t="n">
        <x:v>8122</x:v>
      </x:c>
      <x:c r="N2077" s="7" t="n">
        <x:v>1</x:v>
      </x:c>
      <x:c r="O2077" s="7" t="n">
        <x:v>0</x:v>
      </x:c>
      <x:c r="P2077" s="9" t="n">
        <x:v>9.17</x:v>
      </x:c>
      <x:c r="Q2077" s="7" t="n">
        <x:f>'Guide'!$B$5-L2077</x:f>
        <x:v>0</x:v>
      </x:c>
      <x:c r="R2077" s="9" t="n">
        <x:f>K2077-P2077</x:f>
        <x:v>-0.16999999999999993</x:v>
      </x:c>
      <x:c r="S2077" s="10" t="n">
        <x:f>IF(K2077&gt;0,R2077/K2077,"")</x:f>
        <x:v>-0.018888888888888882</x:v>
      </x:c>
    </x:row>
    <x:row r="2078">
      <x:c r="A2078" s="7" t="n">
        <x:v>2074</x:v>
      </x:c>
      <x:c r="B2078" s="7" t="str">
        <x:v>Tata</x:v>
      </x:c>
      <x:c r="C2078" s="7" t="str">
        <x:v>Punch</x:v>
      </x:c>
      <x:c r="D2078" s="7" t="str">
        <x:v>Adventure AMT</x:v>
      </x:c>
      <x:c r="E2078" s="7" t="str">
        <x:v>Petrol</x:v>
      </x:c>
      <x:c r="F2078" s="7" t="str">
        <x:v>Automatic</x:v>
      </x:c>
      <x:c r="G2078" s="7" t="str">
        <x:v>Micro SUV</x:v>
      </x:c>
      <x:c r="H2078" s="7" t="n">
        <x:v>1199</x:v>
      </x:c>
      <x:c r="I2078" s="7" t="n">
        <x:v>87</x:v>
      </x:c>
      <x:c r="J2078" s="9" t="n">
        <x:v>18.8</x:v>
      </x:c>
      <x:c r="K2078" s="9" t="n">
        <x:v>9</x:v>
      </x:c>
      <x:c r="L2078" s="7" t="n">
        <x:v>2025</x:v>
      </x:c>
      <x:c r="M2078" s="11" t="n">
        <x:v>29259</x:v>
      </x:c>
      <x:c r="N2078" s="7" t="n">
        <x:v>1</x:v>
      </x:c>
      <x:c r="O2078" s="7" t="n">
        <x:v>0</x:v>
      </x:c>
      <x:c r="P2078" s="9" t="n">
        <x:v>7.83</x:v>
      </x:c>
      <x:c r="Q2078" s="7" t="n">
        <x:f>'Guide'!$B$5-L2078</x:f>
        <x:v>1</x:v>
      </x:c>
      <x:c r="R2078" s="9" t="n">
        <x:f>K2078-P2078</x:f>
        <x:v>1.17</x:v>
      </x:c>
      <x:c r="S2078" s="10" t="n">
        <x:f>IF(K2078&gt;0,R2078/K2078,"")</x:f>
        <x:v>0.13</x:v>
      </x:c>
    </x:row>
    <x:row r="2079">
      <x:c r="A2079" s="7" t="n">
        <x:v>2075</x:v>
      </x:c>
      <x:c r="B2079" s="7" t="str">
        <x:v>Tata</x:v>
      </x:c>
      <x:c r="C2079" s="7" t="str">
        <x:v>Punch</x:v>
      </x:c>
      <x:c r="D2079" s="7" t="str">
        <x:v>Adventure AMT</x:v>
      </x:c>
      <x:c r="E2079" s="7" t="str">
        <x:v>Petrol</x:v>
      </x:c>
      <x:c r="F2079" s="7" t="str">
        <x:v>Automatic</x:v>
      </x:c>
      <x:c r="G2079" s="7" t="str">
        <x:v>Micro SUV</x:v>
      </x:c>
      <x:c r="H2079" s="7" t="n">
        <x:v>1199</x:v>
      </x:c>
      <x:c r="I2079" s="7" t="n">
        <x:v>87</x:v>
      </x:c>
      <x:c r="J2079" s="9" t="n">
        <x:v>18.8</x:v>
      </x:c>
      <x:c r="K2079" s="9" t="n">
        <x:v>9</x:v>
      </x:c>
      <x:c r="L2079" s="7" t="n">
        <x:v>2023</x:v>
      </x:c>
      <x:c r="M2079" s="11" t="n">
        <x:v>37303</x:v>
      </x:c>
      <x:c r="N2079" s="7" t="n">
        <x:v>1</x:v>
      </x:c>
      <x:c r="O2079" s="7" t="n">
        <x:v>0</x:v>
      </x:c>
      <x:c r="P2079" s="9" t="n">
        <x:v>6.13</x:v>
      </x:c>
      <x:c r="Q2079" s="7" t="n">
        <x:f>'Guide'!$B$5-L2079</x:f>
        <x:v>3</x:v>
      </x:c>
      <x:c r="R2079" s="9" t="n">
        <x:f>K2079-P2079</x:f>
        <x:v>2.87</x:v>
      </x:c>
      <x:c r="S2079" s="10" t="n">
        <x:f>IF(K2079&gt;0,R2079/K2079,"")</x:f>
        <x:v>0.3188888888888889</x:v>
      </x:c>
    </x:row>
    <x:row r="2080">
      <x:c r="A2080" s="7" t="n">
        <x:v>2076</x:v>
      </x:c>
      <x:c r="B2080" s="7" t="str">
        <x:v>Tata</x:v>
      </x:c>
      <x:c r="C2080" s="7" t="str">
        <x:v>Punch</x:v>
      </x:c>
      <x:c r="D2080" s="7" t="str">
        <x:v>Adventure AMT</x:v>
      </x:c>
      <x:c r="E2080" s="7" t="str">
        <x:v>Petrol</x:v>
      </x:c>
      <x:c r="F2080" s="7" t="str">
        <x:v>Automatic</x:v>
      </x:c>
      <x:c r="G2080" s="7" t="str">
        <x:v>Micro SUV</x:v>
      </x:c>
      <x:c r="H2080" s="7" t="n">
        <x:v>1199</x:v>
      </x:c>
      <x:c r="I2080" s="7" t="n">
        <x:v>87</x:v>
      </x:c>
      <x:c r="J2080" s="9" t="n">
        <x:v>18.8</x:v>
      </x:c>
      <x:c r="K2080" s="9" t="n">
        <x:v>9</x:v>
      </x:c>
      <x:c r="L2080" s="7" t="n">
        <x:v>2021</x:v>
      </x:c>
      <x:c r="M2080" s="11" t="n">
        <x:v>104310</x:v>
      </x:c>
      <x:c r="N2080" s="7" t="n">
        <x:v>1</x:v>
      </x:c>
      <x:c r="O2080" s="7" t="n">
        <x:v>0</x:v>
      </x:c>
      <x:c r="P2080" s="9" t="n">
        <x:v>4.6</x:v>
      </x:c>
      <x:c r="Q2080" s="7" t="n">
        <x:f>'Guide'!$B$5-L2080</x:f>
        <x:v>5</x:v>
      </x:c>
      <x:c r="R2080" s="9" t="n">
        <x:f>K2080-P2080</x:f>
        <x:v>4.4</x:v>
      </x:c>
      <x:c r="S2080" s="10" t="n">
        <x:f>IF(K2080&gt;0,R2080/K2080,"")</x:f>
        <x:v>0.48888888888888893</x:v>
      </x:c>
    </x:row>
    <x:row r="2081">
      <x:c r="A2081" s="7" t="n">
        <x:v>2077</x:v>
      </x:c>
      <x:c r="B2081" s="7" t="str">
        <x:v>Tata</x:v>
      </x:c>
      <x:c r="C2081" s="7" t="str">
        <x:v>Punch</x:v>
      </x:c>
      <x:c r="D2081" s="7" t="str">
        <x:v>Adventure AMT</x:v>
      </x:c>
      <x:c r="E2081" s="7" t="str">
        <x:v>Petrol</x:v>
      </x:c>
      <x:c r="F2081" s="7" t="str">
        <x:v>Automatic</x:v>
      </x:c>
      <x:c r="G2081" s="7" t="str">
        <x:v>Micro SUV</x:v>
      </x:c>
      <x:c r="H2081" s="7" t="n">
        <x:v>1199</x:v>
      </x:c>
      <x:c r="I2081" s="7" t="n">
        <x:v>87</x:v>
      </x:c>
      <x:c r="J2081" s="9" t="n">
        <x:v>18.8</x:v>
      </x:c>
      <x:c r="K2081" s="9" t="n">
        <x:v>9</x:v>
      </x:c>
      <x:c r="L2081" s="7" t="n">
        <x:v>2020</x:v>
      </x:c>
      <x:c r="M2081" s="11" t="n">
        <x:v>67200</x:v>
      </x:c>
      <x:c r="N2081" s="7" t="n">
        <x:v>1</x:v>
      </x:c>
      <x:c r="O2081" s="7" t="n">
        <x:v>0</x:v>
      </x:c>
      <x:c r="P2081" s="9" t="n">
        <x:v>3.56</x:v>
      </x:c>
      <x:c r="Q2081" s="7" t="n">
        <x:f>'Guide'!$B$5-L2081</x:f>
        <x:v>6</x:v>
      </x:c>
      <x:c r="R2081" s="9" t="n">
        <x:f>K2081-P2081</x:f>
        <x:v>5.4399999999999995</x:v>
      </x:c>
      <x:c r="S2081" s="10" t="n">
        <x:f>IF(K2081&gt;0,R2081/K2081,"")</x:f>
        <x:v>0.6044444444444443</x:v>
      </x:c>
    </x:row>
    <x:row r="2082">
      <x:c r="A2082" s="7" t="n">
        <x:v>2078</x:v>
      </x:c>
      <x:c r="B2082" s="7" t="str">
        <x:v>Tata</x:v>
      </x:c>
      <x:c r="C2082" s="7" t="str">
        <x:v>Punch</x:v>
      </x:c>
      <x:c r="D2082" s="7" t="str">
        <x:v>Adventure AMT</x:v>
      </x:c>
      <x:c r="E2082" s="7" t="str">
        <x:v>Petrol</x:v>
      </x:c>
      <x:c r="F2082" s="7" t="str">
        <x:v>Automatic</x:v>
      </x:c>
      <x:c r="G2082" s="7" t="str">
        <x:v>Micro SUV</x:v>
      </x:c>
      <x:c r="H2082" s="7" t="n">
        <x:v>1199</x:v>
      </x:c>
      <x:c r="I2082" s="7" t="n">
        <x:v>87</x:v>
      </x:c>
      <x:c r="J2082" s="9" t="n">
        <x:v>18.8</x:v>
      </x:c>
      <x:c r="K2082" s="9" t="n">
        <x:v>9</x:v>
      </x:c>
      <x:c r="L2082" s="7" t="n">
        <x:v>2020</x:v>
      </x:c>
      <x:c r="M2082" s="11" t="n">
        <x:v>79242</x:v>
      </x:c>
      <x:c r="N2082" s="7" t="n">
        <x:v>2</x:v>
      </x:c>
      <x:c r="O2082" s="7" t="n">
        <x:v>0</x:v>
      </x:c>
      <x:c r="P2082" s="9" t="n">
        <x:v>3.15</x:v>
      </x:c>
      <x:c r="Q2082" s="7" t="n">
        <x:f>'Guide'!$B$5-L2082</x:f>
        <x:v>6</x:v>
      </x:c>
      <x:c r="R2082" s="9" t="n">
        <x:f>K2082-P2082</x:f>
        <x:v>5.85</x:v>
      </x:c>
      <x:c r="S2082" s="10" t="n">
        <x:f>IF(K2082&gt;0,R2082/K2082,"")</x:f>
        <x:v>0.6499999999999999</x:v>
      </x:c>
    </x:row>
    <x:row r="2083">
      <x:c r="A2083" s="7" t="n">
        <x:v>2079</x:v>
      </x:c>
      <x:c r="B2083" s="7" t="str">
        <x:v>Tata</x:v>
      </x:c>
      <x:c r="C2083" s="7" t="str">
        <x:v>Punch</x:v>
      </x:c>
      <x:c r="D2083" s="7" t="str">
        <x:v>Adventure AMT</x:v>
      </x:c>
      <x:c r="E2083" s="7" t="str">
        <x:v>Petrol</x:v>
      </x:c>
      <x:c r="F2083" s="7" t="str">
        <x:v>Automatic</x:v>
      </x:c>
      <x:c r="G2083" s="7" t="str">
        <x:v>Micro SUV</x:v>
      </x:c>
      <x:c r="H2083" s="7" t="n">
        <x:v>1199</x:v>
      </x:c>
      <x:c r="I2083" s="7" t="n">
        <x:v>87</x:v>
      </x:c>
      <x:c r="J2083" s="9" t="n">
        <x:v>18.8</x:v>
      </x:c>
      <x:c r="K2083" s="9" t="n">
        <x:v>9</x:v>
      </x:c>
      <x:c r="L2083" s="7" t="n">
        <x:v>2022</x:v>
      </x:c>
      <x:c r="M2083" s="11" t="n">
        <x:v>47915</x:v>
      </x:c>
      <x:c r="N2083" s="7" t="n">
        <x:v>1</x:v>
      </x:c>
      <x:c r="O2083" s="7" t="n">
        <x:v>0</x:v>
      </x:c>
      <x:c r="P2083" s="9" t="n">
        <x:v>5.77</x:v>
      </x:c>
      <x:c r="Q2083" s="7" t="n">
        <x:f>'Guide'!$B$5-L2083</x:f>
        <x:v>4</x:v>
      </x:c>
      <x:c r="R2083" s="9" t="n">
        <x:f>K2083-P2083</x:f>
        <x:v>3.2300000000000004</x:v>
      </x:c>
      <x:c r="S2083" s="10" t="n">
        <x:f>IF(K2083&gt;0,R2083/K2083,"")</x:f>
        <x:v>0.3588888888888889</x:v>
      </x:c>
    </x:row>
    <x:row r="2084">
      <x:c r="A2084" s="7" t="n">
        <x:v>2080</x:v>
      </x:c>
      <x:c r="B2084" s="7" t="str">
        <x:v>Tata</x:v>
      </x:c>
      <x:c r="C2084" s="7" t="str">
        <x:v>Punch</x:v>
      </x:c>
      <x:c r="D2084" s="7" t="str">
        <x:v>Adventure AMT</x:v>
      </x:c>
      <x:c r="E2084" s="7" t="str">
        <x:v>Petrol</x:v>
      </x:c>
      <x:c r="F2084" s="7" t="str">
        <x:v>Automatic</x:v>
      </x:c>
      <x:c r="G2084" s="7" t="str">
        <x:v>Micro SUV</x:v>
      </x:c>
      <x:c r="H2084" s="7" t="n">
        <x:v>1199</x:v>
      </x:c>
      <x:c r="I2084" s="7" t="n">
        <x:v>87</x:v>
      </x:c>
      <x:c r="J2084" s="9" t="n">
        <x:v>18.8</x:v>
      </x:c>
      <x:c r="K2084" s="9" t="n">
        <x:v>9</x:v>
      </x:c>
      <x:c r="L2084" s="7" t="n">
        <x:v>2022</x:v>
      </x:c>
      <x:c r="M2084" s="11" t="n">
        <x:v>51245</x:v>
      </x:c>
      <x:c r="N2084" s="7" t="n">
        <x:v>1</x:v>
      </x:c>
      <x:c r="O2084" s="7" t="n">
        <x:v>0</x:v>
      </x:c>
      <x:c r="P2084" s="9" t="n">
        <x:v>5.74</x:v>
      </x:c>
      <x:c r="Q2084" s="7" t="n">
        <x:f>'Guide'!$B$5-L2084</x:f>
        <x:v>4</x:v>
      </x:c>
      <x:c r="R2084" s="9" t="n">
        <x:f>K2084-P2084</x:f>
        <x:v>3.26</x:v>
      </x:c>
      <x:c r="S2084" s="10" t="n">
        <x:f>IF(K2084&gt;0,R2084/K2084,"")</x:f>
        <x:v>0.3622222222222222</x:v>
      </x:c>
    </x:row>
    <x:row r="2085">
      <x:c r="A2085" s="7" t="n">
        <x:v>2081</x:v>
      </x:c>
      <x:c r="B2085" s="7" t="str">
        <x:v>Tata</x:v>
      </x:c>
      <x:c r="C2085" s="7" t="str">
        <x:v>Punch</x:v>
      </x:c>
      <x:c r="D2085" s="7" t="str">
        <x:v>Adventure AMT</x:v>
      </x:c>
      <x:c r="E2085" s="7" t="str">
        <x:v>Petrol</x:v>
      </x:c>
      <x:c r="F2085" s="7" t="str">
        <x:v>Automatic</x:v>
      </x:c>
      <x:c r="G2085" s="7" t="str">
        <x:v>Micro SUV</x:v>
      </x:c>
      <x:c r="H2085" s="7" t="n">
        <x:v>1199</x:v>
      </x:c>
      <x:c r="I2085" s="7" t="n">
        <x:v>87</x:v>
      </x:c>
      <x:c r="J2085" s="9" t="n">
        <x:v>18.8</x:v>
      </x:c>
      <x:c r="K2085" s="9" t="n">
        <x:v>9</x:v>
      </x:c>
      <x:c r="L2085" s="7" t="n">
        <x:v>2020</x:v>
      </x:c>
      <x:c r="M2085" s="11" t="n">
        <x:v>103189</x:v>
      </x:c>
      <x:c r="N2085" s="7" t="n">
        <x:v>1</x:v>
      </x:c>
      <x:c r="O2085" s="7" t="n">
        <x:v>0</x:v>
      </x:c>
      <x:c r="P2085" s="9" t="n">
        <x:v>3.78</x:v>
      </x:c>
      <x:c r="Q2085" s="7" t="n">
        <x:f>'Guide'!$B$5-L2085</x:f>
        <x:v>6</x:v>
      </x:c>
      <x:c r="R2085" s="9" t="n">
        <x:f>K2085-P2085</x:f>
        <x:v>5.220000000000001</x:v>
      </x:c>
      <x:c r="S2085" s="10" t="n">
        <x:f>IF(K2085&gt;0,R2085/K2085,"")</x:f>
        <x:v>0.5800000000000001</x:v>
      </x:c>
    </x:row>
    <x:row r="2086">
      <x:c r="A2086" s="7" t="n">
        <x:v>2082</x:v>
      </x:c>
      <x:c r="B2086" s="7" t="str">
        <x:v>Tata</x:v>
      </x:c>
      <x:c r="C2086" s="7" t="str">
        <x:v>Punch</x:v>
      </x:c>
      <x:c r="D2086" s="7" t="str">
        <x:v>Adventure AMT</x:v>
      </x:c>
      <x:c r="E2086" s="7" t="str">
        <x:v>Petrol</x:v>
      </x:c>
      <x:c r="F2086" s="7" t="str">
        <x:v>Automatic</x:v>
      </x:c>
      <x:c r="G2086" s="7" t="str">
        <x:v>Micro SUV</x:v>
      </x:c>
      <x:c r="H2086" s="7" t="n">
        <x:v>1199</x:v>
      </x:c>
      <x:c r="I2086" s="7" t="n">
        <x:v>87</x:v>
      </x:c>
      <x:c r="J2086" s="9" t="n">
        <x:v>18.8</x:v>
      </x:c>
      <x:c r="K2086" s="9" t="n">
        <x:v>9</x:v>
      </x:c>
      <x:c r="L2086" s="7" t="n">
        <x:v>2020</x:v>
      </x:c>
      <x:c r="M2086" s="11" t="n">
        <x:v>84700</x:v>
      </x:c>
      <x:c r="N2086" s="7" t="n">
        <x:v>1</x:v>
      </x:c>
      <x:c r="O2086" s="7" t="n">
        <x:v>0</x:v>
      </x:c>
      <x:c r="P2086" s="9" t="n">
        <x:v>3.75</x:v>
      </x:c>
      <x:c r="Q2086" s="7" t="n">
        <x:f>'Guide'!$B$5-L2086</x:f>
        <x:v>6</x:v>
      </x:c>
      <x:c r="R2086" s="9" t="n">
        <x:f>K2086-P2086</x:f>
        <x:v>5.25</x:v>
      </x:c>
      <x:c r="S2086" s="10" t="n">
        <x:f>IF(K2086&gt;0,R2086/K2086,"")</x:f>
        <x:v>0.5833333333333334</x:v>
      </x:c>
    </x:row>
    <x:row r="2087">
      <x:c r="A2087" s="7" t="n">
        <x:v>2083</x:v>
      </x:c>
      <x:c r="B2087" s="7" t="str">
        <x:v>Tata</x:v>
      </x:c>
      <x:c r="C2087" s="7" t="str">
        <x:v>Punch</x:v>
      </x:c>
      <x:c r="D2087" s="7" t="str">
        <x:v>Adventure AMT</x:v>
      </x:c>
      <x:c r="E2087" s="7" t="str">
        <x:v>Petrol</x:v>
      </x:c>
      <x:c r="F2087" s="7" t="str">
        <x:v>Automatic</x:v>
      </x:c>
      <x:c r="G2087" s="7" t="str">
        <x:v>Micro SUV</x:v>
      </x:c>
      <x:c r="H2087" s="7" t="n">
        <x:v>1199</x:v>
      </x:c>
      <x:c r="I2087" s="7" t="n">
        <x:v>87</x:v>
      </x:c>
      <x:c r="J2087" s="9" t="n">
        <x:v>18.8</x:v>
      </x:c>
      <x:c r="K2087" s="9" t="n">
        <x:v>9</x:v>
      </x:c>
      <x:c r="L2087" s="7" t="n">
        <x:v>2026</x:v>
      </x:c>
      <x:c r="M2087" s="11" t="n">
        <x:v>5379</x:v>
      </x:c>
      <x:c r="N2087" s="7" t="n">
        <x:v>1</x:v>
      </x:c>
      <x:c r="O2087" s="7" t="n">
        <x:v>0</x:v>
      </x:c>
      <x:c r="P2087" s="9" t="n">
        <x:v>8.61</x:v>
      </x:c>
      <x:c r="Q2087" s="7" t="n">
        <x:f>'Guide'!$B$5-L2087</x:f>
        <x:v>0</x:v>
      </x:c>
      <x:c r="R2087" s="9" t="n">
        <x:f>K2087-P2087</x:f>
        <x:v>0.39000000000000057</x:v>
      </x:c>
      <x:c r="S2087" s="10" t="n">
        <x:f>IF(K2087&gt;0,R2087/K2087,"")</x:f>
        <x:v>0.0433333333333334</x:v>
      </x:c>
    </x:row>
    <x:row r="2088">
      <x:c r="A2088" s="7" t="n">
        <x:v>2084</x:v>
      </x:c>
      <x:c r="B2088" s="7" t="str">
        <x:v>Tata</x:v>
      </x:c>
      <x:c r="C2088" s="7" t="str">
        <x:v>Punch</x:v>
      </x:c>
      <x:c r="D2088" s="7" t="str">
        <x:v>Adventure AMT</x:v>
      </x:c>
      <x:c r="E2088" s="7" t="str">
        <x:v>Petrol</x:v>
      </x:c>
      <x:c r="F2088" s="7" t="str">
        <x:v>Automatic</x:v>
      </x:c>
      <x:c r="G2088" s="7" t="str">
        <x:v>Micro SUV</x:v>
      </x:c>
      <x:c r="H2088" s="7" t="n">
        <x:v>1199</x:v>
      </x:c>
      <x:c r="I2088" s="7" t="n">
        <x:v>87</x:v>
      </x:c>
      <x:c r="J2088" s="9" t="n">
        <x:v>18.8</x:v>
      </x:c>
      <x:c r="K2088" s="9" t="n">
        <x:v>9</x:v>
      </x:c>
      <x:c r="L2088" s="7" t="n">
        <x:v>2021</x:v>
      </x:c>
      <x:c r="M2088" s="11" t="n">
        <x:v>64137</x:v>
      </x:c>
      <x:c r="N2088" s="7" t="n">
        <x:v>1</x:v>
      </x:c>
      <x:c r="O2088" s="7" t="n">
        <x:v>0</x:v>
      </x:c>
      <x:c r="P2088" s="9" t="n">
        <x:v>4.47</x:v>
      </x:c>
      <x:c r="Q2088" s="7" t="n">
        <x:f>'Guide'!$B$5-L2088</x:f>
        <x:v>5</x:v>
      </x:c>
      <x:c r="R2088" s="9" t="n">
        <x:f>K2088-P2088</x:f>
        <x:v>4.53</x:v>
      </x:c>
      <x:c r="S2088" s="10" t="n">
        <x:f>IF(K2088&gt;0,R2088/K2088,"")</x:f>
        <x:v>0.5033333333333334</x:v>
      </x:c>
    </x:row>
    <x:row r="2089">
      <x:c r="A2089" s="7" t="n">
        <x:v>2085</x:v>
      </x:c>
      <x:c r="B2089" s="7" t="str">
        <x:v>Tata</x:v>
      </x:c>
      <x:c r="C2089" s="7" t="str">
        <x:v>Punch</x:v>
      </x:c>
      <x:c r="D2089" s="7" t="str">
        <x:v>Adventure AMT</x:v>
      </x:c>
      <x:c r="E2089" s="7" t="str">
        <x:v>Petrol</x:v>
      </x:c>
      <x:c r="F2089" s="7" t="str">
        <x:v>Automatic</x:v>
      </x:c>
      <x:c r="G2089" s="7" t="str">
        <x:v>Micro SUV</x:v>
      </x:c>
      <x:c r="H2089" s="7" t="n">
        <x:v>1199</x:v>
      </x:c>
      <x:c r="I2089" s="7" t="n">
        <x:v>87</x:v>
      </x:c>
      <x:c r="J2089" s="9" t="n">
        <x:v>18.8</x:v>
      </x:c>
      <x:c r="K2089" s="9" t="n">
        <x:v>9</x:v>
      </x:c>
      <x:c r="L2089" s="7" t="n">
        <x:v>2025</x:v>
      </x:c>
      <x:c r="M2089" s="11" t="n">
        <x:v>28757</x:v>
      </x:c>
      <x:c r="N2089" s="7" t="n">
        <x:v>2</x:v>
      </x:c>
      <x:c r="O2089" s="7" t="n">
        <x:v>1</x:v>
      </x:c>
      <x:c r="P2089" s="9" t="n">
        <x:v>6.53</x:v>
      </x:c>
      <x:c r="Q2089" s="7" t="n">
        <x:f>'Guide'!$B$5-L2089</x:f>
        <x:v>1</x:v>
      </x:c>
      <x:c r="R2089" s="9" t="n">
        <x:f>K2089-P2089</x:f>
        <x:v>2.4699999999999998</x:v>
      </x:c>
      <x:c r="S2089" s="10" t="n">
        <x:f>IF(K2089&gt;0,R2089/K2089,"")</x:f>
        <x:v>0.27444444444444444</x:v>
      </x:c>
    </x:row>
    <x:row r="2090">
      <x:c r="A2090" s="7" t="n">
        <x:v>2086</x:v>
      </x:c>
      <x:c r="B2090" s="7" t="str">
        <x:v>Tata</x:v>
      </x:c>
      <x:c r="C2090" s="7" t="str">
        <x:v>Punch</x:v>
      </x:c>
      <x:c r="D2090" s="7" t="str">
        <x:v>Adventure AMT</x:v>
      </x:c>
      <x:c r="E2090" s="7" t="str">
        <x:v>Petrol</x:v>
      </x:c>
      <x:c r="F2090" s="7" t="str">
        <x:v>Automatic</x:v>
      </x:c>
      <x:c r="G2090" s="7" t="str">
        <x:v>Micro SUV</x:v>
      </x:c>
      <x:c r="H2090" s="7" t="n">
        <x:v>1199</x:v>
      </x:c>
      <x:c r="I2090" s="7" t="n">
        <x:v>87</x:v>
      </x:c>
      <x:c r="J2090" s="9" t="n">
        <x:v>18.8</x:v>
      </x:c>
      <x:c r="K2090" s="9" t="n">
        <x:v>9</x:v>
      </x:c>
      <x:c r="L2090" s="7" t="n">
        <x:v>2020</x:v>
      </x:c>
      <x:c r="M2090" s="11" t="n">
        <x:v>74483</x:v>
      </x:c>
      <x:c r="N2090" s="7" t="n">
        <x:v>1</x:v>
      </x:c>
      <x:c r="O2090" s="7" t="n">
        <x:v>1</x:v>
      </x:c>
      <x:c r="P2090" s="9" t="n">
        <x:v>2.68</x:v>
      </x:c>
      <x:c r="Q2090" s="7" t="n">
        <x:f>'Guide'!$B$5-L2090</x:f>
        <x:v>6</x:v>
      </x:c>
      <x:c r="R2090" s="9" t="n">
        <x:f>K2090-P2090</x:f>
        <x:v>6.32</x:v>
      </x:c>
      <x:c r="S2090" s="10" t="n">
        <x:f>IF(K2090&gt;0,R2090/K2090,"")</x:f>
        <x:v>0.7022222222222223</x:v>
      </x:c>
    </x:row>
    <x:row r="2091">
      <x:c r="A2091" s="7" t="n">
        <x:v>2087</x:v>
      </x:c>
      <x:c r="B2091" s="7" t="str">
        <x:v>Tata</x:v>
      </x:c>
      <x:c r="C2091" s="7" t="str">
        <x:v>Punch</x:v>
      </x:c>
      <x:c r="D2091" s="7" t="str">
        <x:v>Adventure AMT</x:v>
      </x:c>
      <x:c r="E2091" s="7" t="str">
        <x:v>Petrol</x:v>
      </x:c>
      <x:c r="F2091" s="7" t="str">
        <x:v>Automatic</x:v>
      </x:c>
      <x:c r="G2091" s="7" t="str">
        <x:v>Micro SUV</x:v>
      </x:c>
      <x:c r="H2091" s="7" t="n">
        <x:v>1199</x:v>
      </x:c>
      <x:c r="I2091" s="7" t="n">
        <x:v>87</x:v>
      </x:c>
      <x:c r="J2091" s="9" t="n">
        <x:v>18.8</x:v>
      </x:c>
      <x:c r="K2091" s="9" t="n">
        <x:v>9</x:v>
      </x:c>
      <x:c r="L2091" s="7" t="n">
        <x:v>2026</x:v>
      </x:c>
      <x:c r="M2091" s="11" t="n">
        <x:v>4617</x:v>
      </x:c>
      <x:c r="N2091" s="7" t="n">
        <x:v>2</x:v>
      </x:c>
      <x:c r="O2091" s="7" t="n">
        <x:v>0</x:v>
      </x:c>
      <x:c r="P2091" s="9" t="n">
        <x:v>8.92</x:v>
      </x:c>
      <x:c r="Q2091" s="7" t="n">
        <x:f>'Guide'!$B$5-L2091</x:f>
        <x:v>0</x:v>
      </x:c>
      <x:c r="R2091" s="9" t="n">
        <x:f>K2091-P2091</x:f>
        <x:v>0.08000000000000007</x:v>
      </x:c>
      <x:c r="S2091" s="10" t="n">
        <x:f>IF(K2091&gt;0,R2091/K2091,"")</x:f>
        <x:v>0.008888888888888898</x:v>
      </x:c>
    </x:row>
    <x:row r="2092">
      <x:c r="A2092" s="7" t="n">
        <x:v>2088</x:v>
      </x:c>
      <x:c r="B2092" s="7" t="str">
        <x:v>Tata</x:v>
      </x:c>
      <x:c r="C2092" s="7" t="str">
        <x:v>Punch</x:v>
      </x:c>
      <x:c r="D2092" s="7" t="str">
        <x:v>Adventure AMT</x:v>
      </x:c>
      <x:c r="E2092" s="7" t="str">
        <x:v>Petrol</x:v>
      </x:c>
      <x:c r="F2092" s="7" t="str">
        <x:v>Automatic</x:v>
      </x:c>
      <x:c r="G2092" s="7" t="str">
        <x:v>Micro SUV</x:v>
      </x:c>
      <x:c r="H2092" s="7" t="n">
        <x:v>1199</x:v>
      </x:c>
      <x:c r="I2092" s="7" t="n">
        <x:v>87</x:v>
      </x:c>
      <x:c r="J2092" s="9" t="n">
        <x:v>18.8</x:v>
      </x:c>
      <x:c r="K2092" s="9" t="n">
        <x:v>9</x:v>
      </x:c>
      <x:c r="L2092" s="7" t="n">
        <x:v>2020</x:v>
      </x:c>
      <x:c r="M2092" s="11" t="n">
        <x:v>98617</x:v>
      </x:c>
      <x:c r="N2092" s="7" t="n">
        <x:v>1</x:v>
      </x:c>
      <x:c r="O2092" s="7" t="n">
        <x:v>0</x:v>
      </x:c>
      <x:c r="P2092" s="9" t="n">
        <x:v>3.69</x:v>
      </x:c>
      <x:c r="Q2092" s="7" t="n">
        <x:f>'Guide'!$B$5-L2092</x:f>
        <x:v>6</x:v>
      </x:c>
      <x:c r="R2092" s="9" t="n">
        <x:f>K2092-P2092</x:f>
        <x:v>5.3100000000000005</x:v>
      </x:c>
      <x:c r="S2092" s="10" t="n">
        <x:f>IF(K2092&gt;0,R2092/K2092,"")</x:f>
        <x:v>0.5900000000000001</x:v>
      </x:c>
    </x:row>
    <x:row r="2093">
      <x:c r="A2093" s="7" t="n">
        <x:v>2089</x:v>
      </x:c>
      <x:c r="B2093" s="7" t="str">
        <x:v>Tata</x:v>
      </x:c>
      <x:c r="C2093" s="7" t="str">
        <x:v>Punch</x:v>
      </x:c>
      <x:c r="D2093" s="7" t="str">
        <x:v>Adventure AMT</x:v>
      </x:c>
      <x:c r="E2093" s="7" t="str">
        <x:v>Petrol</x:v>
      </x:c>
      <x:c r="F2093" s="7" t="str">
        <x:v>Automatic</x:v>
      </x:c>
      <x:c r="G2093" s="7" t="str">
        <x:v>Micro SUV</x:v>
      </x:c>
      <x:c r="H2093" s="7" t="n">
        <x:v>1199</x:v>
      </x:c>
      <x:c r="I2093" s="7" t="n">
        <x:v>87</x:v>
      </x:c>
      <x:c r="J2093" s="9" t="n">
        <x:v>18.8</x:v>
      </x:c>
      <x:c r="K2093" s="9" t="n">
        <x:v>9</x:v>
      </x:c>
      <x:c r="L2093" s="7" t="n">
        <x:v>2023</x:v>
      </x:c>
      <x:c r="M2093" s="11" t="n">
        <x:v>62213</x:v>
      </x:c>
      <x:c r="N2093" s="7" t="n">
        <x:v>1</x:v>
      </x:c>
      <x:c r="O2093" s="7" t="n">
        <x:v>0</x:v>
      </x:c>
      <x:c r="P2093" s="9" t="n">
        <x:v>6.56</x:v>
      </x:c>
      <x:c r="Q2093" s="7" t="n">
        <x:f>'Guide'!$B$5-L2093</x:f>
        <x:v>3</x:v>
      </x:c>
      <x:c r="R2093" s="9" t="n">
        <x:f>K2093-P2093</x:f>
        <x:v>2.4400000000000004</x:v>
      </x:c>
      <x:c r="S2093" s="10" t="n">
        <x:f>IF(K2093&gt;0,R2093/K2093,"")</x:f>
        <x:v>0.27111111111111114</x:v>
      </x:c>
    </x:row>
    <x:row r="2094">
      <x:c r="A2094" s="7" t="n">
        <x:v>2090</x:v>
      </x:c>
      <x:c r="B2094" s="7" t="str">
        <x:v>Tata</x:v>
      </x:c>
      <x:c r="C2094" s="7" t="str">
        <x:v>Punch</x:v>
      </x:c>
      <x:c r="D2094" s="7" t="str">
        <x:v>Adventure AMT</x:v>
      </x:c>
      <x:c r="E2094" s="7" t="str">
        <x:v>Petrol</x:v>
      </x:c>
      <x:c r="F2094" s="7" t="str">
        <x:v>Automatic</x:v>
      </x:c>
      <x:c r="G2094" s="7" t="str">
        <x:v>Micro SUV</x:v>
      </x:c>
      <x:c r="H2094" s="7" t="n">
        <x:v>1199</x:v>
      </x:c>
      <x:c r="I2094" s="7" t="n">
        <x:v>87</x:v>
      </x:c>
      <x:c r="J2094" s="9" t="n">
        <x:v>18.8</x:v>
      </x:c>
      <x:c r="K2094" s="9" t="n">
        <x:v>9</x:v>
      </x:c>
      <x:c r="L2094" s="7" t="n">
        <x:v>2022</x:v>
      </x:c>
      <x:c r="M2094" s="11" t="n">
        <x:v>45676</x:v>
      </x:c>
      <x:c r="N2094" s="7" t="n">
        <x:v>1</x:v>
      </x:c>
      <x:c r="O2094" s="7" t="n">
        <x:v>0</x:v>
      </x:c>
      <x:c r="P2094" s="9" t="n">
        <x:v>6.01</x:v>
      </x:c>
      <x:c r="Q2094" s="7" t="n">
        <x:f>'Guide'!$B$5-L2094</x:f>
        <x:v>4</x:v>
      </x:c>
      <x:c r="R2094" s="9" t="n">
        <x:f>K2094-P2094</x:f>
        <x:v>2.99</x:v>
      </x:c>
      <x:c r="S2094" s="10" t="n">
        <x:f>IF(K2094&gt;0,R2094/K2094,"")</x:f>
        <x:v>0.33222222222222225</x:v>
      </x:c>
    </x:row>
    <x:row r="2095">
      <x:c r="A2095" s="7" t="n">
        <x:v>2091</x:v>
      </x:c>
      <x:c r="B2095" s="7" t="str">
        <x:v>Tata</x:v>
      </x:c>
      <x:c r="C2095" s="7" t="str">
        <x:v>Punch</x:v>
      </x:c>
      <x:c r="D2095" s="7" t="str">
        <x:v>Adventure AMT</x:v>
      </x:c>
      <x:c r="E2095" s="7" t="str">
        <x:v>Petrol</x:v>
      </x:c>
      <x:c r="F2095" s="7" t="str">
        <x:v>Automatic</x:v>
      </x:c>
      <x:c r="G2095" s="7" t="str">
        <x:v>Micro SUV</x:v>
      </x:c>
      <x:c r="H2095" s="7" t="n">
        <x:v>1199</x:v>
      </x:c>
      <x:c r="I2095" s="7" t="n">
        <x:v>87</x:v>
      </x:c>
      <x:c r="J2095" s="9" t="n">
        <x:v>18.8</x:v>
      </x:c>
      <x:c r="K2095" s="9" t="n">
        <x:v>9</x:v>
      </x:c>
      <x:c r="L2095" s="7" t="n">
        <x:v>2023</x:v>
      </x:c>
      <x:c r="M2095" s="11" t="n">
        <x:v>36185</x:v>
      </x:c>
      <x:c r="N2095" s="7" t="n">
        <x:v>1</x:v>
      </x:c>
      <x:c r="O2095" s="7" t="n">
        <x:v>0</x:v>
      </x:c>
      <x:c r="P2095" s="9" t="n">
        <x:v>6.7</x:v>
      </x:c>
      <x:c r="Q2095" s="7" t="n">
        <x:f>'Guide'!$B$5-L2095</x:f>
        <x:v>3</x:v>
      </x:c>
      <x:c r="R2095" s="9" t="n">
        <x:f>K2095-P2095</x:f>
        <x:v>2.3</x:v>
      </x:c>
      <x:c r="S2095" s="10" t="n">
        <x:f>IF(K2095&gt;0,R2095/K2095,"")</x:f>
        <x:v>0.25555555555555554</x:v>
      </x:c>
    </x:row>
    <x:row r="2096">
      <x:c r="A2096" s="7" t="n">
        <x:v>2092</x:v>
      </x:c>
      <x:c r="B2096" s="7" t="str">
        <x:v>Tata</x:v>
      </x:c>
      <x:c r="C2096" s="7" t="str">
        <x:v>Punch</x:v>
      </x:c>
      <x:c r="D2096" s="7" t="str">
        <x:v>Adventure AMT</x:v>
      </x:c>
      <x:c r="E2096" s="7" t="str">
        <x:v>Petrol</x:v>
      </x:c>
      <x:c r="F2096" s="7" t="str">
        <x:v>Automatic</x:v>
      </x:c>
      <x:c r="G2096" s="7" t="str">
        <x:v>Micro SUV</x:v>
      </x:c>
      <x:c r="H2096" s="7" t="n">
        <x:v>1199</x:v>
      </x:c>
      <x:c r="I2096" s="7" t="n">
        <x:v>87</x:v>
      </x:c>
      <x:c r="J2096" s="9" t="n">
        <x:v>18.8</x:v>
      </x:c>
      <x:c r="K2096" s="9" t="n">
        <x:v>9</x:v>
      </x:c>
      <x:c r="L2096" s="7" t="n">
        <x:v>2025</x:v>
      </x:c>
      <x:c r="M2096" s="11" t="n">
        <x:v>18193</x:v>
      </x:c>
      <x:c r="N2096" s="7" t="n">
        <x:v>1</x:v>
      </x:c>
      <x:c r="O2096" s="7" t="n">
        <x:v>0</x:v>
      </x:c>
      <x:c r="P2096" s="9" t="n">
        <x:v>7.74</x:v>
      </x:c>
      <x:c r="Q2096" s="7" t="n">
        <x:f>'Guide'!$B$5-L2096</x:f>
        <x:v>1</x:v>
      </x:c>
      <x:c r="R2096" s="9" t="n">
        <x:f>K2096-P2096</x:f>
        <x:v>1.2599999999999998</x:v>
      </x:c>
      <x:c r="S2096" s="10" t="n">
        <x:f>IF(K2096&gt;0,R2096/K2096,"")</x:f>
        <x:v>0.13999999999999999</x:v>
      </x:c>
    </x:row>
    <x:row r="2097">
      <x:c r="A2097" s="7" t="n">
        <x:v>2093</x:v>
      </x:c>
      <x:c r="B2097" s="7" t="str">
        <x:v>Tata</x:v>
      </x:c>
      <x:c r="C2097" s="7" t="str">
        <x:v>Punch</x:v>
      </x:c>
      <x:c r="D2097" s="7" t="str">
        <x:v>Adventure AMT</x:v>
      </x:c>
      <x:c r="E2097" s="7" t="str">
        <x:v>Petrol</x:v>
      </x:c>
      <x:c r="F2097" s="7" t="str">
        <x:v>Automatic</x:v>
      </x:c>
      <x:c r="G2097" s="7" t="str">
        <x:v>Micro SUV</x:v>
      </x:c>
      <x:c r="H2097" s="7" t="n">
        <x:v>1199</x:v>
      </x:c>
      <x:c r="I2097" s="7" t="n">
        <x:v>87</x:v>
      </x:c>
      <x:c r="J2097" s="9" t="n">
        <x:v>18.8</x:v>
      </x:c>
      <x:c r="K2097" s="9" t="n">
        <x:v>9</x:v>
      </x:c>
      <x:c r="L2097" s="7" t="n">
        <x:v>2023</x:v>
      </x:c>
      <x:c r="M2097" s="11" t="n">
        <x:v>61562</x:v>
      </x:c>
      <x:c r="N2097" s="7" t="n">
        <x:v>2</x:v>
      </x:c>
      <x:c r="O2097" s="7" t="n">
        <x:v>0</x:v>
      </x:c>
      <x:c r="P2097" s="9" t="n">
        <x:v>5.55</x:v>
      </x:c>
      <x:c r="Q2097" s="7" t="n">
        <x:f>'Guide'!$B$5-L2097</x:f>
        <x:v>3</x:v>
      </x:c>
      <x:c r="R2097" s="9" t="n">
        <x:f>K2097-P2097</x:f>
        <x:v>3.45</x:v>
      </x:c>
      <x:c r="S2097" s="10" t="n">
        <x:f>IF(K2097&gt;0,R2097/K2097,"")</x:f>
        <x:v>0.38333333333333336</x:v>
      </x:c>
    </x:row>
    <x:row r="2098">
      <x:c r="A2098" s="7" t="n">
        <x:v>2094</x:v>
      </x:c>
      <x:c r="B2098" s="7" t="str">
        <x:v>Tata</x:v>
      </x:c>
      <x:c r="C2098" s="7" t="str">
        <x:v>Punch</x:v>
      </x:c>
      <x:c r="D2098" s="7" t="str">
        <x:v>Adventure AMT</x:v>
      </x:c>
      <x:c r="E2098" s="7" t="str">
        <x:v>Petrol</x:v>
      </x:c>
      <x:c r="F2098" s="7" t="str">
        <x:v>Automatic</x:v>
      </x:c>
      <x:c r="G2098" s="7" t="str">
        <x:v>Micro SUV</x:v>
      </x:c>
      <x:c r="H2098" s="7" t="n">
        <x:v>1199</x:v>
      </x:c>
      <x:c r="I2098" s="7" t="n">
        <x:v>87</x:v>
      </x:c>
      <x:c r="J2098" s="9" t="n">
        <x:v>18.8</x:v>
      </x:c>
      <x:c r="K2098" s="9" t="n">
        <x:v>9</x:v>
      </x:c>
      <x:c r="L2098" s="7" t="n">
        <x:v>2022</x:v>
      </x:c>
      <x:c r="M2098" s="11" t="n">
        <x:v>59726</x:v>
      </x:c>
      <x:c r="N2098" s="7" t="n">
        <x:v>1</x:v>
      </x:c>
      <x:c r="O2098" s="7" t="n">
        <x:v>0</x:v>
      </x:c>
      <x:c r="P2098" s="9" t="n">
        <x:v>5.62</x:v>
      </x:c>
      <x:c r="Q2098" s="7" t="n">
        <x:f>'Guide'!$B$5-L2098</x:f>
        <x:v>4</x:v>
      </x:c>
      <x:c r="R2098" s="9" t="n">
        <x:f>K2098-P2098</x:f>
        <x:v>3.38</x:v>
      </x:c>
      <x:c r="S2098" s="10" t="n">
        <x:f>IF(K2098&gt;0,R2098/K2098,"")</x:f>
        <x:v>0.37555555555555553</x:v>
      </x:c>
    </x:row>
    <x:row r="2099">
      <x:c r="A2099" s="7" t="n">
        <x:v>2095</x:v>
      </x:c>
      <x:c r="B2099" s="7" t="str">
        <x:v>Tata</x:v>
      </x:c>
      <x:c r="C2099" s="7" t="str">
        <x:v>Punch</x:v>
      </x:c>
      <x:c r="D2099" s="7" t="str">
        <x:v>Adventure AMT</x:v>
      </x:c>
      <x:c r="E2099" s="7" t="str">
        <x:v>Petrol</x:v>
      </x:c>
      <x:c r="F2099" s="7" t="str">
        <x:v>Automatic</x:v>
      </x:c>
      <x:c r="G2099" s="7" t="str">
        <x:v>Micro SUV</x:v>
      </x:c>
      <x:c r="H2099" s="7" t="n">
        <x:v>1199</x:v>
      </x:c>
      <x:c r="I2099" s="7" t="n">
        <x:v>87</x:v>
      </x:c>
      <x:c r="J2099" s="9" t="n">
        <x:v>18.8</x:v>
      </x:c>
      <x:c r="K2099" s="9" t="n">
        <x:v>9</x:v>
      </x:c>
      <x:c r="L2099" s="7" t="n">
        <x:v>2021</x:v>
      </x:c>
      <x:c r="M2099" s="11" t="n">
        <x:v>97711</x:v>
      </x:c>
      <x:c r="N2099" s="7" t="n">
        <x:v>3</x:v>
      </x:c>
      <x:c r="O2099" s="7" t="n">
        <x:v>1</x:v>
      </x:c>
      <x:c r="P2099" s="9" t="n">
        <x:v>3</x:v>
      </x:c>
      <x:c r="Q2099" s="7" t="n">
        <x:f>'Guide'!$B$5-L2099</x:f>
        <x:v>5</x:v>
      </x:c>
      <x:c r="R2099" s="9" t="n">
        <x:f>K2099-P2099</x:f>
        <x:v>6</x:v>
      </x:c>
      <x:c r="S2099" s="10" t="n">
        <x:f>IF(K2099&gt;0,R2099/K2099,"")</x:f>
        <x:v>0.6666666666666666</x:v>
      </x:c>
    </x:row>
    <x:row r="2100">
      <x:c r="A2100" s="7" t="n">
        <x:v>2096</x:v>
      </x:c>
      <x:c r="B2100" s="7" t="str">
        <x:v>Tata</x:v>
      </x:c>
      <x:c r="C2100" s="7" t="str">
        <x:v>Punch</x:v>
      </x:c>
      <x:c r="D2100" s="7" t="str">
        <x:v>Adventure AMT</x:v>
      </x:c>
      <x:c r="E2100" s="7" t="str">
        <x:v>Petrol</x:v>
      </x:c>
      <x:c r="F2100" s="7" t="str">
        <x:v>Automatic</x:v>
      </x:c>
      <x:c r="G2100" s="7" t="str">
        <x:v>Micro SUV</x:v>
      </x:c>
      <x:c r="H2100" s="7" t="n">
        <x:v>1199</x:v>
      </x:c>
      <x:c r="I2100" s="7" t="n">
        <x:v>87</x:v>
      </x:c>
      <x:c r="J2100" s="9" t="n">
        <x:v>18.8</x:v>
      </x:c>
      <x:c r="K2100" s="9" t="n">
        <x:v>9</x:v>
      </x:c>
      <x:c r="L2100" s="7" t="n">
        <x:v>2026</x:v>
      </x:c>
      <x:c r="M2100" s="11" t="n">
        <x:v>9989</x:v>
      </x:c>
      <x:c r="N2100" s="7" t="n">
        <x:v>1</x:v>
      </x:c>
      <x:c r="O2100" s="7" t="n">
        <x:v>0</x:v>
      </x:c>
      <x:c r="P2100" s="9" t="n">
        <x:v>8.67</x:v>
      </x:c>
      <x:c r="Q2100" s="7" t="n">
        <x:f>'Guide'!$B$5-L2100</x:f>
        <x:v>0</x:v>
      </x:c>
      <x:c r="R2100" s="9" t="n">
        <x:f>K2100-P2100</x:f>
        <x:v>0.33000000000000007</x:v>
      </x:c>
      <x:c r="S2100" s="10" t="n">
        <x:f>IF(K2100&gt;0,R2100/K2100,"")</x:f>
        <x:v>0.036666666666666674</x:v>
      </x:c>
    </x:row>
    <x:row r="2101">
      <x:c r="A2101" s="7" t="n">
        <x:v>2097</x:v>
      </x:c>
      <x:c r="B2101" s="7" t="str">
        <x:v>Tata</x:v>
      </x:c>
      <x:c r="C2101" s="7" t="str">
        <x:v>Punch</x:v>
      </x:c>
      <x:c r="D2101" s="7" t="str">
        <x:v>Adventure AMT</x:v>
      </x:c>
      <x:c r="E2101" s="7" t="str">
        <x:v>Petrol</x:v>
      </x:c>
      <x:c r="F2101" s="7" t="str">
        <x:v>Automatic</x:v>
      </x:c>
      <x:c r="G2101" s="7" t="str">
        <x:v>Micro SUV</x:v>
      </x:c>
      <x:c r="H2101" s="7" t="n">
        <x:v>1199</x:v>
      </x:c>
      <x:c r="I2101" s="7" t="n">
        <x:v>87</x:v>
      </x:c>
      <x:c r="J2101" s="9" t="n">
        <x:v>18.8</x:v>
      </x:c>
      <x:c r="K2101" s="9" t="n">
        <x:v>9</x:v>
      </x:c>
      <x:c r="L2101" s="7" t="n">
        <x:v>2021</x:v>
      </x:c>
      <x:c r="M2101" s="11" t="n">
        <x:v>57985</x:v>
      </x:c>
      <x:c r="N2101" s="7" t="n">
        <x:v>2</x:v>
      </x:c>
      <x:c r="O2101" s="7" t="n">
        <x:v>0</x:v>
      </x:c>
      <x:c r="P2101" s="9" t="n">
        <x:v>4.74</x:v>
      </x:c>
      <x:c r="Q2101" s="7" t="n">
        <x:f>'Guide'!$B$5-L2101</x:f>
        <x:v>5</x:v>
      </x:c>
      <x:c r="R2101" s="9" t="n">
        <x:f>K2101-P2101</x:f>
        <x:v>4.26</x:v>
      </x:c>
      <x:c r="S2101" s="10" t="n">
        <x:f>IF(K2101&gt;0,R2101/K2101,"")</x:f>
        <x:v>0.47333333333333333</x:v>
      </x:c>
    </x:row>
    <x:row r="2102">
      <x:c r="A2102" s="7" t="n">
        <x:v>2098</x:v>
      </x:c>
      <x:c r="B2102" s="7" t="str">
        <x:v>Tata</x:v>
      </x:c>
      <x:c r="C2102" s="7" t="str">
        <x:v>Punch</x:v>
      </x:c>
      <x:c r="D2102" s="7" t="str">
        <x:v>Adventure AMT</x:v>
      </x:c>
      <x:c r="E2102" s="7" t="str">
        <x:v>Petrol</x:v>
      </x:c>
      <x:c r="F2102" s="7" t="str">
        <x:v>Automatic</x:v>
      </x:c>
      <x:c r="G2102" s="7" t="str">
        <x:v>Micro SUV</x:v>
      </x:c>
      <x:c r="H2102" s="7" t="n">
        <x:v>1199</x:v>
      </x:c>
      <x:c r="I2102" s="7" t="n">
        <x:v>87</x:v>
      </x:c>
      <x:c r="J2102" s="9" t="n">
        <x:v>18.8</x:v>
      </x:c>
      <x:c r="K2102" s="9" t="n">
        <x:v>9</x:v>
      </x:c>
      <x:c r="L2102" s="7" t="n">
        <x:v>2025</x:v>
      </x:c>
      <x:c r="M2102" s="11" t="n">
        <x:v>15653</x:v>
      </x:c>
      <x:c r="N2102" s="7" t="n">
        <x:v>1</x:v>
      </x:c>
      <x:c r="O2102" s="7" t="n">
        <x:v>0</x:v>
      </x:c>
      <x:c r="P2102" s="9" t="n">
        <x:v>8.51</x:v>
      </x:c>
      <x:c r="Q2102" s="7" t="n">
        <x:f>'Guide'!$B$5-L2102</x:f>
        <x:v>1</x:v>
      </x:c>
      <x:c r="R2102" s="9" t="n">
        <x:f>K2102-P2102</x:f>
        <x:v>0.4900000000000002</x:v>
      </x:c>
      <x:c r="S2102" s="10" t="n">
        <x:f>IF(K2102&gt;0,R2102/K2102,"")</x:f>
        <x:v>0.05444444444444447</x:v>
      </x:c>
    </x:row>
    <x:row r="2103">
      <x:c r="A2103" s="7" t="n">
        <x:v>2099</x:v>
      </x:c>
      <x:c r="B2103" s="7" t="str">
        <x:v>Tata</x:v>
      </x:c>
      <x:c r="C2103" s="7" t="str">
        <x:v>Punch</x:v>
      </x:c>
      <x:c r="D2103" s="7" t="str">
        <x:v>Adventure AMT</x:v>
      </x:c>
      <x:c r="E2103" s="7" t="str">
        <x:v>Petrol</x:v>
      </x:c>
      <x:c r="F2103" s="7" t="str">
        <x:v>Automatic</x:v>
      </x:c>
      <x:c r="G2103" s="7" t="str">
        <x:v>Micro SUV</x:v>
      </x:c>
      <x:c r="H2103" s="7" t="n">
        <x:v>1199</x:v>
      </x:c>
      <x:c r="I2103" s="7" t="n">
        <x:v>87</x:v>
      </x:c>
      <x:c r="J2103" s="9" t="n">
        <x:v>18.8</x:v>
      </x:c>
      <x:c r="K2103" s="9" t="n">
        <x:v>9</x:v>
      </x:c>
      <x:c r="L2103" s="7" t="n">
        <x:v>2024</x:v>
      </x:c>
      <x:c r="M2103" s="11" t="n">
        <x:v>26989</x:v>
      </x:c>
      <x:c r="N2103" s="7" t="n">
        <x:v>1</x:v>
      </x:c>
      <x:c r="O2103" s="7" t="n">
        <x:v>0</x:v>
      </x:c>
      <x:c r="P2103" s="9" t="n">
        <x:v>7.04</x:v>
      </x:c>
      <x:c r="Q2103" s="7" t="n">
        <x:f>'Guide'!$B$5-L2103</x:f>
        <x:v>2</x:v>
      </x:c>
      <x:c r="R2103" s="9" t="n">
        <x:f>K2103-P2103</x:f>
        <x:v>1.96</x:v>
      </x:c>
      <x:c r="S2103" s="10" t="n">
        <x:f>IF(K2103&gt;0,R2103/K2103,"")</x:f>
        <x:v>0.21777777777777776</x:v>
      </x:c>
    </x:row>
    <x:row r="2104">
      <x:c r="A2104" s="7" t="n">
        <x:v>2100</x:v>
      </x:c>
      <x:c r="B2104" s="7" t="str">
        <x:v>Tata</x:v>
      </x:c>
      <x:c r="C2104" s="7" t="str">
        <x:v>Punch</x:v>
      </x:c>
      <x:c r="D2104" s="7" t="str">
        <x:v>Adventure AMT</x:v>
      </x:c>
      <x:c r="E2104" s="7" t="str">
        <x:v>Petrol</x:v>
      </x:c>
      <x:c r="F2104" s="7" t="str">
        <x:v>Automatic</x:v>
      </x:c>
      <x:c r="G2104" s="7" t="str">
        <x:v>Micro SUV</x:v>
      </x:c>
      <x:c r="H2104" s="7" t="n">
        <x:v>1199</x:v>
      </x:c>
      <x:c r="I2104" s="7" t="n">
        <x:v>87</x:v>
      </x:c>
      <x:c r="J2104" s="9" t="n">
        <x:v>18.8</x:v>
      </x:c>
      <x:c r="K2104" s="9" t="n">
        <x:v>9</x:v>
      </x:c>
      <x:c r="L2104" s="7" t="n">
        <x:v>2020</x:v>
      </x:c>
      <x:c r="M2104" s="11" t="n">
        <x:v>104594</x:v>
      </x:c>
      <x:c r="N2104" s="7" t="n">
        <x:v>2</x:v>
      </x:c>
      <x:c r="O2104" s="7" t="n">
        <x:v>0</x:v>
      </x:c>
      <x:c r="P2104" s="9" t="n">
        <x:v>2.89</x:v>
      </x:c>
      <x:c r="Q2104" s="7" t="n">
        <x:f>'Guide'!$B$5-L2104</x:f>
        <x:v>6</x:v>
      </x:c>
      <x:c r="R2104" s="9" t="n">
        <x:f>K2104-P2104</x:f>
        <x:v>6.109999999999999</x:v>
      </x:c>
      <x:c r="S2104" s="10" t="n">
        <x:f>IF(K2104&gt;0,R2104/K2104,"")</x:f>
        <x:v>0.6788888888888889</x:v>
      </x:c>
    </x:row>
    <x:row r="2105">
      <x:c r="A2105" s="7" t="n">
        <x:v>2101</x:v>
      </x:c>
      <x:c r="B2105" s="7" t="str">
        <x:v>Tata</x:v>
      </x:c>
      <x:c r="C2105" s="7" t="str">
        <x:v>Punch</x:v>
      </x:c>
      <x:c r="D2105" s="7" t="str">
        <x:v>Adventure AMT</x:v>
      </x:c>
      <x:c r="E2105" s="7" t="str">
        <x:v>Petrol</x:v>
      </x:c>
      <x:c r="F2105" s="7" t="str">
        <x:v>Automatic</x:v>
      </x:c>
      <x:c r="G2105" s="7" t="str">
        <x:v>Micro SUV</x:v>
      </x:c>
      <x:c r="H2105" s="7" t="n">
        <x:v>1199</x:v>
      </x:c>
      <x:c r="I2105" s="7" t="n">
        <x:v>87</x:v>
      </x:c>
      <x:c r="J2105" s="9" t="n">
        <x:v>18.8</x:v>
      </x:c>
      <x:c r="K2105" s="9" t="n">
        <x:v>9</x:v>
      </x:c>
      <x:c r="L2105" s="7" t="n">
        <x:v>2024</x:v>
      </x:c>
      <x:c r="M2105" s="11" t="n">
        <x:v>43492</x:v>
      </x:c>
      <x:c r="N2105" s="7" t="n">
        <x:v>3</x:v>
      </x:c>
      <x:c r="O2105" s="7" t="n">
        <x:v>0</x:v>
      </x:c>
      <x:c r="P2105" s="9" t="n">
        <x:v>6.62</x:v>
      </x:c>
      <x:c r="Q2105" s="7" t="n">
        <x:f>'Guide'!$B$5-L2105</x:f>
        <x:v>2</x:v>
      </x:c>
      <x:c r="R2105" s="9" t="n">
        <x:f>K2105-P2105</x:f>
        <x:v>2.38</x:v>
      </x:c>
      <x:c r="S2105" s="10" t="n">
        <x:f>IF(K2105&gt;0,R2105/K2105,"")</x:f>
        <x:v>0.2644444444444444</x:v>
      </x:c>
    </x:row>
    <x:row r="2106">
      <x:c r="A2106" s="7" t="n">
        <x:v>2102</x:v>
      </x:c>
      <x:c r="B2106" s="7" t="str">
        <x:v>Tata</x:v>
      </x:c>
      <x:c r="C2106" s="7" t="str">
        <x:v>Punch</x:v>
      </x:c>
      <x:c r="D2106" s="7" t="str">
        <x:v>Adventure AMT</x:v>
      </x:c>
      <x:c r="E2106" s="7" t="str">
        <x:v>Petrol</x:v>
      </x:c>
      <x:c r="F2106" s="7" t="str">
        <x:v>Automatic</x:v>
      </x:c>
      <x:c r="G2106" s="7" t="str">
        <x:v>Micro SUV</x:v>
      </x:c>
      <x:c r="H2106" s="7" t="n">
        <x:v>1199</x:v>
      </x:c>
      <x:c r="I2106" s="7" t="n">
        <x:v>87</x:v>
      </x:c>
      <x:c r="J2106" s="9" t="n">
        <x:v>18.8</x:v>
      </x:c>
      <x:c r="K2106" s="9" t="n">
        <x:v>9</x:v>
      </x:c>
      <x:c r="L2106" s="7" t="n">
        <x:v>2024</x:v>
      </x:c>
      <x:c r="M2106" s="11" t="n">
        <x:v>43319</x:v>
      </x:c>
      <x:c r="N2106" s="7" t="n">
        <x:v>1</x:v>
      </x:c>
      <x:c r="O2106" s="7" t="n">
        <x:v>0</x:v>
      </x:c>
      <x:c r="P2106" s="9" t="n">
        <x:v>7.2</x:v>
      </x:c>
      <x:c r="Q2106" s="7" t="n">
        <x:f>'Guide'!$B$5-L2106</x:f>
        <x:v>2</x:v>
      </x:c>
      <x:c r="R2106" s="9" t="n">
        <x:f>K2106-P2106</x:f>
        <x:v>1.7999999999999998</x:v>
      </x:c>
      <x:c r="S2106" s="10" t="n">
        <x:f>IF(K2106&gt;0,R2106/K2106,"")</x:f>
        <x:v>0.19999999999999998</x:v>
      </x:c>
    </x:row>
    <x:row r="2107">
      <x:c r="A2107" s="7" t="n">
        <x:v>2103</x:v>
      </x:c>
      <x:c r="B2107" s="7" t="str">
        <x:v>Tata</x:v>
      </x:c>
      <x:c r="C2107" s="7" t="str">
        <x:v>Punch</x:v>
      </x:c>
      <x:c r="D2107" s="7" t="str">
        <x:v>Adventure AMT</x:v>
      </x:c>
      <x:c r="E2107" s="7" t="str">
        <x:v>Petrol</x:v>
      </x:c>
      <x:c r="F2107" s="7" t="str">
        <x:v>Automatic</x:v>
      </x:c>
      <x:c r="G2107" s="7" t="str">
        <x:v>Micro SUV</x:v>
      </x:c>
      <x:c r="H2107" s="7" t="n">
        <x:v>1199</x:v>
      </x:c>
      <x:c r="I2107" s="7" t="n">
        <x:v>87</x:v>
      </x:c>
      <x:c r="J2107" s="9" t="n">
        <x:v>18.8</x:v>
      </x:c>
      <x:c r="K2107" s="9" t="n">
        <x:v>9</x:v>
      </x:c>
      <x:c r="L2107" s="7" t="n">
        <x:v>2024</x:v>
      </x:c>
      <x:c r="M2107" s="11" t="n">
        <x:v>28717</x:v>
      </x:c>
      <x:c r="N2107" s="7" t="n">
        <x:v>2</x:v>
      </x:c>
      <x:c r="O2107" s="7" t="n">
        <x:v>0</x:v>
      </x:c>
      <x:c r="P2107" s="9" t="n">
        <x:v>7.19</x:v>
      </x:c>
      <x:c r="Q2107" s="7" t="n">
        <x:f>'Guide'!$B$5-L2107</x:f>
        <x:v>2</x:v>
      </x:c>
      <x:c r="R2107" s="9" t="n">
        <x:f>K2107-P2107</x:f>
        <x:v>1.8099999999999996</x:v>
      </x:c>
      <x:c r="S2107" s="10" t="n">
        <x:f>IF(K2107&gt;0,R2107/K2107,"")</x:f>
        <x:v>0.20111111111111107</x:v>
      </x:c>
    </x:row>
    <x:row r="2108">
      <x:c r="A2108" s="7" t="n">
        <x:v>2104</x:v>
      </x:c>
      <x:c r="B2108" s="7" t="str">
        <x:v>Tata</x:v>
      </x:c>
      <x:c r="C2108" s="7" t="str">
        <x:v>Punch</x:v>
      </x:c>
      <x:c r="D2108" s="7" t="str">
        <x:v>Adventure AMT</x:v>
      </x:c>
      <x:c r="E2108" s="7" t="str">
        <x:v>Petrol</x:v>
      </x:c>
      <x:c r="F2108" s="7" t="str">
        <x:v>Automatic</x:v>
      </x:c>
      <x:c r="G2108" s="7" t="str">
        <x:v>Micro SUV</x:v>
      </x:c>
      <x:c r="H2108" s="7" t="n">
        <x:v>1199</x:v>
      </x:c>
      <x:c r="I2108" s="7" t="n">
        <x:v>87</x:v>
      </x:c>
      <x:c r="J2108" s="9" t="n">
        <x:v>18.8</x:v>
      </x:c>
      <x:c r="K2108" s="9" t="n">
        <x:v>9</x:v>
      </x:c>
      <x:c r="L2108" s="7" t="n">
        <x:v>2024</x:v>
      </x:c>
      <x:c r="M2108" s="11" t="n">
        <x:v>27103</x:v>
      </x:c>
      <x:c r="N2108" s="7" t="n">
        <x:v>2</x:v>
      </x:c>
      <x:c r="O2108" s="7" t="n">
        <x:v>0</x:v>
      </x:c>
      <x:c r="P2108" s="9" t="n">
        <x:v>6.49</x:v>
      </x:c>
      <x:c r="Q2108" s="7" t="n">
        <x:f>'Guide'!$B$5-L2108</x:f>
        <x:v>2</x:v>
      </x:c>
      <x:c r="R2108" s="9" t="n">
        <x:f>K2108-P2108</x:f>
        <x:v>2.51</x:v>
      </x:c>
      <x:c r="S2108" s="10" t="n">
        <x:f>IF(K2108&gt;0,R2108/K2108,"")</x:f>
        <x:v>0.27888888888888885</x:v>
      </x:c>
    </x:row>
    <x:row r="2109">
      <x:c r="A2109" s="7" t="n">
        <x:v>2105</x:v>
      </x:c>
      <x:c r="B2109" s="7" t="str">
        <x:v>Tata</x:v>
      </x:c>
      <x:c r="C2109" s="7" t="str">
        <x:v>Punch</x:v>
      </x:c>
      <x:c r="D2109" s="7" t="str">
        <x:v>Adventure AMT</x:v>
      </x:c>
      <x:c r="E2109" s="7" t="str">
        <x:v>Petrol</x:v>
      </x:c>
      <x:c r="F2109" s="7" t="str">
        <x:v>Automatic</x:v>
      </x:c>
      <x:c r="G2109" s="7" t="str">
        <x:v>Micro SUV</x:v>
      </x:c>
      <x:c r="H2109" s="7" t="n">
        <x:v>1199</x:v>
      </x:c>
      <x:c r="I2109" s="7" t="n">
        <x:v>87</x:v>
      </x:c>
      <x:c r="J2109" s="9" t="n">
        <x:v>18.8</x:v>
      </x:c>
      <x:c r="K2109" s="9" t="n">
        <x:v>9</x:v>
      </x:c>
      <x:c r="L2109" s="7" t="n">
        <x:v>2024</x:v>
      </x:c>
      <x:c r="M2109" s="11" t="n">
        <x:v>34537</x:v>
      </x:c>
      <x:c r="N2109" s="7" t="n">
        <x:v>1</x:v>
      </x:c>
      <x:c r="O2109" s="7" t="n">
        <x:v>0</x:v>
      </x:c>
      <x:c r="P2109" s="9" t="n">
        <x:v>6.88</x:v>
      </x:c>
      <x:c r="Q2109" s="7" t="n">
        <x:f>'Guide'!$B$5-L2109</x:f>
        <x:v>2</x:v>
      </x:c>
      <x:c r="R2109" s="9" t="n">
        <x:f>K2109-P2109</x:f>
        <x:v>2.12</x:v>
      </x:c>
      <x:c r="S2109" s="10" t="n">
        <x:f>IF(K2109&gt;0,R2109/K2109,"")</x:f>
        <x:v>0.23555555555555557</x:v>
      </x:c>
    </x:row>
    <x:row r="2110">
      <x:c r="A2110" s="7" t="n">
        <x:v>2106</x:v>
      </x:c>
      <x:c r="B2110" s="7" t="str">
        <x:v>Tata</x:v>
      </x:c>
      <x:c r="C2110" s="7" t="str">
        <x:v>Punch</x:v>
      </x:c>
      <x:c r="D2110" s="7" t="str">
        <x:v>Adventure AMT</x:v>
      </x:c>
      <x:c r="E2110" s="7" t="str">
        <x:v>Petrol</x:v>
      </x:c>
      <x:c r="F2110" s="7" t="str">
        <x:v>Automatic</x:v>
      </x:c>
      <x:c r="G2110" s="7" t="str">
        <x:v>Micro SUV</x:v>
      </x:c>
      <x:c r="H2110" s="7" t="n">
        <x:v>1199</x:v>
      </x:c>
      <x:c r="I2110" s="7" t="n">
        <x:v>87</x:v>
      </x:c>
      <x:c r="J2110" s="9" t="n">
        <x:v>18.8</x:v>
      </x:c>
      <x:c r="K2110" s="9" t="n">
        <x:v>9</x:v>
      </x:c>
      <x:c r="L2110" s="7" t="n">
        <x:v>2023</x:v>
      </x:c>
      <x:c r="M2110" s="11" t="n">
        <x:v>29196</x:v>
      </x:c>
      <x:c r="N2110" s="7" t="n">
        <x:v>2</x:v>
      </x:c>
      <x:c r="O2110" s="7" t="n">
        <x:v>0</x:v>
      </x:c>
      <x:c r="P2110" s="9" t="n">
        <x:v>6.18</x:v>
      </x:c>
      <x:c r="Q2110" s="7" t="n">
        <x:f>'Guide'!$B$5-L2110</x:f>
        <x:v>3</x:v>
      </x:c>
      <x:c r="R2110" s="9" t="n">
        <x:f>K2110-P2110</x:f>
        <x:v>2.8200000000000003</x:v>
      </x:c>
      <x:c r="S2110" s="10" t="n">
        <x:f>IF(K2110&gt;0,R2110/K2110,"")</x:f>
        <x:v>0.31333333333333335</x:v>
      </x:c>
    </x:row>
    <x:row r="2111">
      <x:c r="A2111" s="7" t="n">
        <x:v>2107</x:v>
      </x:c>
      <x:c r="B2111" s="7" t="str">
        <x:v>Tata</x:v>
      </x:c>
      <x:c r="C2111" s="7" t="str">
        <x:v>Punch</x:v>
      </x:c>
      <x:c r="D2111" s="7" t="str">
        <x:v>Adventure AMT</x:v>
      </x:c>
      <x:c r="E2111" s="7" t="str">
        <x:v>Petrol</x:v>
      </x:c>
      <x:c r="F2111" s="7" t="str">
        <x:v>Automatic</x:v>
      </x:c>
      <x:c r="G2111" s="7" t="str">
        <x:v>Micro SUV</x:v>
      </x:c>
      <x:c r="H2111" s="7" t="n">
        <x:v>1199</x:v>
      </x:c>
      <x:c r="I2111" s="7" t="n">
        <x:v>87</x:v>
      </x:c>
      <x:c r="J2111" s="9" t="n">
        <x:v>18.8</x:v>
      </x:c>
      <x:c r="K2111" s="9" t="n">
        <x:v>9</x:v>
      </x:c>
      <x:c r="L2111" s="7" t="n">
        <x:v>2026</x:v>
      </x:c>
      <x:c r="M2111" s="11" t="n">
        <x:v>9093</x:v>
      </x:c>
      <x:c r="N2111" s="7" t="n">
        <x:v>2</x:v>
      </x:c>
      <x:c r="O2111" s="7" t="n">
        <x:v>0</x:v>
      </x:c>
      <x:c r="P2111" s="9" t="n">
        <x:v>8.72</x:v>
      </x:c>
      <x:c r="Q2111" s="7" t="n">
        <x:f>'Guide'!$B$5-L2111</x:f>
        <x:v>0</x:v>
      </x:c>
      <x:c r="R2111" s="9" t="n">
        <x:f>K2111-P2111</x:f>
        <x:v>0.27999999999999936</x:v>
      </x:c>
      <x:c r="S2111" s="10" t="n">
        <x:f>IF(K2111&gt;0,R2111/K2111,"")</x:f>
        <x:v>0.03111111111111104</x:v>
      </x:c>
    </x:row>
    <x:row r="2112">
      <x:c r="A2112" s="7" t="n">
        <x:v>2108</x:v>
      </x:c>
      <x:c r="B2112" s="7" t="str">
        <x:v>Tata</x:v>
      </x:c>
      <x:c r="C2112" s="7" t="str">
        <x:v>Punch</x:v>
      </x:c>
      <x:c r="D2112" s="7" t="str">
        <x:v>Adventure AMT</x:v>
      </x:c>
      <x:c r="E2112" s="7" t="str">
        <x:v>Petrol</x:v>
      </x:c>
      <x:c r="F2112" s="7" t="str">
        <x:v>Automatic</x:v>
      </x:c>
      <x:c r="G2112" s="7" t="str">
        <x:v>Micro SUV</x:v>
      </x:c>
      <x:c r="H2112" s="7" t="n">
        <x:v>1199</x:v>
      </x:c>
      <x:c r="I2112" s="7" t="n">
        <x:v>87</x:v>
      </x:c>
      <x:c r="J2112" s="9" t="n">
        <x:v>18.8</x:v>
      </x:c>
      <x:c r="K2112" s="9" t="n">
        <x:v>9</x:v>
      </x:c>
      <x:c r="L2112" s="7" t="n">
        <x:v>2026</x:v>
      </x:c>
      <x:c r="M2112" s="11" t="n">
        <x:v>9301</x:v>
      </x:c>
      <x:c r="N2112" s="7" t="n">
        <x:v>1</x:v>
      </x:c>
      <x:c r="O2112" s="7" t="n">
        <x:v>0</x:v>
      </x:c>
      <x:c r="P2112" s="9" t="n">
        <x:v>8.87</x:v>
      </x:c>
      <x:c r="Q2112" s="7" t="n">
        <x:f>'Guide'!$B$5-L2112</x:f>
        <x:v>0</x:v>
      </x:c>
      <x:c r="R2112" s="9" t="n">
        <x:f>K2112-P2112</x:f>
        <x:v>0.13000000000000078</x:v>
      </x:c>
      <x:c r="S2112" s="10" t="n">
        <x:f>IF(K2112&gt;0,R2112/K2112,"")</x:f>
        <x:v>0.01444444444444453</x:v>
      </x:c>
    </x:row>
    <x:row r="2113">
      <x:c r="A2113" s="7" t="n">
        <x:v>2109</x:v>
      </x:c>
      <x:c r="B2113" s="7" t="str">
        <x:v>Tata</x:v>
      </x:c>
      <x:c r="C2113" s="7" t="str">
        <x:v>Punch</x:v>
      </x:c>
      <x:c r="D2113" s="7" t="str">
        <x:v>Adventure AMT</x:v>
      </x:c>
      <x:c r="E2113" s="7" t="str">
        <x:v>Petrol</x:v>
      </x:c>
      <x:c r="F2113" s="7" t="str">
        <x:v>Automatic</x:v>
      </x:c>
      <x:c r="G2113" s="7" t="str">
        <x:v>Micro SUV</x:v>
      </x:c>
      <x:c r="H2113" s="7" t="n">
        <x:v>1199</x:v>
      </x:c>
      <x:c r="I2113" s="7" t="n">
        <x:v>87</x:v>
      </x:c>
      <x:c r="J2113" s="9" t="n">
        <x:v>18.8</x:v>
      </x:c>
      <x:c r="K2113" s="9" t="n">
        <x:v>9</x:v>
      </x:c>
      <x:c r="L2113" s="7" t="n">
        <x:v>2020</x:v>
      </x:c>
      <x:c r="M2113" s="11" t="n">
        <x:v>65995</x:v>
      </x:c>
      <x:c r="N2113" s="7" t="n">
        <x:v>1</x:v>
      </x:c>
      <x:c r="O2113" s="7" t="n">
        <x:v>0</x:v>
      </x:c>
      <x:c r="P2113" s="9" t="n">
        <x:v>4.32</x:v>
      </x:c>
      <x:c r="Q2113" s="7" t="n">
        <x:f>'Guide'!$B$5-L2113</x:f>
        <x:v>6</x:v>
      </x:c>
      <x:c r="R2113" s="9" t="n">
        <x:f>K2113-P2113</x:f>
        <x:v>4.68</x:v>
      </x:c>
      <x:c r="S2113" s="10" t="n">
        <x:f>IF(K2113&gt;0,R2113/K2113,"")</x:f>
        <x:v>0.52</x:v>
      </x:c>
    </x:row>
    <x:row r="2114">
      <x:c r="A2114" s="7" t="n">
        <x:v>2110</x:v>
      </x:c>
      <x:c r="B2114" s="7" t="str">
        <x:v>Tata</x:v>
      </x:c>
      <x:c r="C2114" s="7" t="str">
        <x:v>Punch</x:v>
      </x:c>
      <x:c r="D2114" s="7" t="str">
        <x:v>Adventure AMT</x:v>
      </x:c>
      <x:c r="E2114" s="7" t="str">
        <x:v>Petrol</x:v>
      </x:c>
      <x:c r="F2114" s="7" t="str">
        <x:v>Automatic</x:v>
      </x:c>
      <x:c r="G2114" s="7" t="str">
        <x:v>Micro SUV</x:v>
      </x:c>
      <x:c r="H2114" s="7" t="n">
        <x:v>1199</x:v>
      </x:c>
      <x:c r="I2114" s="7" t="n">
        <x:v>87</x:v>
      </x:c>
      <x:c r="J2114" s="9" t="n">
        <x:v>18.8</x:v>
      </x:c>
      <x:c r="K2114" s="9" t="n">
        <x:v>9</x:v>
      </x:c>
      <x:c r="L2114" s="7" t="n">
        <x:v>2021</x:v>
      </x:c>
      <x:c r="M2114" s="11" t="n">
        <x:v>54066</x:v>
      </x:c>
      <x:c r="N2114" s="7" t="n">
        <x:v>1</x:v>
      </x:c>
      <x:c r="O2114" s="7" t="n">
        <x:v>0</x:v>
      </x:c>
      <x:c r="P2114" s="9" t="n">
        <x:v>4.57</x:v>
      </x:c>
      <x:c r="Q2114" s="7" t="n">
        <x:f>'Guide'!$B$5-L2114</x:f>
        <x:v>5</x:v>
      </x:c>
      <x:c r="R2114" s="9" t="n">
        <x:f>K2114-P2114</x:f>
        <x:v>4.43</x:v>
      </x:c>
      <x:c r="S2114" s="10" t="n">
        <x:f>IF(K2114&gt;0,R2114/K2114,"")</x:f>
        <x:v>0.49222222222222217</x:v>
      </x:c>
    </x:row>
    <x:row r="2115">
      <x:c r="A2115" s="7" t="n">
        <x:v>2111</x:v>
      </x:c>
      <x:c r="B2115" s="7" t="str">
        <x:v>Tata</x:v>
      </x:c>
      <x:c r="C2115" s="7" t="str">
        <x:v>Punch</x:v>
      </x:c>
      <x:c r="D2115" s="7" t="str">
        <x:v>Adventure AMT</x:v>
      </x:c>
      <x:c r="E2115" s="7" t="str">
        <x:v>Petrol</x:v>
      </x:c>
      <x:c r="F2115" s="7" t="str">
        <x:v>Automatic</x:v>
      </x:c>
      <x:c r="G2115" s="7" t="str">
        <x:v>Micro SUV</x:v>
      </x:c>
      <x:c r="H2115" s="7" t="n">
        <x:v>1199</x:v>
      </x:c>
      <x:c r="I2115" s="7" t="n">
        <x:v>87</x:v>
      </x:c>
      <x:c r="J2115" s="9" t="n">
        <x:v>18.8</x:v>
      </x:c>
      <x:c r="K2115" s="9" t="n">
        <x:v>9</x:v>
      </x:c>
      <x:c r="L2115" s="7" t="n">
        <x:v>2026</x:v>
      </x:c>
      <x:c r="M2115" s="11" t="n">
        <x:v>7089</x:v>
      </x:c>
      <x:c r="N2115" s="7" t="n">
        <x:v>1</x:v>
      </x:c>
      <x:c r="O2115" s="7" t="n">
        <x:v>1</x:v>
      </x:c>
      <x:c r="P2115" s="9" t="n">
        <x:v>7.95</x:v>
      </x:c>
      <x:c r="Q2115" s="7" t="n">
        <x:f>'Guide'!$B$5-L2115</x:f>
        <x:v>0</x:v>
      </x:c>
      <x:c r="R2115" s="9" t="n">
        <x:f>K2115-P2115</x:f>
        <x:v>1.0499999999999998</x:v>
      </x:c>
      <x:c r="S2115" s="10" t="n">
        <x:f>IF(K2115&gt;0,R2115/K2115,"")</x:f>
        <x:v>0.11666666666666664</x:v>
      </x:c>
    </x:row>
    <x:row r="2116">
      <x:c r="A2116" s="7" t="n">
        <x:v>2112</x:v>
      </x:c>
      <x:c r="B2116" s="7" t="str">
        <x:v>Tata</x:v>
      </x:c>
      <x:c r="C2116" s="7" t="str">
        <x:v>Punch</x:v>
      </x:c>
      <x:c r="D2116" s="7" t="str">
        <x:v>Adventure AMT</x:v>
      </x:c>
      <x:c r="E2116" s="7" t="str">
        <x:v>Petrol</x:v>
      </x:c>
      <x:c r="F2116" s="7" t="str">
        <x:v>Automatic</x:v>
      </x:c>
      <x:c r="G2116" s="7" t="str">
        <x:v>Micro SUV</x:v>
      </x:c>
      <x:c r="H2116" s="7" t="n">
        <x:v>1199</x:v>
      </x:c>
      <x:c r="I2116" s="7" t="n">
        <x:v>87</x:v>
      </x:c>
      <x:c r="J2116" s="9" t="n">
        <x:v>18.8</x:v>
      </x:c>
      <x:c r="K2116" s="9" t="n">
        <x:v>9</x:v>
      </x:c>
      <x:c r="L2116" s="7" t="n">
        <x:v>2022</x:v>
      </x:c>
      <x:c r="M2116" s="11" t="n">
        <x:v>83180</x:v>
      </x:c>
      <x:c r="N2116" s="7" t="n">
        <x:v>1</x:v>
      </x:c>
      <x:c r="O2116" s="7" t="n">
        <x:v>0</x:v>
      </x:c>
      <x:c r="P2116" s="9" t="n">
        <x:v>4.96</x:v>
      </x:c>
      <x:c r="Q2116" s="7" t="n">
        <x:f>'Guide'!$B$5-L2116</x:f>
        <x:v>4</x:v>
      </x:c>
      <x:c r="R2116" s="9" t="n">
        <x:f>K2116-P2116</x:f>
        <x:v>4.04</x:v>
      </x:c>
      <x:c r="S2116" s="10" t="n">
        <x:f>IF(K2116&gt;0,R2116/K2116,"")</x:f>
        <x:v>0.4488888888888889</x:v>
      </x:c>
    </x:row>
    <x:row r="2117">
      <x:c r="A2117" s="7" t="n">
        <x:v>2113</x:v>
      </x:c>
      <x:c r="B2117" s="7" t="str">
        <x:v>Tata</x:v>
      </x:c>
      <x:c r="C2117" s="7" t="str">
        <x:v>Punch</x:v>
      </x:c>
      <x:c r="D2117" s="7" t="str">
        <x:v>Adventure AMT</x:v>
      </x:c>
      <x:c r="E2117" s="7" t="str">
        <x:v>Petrol</x:v>
      </x:c>
      <x:c r="F2117" s="7" t="str">
        <x:v>Automatic</x:v>
      </x:c>
      <x:c r="G2117" s="7" t="str">
        <x:v>Micro SUV</x:v>
      </x:c>
      <x:c r="H2117" s="7" t="n">
        <x:v>1199</x:v>
      </x:c>
      <x:c r="I2117" s="7" t="n">
        <x:v>87</x:v>
      </x:c>
      <x:c r="J2117" s="9" t="n">
        <x:v>18.8</x:v>
      </x:c>
      <x:c r="K2117" s="9" t="n">
        <x:v>9</x:v>
      </x:c>
      <x:c r="L2117" s="7" t="n">
        <x:v>2023</x:v>
      </x:c>
      <x:c r="M2117" s="11" t="n">
        <x:v>57351</x:v>
      </x:c>
      <x:c r="N2117" s="7" t="n">
        <x:v>2</x:v>
      </x:c>
      <x:c r="O2117" s="7" t="n">
        <x:v>0</x:v>
      </x:c>
      <x:c r="P2117" s="9" t="n">
        <x:v>6.02</x:v>
      </x:c>
      <x:c r="Q2117" s="7" t="n">
        <x:f>'Guide'!$B$5-L2117</x:f>
        <x:v>3</x:v>
      </x:c>
      <x:c r="R2117" s="9" t="n">
        <x:f>K2117-P2117</x:f>
        <x:v>2.9800000000000004</x:v>
      </x:c>
      <x:c r="S2117" s="10" t="n">
        <x:f>IF(K2117&gt;0,R2117/K2117,"")</x:f>
        <x:v>0.33111111111111113</x:v>
      </x:c>
    </x:row>
    <x:row r="2118">
      <x:c r="A2118" s="7" t="n">
        <x:v>2114</x:v>
      </x:c>
      <x:c r="B2118" s="7" t="str">
        <x:v>Tata</x:v>
      </x:c>
      <x:c r="C2118" s="7" t="str">
        <x:v>Punch</x:v>
      </x:c>
      <x:c r="D2118" s="7" t="str">
        <x:v>Adventure AMT</x:v>
      </x:c>
      <x:c r="E2118" s="7" t="str">
        <x:v>Petrol</x:v>
      </x:c>
      <x:c r="F2118" s="7" t="str">
        <x:v>Automatic</x:v>
      </x:c>
      <x:c r="G2118" s="7" t="str">
        <x:v>Micro SUV</x:v>
      </x:c>
      <x:c r="H2118" s="7" t="n">
        <x:v>1199</x:v>
      </x:c>
      <x:c r="I2118" s="7" t="n">
        <x:v>87</x:v>
      </x:c>
      <x:c r="J2118" s="9" t="n">
        <x:v>18.8</x:v>
      </x:c>
      <x:c r="K2118" s="9" t="n">
        <x:v>9</x:v>
      </x:c>
      <x:c r="L2118" s="7" t="n">
        <x:v>2025</x:v>
      </x:c>
      <x:c r="M2118" s="11" t="n">
        <x:v>29377</x:v>
      </x:c>
      <x:c r="N2118" s="7" t="n">
        <x:v>1</x:v>
      </x:c>
      <x:c r="O2118" s="7" t="n">
        <x:v>1</x:v>
      </x:c>
      <x:c r="P2118" s="9" t="n">
        <x:v>7.19</x:v>
      </x:c>
      <x:c r="Q2118" s="7" t="n">
        <x:f>'Guide'!$B$5-L2118</x:f>
        <x:v>1</x:v>
      </x:c>
      <x:c r="R2118" s="9" t="n">
        <x:f>K2118-P2118</x:f>
        <x:v>1.8099999999999996</x:v>
      </x:c>
      <x:c r="S2118" s="10" t="n">
        <x:f>IF(K2118&gt;0,R2118/K2118,"")</x:f>
        <x:v>0.20111111111111107</x:v>
      </x:c>
    </x:row>
    <x:row r="2119">
      <x:c r="A2119" s="7" t="n">
        <x:v>2115</x:v>
      </x:c>
      <x:c r="B2119" s="7" t="str">
        <x:v>Tata</x:v>
      </x:c>
      <x:c r="C2119" s="7" t="str">
        <x:v>Punch</x:v>
      </x:c>
      <x:c r="D2119" s="7" t="str">
        <x:v>Adventure AMT</x:v>
      </x:c>
      <x:c r="E2119" s="7" t="str">
        <x:v>Petrol</x:v>
      </x:c>
      <x:c r="F2119" s="7" t="str">
        <x:v>Automatic</x:v>
      </x:c>
      <x:c r="G2119" s="7" t="str">
        <x:v>Micro SUV</x:v>
      </x:c>
      <x:c r="H2119" s="7" t="n">
        <x:v>1199</x:v>
      </x:c>
      <x:c r="I2119" s="7" t="n">
        <x:v>87</x:v>
      </x:c>
      <x:c r="J2119" s="9" t="n">
        <x:v>18.8</x:v>
      </x:c>
      <x:c r="K2119" s="9" t="n">
        <x:v>9</x:v>
      </x:c>
      <x:c r="L2119" s="7" t="n">
        <x:v>2025</x:v>
      </x:c>
      <x:c r="M2119" s="11" t="n">
        <x:v>28230</x:v>
      </x:c>
      <x:c r="N2119" s="7" t="n">
        <x:v>1</x:v>
      </x:c>
      <x:c r="O2119" s="7" t="n">
        <x:v>0</x:v>
      </x:c>
      <x:c r="P2119" s="9" t="n">
        <x:v>8.07</x:v>
      </x:c>
      <x:c r="Q2119" s="7" t="n">
        <x:f>'Guide'!$B$5-L2119</x:f>
        <x:v>1</x:v>
      </x:c>
      <x:c r="R2119" s="9" t="n">
        <x:f>K2119-P2119</x:f>
        <x:v>0.9299999999999997</x:v>
      </x:c>
      <x:c r="S2119" s="10" t="n">
        <x:f>IF(K2119&gt;0,R2119/K2119,"")</x:f>
        <x:v>0.1033333333333333</x:v>
      </x:c>
    </x:row>
    <x:row r="2120">
      <x:c r="A2120" s="7" t="n">
        <x:v>2116</x:v>
      </x:c>
      <x:c r="B2120" s="7" t="str">
        <x:v>Tata</x:v>
      </x:c>
      <x:c r="C2120" s="7" t="str">
        <x:v>Punch</x:v>
      </x:c>
      <x:c r="D2120" s="7" t="str">
        <x:v>Adventure AMT</x:v>
      </x:c>
      <x:c r="E2120" s="7" t="str">
        <x:v>Petrol</x:v>
      </x:c>
      <x:c r="F2120" s="7" t="str">
        <x:v>Automatic</x:v>
      </x:c>
      <x:c r="G2120" s="7" t="str">
        <x:v>Micro SUV</x:v>
      </x:c>
      <x:c r="H2120" s="7" t="n">
        <x:v>1199</x:v>
      </x:c>
      <x:c r="I2120" s="7" t="n">
        <x:v>87</x:v>
      </x:c>
      <x:c r="J2120" s="9" t="n">
        <x:v>18.8</x:v>
      </x:c>
      <x:c r="K2120" s="9" t="n">
        <x:v>9</x:v>
      </x:c>
      <x:c r="L2120" s="7" t="n">
        <x:v>2020</x:v>
      </x:c>
      <x:c r="M2120" s="11" t="n">
        <x:v>83461</x:v>
      </x:c>
      <x:c r="N2120" s="7" t="n">
        <x:v>1</x:v>
      </x:c>
      <x:c r="O2120" s="7" t="n">
        <x:v>1</x:v>
      </x:c>
      <x:c r="P2120" s="9" t="n">
        <x:v>3.02</x:v>
      </x:c>
      <x:c r="Q2120" s="7" t="n">
        <x:f>'Guide'!$B$5-L2120</x:f>
        <x:v>6</x:v>
      </x:c>
      <x:c r="R2120" s="9" t="n">
        <x:f>K2120-P2120</x:f>
        <x:v>5.98</x:v>
      </x:c>
      <x:c r="S2120" s="10" t="n">
        <x:f>IF(K2120&gt;0,R2120/K2120,"")</x:f>
        <x:v>0.6644444444444445</x:v>
      </x:c>
    </x:row>
    <x:row r="2121">
      <x:c r="A2121" s="7" t="n">
        <x:v>2117</x:v>
      </x:c>
      <x:c r="B2121" s="7" t="str">
        <x:v>Tata</x:v>
      </x:c>
      <x:c r="C2121" s="7" t="str">
        <x:v>Punch</x:v>
      </x:c>
      <x:c r="D2121" s="7" t="str">
        <x:v>Adventure AMT</x:v>
      </x:c>
      <x:c r="E2121" s="7" t="str">
        <x:v>Petrol</x:v>
      </x:c>
      <x:c r="F2121" s="7" t="str">
        <x:v>Automatic</x:v>
      </x:c>
      <x:c r="G2121" s="7" t="str">
        <x:v>Micro SUV</x:v>
      </x:c>
      <x:c r="H2121" s="7" t="n">
        <x:v>1199</x:v>
      </x:c>
      <x:c r="I2121" s="7" t="n">
        <x:v>87</x:v>
      </x:c>
      <x:c r="J2121" s="9" t="n">
        <x:v>18.8</x:v>
      </x:c>
      <x:c r="K2121" s="9" t="n">
        <x:v>9</x:v>
      </x:c>
      <x:c r="L2121" s="7" t="n">
        <x:v>2020</x:v>
      </x:c>
      <x:c r="M2121" s="11" t="n">
        <x:v>86933</x:v>
      </x:c>
      <x:c r="N2121" s="7" t="n">
        <x:v>2</x:v>
      </x:c>
      <x:c r="O2121" s="7" t="n">
        <x:v>0</x:v>
      </x:c>
      <x:c r="P2121" s="9" t="n">
        <x:v>3.47</x:v>
      </x:c>
      <x:c r="Q2121" s="7" t="n">
        <x:f>'Guide'!$B$5-L2121</x:f>
        <x:v>6</x:v>
      </x:c>
      <x:c r="R2121" s="9" t="n">
        <x:f>K2121-P2121</x:f>
        <x:v>5.529999999999999</x:v>
      </x:c>
      <x:c r="S2121" s="10" t="n">
        <x:f>IF(K2121&gt;0,R2121/K2121,"")</x:f>
        <x:v>0.6144444444444443</x:v>
      </x:c>
    </x:row>
    <x:row r="2122">
      <x:c r="A2122" s="7" t="n">
        <x:v>2118</x:v>
      </x:c>
      <x:c r="B2122" s="7" t="str">
        <x:v>Tata</x:v>
      </x:c>
      <x:c r="C2122" s="7" t="str">
        <x:v>Punch</x:v>
      </x:c>
      <x:c r="D2122" s="7" t="str">
        <x:v>Adventure AMT</x:v>
      </x:c>
      <x:c r="E2122" s="7" t="str">
        <x:v>Petrol</x:v>
      </x:c>
      <x:c r="F2122" s="7" t="str">
        <x:v>Automatic</x:v>
      </x:c>
      <x:c r="G2122" s="7" t="str">
        <x:v>Micro SUV</x:v>
      </x:c>
      <x:c r="H2122" s="7" t="n">
        <x:v>1199</x:v>
      </x:c>
      <x:c r="I2122" s="7" t="n">
        <x:v>87</x:v>
      </x:c>
      <x:c r="J2122" s="9" t="n">
        <x:v>18.8</x:v>
      </x:c>
      <x:c r="K2122" s="9" t="n">
        <x:v>9</x:v>
      </x:c>
      <x:c r="L2122" s="7" t="n">
        <x:v>2025</x:v>
      </x:c>
      <x:c r="M2122" s="11" t="n">
        <x:v>16937</x:v>
      </x:c>
      <x:c r="N2122" s="7" t="n">
        <x:v>1</x:v>
      </x:c>
      <x:c r="O2122" s="7" t="n">
        <x:v>0</x:v>
      </x:c>
      <x:c r="P2122" s="9" t="n">
        <x:v>8.46</x:v>
      </x:c>
      <x:c r="Q2122" s="7" t="n">
        <x:f>'Guide'!$B$5-L2122</x:f>
        <x:v>1</x:v>
      </x:c>
      <x:c r="R2122" s="9" t="n">
        <x:f>K2122-P2122</x:f>
        <x:v>0.5399999999999991</x:v>
      </x:c>
      <x:c r="S2122" s="10" t="n">
        <x:f>IF(K2122&gt;0,R2122/K2122,"")</x:f>
        <x:v>0.05999999999999991</x:v>
      </x:c>
    </x:row>
    <x:row r="2123">
      <x:c r="A2123" s="7" t="n">
        <x:v>2119</x:v>
      </x:c>
      <x:c r="B2123" s="7" t="str">
        <x:v>Tata</x:v>
      </x:c>
      <x:c r="C2123" s="7" t="str">
        <x:v>Punch</x:v>
      </x:c>
      <x:c r="D2123" s="7" t="str">
        <x:v>Adventure AMT</x:v>
      </x:c>
      <x:c r="E2123" s="7" t="str">
        <x:v>Petrol</x:v>
      </x:c>
      <x:c r="F2123" s="7" t="str">
        <x:v>Automatic</x:v>
      </x:c>
      <x:c r="G2123" s="7" t="str">
        <x:v>Micro SUV</x:v>
      </x:c>
      <x:c r="H2123" s="7" t="n">
        <x:v>1199</x:v>
      </x:c>
      <x:c r="I2123" s="7" t="n">
        <x:v>87</x:v>
      </x:c>
      <x:c r="J2123" s="9" t="n">
        <x:v>18.8</x:v>
      </x:c>
      <x:c r="K2123" s="9" t="n">
        <x:v>9</x:v>
      </x:c>
      <x:c r="L2123" s="7" t="n">
        <x:v>2021</x:v>
      </x:c>
      <x:c r="M2123" s="11" t="n">
        <x:v>70619</x:v>
      </x:c>
      <x:c r="N2123" s="7" t="n">
        <x:v>2</x:v>
      </x:c>
      <x:c r="O2123" s="7" t="n">
        <x:v>0</x:v>
      </x:c>
      <x:c r="P2123" s="9" t="n">
        <x:v>4.22</x:v>
      </x:c>
      <x:c r="Q2123" s="7" t="n">
        <x:f>'Guide'!$B$5-L2123</x:f>
        <x:v>5</x:v>
      </x:c>
      <x:c r="R2123" s="9" t="n">
        <x:f>K2123-P2123</x:f>
        <x:v>4.78</x:v>
      </x:c>
      <x:c r="S2123" s="10" t="n">
        <x:f>IF(K2123&gt;0,R2123/K2123,"")</x:f>
        <x:v>0.5311111111111111</x:v>
      </x:c>
    </x:row>
    <x:row r="2124">
      <x:c r="A2124" s="7" t="n">
        <x:v>2120</x:v>
      </x:c>
      <x:c r="B2124" s="7" t="str">
        <x:v>Tata</x:v>
      </x:c>
      <x:c r="C2124" s="7" t="str">
        <x:v>Punch</x:v>
      </x:c>
      <x:c r="D2124" s="7" t="str">
        <x:v>Adventure AMT</x:v>
      </x:c>
      <x:c r="E2124" s="7" t="str">
        <x:v>Petrol</x:v>
      </x:c>
      <x:c r="F2124" s="7" t="str">
        <x:v>Automatic</x:v>
      </x:c>
      <x:c r="G2124" s="7" t="str">
        <x:v>Micro SUV</x:v>
      </x:c>
      <x:c r="H2124" s="7" t="n">
        <x:v>1199</x:v>
      </x:c>
      <x:c r="I2124" s="7" t="n">
        <x:v>87</x:v>
      </x:c>
      <x:c r="J2124" s="9" t="n">
        <x:v>18.8</x:v>
      </x:c>
      <x:c r="K2124" s="9" t="n">
        <x:v>9</x:v>
      </x:c>
      <x:c r="L2124" s="7" t="n">
        <x:v>2024</x:v>
      </x:c>
      <x:c r="M2124" s="11" t="n">
        <x:v>41475</x:v>
      </x:c>
      <x:c r="N2124" s="7" t="n">
        <x:v>1</x:v>
      </x:c>
      <x:c r="O2124" s="7" t="n">
        <x:v>0</x:v>
      </x:c>
      <x:c r="P2124" s="9" t="n">
        <x:v>7.11</x:v>
      </x:c>
      <x:c r="Q2124" s="7" t="n">
        <x:f>'Guide'!$B$5-L2124</x:f>
        <x:v>2</x:v>
      </x:c>
      <x:c r="R2124" s="9" t="n">
        <x:f>K2124-P2124</x:f>
        <x:v>1.8899999999999997</x:v>
      </x:c>
      <x:c r="S2124" s="10" t="n">
        <x:f>IF(K2124&gt;0,R2124/K2124,"")</x:f>
        <x:v>0.20999999999999996</x:v>
      </x:c>
    </x:row>
    <x:row r="2125">
      <x:c r="A2125" s="7" t="n">
        <x:v>2121</x:v>
      </x:c>
      <x:c r="B2125" s="7" t="str">
        <x:v>Tata</x:v>
      </x:c>
      <x:c r="C2125" s="7" t="str">
        <x:v>Punch</x:v>
      </x:c>
      <x:c r="D2125" s="7" t="str">
        <x:v>Adventure AMT</x:v>
      </x:c>
      <x:c r="E2125" s="7" t="str">
        <x:v>Petrol</x:v>
      </x:c>
      <x:c r="F2125" s="7" t="str">
        <x:v>Automatic</x:v>
      </x:c>
      <x:c r="G2125" s="7" t="str">
        <x:v>Micro SUV</x:v>
      </x:c>
      <x:c r="H2125" s="7" t="n">
        <x:v>1199</x:v>
      </x:c>
      <x:c r="I2125" s="7" t="n">
        <x:v>87</x:v>
      </x:c>
      <x:c r="J2125" s="9" t="n">
        <x:v>18.8</x:v>
      </x:c>
      <x:c r="K2125" s="9" t="n">
        <x:v>9</x:v>
      </x:c>
      <x:c r="L2125" s="7" t="n">
        <x:v>2022</x:v>
      </x:c>
      <x:c r="M2125" s="11" t="n">
        <x:v>53513</x:v>
      </x:c>
      <x:c r="N2125" s="7" t="n">
        <x:v>1</x:v>
      </x:c>
      <x:c r="O2125" s="7" t="n">
        <x:v>0</x:v>
      </x:c>
      <x:c r="P2125" s="9" t="n">
        <x:v>5.86</x:v>
      </x:c>
      <x:c r="Q2125" s="7" t="n">
        <x:f>'Guide'!$B$5-L2125</x:f>
        <x:v>4</x:v>
      </x:c>
      <x:c r="R2125" s="9" t="n">
        <x:f>K2125-P2125</x:f>
        <x:v>3.1399999999999997</x:v>
      </x:c>
      <x:c r="S2125" s="10" t="n">
        <x:f>IF(K2125&gt;0,R2125/K2125,"")</x:f>
        <x:v>0.34888888888888886</x:v>
      </x:c>
    </x:row>
    <x:row r="2126">
      <x:c r="A2126" s="7" t="n">
        <x:v>2122</x:v>
      </x:c>
      <x:c r="B2126" s="7" t="str">
        <x:v>Tata</x:v>
      </x:c>
      <x:c r="C2126" s="7" t="str">
        <x:v>Punch</x:v>
      </x:c>
      <x:c r="D2126" s="7" t="str">
        <x:v>Adventure AMT</x:v>
      </x:c>
      <x:c r="E2126" s="7" t="str">
        <x:v>Petrol</x:v>
      </x:c>
      <x:c r="F2126" s="7" t="str">
        <x:v>Automatic</x:v>
      </x:c>
      <x:c r="G2126" s="7" t="str">
        <x:v>Micro SUV</x:v>
      </x:c>
      <x:c r="H2126" s="7" t="n">
        <x:v>1199</x:v>
      </x:c>
      <x:c r="I2126" s="7" t="n">
        <x:v>87</x:v>
      </x:c>
      <x:c r="J2126" s="9" t="n">
        <x:v>18.8</x:v>
      </x:c>
      <x:c r="K2126" s="9" t="n">
        <x:v>9</x:v>
      </x:c>
      <x:c r="L2126" s="7" t="n">
        <x:v>2021</x:v>
      </x:c>
      <x:c r="M2126" s="11" t="n">
        <x:v>100659</x:v>
      </x:c>
      <x:c r="N2126" s="7" t="n">
        <x:v>1</x:v>
      </x:c>
      <x:c r="O2126" s="7" t="n">
        <x:v>0</x:v>
      </x:c>
      <x:c r="P2126" s="9" t="n">
        <x:v>4.42</x:v>
      </x:c>
      <x:c r="Q2126" s="7" t="n">
        <x:f>'Guide'!$B$5-L2126</x:f>
        <x:v>5</x:v>
      </x:c>
      <x:c r="R2126" s="9" t="n">
        <x:f>K2126-P2126</x:f>
        <x:v>4.58</x:v>
      </x:c>
      <x:c r="S2126" s="10" t="n">
        <x:f>IF(K2126&gt;0,R2126/K2126,"")</x:f>
        <x:v>0.508888888888889</x:v>
      </x:c>
    </x:row>
    <x:row r="2127">
      <x:c r="A2127" s="7" t="n">
        <x:v>2123</x:v>
      </x:c>
      <x:c r="B2127" s="7" t="str">
        <x:v>Tata</x:v>
      </x:c>
      <x:c r="C2127" s="7" t="str">
        <x:v>Punch</x:v>
      </x:c>
      <x:c r="D2127" s="7" t="str">
        <x:v>Adventure AMT</x:v>
      </x:c>
      <x:c r="E2127" s="7" t="str">
        <x:v>Petrol</x:v>
      </x:c>
      <x:c r="F2127" s="7" t="str">
        <x:v>Automatic</x:v>
      </x:c>
      <x:c r="G2127" s="7" t="str">
        <x:v>Micro SUV</x:v>
      </x:c>
      <x:c r="H2127" s="7" t="n">
        <x:v>1199</x:v>
      </x:c>
      <x:c r="I2127" s="7" t="n">
        <x:v>87</x:v>
      </x:c>
      <x:c r="J2127" s="9" t="n">
        <x:v>18.8</x:v>
      </x:c>
      <x:c r="K2127" s="9" t="n">
        <x:v>9</x:v>
      </x:c>
      <x:c r="L2127" s="7" t="n">
        <x:v>2024</x:v>
      </x:c>
      <x:c r="M2127" s="11" t="n">
        <x:v>28163</x:v>
      </x:c>
      <x:c r="N2127" s="7" t="n">
        <x:v>1</x:v>
      </x:c>
      <x:c r="O2127" s="7" t="n">
        <x:v>0</x:v>
      </x:c>
      <x:c r="P2127" s="9" t="n">
        <x:v>7.34</x:v>
      </x:c>
      <x:c r="Q2127" s="7" t="n">
        <x:f>'Guide'!$B$5-L2127</x:f>
        <x:v>2</x:v>
      </x:c>
      <x:c r="R2127" s="9" t="n">
        <x:f>K2127-P2127</x:f>
        <x:v>1.6600000000000001</x:v>
      </x:c>
      <x:c r="S2127" s="10" t="n">
        <x:f>IF(K2127&gt;0,R2127/K2127,"")</x:f>
        <x:v>0.18444444444444447</x:v>
      </x:c>
    </x:row>
    <x:row r="2128">
      <x:c r="A2128" s="7" t="n">
        <x:v>2124</x:v>
      </x:c>
      <x:c r="B2128" s="7" t="str">
        <x:v>Tata</x:v>
      </x:c>
      <x:c r="C2128" s="7" t="str">
        <x:v>Punch</x:v>
      </x:c>
      <x:c r="D2128" s="7" t="str">
        <x:v>Adventure AMT</x:v>
      </x:c>
      <x:c r="E2128" s="7" t="str">
        <x:v>Petrol</x:v>
      </x:c>
      <x:c r="F2128" s="7" t="str">
        <x:v>Automatic</x:v>
      </x:c>
      <x:c r="G2128" s="7" t="str">
        <x:v>Micro SUV</x:v>
      </x:c>
      <x:c r="H2128" s="7" t="n">
        <x:v>1199</x:v>
      </x:c>
      <x:c r="I2128" s="7" t="n">
        <x:v>87</x:v>
      </x:c>
      <x:c r="J2128" s="9" t="n">
        <x:v>18.8</x:v>
      </x:c>
      <x:c r="K2128" s="9" t="n">
        <x:v>9</x:v>
      </x:c>
      <x:c r="L2128" s="7" t="n">
        <x:v>2026</x:v>
      </x:c>
      <x:c r="M2128" s="11" t="n">
        <x:v>8619</x:v>
      </x:c>
      <x:c r="N2128" s="7" t="n">
        <x:v>1</x:v>
      </x:c>
      <x:c r="O2128" s="7" t="n">
        <x:v>0</x:v>
      </x:c>
      <x:c r="P2128" s="9" t="n">
        <x:v>8.77</x:v>
      </x:c>
      <x:c r="Q2128" s="7" t="n">
        <x:f>'Guide'!$B$5-L2128</x:f>
        <x:v>0</x:v>
      </x:c>
      <x:c r="R2128" s="9" t="n">
        <x:f>K2128-P2128</x:f>
        <x:v>0.23000000000000043</x:v>
      </x:c>
      <x:c r="S2128" s="10" t="n">
        <x:f>IF(K2128&gt;0,R2128/K2128,"")</x:f>
        <x:v>0.025555555555555602</x:v>
      </x:c>
    </x:row>
    <x:row r="2129">
      <x:c r="A2129" s="7" t="n">
        <x:v>2125</x:v>
      </x:c>
      <x:c r="B2129" s="7" t="str">
        <x:v>Tata</x:v>
      </x:c>
      <x:c r="C2129" s="7" t="str">
        <x:v>Punch</x:v>
      </x:c>
      <x:c r="D2129" s="7" t="str">
        <x:v>Adventure AMT</x:v>
      </x:c>
      <x:c r="E2129" s="7" t="str">
        <x:v>Petrol</x:v>
      </x:c>
      <x:c r="F2129" s="7" t="str">
        <x:v>Automatic</x:v>
      </x:c>
      <x:c r="G2129" s="7" t="str">
        <x:v>Micro SUV</x:v>
      </x:c>
      <x:c r="H2129" s="7" t="n">
        <x:v>1199</x:v>
      </x:c>
      <x:c r="I2129" s="7" t="n">
        <x:v>87</x:v>
      </x:c>
      <x:c r="J2129" s="9" t="n">
        <x:v>18.8</x:v>
      </x:c>
      <x:c r="K2129" s="9" t="n">
        <x:v>9</x:v>
      </x:c>
      <x:c r="L2129" s="7" t="n">
        <x:v>2020</x:v>
      </x:c>
      <x:c r="M2129" s="11" t="n">
        <x:v>121472</x:v>
      </x:c>
      <x:c r="N2129" s="7" t="n">
        <x:v>1</x:v>
      </x:c>
      <x:c r="O2129" s="7" t="n">
        <x:v>0</x:v>
      </x:c>
      <x:c r="P2129" s="9" t="n">
        <x:v>3.13</x:v>
      </x:c>
      <x:c r="Q2129" s="7" t="n">
        <x:f>'Guide'!$B$5-L2129</x:f>
        <x:v>6</x:v>
      </x:c>
      <x:c r="R2129" s="9" t="n">
        <x:f>K2129-P2129</x:f>
        <x:v>5.87</x:v>
      </x:c>
      <x:c r="S2129" s="10" t="n">
        <x:f>IF(K2129&gt;0,R2129/K2129,"")</x:f>
        <x:v>0.6522222222222223</x:v>
      </x:c>
    </x:row>
    <x:row r="2130">
      <x:c r="A2130" s="7" t="n">
        <x:v>2126</x:v>
      </x:c>
      <x:c r="B2130" s="7" t="str">
        <x:v>Tata</x:v>
      </x:c>
      <x:c r="C2130" s="7" t="str">
        <x:v>Punch</x:v>
      </x:c>
      <x:c r="D2130" s="7" t="str">
        <x:v>Adventure AMT</x:v>
      </x:c>
      <x:c r="E2130" s="7" t="str">
        <x:v>Petrol</x:v>
      </x:c>
      <x:c r="F2130" s="7" t="str">
        <x:v>Automatic</x:v>
      </x:c>
      <x:c r="G2130" s="7" t="str">
        <x:v>Micro SUV</x:v>
      </x:c>
      <x:c r="H2130" s="7" t="n">
        <x:v>1199</x:v>
      </x:c>
      <x:c r="I2130" s="7" t="n">
        <x:v>87</x:v>
      </x:c>
      <x:c r="J2130" s="9" t="n">
        <x:v>18.8</x:v>
      </x:c>
      <x:c r="K2130" s="9" t="n">
        <x:v>9</x:v>
      </x:c>
      <x:c r="L2130" s="7" t="n">
        <x:v>2022</x:v>
      </x:c>
      <x:c r="M2130" s="11" t="n">
        <x:v>71401</x:v>
      </x:c>
      <x:c r="N2130" s="7" t="n">
        <x:v>1</x:v>
      </x:c>
      <x:c r="O2130" s="7" t="n">
        <x:v>0</x:v>
      </x:c>
      <x:c r="P2130" s="9" t="n">
        <x:v>5.36</x:v>
      </x:c>
      <x:c r="Q2130" s="7" t="n">
        <x:f>'Guide'!$B$5-L2130</x:f>
        <x:v>4</x:v>
      </x:c>
      <x:c r="R2130" s="9" t="n">
        <x:f>K2130-P2130</x:f>
        <x:v>3.6399999999999997</x:v>
      </x:c>
      <x:c r="S2130" s="10" t="n">
        <x:f>IF(K2130&gt;0,R2130/K2130,"")</x:f>
        <x:v>0.4044444444444444</x:v>
      </x:c>
    </x:row>
    <x:row r="2131">
      <x:c r="A2131" s="7" t="n">
        <x:v>2127</x:v>
      </x:c>
      <x:c r="B2131" s="7" t="str">
        <x:v>Tata</x:v>
      </x:c>
      <x:c r="C2131" s="7" t="str">
        <x:v>Punch</x:v>
      </x:c>
      <x:c r="D2131" s="7" t="str">
        <x:v>Adventure AMT</x:v>
      </x:c>
      <x:c r="E2131" s="7" t="str">
        <x:v>Petrol</x:v>
      </x:c>
      <x:c r="F2131" s="7" t="str">
        <x:v>Automatic</x:v>
      </x:c>
      <x:c r="G2131" s="7" t="str">
        <x:v>Micro SUV</x:v>
      </x:c>
      <x:c r="H2131" s="7" t="n">
        <x:v>1199</x:v>
      </x:c>
      <x:c r="I2131" s="7" t="n">
        <x:v>87</x:v>
      </x:c>
      <x:c r="J2131" s="9" t="n">
        <x:v>18.8</x:v>
      </x:c>
      <x:c r="K2131" s="9" t="n">
        <x:v>9</x:v>
      </x:c>
      <x:c r="L2131" s="7" t="n">
        <x:v>2024</x:v>
      </x:c>
      <x:c r="M2131" s="11" t="n">
        <x:v>40984</x:v>
      </x:c>
      <x:c r="N2131" s="7" t="n">
        <x:v>1</x:v>
      </x:c>
      <x:c r="O2131" s="7" t="n">
        <x:v>0</x:v>
      </x:c>
      <x:c r="P2131" s="9" t="n">
        <x:v>7.34</x:v>
      </x:c>
      <x:c r="Q2131" s="7" t="n">
        <x:f>'Guide'!$B$5-L2131</x:f>
        <x:v>2</x:v>
      </x:c>
      <x:c r="R2131" s="9" t="n">
        <x:f>K2131-P2131</x:f>
        <x:v>1.6600000000000001</x:v>
      </x:c>
      <x:c r="S2131" s="10" t="n">
        <x:f>IF(K2131&gt;0,R2131/K2131,"")</x:f>
        <x:v>0.18444444444444447</x:v>
      </x:c>
    </x:row>
    <x:row r="2132">
      <x:c r="A2132" s="7" t="n">
        <x:v>2128</x:v>
      </x:c>
      <x:c r="B2132" s="7" t="str">
        <x:v>Tata</x:v>
      </x:c>
      <x:c r="C2132" s="7" t="str">
        <x:v>Punch</x:v>
      </x:c>
      <x:c r="D2132" s="7" t="str">
        <x:v>Adventure AMT</x:v>
      </x:c>
      <x:c r="E2132" s="7" t="str">
        <x:v>Petrol</x:v>
      </x:c>
      <x:c r="F2132" s="7" t="str">
        <x:v>Automatic</x:v>
      </x:c>
      <x:c r="G2132" s="7" t="str">
        <x:v>Micro SUV</x:v>
      </x:c>
      <x:c r="H2132" s="7" t="n">
        <x:v>1199</x:v>
      </x:c>
      <x:c r="I2132" s="7" t="n">
        <x:v>87</x:v>
      </x:c>
      <x:c r="J2132" s="9" t="n">
        <x:v>18.8</x:v>
      </x:c>
      <x:c r="K2132" s="9" t="n">
        <x:v>9</x:v>
      </x:c>
      <x:c r="L2132" s="7" t="n">
        <x:v>2024</x:v>
      </x:c>
      <x:c r="M2132" s="11" t="n">
        <x:v>38381</x:v>
      </x:c>
      <x:c r="N2132" s="7" t="n">
        <x:v>1</x:v>
      </x:c>
      <x:c r="O2132" s="7" t="n">
        <x:v>0</x:v>
      </x:c>
      <x:c r="P2132" s="9" t="n">
        <x:v>6.97</x:v>
      </x:c>
      <x:c r="Q2132" s="7" t="n">
        <x:f>'Guide'!$B$5-L2132</x:f>
        <x:v>2</x:v>
      </x:c>
      <x:c r="R2132" s="9" t="n">
        <x:f>K2132-P2132</x:f>
        <x:v>2.0300000000000002</x:v>
      </x:c>
      <x:c r="S2132" s="10" t="n">
        <x:f>IF(K2132&gt;0,R2132/K2132,"")</x:f>
        <x:v>0.2255555555555556</x:v>
      </x:c>
    </x:row>
    <x:row r="2133">
      <x:c r="A2133" s="7" t="n">
        <x:v>2129</x:v>
      </x:c>
      <x:c r="B2133" s="7" t="str">
        <x:v>Tata</x:v>
      </x:c>
      <x:c r="C2133" s="7" t="str">
        <x:v>Punch</x:v>
      </x:c>
      <x:c r="D2133" s="7" t="str">
        <x:v>Adventure AMT</x:v>
      </x:c>
      <x:c r="E2133" s="7" t="str">
        <x:v>Petrol</x:v>
      </x:c>
      <x:c r="F2133" s="7" t="str">
        <x:v>Automatic</x:v>
      </x:c>
      <x:c r="G2133" s="7" t="str">
        <x:v>Micro SUV</x:v>
      </x:c>
      <x:c r="H2133" s="7" t="n">
        <x:v>1199</x:v>
      </x:c>
      <x:c r="I2133" s="7" t="n">
        <x:v>87</x:v>
      </x:c>
      <x:c r="J2133" s="9" t="n">
        <x:v>18.8</x:v>
      </x:c>
      <x:c r="K2133" s="9" t="n">
        <x:v>9</x:v>
      </x:c>
      <x:c r="L2133" s="7" t="n">
        <x:v>2025</x:v>
      </x:c>
      <x:c r="M2133" s="11" t="n">
        <x:v>23811</x:v>
      </x:c>
      <x:c r="N2133" s="7" t="n">
        <x:v>1</x:v>
      </x:c>
      <x:c r="O2133" s="7" t="n">
        <x:v>0</x:v>
      </x:c>
      <x:c r="P2133" s="9" t="n">
        <x:v>8.41</x:v>
      </x:c>
      <x:c r="Q2133" s="7" t="n">
        <x:f>'Guide'!$B$5-L2133</x:f>
        <x:v>1</x:v>
      </x:c>
      <x:c r="R2133" s="9" t="n">
        <x:f>K2133-P2133</x:f>
        <x:v>0.5899999999999999</x:v>
      </x:c>
      <x:c r="S2133" s="10" t="n">
        <x:f>IF(K2133&gt;0,R2133/K2133,"")</x:f>
        <x:v>0.06555555555555553</x:v>
      </x:c>
    </x:row>
    <x:row r="2134">
      <x:c r="A2134" s="7" t="n">
        <x:v>2130</x:v>
      </x:c>
      <x:c r="B2134" s="7" t="str">
        <x:v>Tata</x:v>
      </x:c>
      <x:c r="C2134" s="7" t="str">
        <x:v>Punch</x:v>
      </x:c>
      <x:c r="D2134" s="7" t="str">
        <x:v>Adventure AMT</x:v>
      </x:c>
      <x:c r="E2134" s="7" t="str">
        <x:v>Petrol</x:v>
      </x:c>
      <x:c r="F2134" s="7" t="str">
        <x:v>Automatic</x:v>
      </x:c>
      <x:c r="G2134" s="7" t="str">
        <x:v>Micro SUV</x:v>
      </x:c>
      <x:c r="H2134" s="7" t="n">
        <x:v>1199</x:v>
      </x:c>
      <x:c r="I2134" s="7" t="n">
        <x:v>87</x:v>
      </x:c>
      <x:c r="J2134" s="9" t="n">
        <x:v>18.8</x:v>
      </x:c>
      <x:c r="K2134" s="9" t="n">
        <x:v>9</x:v>
      </x:c>
      <x:c r="L2134" s="7" t="n">
        <x:v>2026</x:v>
      </x:c>
      <x:c r="M2134" s="11" t="n">
        <x:v>8523</x:v>
      </x:c>
      <x:c r="N2134" s="7" t="n">
        <x:v>1</x:v>
      </x:c>
      <x:c r="O2134" s="7" t="n">
        <x:v>0</x:v>
      </x:c>
      <x:c r="P2134" s="9" t="n">
        <x:v>8.61</x:v>
      </x:c>
      <x:c r="Q2134" s="7" t="n">
        <x:f>'Guide'!$B$5-L2134</x:f>
        <x:v>0</x:v>
      </x:c>
      <x:c r="R2134" s="9" t="n">
        <x:f>K2134-P2134</x:f>
        <x:v>0.39000000000000057</x:v>
      </x:c>
      <x:c r="S2134" s="10" t="n">
        <x:f>IF(K2134&gt;0,R2134/K2134,"")</x:f>
        <x:v>0.0433333333333334</x:v>
      </x:c>
    </x:row>
    <x:row r="2135">
      <x:c r="A2135" s="7" t="n">
        <x:v>2131</x:v>
      </x:c>
      <x:c r="B2135" s="7" t="str">
        <x:v>Tata</x:v>
      </x:c>
      <x:c r="C2135" s="7" t="str">
        <x:v>Punch</x:v>
      </x:c>
      <x:c r="D2135" s="7" t="str">
        <x:v>Adventure AMT</x:v>
      </x:c>
      <x:c r="E2135" s="7" t="str">
        <x:v>Petrol</x:v>
      </x:c>
      <x:c r="F2135" s="7" t="str">
        <x:v>Automatic</x:v>
      </x:c>
      <x:c r="G2135" s="7" t="str">
        <x:v>Micro SUV</x:v>
      </x:c>
      <x:c r="H2135" s="7" t="n">
        <x:v>1199</x:v>
      </x:c>
      <x:c r="I2135" s="7" t="n">
        <x:v>87</x:v>
      </x:c>
      <x:c r="J2135" s="9" t="n">
        <x:v>18.8</x:v>
      </x:c>
      <x:c r="K2135" s="9" t="n">
        <x:v>9</x:v>
      </x:c>
      <x:c r="L2135" s="7" t="n">
        <x:v>2026</x:v>
      </x:c>
      <x:c r="M2135" s="11" t="n">
        <x:v>8009</x:v>
      </x:c>
      <x:c r="N2135" s="7" t="n">
        <x:v>2</x:v>
      </x:c>
      <x:c r="O2135" s="7" t="n">
        <x:v>0</x:v>
      </x:c>
      <x:c r="P2135" s="9" t="n">
        <x:v>8.36</x:v>
      </x:c>
      <x:c r="Q2135" s="7" t="n">
        <x:f>'Guide'!$B$5-L2135</x:f>
        <x:v>0</x:v>
      </x:c>
      <x:c r="R2135" s="9" t="n">
        <x:f>K2135-P2135</x:f>
        <x:v>0.6400000000000006</x:v>
      </x:c>
      <x:c r="S2135" s="10" t="n">
        <x:f>IF(K2135&gt;0,R2135/K2135,"")</x:f>
        <x:v>0.07111111111111118</x:v>
      </x:c>
    </x:row>
    <x:row r="2136">
      <x:c r="A2136" s="7" t="n">
        <x:v>2132</x:v>
      </x:c>
      <x:c r="B2136" s="7" t="str">
        <x:v>Tata</x:v>
      </x:c>
      <x:c r="C2136" s="7" t="str">
        <x:v>Punch</x:v>
      </x:c>
      <x:c r="D2136" s="7" t="str">
        <x:v>Adventure AMT</x:v>
      </x:c>
      <x:c r="E2136" s="7" t="str">
        <x:v>Petrol</x:v>
      </x:c>
      <x:c r="F2136" s="7" t="str">
        <x:v>Automatic</x:v>
      </x:c>
      <x:c r="G2136" s="7" t="str">
        <x:v>Micro SUV</x:v>
      </x:c>
      <x:c r="H2136" s="7" t="n">
        <x:v>1199</x:v>
      </x:c>
      <x:c r="I2136" s="7" t="n">
        <x:v>87</x:v>
      </x:c>
      <x:c r="J2136" s="9" t="n">
        <x:v>18.8</x:v>
      </x:c>
      <x:c r="K2136" s="9" t="n">
        <x:v>9</x:v>
      </x:c>
      <x:c r="L2136" s="7" t="n">
        <x:v>2021</x:v>
      </x:c>
      <x:c r="M2136" s="11" t="n">
        <x:v>104209</x:v>
      </x:c>
      <x:c r="N2136" s="7" t="n">
        <x:v>1</x:v>
      </x:c>
      <x:c r="O2136" s="7" t="n">
        <x:v>0</x:v>
      </x:c>
      <x:c r="P2136" s="9" t="n">
        <x:v>4.49</x:v>
      </x:c>
      <x:c r="Q2136" s="7" t="n">
        <x:f>'Guide'!$B$5-L2136</x:f>
        <x:v>5</x:v>
      </x:c>
      <x:c r="R2136" s="9" t="n">
        <x:f>K2136-P2136</x:f>
        <x:v>4.51</x:v>
      </x:c>
      <x:c r="S2136" s="10" t="n">
        <x:f>IF(K2136&gt;0,R2136/K2136,"")</x:f>
        <x:v>0.5011111111111111</x:v>
      </x:c>
    </x:row>
    <x:row r="2137">
      <x:c r="A2137" s="7" t="n">
        <x:v>2133</x:v>
      </x:c>
      <x:c r="B2137" s="7" t="str">
        <x:v>Tata</x:v>
      </x:c>
      <x:c r="C2137" s="7" t="str">
        <x:v>Punch</x:v>
      </x:c>
      <x:c r="D2137" s="7" t="str">
        <x:v>Adventure AMT</x:v>
      </x:c>
      <x:c r="E2137" s="7" t="str">
        <x:v>Petrol</x:v>
      </x:c>
      <x:c r="F2137" s="7" t="str">
        <x:v>Automatic</x:v>
      </x:c>
      <x:c r="G2137" s="7" t="str">
        <x:v>Micro SUV</x:v>
      </x:c>
      <x:c r="H2137" s="7" t="n">
        <x:v>1199</x:v>
      </x:c>
      <x:c r="I2137" s="7" t="n">
        <x:v>87</x:v>
      </x:c>
      <x:c r="J2137" s="9" t="n">
        <x:v>18.8</x:v>
      </x:c>
      <x:c r="K2137" s="9" t="n">
        <x:v>9</x:v>
      </x:c>
      <x:c r="L2137" s="7" t="n">
        <x:v>2021</x:v>
      </x:c>
      <x:c r="M2137" s="11" t="n">
        <x:v>94401</x:v>
      </x:c>
      <x:c r="N2137" s="7" t="n">
        <x:v>1</x:v>
      </x:c>
      <x:c r="O2137" s="7" t="n">
        <x:v>0</x:v>
      </x:c>
      <x:c r="P2137" s="9" t="n">
        <x:v>4.4</x:v>
      </x:c>
      <x:c r="Q2137" s="7" t="n">
        <x:f>'Guide'!$B$5-L2137</x:f>
        <x:v>5</x:v>
      </x:c>
      <x:c r="R2137" s="9" t="n">
        <x:f>K2137-P2137</x:f>
        <x:v>4.6</x:v>
      </x:c>
      <x:c r="S2137" s="10" t="n">
        <x:f>IF(K2137&gt;0,R2137/K2137,"")</x:f>
        <x:v>0.5111111111111111</x:v>
      </x:c>
    </x:row>
    <x:row r="2138">
      <x:c r="A2138" s="7" t="n">
        <x:v>2134</x:v>
      </x:c>
      <x:c r="B2138" s="7" t="str">
        <x:v>Tata</x:v>
      </x:c>
      <x:c r="C2138" s="7" t="str">
        <x:v>Punch</x:v>
      </x:c>
      <x:c r="D2138" s="7" t="str">
        <x:v>Adventure AMT</x:v>
      </x:c>
      <x:c r="E2138" s="7" t="str">
        <x:v>Petrol</x:v>
      </x:c>
      <x:c r="F2138" s="7" t="str">
        <x:v>Automatic</x:v>
      </x:c>
      <x:c r="G2138" s="7" t="str">
        <x:v>Micro SUV</x:v>
      </x:c>
      <x:c r="H2138" s="7" t="n">
        <x:v>1199</x:v>
      </x:c>
      <x:c r="I2138" s="7" t="n">
        <x:v>87</x:v>
      </x:c>
      <x:c r="J2138" s="9" t="n">
        <x:v>18.8</x:v>
      </x:c>
      <x:c r="K2138" s="9" t="n">
        <x:v>9</x:v>
      </x:c>
      <x:c r="L2138" s="7" t="n">
        <x:v>2023</x:v>
      </x:c>
      <x:c r="M2138" s="11" t="n">
        <x:v>41608</x:v>
      </x:c>
      <x:c r="N2138" s="7" t="n">
        <x:v>1</x:v>
      </x:c>
      <x:c r="O2138" s="7" t="n">
        <x:v>0</x:v>
      </x:c>
      <x:c r="P2138" s="9" t="n">
        <x:v>6.05</x:v>
      </x:c>
      <x:c r="Q2138" s="7" t="n">
        <x:f>'Guide'!$B$5-L2138</x:f>
        <x:v>3</x:v>
      </x:c>
      <x:c r="R2138" s="9" t="n">
        <x:f>K2138-P2138</x:f>
        <x:v>2.95</x:v>
      </x:c>
      <x:c r="S2138" s="10" t="n">
        <x:f>IF(K2138&gt;0,R2138/K2138,"")</x:f>
        <x:v>0.3277777777777778</x:v>
      </x:c>
    </x:row>
    <x:row r="2139">
      <x:c r="A2139" s="7" t="n">
        <x:v>2135</x:v>
      </x:c>
      <x:c r="B2139" s="7" t="str">
        <x:v>Tata</x:v>
      </x:c>
      <x:c r="C2139" s="7" t="str">
        <x:v>Punch</x:v>
      </x:c>
      <x:c r="D2139" s="7" t="str">
        <x:v>Adventure AMT</x:v>
      </x:c>
      <x:c r="E2139" s="7" t="str">
        <x:v>Petrol</x:v>
      </x:c>
      <x:c r="F2139" s="7" t="str">
        <x:v>Automatic</x:v>
      </x:c>
      <x:c r="G2139" s="7" t="str">
        <x:v>Micro SUV</x:v>
      </x:c>
      <x:c r="H2139" s="7" t="n">
        <x:v>1199</x:v>
      </x:c>
      <x:c r="I2139" s="7" t="n">
        <x:v>87</x:v>
      </x:c>
      <x:c r="J2139" s="9" t="n">
        <x:v>18.8</x:v>
      </x:c>
      <x:c r="K2139" s="9" t="n">
        <x:v>9</x:v>
      </x:c>
      <x:c r="L2139" s="7" t="n">
        <x:v>2020</x:v>
      </x:c>
      <x:c r="M2139" s="11" t="n">
        <x:v>121109</x:v>
      </x:c>
      <x:c r="N2139" s="7" t="n">
        <x:v>1</x:v>
      </x:c>
      <x:c r="O2139" s="7" t="n">
        <x:v>0</x:v>
      </x:c>
      <x:c r="P2139" s="9" t="n">
        <x:v>3.5</x:v>
      </x:c>
      <x:c r="Q2139" s="7" t="n">
        <x:f>'Guide'!$B$5-L2139</x:f>
        <x:v>6</x:v>
      </x:c>
      <x:c r="R2139" s="9" t="n">
        <x:f>K2139-P2139</x:f>
        <x:v>5.5</x:v>
      </x:c>
      <x:c r="S2139" s="10" t="n">
        <x:f>IF(K2139&gt;0,R2139/K2139,"")</x:f>
        <x:v>0.6111111111111112</x:v>
      </x:c>
    </x:row>
    <x:row r="2140">
      <x:c r="A2140" s="7" t="n">
        <x:v>2136</x:v>
      </x:c>
      <x:c r="B2140" s="7" t="str">
        <x:v>Tata</x:v>
      </x:c>
      <x:c r="C2140" s="7" t="str">
        <x:v>Punch</x:v>
      </x:c>
      <x:c r="D2140" s="7" t="str">
        <x:v>Adventure AMT</x:v>
      </x:c>
      <x:c r="E2140" s="7" t="str">
        <x:v>Petrol</x:v>
      </x:c>
      <x:c r="F2140" s="7" t="str">
        <x:v>Automatic</x:v>
      </x:c>
      <x:c r="G2140" s="7" t="str">
        <x:v>Micro SUV</x:v>
      </x:c>
      <x:c r="H2140" s="7" t="n">
        <x:v>1199</x:v>
      </x:c>
      <x:c r="I2140" s="7" t="n">
        <x:v>87</x:v>
      </x:c>
      <x:c r="J2140" s="9" t="n">
        <x:v>18.8</x:v>
      </x:c>
      <x:c r="K2140" s="9" t="n">
        <x:v>9</x:v>
      </x:c>
      <x:c r="L2140" s="7" t="n">
        <x:v>2024</x:v>
      </x:c>
      <x:c r="M2140" s="11" t="n">
        <x:v>34590</x:v>
      </x:c>
      <x:c r="N2140" s="7" t="n">
        <x:v>2</x:v>
      </x:c>
      <x:c r="O2140" s="7" t="n">
        <x:v>1</x:v>
      </x:c>
      <x:c r="P2140" s="9" t="n">
        <x:v>5.86</x:v>
      </x:c>
      <x:c r="Q2140" s="7" t="n">
        <x:f>'Guide'!$B$5-L2140</x:f>
        <x:v>2</x:v>
      </x:c>
      <x:c r="R2140" s="9" t="n">
        <x:f>K2140-P2140</x:f>
        <x:v>3.1399999999999997</x:v>
      </x:c>
      <x:c r="S2140" s="10" t="n">
        <x:f>IF(K2140&gt;0,R2140/K2140,"")</x:f>
        <x:v>0.34888888888888886</x:v>
      </x:c>
    </x:row>
    <x:row r="2141">
      <x:c r="A2141" s="7" t="n">
        <x:v>2137</x:v>
      </x:c>
      <x:c r="B2141" s="7" t="str">
        <x:v>Tata</x:v>
      </x:c>
      <x:c r="C2141" s="7" t="str">
        <x:v>Punch</x:v>
      </x:c>
      <x:c r="D2141" s="7" t="str">
        <x:v>Adventure AMT</x:v>
      </x:c>
      <x:c r="E2141" s="7" t="str">
        <x:v>Petrol</x:v>
      </x:c>
      <x:c r="F2141" s="7" t="str">
        <x:v>Automatic</x:v>
      </x:c>
      <x:c r="G2141" s="7" t="str">
        <x:v>Micro SUV</x:v>
      </x:c>
      <x:c r="H2141" s="7" t="n">
        <x:v>1199</x:v>
      </x:c>
      <x:c r="I2141" s="7" t="n">
        <x:v>87</x:v>
      </x:c>
      <x:c r="J2141" s="9" t="n">
        <x:v>18.8</x:v>
      </x:c>
      <x:c r="K2141" s="9" t="n">
        <x:v>9</x:v>
      </x:c>
      <x:c r="L2141" s="7" t="n">
        <x:v>2021</x:v>
      </x:c>
      <x:c r="M2141" s="11" t="n">
        <x:v>62667</x:v>
      </x:c>
      <x:c r="N2141" s="7" t="n">
        <x:v>1</x:v>
      </x:c>
      <x:c r="O2141" s="7" t="n">
        <x:v>1</x:v>
      </x:c>
      <x:c r="P2141" s="9" t="n">
        <x:v>3.62</x:v>
      </x:c>
      <x:c r="Q2141" s="7" t="n">
        <x:f>'Guide'!$B$5-L2141</x:f>
        <x:v>5</x:v>
      </x:c>
      <x:c r="R2141" s="9" t="n">
        <x:f>K2141-P2141</x:f>
        <x:v>5.38</x:v>
      </x:c>
      <x:c r="S2141" s="10" t="n">
        <x:f>IF(K2141&gt;0,R2141/K2141,"")</x:f>
        <x:v>0.5977777777777777</x:v>
      </x:c>
    </x:row>
    <x:row r="2142">
      <x:c r="A2142" s="7" t="n">
        <x:v>2138</x:v>
      </x:c>
      <x:c r="B2142" s="7" t="str">
        <x:v>Tata</x:v>
      </x:c>
      <x:c r="C2142" s="7" t="str">
        <x:v>Punch</x:v>
      </x:c>
      <x:c r="D2142" s="7" t="str">
        <x:v>Adventure AMT</x:v>
      </x:c>
      <x:c r="E2142" s="7" t="str">
        <x:v>Petrol</x:v>
      </x:c>
      <x:c r="F2142" s="7" t="str">
        <x:v>Automatic</x:v>
      </x:c>
      <x:c r="G2142" s="7" t="str">
        <x:v>Micro SUV</x:v>
      </x:c>
      <x:c r="H2142" s="7" t="n">
        <x:v>1199</x:v>
      </x:c>
      <x:c r="I2142" s="7" t="n">
        <x:v>87</x:v>
      </x:c>
      <x:c r="J2142" s="9" t="n">
        <x:v>18.8</x:v>
      </x:c>
      <x:c r="K2142" s="9" t="n">
        <x:v>9</x:v>
      </x:c>
      <x:c r="L2142" s="7" t="n">
        <x:v>2026</x:v>
      </x:c>
      <x:c r="M2142" s="11" t="n">
        <x:v>9528</x:v>
      </x:c>
      <x:c r="N2142" s="7" t="n">
        <x:v>1</x:v>
      </x:c>
      <x:c r="O2142" s="7" t="n">
        <x:v>0</x:v>
      </x:c>
      <x:c r="P2142" s="9" t="n">
        <x:v>8.75</x:v>
      </x:c>
      <x:c r="Q2142" s="7" t="n">
        <x:f>'Guide'!$B$5-L2142</x:f>
        <x:v>0</x:v>
      </x:c>
      <x:c r="R2142" s="9" t="n">
        <x:f>K2142-P2142</x:f>
        <x:v>0.25</x:v>
      </x:c>
      <x:c r="S2142" s="10" t="n">
        <x:f>IF(K2142&gt;0,R2142/K2142,"")</x:f>
        <x:v>0.027777777777777776</x:v>
      </x:c>
    </x:row>
    <x:row r="2143">
      <x:c r="A2143" s="7" t="n">
        <x:v>2139</x:v>
      </x:c>
      <x:c r="B2143" s="7" t="str">
        <x:v>Tata</x:v>
      </x:c>
      <x:c r="C2143" s="7" t="str">
        <x:v>Punch</x:v>
      </x:c>
      <x:c r="D2143" s="7" t="str">
        <x:v>Adventure AMT</x:v>
      </x:c>
      <x:c r="E2143" s="7" t="str">
        <x:v>Petrol</x:v>
      </x:c>
      <x:c r="F2143" s="7" t="str">
        <x:v>Automatic</x:v>
      </x:c>
      <x:c r="G2143" s="7" t="str">
        <x:v>Micro SUV</x:v>
      </x:c>
      <x:c r="H2143" s="7" t="n">
        <x:v>1199</x:v>
      </x:c>
      <x:c r="I2143" s="7" t="n">
        <x:v>87</x:v>
      </x:c>
      <x:c r="J2143" s="9" t="n">
        <x:v>18.8</x:v>
      </x:c>
      <x:c r="K2143" s="9" t="n">
        <x:v>9</x:v>
      </x:c>
      <x:c r="L2143" s="7" t="n">
        <x:v>2024</x:v>
      </x:c>
      <x:c r="M2143" s="11" t="n">
        <x:v>46579</x:v>
      </x:c>
      <x:c r="N2143" s="7" t="n">
        <x:v>3</x:v>
      </x:c>
      <x:c r="O2143" s="7" t="n">
        <x:v>0</x:v>
      </x:c>
      <x:c r="P2143" s="9" t="n">
        <x:v>6.23</x:v>
      </x:c>
      <x:c r="Q2143" s="7" t="n">
        <x:f>'Guide'!$B$5-L2143</x:f>
        <x:v>2</x:v>
      </x:c>
      <x:c r="R2143" s="9" t="n">
        <x:f>K2143-P2143</x:f>
        <x:v>2.7699999999999996</x:v>
      </x:c>
      <x:c r="S2143" s="10" t="n">
        <x:f>IF(K2143&gt;0,R2143/K2143,"")</x:f>
        <x:v>0.3077777777777777</x:v>
      </x:c>
    </x:row>
    <x:row r="2144">
      <x:c r="A2144" s="7" t="n">
        <x:v>2140</x:v>
      </x:c>
      <x:c r="B2144" s="7" t="str">
        <x:v>Tata</x:v>
      </x:c>
      <x:c r="C2144" s="7" t="str">
        <x:v>Punch</x:v>
      </x:c>
      <x:c r="D2144" s="7" t="str">
        <x:v>Adventure AMT</x:v>
      </x:c>
      <x:c r="E2144" s="7" t="str">
        <x:v>Petrol</x:v>
      </x:c>
      <x:c r="F2144" s="7" t="str">
        <x:v>Automatic</x:v>
      </x:c>
      <x:c r="G2144" s="7" t="str">
        <x:v>Micro SUV</x:v>
      </x:c>
      <x:c r="H2144" s="7" t="n">
        <x:v>1199</x:v>
      </x:c>
      <x:c r="I2144" s="7" t="n">
        <x:v>87</x:v>
      </x:c>
      <x:c r="J2144" s="9" t="n">
        <x:v>18.8</x:v>
      </x:c>
      <x:c r="K2144" s="9" t="n">
        <x:v>9</x:v>
      </x:c>
      <x:c r="L2144" s="7" t="n">
        <x:v>2021</x:v>
      </x:c>
      <x:c r="M2144" s="11" t="n">
        <x:v>67842</x:v>
      </x:c>
      <x:c r="N2144" s="7" t="n">
        <x:v>1</x:v>
      </x:c>
      <x:c r="O2144" s="7" t="n">
        <x:v>0</x:v>
      </x:c>
      <x:c r="P2144" s="9" t="n">
        <x:v>4.38</x:v>
      </x:c>
      <x:c r="Q2144" s="7" t="n">
        <x:f>'Guide'!$B$5-L2144</x:f>
        <x:v>5</x:v>
      </x:c>
      <x:c r="R2144" s="9" t="n">
        <x:f>K2144-P2144</x:f>
        <x:v>4.62</x:v>
      </x:c>
      <x:c r="S2144" s="10" t="n">
        <x:f>IF(K2144&gt;0,R2144/K2144,"")</x:f>
        <x:v>0.5133333333333333</x:v>
      </x:c>
    </x:row>
    <x:row r="2145">
      <x:c r="A2145" s="7" t="n">
        <x:v>2141</x:v>
      </x:c>
      <x:c r="B2145" s="7" t="str">
        <x:v>Tata</x:v>
      </x:c>
      <x:c r="C2145" s="7" t="str">
        <x:v>Punch</x:v>
      </x:c>
      <x:c r="D2145" s="7" t="str">
        <x:v>Adventure AMT</x:v>
      </x:c>
      <x:c r="E2145" s="7" t="str">
        <x:v>Petrol</x:v>
      </x:c>
      <x:c r="F2145" s="7" t="str">
        <x:v>Automatic</x:v>
      </x:c>
      <x:c r="G2145" s="7" t="str">
        <x:v>Micro SUV</x:v>
      </x:c>
      <x:c r="H2145" s="7" t="n">
        <x:v>1199</x:v>
      </x:c>
      <x:c r="I2145" s="7" t="n">
        <x:v>87</x:v>
      </x:c>
      <x:c r="J2145" s="9" t="n">
        <x:v>18.8</x:v>
      </x:c>
      <x:c r="K2145" s="9" t="n">
        <x:v>9</x:v>
      </x:c>
      <x:c r="L2145" s="7" t="n">
        <x:v>2020</x:v>
      </x:c>
      <x:c r="M2145" s="11" t="n">
        <x:v>74514</x:v>
      </x:c>
      <x:c r="N2145" s="7" t="n">
        <x:v>1</x:v>
      </x:c>
      <x:c r="O2145" s="7" t="n">
        <x:v>0</x:v>
      </x:c>
      <x:c r="P2145" s="9" t="n">
        <x:v>3.64</x:v>
      </x:c>
      <x:c r="Q2145" s="7" t="n">
        <x:f>'Guide'!$B$5-L2145</x:f>
        <x:v>6</x:v>
      </x:c>
      <x:c r="R2145" s="9" t="n">
        <x:f>K2145-P2145</x:f>
        <x:v>5.359999999999999</x:v>
      </x:c>
      <x:c r="S2145" s="10" t="n">
        <x:f>IF(K2145&gt;0,R2145/K2145,"")</x:f>
        <x:v>0.5955555555555555</x:v>
      </x:c>
    </x:row>
    <x:row r="2146">
      <x:c r="A2146" s="7" t="n">
        <x:v>2142</x:v>
      </x:c>
      <x:c r="B2146" s="7" t="str">
        <x:v>Tata</x:v>
      </x:c>
      <x:c r="C2146" s="7" t="str">
        <x:v>Punch</x:v>
      </x:c>
      <x:c r="D2146" s="7" t="str">
        <x:v>Adventure AMT</x:v>
      </x:c>
      <x:c r="E2146" s="7" t="str">
        <x:v>Petrol</x:v>
      </x:c>
      <x:c r="F2146" s="7" t="str">
        <x:v>Automatic</x:v>
      </x:c>
      <x:c r="G2146" s="7" t="str">
        <x:v>Micro SUV</x:v>
      </x:c>
      <x:c r="H2146" s="7" t="n">
        <x:v>1199</x:v>
      </x:c>
      <x:c r="I2146" s="7" t="n">
        <x:v>87</x:v>
      </x:c>
      <x:c r="J2146" s="9" t="n">
        <x:v>18.8</x:v>
      </x:c>
      <x:c r="K2146" s="9" t="n">
        <x:v>9</x:v>
      </x:c>
      <x:c r="L2146" s="7" t="n">
        <x:v>2020</x:v>
      </x:c>
      <x:c r="M2146" s="11" t="n">
        <x:v>83482</x:v>
      </x:c>
      <x:c r="N2146" s="7" t="n">
        <x:v>1</x:v>
      </x:c>
      <x:c r="O2146" s="7" t="n">
        <x:v>0</x:v>
      </x:c>
      <x:c r="P2146" s="9" t="n">
        <x:v>3.68</x:v>
      </x:c>
      <x:c r="Q2146" s="7" t="n">
        <x:f>'Guide'!$B$5-L2146</x:f>
        <x:v>6</x:v>
      </x:c>
      <x:c r="R2146" s="9" t="n">
        <x:f>K2146-P2146</x:f>
        <x:v>5.32</x:v>
      </x:c>
      <x:c r="S2146" s="10" t="n">
        <x:f>IF(K2146&gt;0,R2146/K2146,"")</x:f>
        <x:v>0.5911111111111111</x:v>
      </x:c>
    </x:row>
    <x:row r="2147">
      <x:c r="A2147" s="7" t="n">
        <x:v>2143</x:v>
      </x:c>
      <x:c r="B2147" s="7" t="str">
        <x:v>Tata</x:v>
      </x:c>
      <x:c r="C2147" s="7" t="str">
        <x:v>Punch</x:v>
      </x:c>
      <x:c r="D2147" s="7" t="str">
        <x:v>Adventure AMT</x:v>
      </x:c>
      <x:c r="E2147" s="7" t="str">
        <x:v>Petrol</x:v>
      </x:c>
      <x:c r="F2147" s="7" t="str">
        <x:v>Automatic</x:v>
      </x:c>
      <x:c r="G2147" s="7" t="str">
        <x:v>Micro SUV</x:v>
      </x:c>
      <x:c r="H2147" s="7" t="n">
        <x:v>1199</x:v>
      </x:c>
      <x:c r="I2147" s="7" t="n">
        <x:v>87</x:v>
      </x:c>
      <x:c r="J2147" s="9" t="n">
        <x:v>18.8</x:v>
      </x:c>
      <x:c r="K2147" s="9" t="n">
        <x:v>9</x:v>
      </x:c>
      <x:c r="L2147" s="7" t="n">
        <x:v>2020</x:v>
      </x:c>
      <x:c r="M2147" s="11" t="n">
        <x:v>105686</x:v>
      </x:c>
      <x:c r="N2147" s="7" t="n">
        <x:v>2</x:v>
      </x:c>
      <x:c r="O2147" s="7" t="n">
        <x:v>0</x:v>
      </x:c>
      <x:c r="P2147" s="9" t="n">
        <x:v>2.79</x:v>
      </x:c>
      <x:c r="Q2147" s="7" t="n">
        <x:f>'Guide'!$B$5-L2147</x:f>
        <x:v>6</x:v>
      </x:c>
      <x:c r="R2147" s="9" t="n">
        <x:f>K2147-P2147</x:f>
        <x:v>6.21</x:v>
      </x:c>
      <x:c r="S2147" s="10" t="n">
        <x:f>IF(K2147&gt;0,R2147/K2147,"")</x:f>
        <x:v>0.69</x:v>
      </x:c>
    </x:row>
    <x:row r="2148">
      <x:c r="A2148" s="7" t="n">
        <x:v>2144</x:v>
      </x:c>
      <x:c r="B2148" s="7" t="str">
        <x:v>Tata</x:v>
      </x:c>
      <x:c r="C2148" s="7" t="str">
        <x:v>Punch</x:v>
      </x:c>
      <x:c r="D2148" s="7" t="str">
        <x:v>Adventure AMT</x:v>
      </x:c>
      <x:c r="E2148" s="7" t="str">
        <x:v>Petrol</x:v>
      </x:c>
      <x:c r="F2148" s="7" t="str">
        <x:v>Automatic</x:v>
      </x:c>
      <x:c r="G2148" s="7" t="str">
        <x:v>Micro SUV</x:v>
      </x:c>
      <x:c r="H2148" s="7" t="n">
        <x:v>1199</x:v>
      </x:c>
      <x:c r="I2148" s="7" t="n">
        <x:v>87</x:v>
      </x:c>
      <x:c r="J2148" s="9" t="n">
        <x:v>18.8</x:v>
      </x:c>
      <x:c r="K2148" s="9" t="n">
        <x:v>9</x:v>
      </x:c>
      <x:c r="L2148" s="7" t="n">
        <x:v>2022</x:v>
      </x:c>
      <x:c r="M2148" s="11" t="n">
        <x:v>54752</x:v>
      </x:c>
      <x:c r="N2148" s="7" t="n">
        <x:v>2</x:v>
      </x:c>
      <x:c r="O2148" s="7" t="n">
        <x:v>0</x:v>
      </x:c>
      <x:c r="P2148" s="9" t="n">
        <x:v>5.19</x:v>
      </x:c>
      <x:c r="Q2148" s="7" t="n">
        <x:f>'Guide'!$B$5-L2148</x:f>
        <x:v>4</x:v>
      </x:c>
      <x:c r="R2148" s="9" t="n">
        <x:f>K2148-P2148</x:f>
        <x:v>3.8099999999999996</x:v>
      </x:c>
      <x:c r="S2148" s="10" t="n">
        <x:f>IF(K2148&gt;0,R2148/K2148,"")</x:f>
        <x:v>0.4233333333333333</x:v>
      </x:c>
    </x:row>
    <x:row r="2149">
      <x:c r="A2149" s="7" t="n">
        <x:v>2145</x:v>
      </x:c>
      <x:c r="B2149" s="7" t="str">
        <x:v>Tata</x:v>
      </x:c>
      <x:c r="C2149" s="7" t="str">
        <x:v>Punch</x:v>
      </x:c>
      <x:c r="D2149" s="7" t="str">
        <x:v>Adventure AMT</x:v>
      </x:c>
      <x:c r="E2149" s="7" t="str">
        <x:v>Petrol</x:v>
      </x:c>
      <x:c r="F2149" s="7" t="str">
        <x:v>Automatic</x:v>
      </x:c>
      <x:c r="G2149" s="7" t="str">
        <x:v>Micro SUV</x:v>
      </x:c>
      <x:c r="H2149" s="7" t="n">
        <x:v>1199</x:v>
      </x:c>
      <x:c r="I2149" s="7" t="n">
        <x:v>87</x:v>
      </x:c>
      <x:c r="J2149" s="9" t="n">
        <x:v>18.8</x:v>
      </x:c>
      <x:c r="K2149" s="9" t="n">
        <x:v>9</x:v>
      </x:c>
      <x:c r="L2149" s="7" t="n">
        <x:v>2024</x:v>
      </x:c>
      <x:c r="M2149" s="11" t="n">
        <x:v>43373</x:v>
      </x:c>
      <x:c r="N2149" s="7" t="n">
        <x:v>2</x:v>
      </x:c>
      <x:c r="O2149" s="7" t="n">
        <x:v>0</x:v>
      </x:c>
      <x:c r="P2149" s="9" t="n">
        <x:v>6.59</x:v>
      </x:c>
      <x:c r="Q2149" s="7" t="n">
        <x:f>'Guide'!$B$5-L2149</x:f>
        <x:v>2</x:v>
      </x:c>
      <x:c r="R2149" s="9" t="n">
        <x:f>K2149-P2149</x:f>
        <x:v>2.41</x:v>
      </x:c>
      <x:c r="S2149" s="10" t="n">
        <x:f>IF(K2149&gt;0,R2149/K2149,"")</x:f>
        <x:v>0.2677777777777778</x:v>
      </x:c>
    </x:row>
    <x:row r="2150">
      <x:c r="A2150" s="7" t="n">
        <x:v>2146</x:v>
      </x:c>
      <x:c r="B2150" s="7" t="str">
        <x:v>Tata</x:v>
      </x:c>
      <x:c r="C2150" s="7" t="str">
        <x:v>Punch</x:v>
      </x:c>
      <x:c r="D2150" s="7" t="str">
        <x:v>Adventure AMT</x:v>
      </x:c>
      <x:c r="E2150" s="7" t="str">
        <x:v>Petrol</x:v>
      </x:c>
      <x:c r="F2150" s="7" t="str">
        <x:v>Automatic</x:v>
      </x:c>
      <x:c r="G2150" s="7" t="str">
        <x:v>Micro SUV</x:v>
      </x:c>
      <x:c r="H2150" s="7" t="n">
        <x:v>1199</x:v>
      </x:c>
      <x:c r="I2150" s="7" t="n">
        <x:v>87</x:v>
      </x:c>
      <x:c r="J2150" s="9" t="n">
        <x:v>18.8</x:v>
      </x:c>
      <x:c r="K2150" s="9" t="n">
        <x:v>9</x:v>
      </x:c>
      <x:c r="L2150" s="7" t="n">
        <x:v>2025</x:v>
      </x:c>
      <x:c r="M2150" s="11" t="n">
        <x:v>19721</x:v>
      </x:c>
      <x:c r="N2150" s="7" t="n">
        <x:v>1</x:v>
      </x:c>
      <x:c r="O2150" s="7" t="n">
        <x:v>0</x:v>
      </x:c>
      <x:c r="P2150" s="9" t="n">
        <x:v>7.99</x:v>
      </x:c>
      <x:c r="Q2150" s="7" t="n">
        <x:f>'Guide'!$B$5-L2150</x:f>
        <x:v>1</x:v>
      </x:c>
      <x:c r="R2150" s="9" t="n">
        <x:f>K2150-P2150</x:f>
        <x:v>1.0099999999999998</x:v>
      </x:c>
      <x:c r="S2150" s="10" t="n">
        <x:f>IF(K2150&gt;0,R2150/K2150,"")</x:f>
        <x:v>0.1122222222222222</x:v>
      </x:c>
    </x:row>
    <x:row r="2151">
      <x:c r="A2151" s="7" t="n">
        <x:v>2147</x:v>
      </x:c>
      <x:c r="B2151" s="7" t="str">
        <x:v>Tata</x:v>
      </x:c>
      <x:c r="C2151" s="7" t="str">
        <x:v>Punch</x:v>
      </x:c>
      <x:c r="D2151" s="7" t="str">
        <x:v>Adventure AMT</x:v>
      </x:c>
      <x:c r="E2151" s="7" t="str">
        <x:v>Petrol</x:v>
      </x:c>
      <x:c r="F2151" s="7" t="str">
        <x:v>Automatic</x:v>
      </x:c>
      <x:c r="G2151" s="7" t="str">
        <x:v>Micro SUV</x:v>
      </x:c>
      <x:c r="H2151" s="7" t="n">
        <x:v>1199</x:v>
      </x:c>
      <x:c r="I2151" s="7" t="n">
        <x:v>87</x:v>
      </x:c>
      <x:c r="J2151" s="9" t="n">
        <x:v>18.8</x:v>
      </x:c>
      <x:c r="K2151" s="9" t="n">
        <x:v>9</x:v>
      </x:c>
      <x:c r="L2151" s="7" t="n">
        <x:v>2022</x:v>
      </x:c>
      <x:c r="M2151" s="11" t="n">
        <x:v>54985</x:v>
      </x:c>
      <x:c r="N2151" s="7" t="n">
        <x:v>1</x:v>
      </x:c>
      <x:c r="O2151" s="7" t="n">
        <x:v>0</x:v>
      </x:c>
      <x:c r="P2151" s="9" t="n">
        <x:v>5.18</x:v>
      </x:c>
      <x:c r="Q2151" s="7" t="n">
        <x:f>'Guide'!$B$5-L2151</x:f>
        <x:v>4</x:v>
      </x:c>
      <x:c r="R2151" s="9" t="n">
        <x:f>K2151-P2151</x:f>
        <x:v>3.8200000000000003</x:v>
      </x:c>
      <x:c r="S2151" s="10" t="n">
        <x:f>IF(K2151&gt;0,R2151/K2151,"")</x:f>
        <x:v>0.42444444444444446</x:v>
      </x:c>
    </x:row>
    <x:row r="2152">
      <x:c r="A2152" s="7" t="n">
        <x:v>2148</x:v>
      </x:c>
      <x:c r="B2152" s="7" t="str">
        <x:v>Tata</x:v>
      </x:c>
      <x:c r="C2152" s="7" t="str">
        <x:v>Punch</x:v>
      </x:c>
      <x:c r="D2152" s="7" t="str">
        <x:v>Adventure AMT</x:v>
      </x:c>
      <x:c r="E2152" s="7" t="str">
        <x:v>Petrol</x:v>
      </x:c>
      <x:c r="F2152" s="7" t="str">
        <x:v>Automatic</x:v>
      </x:c>
      <x:c r="G2152" s="7" t="str">
        <x:v>Micro SUV</x:v>
      </x:c>
      <x:c r="H2152" s="7" t="n">
        <x:v>1199</x:v>
      </x:c>
      <x:c r="I2152" s="7" t="n">
        <x:v>87</x:v>
      </x:c>
      <x:c r="J2152" s="9" t="n">
        <x:v>18.8</x:v>
      </x:c>
      <x:c r="K2152" s="9" t="n">
        <x:v>9</x:v>
      </x:c>
      <x:c r="L2152" s="7" t="n">
        <x:v>2023</x:v>
      </x:c>
      <x:c r="M2152" s="11" t="n">
        <x:v>31157</x:v>
      </x:c>
      <x:c r="N2152" s="7" t="n">
        <x:v>1</x:v>
      </x:c>
      <x:c r="O2152" s="7" t="n">
        <x:v>0</x:v>
      </x:c>
      <x:c r="P2152" s="9" t="n">
        <x:v>6.47</x:v>
      </x:c>
      <x:c r="Q2152" s="7" t="n">
        <x:f>'Guide'!$B$5-L2152</x:f>
        <x:v>3</x:v>
      </x:c>
      <x:c r="R2152" s="9" t="n">
        <x:f>K2152-P2152</x:f>
        <x:v>2.5300000000000002</x:v>
      </x:c>
      <x:c r="S2152" s="10" t="n">
        <x:f>IF(K2152&gt;0,R2152/K2152,"")</x:f>
        <x:v>0.28111111111111114</x:v>
      </x:c>
    </x:row>
    <x:row r="2153">
      <x:c r="A2153" s="7" t="n">
        <x:v>2149</x:v>
      </x:c>
      <x:c r="B2153" s="7" t="str">
        <x:v>Tata</x:v>
      </x:c>
      <x:c r="C2153" s="7" t="str">
        <x:v>Punch</x:v>
      </x:c>
      <x:c r="D2153" s="7" t="str">
        <x:v>Adventure AMT</x:v>
      </x:c>
      <x:c r="E2153" s="7" t="str">
        <x:v>Petrol</x:v>
      </x:c>
      <x:c r="F2153" s="7" t="str">
        <x:v>Automatic</x:v>
      </x:c>
      <x:c r="G2153" s="7" t="str">
        <x:v>Micro SUV</x:v>
      </x:c>
      <x:c r="H2153" s="7" t="n">
        <x:v>1199</x:v>
      </x:c>
      <x:c r="I2153" s="7" t="n">
        <x:v>87</x:v>
      </x:c>
      <x:c r="J2153" s="9" t="n">
        <x:v>18.8</x:v>
      </x:c>
      <x:c r="K2153" s="9" t="n">
        <x:v>9</x:v>
      </x:c>
      <x:c r="L2153" s="7" t="n">
        <x:v>2021</x:v>
      </x:c>
      <x:c r="M2153" s="11" t="n">
        <x:v>80220</x:v>
      </x:c>
      <x:c r="N2153" s="7" t="n">
        <x:v>1</x:v>
      </x:c>
      <x:c r="O2153" s="7" t="n">
        <x:v>1</x:v>
      </x:c>
      <x:c r="P2153" s="9" t="n">
        <x:v>3.68</x:v>
      </x:c>
      <x:c r="Q2153" s="7" t="n">
        <x:f>'Guide'!$B$5-L2153</x:f>
        <x:v>5</x:v>
      </x:c>
      <x:c r="R2153" s="9" t="n">
        <x:f>K2153-P2153</x:f>
        <x:v>5.32</x:v>
      </x:c>
      <x:c r="S2153" s="10" t="n">
        <x:f>IF(K2153&gt;0,R2153/K2153,"")</x:f>
        <x:v>0.5911111111111111</x:v>
      </x:c>
    </x:row>
    <x:row r="2154">
      <x:c r="A2154" s="7" t="n">
        <x:v>2150</x:v>
      </x:c>
      <x:c r="B2154" s="7" t="str">
        <x:v>Tata</x:v>
      </x:c>
      <x:c r="C2154" s="7" t="str">
        <x:v>Punch</x:v>
      </x:c>
      <x:c r="D2154" s="7" t="str">
        <x:v>Adventure AMT</x:v>
      </x:c>
      <x:c r="E2154" s="7" t="str">
        <x:v>Petrol</x:v>
      </x:c>
      <x:c r="F2154" s="7" t="str">
        <x:v>Automatic</x:v>
      </x:c>
      <x:c r="G2154" s="7" t="str">
        <x:v>Micro SUV</x:v>
      </x:c>
      <x:c r="H2154" s="7" t="n">
        <x:v>1199</x:v>
      </x:c>
      <x:c r="I2154" s="7" t="n">
        <x:v>87</x:v>
      </x:c>
      <x:c r="J2154" s="9" t="n">
        <x:v>18.8</x:v>
      </x:c>
      <x:c r="K2154" s="9" t="n">
        <x:v>9</x:v>
      </x:c>
      <x:c r="L2154" s="7" t="n">
        <x:v>2020</x:v>
      </x:c>
      <x:c r="M2154" s="11" t="n">
        <x:v>68301</x:v>
      </x:c>
      <x:c r="N2154" s="7" t="n">
        <x:v>1</x:v>
      </x:c>
      <x:c r="O2154" s="7" t="n">
        <x:v>0</x:v>
      </x:c>
      <x:c r="P2154" s="9" t="n">
        <x:v>3.92</x:v>
      </x:c>
      <x:c r="Q2154" s="7" t="n">
        <x:f>'Guide'!$B$5-L2154</x:f>
        <x:v>6</x:v>
      </x:c>
      <x:c r="R2154" s="9" t="n">
        <x:f>K2154-P2154</x:f>
        <x:v>5.08</x:v>
      </x:c>
      <x:c r="S2154" s="10" t="n">
        <x:f>IF(K2154&gt;0,R2154/K2154,"")</x:f>
        <x:v>0.5644444444444444</x:v>
      </x:c>
    </x:row>
    <x:row r="2155">
      <x:c r="A2155" s="7" t="n">
        <x:v>2151</x:v>
      </x:c>
      <x:c r="B2155" s="7" t="str">
        <x:v>Tata</x:v>
      </x:c>
      <x:c r="C2155" s="7" t="str">
        <x:v>Punch</x:v>
      </x:c>
      <x:c r="D2155" s="7" t="str">
        <x:v>Adventure AMT</x:v>
      </x:c>
      <x:c r="E2155" s="7" t="str">
        <x:v>Petrol</x:v>
      </x:c>
      <x:c r="F2155" s="7" t="str">
        <x:v>Automatic</x:v>
      </x:c>
      <x:c r="G2155" s="7" t="str">
        <x:v>Micro SUV</x:v>
      </x:c>
      <x:c r="H2155" s="7" t="n">
        <x:v>1199</x:v>
      </x:c>
      <x:c r="I2155" s="7" t="n">
        <x:v>87</x:v>
      </x:c>
      <x:c r="J2155" s="9" t="n">
        <x:v>18.8</x:v>
      </x:c>
      <x:c r="K2155" s="9" t="n">
        <x:v>9</x:v>
      </x:c>
      <x:c r="L2155" s="7" t="n">
        <x:v>2020</x:v>
      </x:c>
      <x:c r="M2155" s="11" t="n">
        <x:v>127293</x:v>
      </x:c>
      <x:c r="N2155" s="7" t="n">
        <x:v>1</x:v>
      </x:c>
      <x:c r="O2155" s="7" t="n">
        <x:v>1</x:v>
      </x:c>
      <x:c r="P2155" s="9" t="n">
        <x:v>2.66</x:v>
      </x:c>
      <x:c r="Q2155" s="7" t="n">
        <x:f>'Guide'!$B$5-L2155</x:f>
        <x:v>6</x:v>
      </x:c>
      <x:c r="R2155" s="9" t="n">
        <x:f>K2155-P2155</x:f>
        <x:v>6.34</x:v>
      </x:c>
      <x:c r="S2155" s="10" t="n">
        <x:f>IF(K2155&gt;0,R2155/K2155,"")</x:f>
        <x:v>0.7044444444444444</x:v>
      </x:c>
    </x:row>
    <x:row r="2156">
      <x:c r="A2156" s="7" t="n">
        <x:v>2152</x:v>
      </x:c>
      <x:c r="B2156" s="7" t="str">
        <x:v>Tata</x:v>
      </x:c>
      <x:c r="C2156" s="7" t="str">
        <x:v>Punch</x:v>
      </x:c>
      <x:c r="D2156" s="7" t="str">
        <x:v>Adventure AMT</x:v>
      </x:c>
      <x:c r="E2156" s="7" t="str">
        <x:v>Petrol</x:v>
      </x:c>
      <x:c r="F2156" s="7" t="str">
        <x:v>Automatic</x:v>
      </x:c>
      <x:c r="G2156" s="7" t="str">
        <x:v>Micro SUV</x:v>
      </x:c>
      <x:c r="H2156" s="7" t="n">
        <x:v>1199</x:v>
      </x:c>
      <x:c r="I2156" s="7" t="n">
        <x:v>87</x:v>
      </x:c>
      <x:c r="J2156" s="9" t="n">
        <x:v>18.8</x:v>
      </x:c>
      <x:c r="K2156" s="9" t="n">
        <x:v>9</x:v>
      </x:c>
      <x:c r="L2156" s="7" t="n">
        <x:v>2020</x:v>
      </x:c>
      <x:c r="M2156" s="11" t="n">
        <x:v>90836</x:v>
      </x:c>
      <x:c r="N2156" s="7" t="n">
        <x:v>1</x:v>
      </x:c>
      <x:c r="O2156" s="7" t="n">
        <x:v>0</x:v>
      </x:c>
      <x:c r="P2156" s="9" t="n">
        <x:v>3.98</x:v>
      </x:c>
      <x:c r="Q2156" s="7" t="n">
        <x:f>'Guide'!$B$5-L2156</x:f>
        <x:v>6</x:v>
      </x:c>
      <x:c r="R2156" s="9" t="n">
        <x:f>K2156-P2156</x:f>
        <x:v>5.02</x:v>
      </x:c>
      <x:c r="S2156" s="10" t="n">
        <x:f>IF(K2156&gt;0,R2156/K2156,"")</x:f>
        <x:v>0.5577777777777777</x:v>
      </x:c>
    </x:row>
    <x:row r="2157">
      <x:c r="A2157" s="7" t="n">
        <x:v>2153</x:v>
      </x:c>
      <x:c r="B2157" s="7" t="str">
        <x:v>Tata</x:v>
      </x:c>
      <x:c r="C2157" s="7" t="str">
        <x:v>Punch</x:v>
      </x:c>
      <x:c r="D2157" s="7" t="str">
        <x:v>Adventure AMT</x:v>
      </x:c>
      <x:c r="E2157" s="7" t="str">
        <x:v>Petrol</x:v>
      </x:c>
      <x:c r="F2157" s="7" t="str">
        <x:v>Automatic</x:v>
      </x:c>
      <x:c r="G2157" s="7" t="str">
        <x:v>Micro SUV</x:v>
      </x:c>
      <x:c r="H2157" s="7" t="n">
        <x:v>1199</x:v>
      </x:c>
      <x:c r="I2157" s="7" t="n">
        <x:v>87</x:v>
      </x:c>
      <x:c r="J2157" s="9" t="n">
        <x:v>18.8</x:v>
      </x:c>
      <x:c r="K2157" s="9" t="n">
        <x:v>9</x:v>
      </x:c>
      <x:c r="L2157" s="7" t="n">
        <x:v>2022</x:v>
      </x:c>
      <x:c r="M2157" s="11" t="n">
        <x:v>86169</x:v>
      </x:c>
      <x:c r="N2157" s="7" t="n">
        <x:v>1</x:v>
      </x:c>
      <x:c r="O2157" s="7" t="n">
        <x:v>0</x:v>
      </x:c>
      <x:c r="P2157" s="9" t="n">
        <x:v>5.52</x:v>
      </x:c>
      <x:c r="Q2157" s="7" t="n">
        <x:f>'Guide'!$B$5-L2157</x:f>
        <x:v>4</x:v>
      </x:c>
      <x:c r="R2157" s="9" t="n">
        <x:f>K2157-P2157</x:f>
        <x:v>3.4800000000000004</x:v>
      </x:c>
      <x:c r="S2157" s="10" t="n">
        <x:f>IF(K2157&gt;0,R2157/K2157,"")</x:f>
        <x:v>0.3866666666666667</x:v>
      </x:c>
    </x:row>
    <x:row r="2158">
      <x:c r="A2158" s="7" t="n">
        <x:v>2154</x:v>
      </x:c>
      <x:c r="B2158" s="7" t="str">
        <x:v>Tata</x:v>
      </x:c>
      <x:c r="C2158" s="7" t="str">
        <x:v>Punch</x:v>
      </x:c>
      <x:c r="D2158" s="7" t="str">
        <x:v>Adventure AMT</x:v>
      </x:c>
      <x:c r="E2158" s="7" t="str">
        <x:v>Petrol</x:v>
      </x:c>
      <x:c r="F2158" s="7" t="str">
        <x:v>Automatic</x:v>
      </x:c>
      <x:c r="G2158" s="7" t="str">
        <x:v>Micro SUV</x:v>
      </x:c>
      <x:c r="H2158" s="7" t="n">
        <x:v>1199</x:v>
      </x:c>
      <x:c r="I2158" s="7" t="n">
        <x:v>87</x:v>
      </x:c>
      <x:c r="J2158" s="9" t="n">
        <x:v>18.8</x:v>
      </x:c>
      <x:c r="K2158" s="9" t="n">
        <x:v>9</x:v>
      </x:c>
      <x:c r="L2158" s="7" t="n">
        <x:v>2026</x:v>
      </x:c>
      <x:c r="M2158" s="11" t="n">
        <x:v>7631</x:v>
      </x:c>
      <x:c r="N2158" s="7" t="n">
        <x:v>1</x:v>
      </x:c>
      <x:c r="O2158" s="7" t="n">
        <x:v>0</x:v>
      </x:c>
      <x:c r="P2158" s="9" t="n">
        <x:v>8.75</x:v>
      </x:c>
      <x:c r="Q2158" s="7" t="n">
        <x:f>'Guide'!$B$5-L2158</x:f>
        <x:v>0</x:v>
      </x:c>
      <x:c r="R2158" s="9" t="n">
        <x:f>K2158-P2158</x:f>
        <x:v>0.25</x:v>
      </x:c>
      <x:c r="S2158" s="10" t="n">
        <x:f>IF(K2158&gt;0,R2158/K2158,"")</x:f>
        <x:v>0.027777777777777776</x:v>
      </x:c>
    </x:row>
    <x:row r="2159">
      <x:c r="A2159" s="7" t="n">
        <x:v>2155</x:v>
      </x:c>
      <x:c r="B2159" s="7" t="str">
        <x:v>Tata</x:v>
      </x:c>
      <x:c r="C2159" s="7" t="str">
        <x:v>Punch</x:v>
      </x:c>
      <x:c r="D2159" s="7" t="str">
        <x:v>Adventure AMT</x:v>
      </x:c>
      <x:c r="E2159" s="7" t="str">
        <x:v>Petrol</x:v>
      </x:c>
      <x:c r="F2159" s="7" t="str">
        <x:v>Automatic</x:v>
      </x:c>
      <x:c r="G2159" s="7" t="str">
        <x:v>Micro SUV</x:v>
      </x:c>
      <x:c r="H2159" s="7" t="n">
        <x:v>1199</x:v>
      </x:c>
      <x:c r="I2159" s="7" t="n">
        <x:v>87</x:v>
      </x:c>
      <x:c r="J2159" s="9" t="n">
        <x:v>18.8</x:v>
      </x:c>
      <x:c r="K2159" s="9" t="n">
        <x:v>9</x:v>
      </x:c>
      <x:c r="L2159" s="7" t="n">
        <x:v>2020</x:v>
      </x:c>
      <x:c r="M2159" s="11" t="n">
        <x:v>99207</x:v>
      </x:c>
      <x:c r="N2159" s="7" t="n">
        <x:v>2</x:v>
      </x:c>
      <x:c r="O2159" s="7" t="n">
        <x:v>0</x:v>
      </x:c>
      <x:c r="P2159" s="9" t="n">
        <x:v>3.17</x:v>
      </x:c>
      <x:c r="Q2159" s="7" t="n">
        <x:f>'Guide'!$B$5-L2159</x:f>
        <x:v>6</x:v>
      </x:c>
      <x:c r="R2159" s="9" t="n">
        <x:f>K2159-P2159</x:f>
        <x:v>5.83</x:v>
      </x:c>
      <x:c r="S2159" s="10" t="n">
        <x:f>IF(K2159&gt;0,R2159/K2159,"")</x:f>
        <x:v>0.6477777777777778</x:v>
      </x:c>
    </x:row>
    <x:row r="2160">
      <x:c r="A2160" s="7" t="n">
        <x:v>2156</x:v>
      </x:c>
      <x:c r="B2160" s="7" t="str">
        <x:v>Tata</x:v>
      </x:c>
      <x:c r="C2160" s="7" t="str">
        <x:v>Punch</x:v>
      </x:c>
      <x:c r="D2160" s="7" t="str">
        <x:v>Adventure AMT</x:v>
      </x:c>
      <x:c r="E2160" s="7" t="str">
        <x:v>Petrol</x:v>
      </x:c>
      <x:c r="F2160" s="7" t="str">
        <x:v>Automatic</x:v>
      </x:c>
      <x:c r="G2160" s="7" t="str">
        <x:v>Micro SUV</x:v>
      </x:c>
      <x:c r="H2160" s="7" t="n">
        <x:v>1199</x:v>
      </x:c>
      <x:c r="I2160" s="7" t="n">
        <x:v>87</x:v>
      </x:c>
      <x:c r="J2160" s="9" t="n">
        <x:v>18.8</x:v>
      </x:c>
      <x:c r="K2160" s="9" t="n">
        <x:v>9</x:v>
      </x:c>
      <x:c r="L2160" s="7" t="n">
        <x:v>2022</x:v>
      </x:c>
      <x:c r="M2160" s="11" t="n">
        <x:v>50791</x:v>
      </x:c>
      <x:c r="N2160" s="7" t="n">
        <x:v>1</x:v>
      </x:c>
      <x:c r="O2160" s="7" t="n">
        <x:v>0</x:v>
      </x:c>
      <x:c r="P2160" s="9" t="n">
        <x:v>5.55</x:v>
      </x:c>
      <x:c r="Q2160" s="7" t="n">
        <x:f>'Guide'!$B$5-L2160</x:f>
        <x:v>4</x:v>
      </x:c>
      <x:c r="R2160" s="9" t="n">
        <x:f>K2160-P2160</x:f>
        <x:v>3.45</x:v>
      </x:c>
      <x:c r="S2160" s="10" t="n">
        <x:f>IF(K2160&gt;0,R2160/K2160,"")</x:f>
        <x:v>0.38333333333333336</x:v>
      </x:c>
    </x:row>
    <x:row r="2161">
      <x:c r="A2161" s="7" t="n">
        <x:v>2157</x:v>
      </x:c>
      <x:c r="B2161" s="7" t="str">
        <x:v>Tata</x:v>
      </x:c>
      <x:c r="C2161" s="7" t="str">
        <x:v>Punch</x:v>
      </x:c>
      <x:c r="D2161" s="7" t="str">
        <x:v>Adventure AMT</x:v>
      </x:c>
      <x:c r="E2161" s="7" t="str">
        <x:v>Petrol</x:v>
      </x:c>
      <x:c r="F2161" s="7" t="str">
        <x:v>Automatic</x:v>
      </x:c>
      <x:c r="G2161" s="7" t="str">
        <x:v>Micro SUV</x:v>
      </x:c>
      <x:c r="H2161" s="7" t="n">
        <x:v>1199</x:v>
      </x:c>
      <x:c r="I2161" s="7" t="n">
        <x:v>87</x:v>
      </x:c>
      <x:c r="J2161" s="9" t="n">
        <x:v>18.8</x:v>
      </x:c>
      <x:c r="K2161" s="9" t="n">
        <x:v>9</x:v>
      </x:c>
      <x:c r="L2161" s="7" t="n">
        <x:v>2020</x:v>
      </x:c>
      <x:c r="M2161" s="11" t="n">
        <x:v>92720</x:v>
      </x:c>
      <x:c r="N2161" s="7" t="n">
        <x:v>2</x:v>
      </x:c>
      <x:c r="O2161" s="7" t="n">
        <x:v>0</x:v>
      </x:c>
      <x:c r="P2161" s="9" t="n">
        <x:v>3.03</x:v>
      </x:c>
      <x:c r="Q2161" s="7" t="n">
        <x:f>'Guide'!$B$5-L2161</x:f>
        <x:v>6</x:v>
      </x:c>
      <x:c r="R2161" s="9" t="n">
        <x:f>K2161-P2161</x:f>
        <x:v>5.970000000000001</x:v>
      </x:c>
      <x:c r="S2161" s="10" t="n">
        <x:f>IF(K2161&gt;0,R2161/K2161,"")</x:f>
        <x:v>0.6633333333333334</x:v>
      </x:c>
    </x:row>
    <x:row r="2162">
      <x:c r="A2162" s="7" t="n">
        <x:v>2158</x:v>
      </x:c>
      <x:c r="B2162" s="7" t="str">
        <x:v>Tata</x:v>
      </x:c>
      <x:c r="C2162" s="7" t="str">
        <x:v>Punch</x:v>
      </x:c>
      <x:c r="D2162" s="7" t="str">
        <x:v>Adventure AMT</x:v>
      </x:c>
      <x:c r="E2162" s="7" t="str">
        <x:v>Petrol</x:v>
      </x:c>
      <x:c r="F2162" s="7" t="str">
        <x:v>Automatic</x:v>
      </x:c>
      <x:c r="G2162" s="7" t="str">
        <x:v>Micro SUV</x:v>
      </x:c>
      <x:c r="H2162" s="7" t="n">
        <x:v>1199</x:v>
      </x:c>
      <x:c r="I2162" s="7" t="n">
        <x:v>87</x:v>
      </x:c>
      <x:c r="J2162" s="9" t="n">
        <x:v>18.8</x:v>
      </x:c>
      <x:c r="K2162" s="9" t="n">
        <x:v>9</x:v>
      </x:c>
      <x:c r="L2162" s="7" t="n">
        <x:v>2021</x:v>
      </x:c>
      <x:c r="M2162" s="11" t="n">
        <x:v>93560</x:v>
      </x:c>
      <x:c r="N2162" s="7" t="n">
        <x:v>1</x:v>
      </x:c>
      <x:c r="O2162" s="7" t="n">
        <x:v>0</x:v>
      </x:c>
      <x:c r="P2162" s="9" t="n">
        <x:v>4.77</x:v>
      </x:c>
      <x:c r="Q2162" s="7" t="n">
        <x:f>'Guide'!$B$5-L2162</x:f>
        <x:v>5</x:v>
      </x:c>
      <x:c r="R2162" s="9" t="n">
        <x:f>K2162-P2162</x:f>
        <x:v>4.23</x:v>
      </x:c>
      <x:c r="S2162" s="10" t="n">
        <x:f>IF(K2162&gt;0,R2162/K2162,"")</x:f>
        <x:v>0.47000000000000003</x:v>
      </x:c>
    </x:row>
    <x:row r="2163">
      <x:c r="A2163" s="7" t="n">
        <x:v>2159</x:v>
      </x:c>
      <x:c r="B2163" s="7" t="str">
        <x:v>Tata</x:v>
      </x:c>
      <x:c r="C2163" s="7" t="str">
        <x:v>Punch</x:v>
      </x:c>
      <x:c r="D2163" s="7" t="str">
        <x:v>Adventure AMT</x:v>
      </x:c>
      <x:c r="E2163" s="7" t="str">
        <x:v>Petrol</x:v>
      </x:c>
      <x:c r="F2163" s="7" t="str">
        <x:v>Automatic</x:v>
      </x:c>
      <x:c r="G2163" s="7" t="str">
        <x:v>Micro SUV</x:v>
      </x:c>
      <x:c r="H2163" s="7" t="n">
        <x:v>1199</x:v>
      </x:c>
      <x:c r="I2163" s="7" t="n">
        <x:v>87</x:v>
      </x:c>
      <x:c r="J2163" s="9" t="n">
        <x:v>18.8</x:v>
      </x:c>
      <x:c r="K2163" s="9" t="n">
        <x:v>9</x:v>
      </x:c>
      <x:c r="L2163" s="7" t="n">
        <x:v>2021</x:v>
      </x:c>
      <x:c r="M2163" s="11" t="n">
        <x:v>57017</x:v>
      </x:c>
      <x:c r="N2163" s="7" t="n">
        <x:v>1</x:v>
      </x:c>
      <x:c r="O2163" s="7" t="n">
        <x:v>0</x:v>
      </x:c>
      <x:c r="P2163" s="9" t="n">
        <x:v>5.11</x:v>
      </x:c>
      <x:c r="Q2163" s="7" t="n">
        <x:f>'Guide'!$B$5-L2163</x:f>
        <x:v>5</x:v>
      </x:c>
      <x:c r="R2163" s="9" t="n">
        <x:f>K2163-P2163</x:f>
        <x:v>3.8899999999999997</x:v>
      </x:c>
      <x:c r="S2163" s="10" t="n">
        <x:f>IF(K2163&gt;0,R2163/K2163,"")</x:f>
        <x:v>0.4322222222222222</x:v>
      </x:c>
    </x:row>
    <x:row r="2164">
      <x:c r="A2164" s="7" t="n">
        <x:v>2160</x:v>
      </x:c>
      <x:c r="B2164" s="7" t="str">
        <x:v>Tata</x:v>
      </x:c>
      <x:c r="C2164" s="7" t="str">
        <x:v>Punch</x:v>
      </x:c>
      <x:c r="D2164" s="7" t="str">
        <x:v>Adventure AMT</x:v>
      </x:c>
      <x:c r="E2164" s="7" t="str">
        <x:v>Petrol</x:v>
      </x:c>
      <x:c r="F2164" s="7" t="str">
        <x:v>Automatic</x:v>
      </x:c>
      <x:c r="G2164" s="7" t="str">
        <x:v>Micro SUV</x:v>
      </x:c>
      <x:c r="H2164" s="7" t="n">
        <x:v>1199</x:v>
      </x:c>
      <x:c r="I2164" s="7" t="n">
        <x:v>87</x:v>
      </x:c>
      <x:c r="J2164" s="9" t="n">
        <x:v>18.8</x:v>
      </x:c>
      <x:c r="K2164" s="9" t="n">
        <x:v>9</x:v>
      </x:c>
      <x:c r="L2164" s="7" t="n">
        <x:v>2025</x:v>
      </x:c>
      <x:c r="M2164" s="11" t="n">
        <x:v>17226</x:v>
      </x:c>
      <x:c r="N2164" s="7" t="n">
        <x:v>1</x:v>
      </x:c>
      <x:c r="O2164" s="7" t="n">
        <x:v>0</x:v>
      </x:c>
      <x:c r="P2164" s="9" t="n">
        <x:v>8.03</x:v>
      </x:c>
      <x:c r="Q2164" s="7" t="n">
        <x:f>'Guide'!$B$5-L2164</x:f>
        <x:v>1</x:v>
      </x:c>
      <x:c r="R2164" s="9" t="n">
        <x:f>K2164-P2164</x:f>
        <x:v>0.9700000000000006</x:v>
      </x:c>
      <x:c r="S2164" s="10" t="n">
        <x:f>IF(K2164&gt;0,R2164/K2164,"")</x:f>
        <x:v>0.10777777777777785</x:v>
      </x:c>
    </x:row>
    <x:row r="2165">
      <x:c r="A2165" s="7" t="n">
        <x:v>2161</x:v>
      </x:c>
      <x:c r="B2165" s="7" t="str">
        <x:v>Tata</x:v>
      </x:c>
      <x:c r="C2165" s="7" t="str">
        <x:v>Punch</x:v>
      </x:c>
      <x:c r="D2165" s="7" t="str">
        <x:v>Adventure AMT</x:v>
      </x:c>
      <x:c r="E2165" s="7" t="str">
        <x:v>Petrol</x:v>
      </x:c>
      <x:c r="F2165" s="7" t="str">
        <x:v>Automatic</x:v>
      </x:c>
      <x:c r="G2165" s="7" t="str">
        <x:v>Micro SUV</x:v>
      </x:c>
      <x:c r="H2165" s="7" t="n">
        <x:v>1199</x:v>
      </x:c>
      <x:c r="I2165" s="7" t="n">
        <x:v>87</x:v>
      </x:c>
      <x:c r="J2165" s="9" t="n">
        <x:v>18.8</x:v>
      </x:c>
      <x:c r="K2165" s="9" t="n">
        <x:v>9</x:v>
      </x:c>
      <x:c r="L2165" s="7" t="n">
        <x:v>2020</x:v>
      </x:c>
      <x:c r="M2165" s="11" t="n">
        <x:v>74917</x:v>
      </x:c>
      <x:c r="N2165" s="7" t="n">
        <x:v>1</x:v>
      </x:c>
      <x:c r="O2165" s="7" t="n">
        <x:v>0</x:v>
      </x:c>
      <x:c r="P2165" s="9" t="n">
        <x:v>4.09</x:v>
      </x:c>
      <x:c r="Q2165" s="7" t="n">
        <x:f>'Guide'!$B$5-L2165</x:f>
        <x:v>6</x:v>
      </x:c>
      <x:c r="R2165" s="9" t="n">
        <x:f>K2165-P2165</x:f>
        <x:v>4.91</x:v>
      </x:c>
      <x:c r="S2165" s="10" t="n">
        <x:f>IF(K2165&gt;0,R2165/K2165,"")</x:f>
        <x:v>0.5455555555555556</x:v>
      </x:c>
    </x:row>
    <x:row r="2166">
      <x:c r="A2166" s="7" t="n">
        <x:v>2162</x:v>
      </x:c>
      <x:c r="B2166" s="7" t="str">
        <x:v>Tata</x:v>
      </x:c>
      <x:c r="C2166" s="7" t="str">
        <x:v>Punch</x:v>
      </x:c>
      <x:c r="D2166" s="7" t="str">
        <x:v>Adventure AMT</x:v>
      </x:c>
      <x:c r="E2166" s="7" t="str">
        <x:v>Petrol</x:v>
      </x:c>
      <x:c r="F2166" s="7" t="str">
        <x:v>Automatic</x:v>
      </x:c>
      <x:c r="G2166" s="7" t="str">
        <x:v>Micro SUV</x:v>
      </x:c>
      <x:c r="H2166" s="7" t="n">
        <x:v>1199</x:v>
      </x:c>
      <x:c r="I2166" s="7" t="n">
        <x:v>87</x:v>
      </x:c>
      <x:c r="J2166" s="9" t="n">
        <x:v>18.8</x:v>
      </x:c>
      <x:c r="K2166" s="9" t="n">
        <x:v>9</x:v>
      </x:c>
      <x:c r="L2166" s="7" t="n">
        <x:v>2023</x:v>
      </x:c>
      <x:c r="M2166" s="11" t="n">
        <x:v>66293</x:v>
      </x:c>
      <x:c r="N2166" s="7" t="n">
        <x:v>2</x:v>
      </x:c>
      <x:c r="O2166" s="7" t="n">
        <x:v>0</x:v>
      </x:c>
      <x:c r="P2166" s="9" t="n">
        <x:v>5.47</x:v>
      </x:c>
      <x:c r="Q2166" s="7" t="n">
        <x:f>'Guide'!$B$5-L2166</x:f>
        <x:v>3</x:v>
      </x:c>
      <x:c r="R2166" s="9" t="n">
        <x:f>K2166-P2166</x:f>
        <x:v>3.5300000000000002</x:v>
      </x:c>
      <x:c r="S2166" s="10" t="n">
        <x:f>IF(K2166&gt;0,R2166/K2166,"")</x:f>
        <x:v>0.39222222222222225</x:v>
      </x:c>
    </x:row>
    <x:row r="2167">
      <x:c r="A2167" s="7" t="n">
        <x:v>2163</x:v>
      </x:c>
      <x:c r="B2167" s="7" t="str">
        <x:v>Tata</x:v>
      </x:c>
      <x:c r="C2167" s="7" t="str">
        <x:v>Punch</x:v>
      </x:c>
      <x:c r="D2167" s="7" t="str">
        <x:v>Adventure AMT</x:v>
      </x:c>
      <x:c r="E2167" s="7" t="str">
        <x:v>Petrol</x:v>
      </x:c>
      <x:c r="F2167" s="7" t="str">
        <x:v>Automatic</x:v>
      </x:c>
      <x:c r="G2167" s="7" t="str">
        <x:v>Micro SUV</x:v>
      </x:c>
      <x:c r="H2167" s="7" t="n">
        <x:v>1199</x:v>
      </x:c>
      <x:c r="I2167" s="7" t="n">
        <x:v>87</x:v>
      </x:c>
      <x:c r="J2167" s="9" t="n">
        <x:v>18.8</x:v>
      </x:c>
      <x:c r="K2167" s="9" t="n">
        <x:v>9</x:v>
      </x:c>
      <x:c r="L2167" s="7" t="n">
        <x:v>2025</x:v>
      </x:c>
      <x:c r="M2167" s="11" t="n">
        <x:v>27646</x:v>
      </x:c>
      <x:c r="N2167" s="7" t="n">
        <x:v>1</x:v>
      </x:c>
      <x:c r="O2167" s="7" t="n">
        <x:v>0</x:v>
      </x:c>
      <x:c r="P2167" s="9" t="n">
        <x:v>7.65</x:v>
      </x:c>
      <x:c r="Q2167" s="7" t="n">
        <x:f>'Guide'!$B$5-L2167</x:f>
        <x:v>1</x:v>
      </x:c>
      <x:c r="R2167" s="9" t="n">
        <x:f>K2167-P2167</x:f>
        <x:v>1.3499999999999996</x:v>
      </x:c>
      <x:c r="S2167" s="10" t="n">
        <x:f>IF(K2167&gt;0,R2167/K2167,"")</x:f>
        <x:v>0.14999999999999997</x:v>
      </x:c>
    </x:row>
    <x:row r="2168">
      <x:c r="A2168" s="7" t="n">
        <x:v>2164</x:v>
      </x:c>
      <x:c r="B2168" s="7" t="str">
        <x:v>Tata</x:v>
      </x:c>
      <x:c r="C2168" s="7" t="str">
        <x:v>Punch</x:v>
      </x:c>
      <x:c r="D2168" s="7" t="str">
        <x:v>Adventure AMT</x:v>
      </x:c>
      <x:c r="E2168" s="7" t="str">
        <x:v>Petrol</x:v>
      </x:c>
      <x:c r="F2168" s="7" t="str">
        <x:v>Automatic</x:v>
      </x:c>
      <x:c r="G2168" s="7" t="str">
        <x:v>Micro SUV</x:v>
      </x:c>
      <x:c r="H2168" s="7" t="n">
        <x:v>1199</x:v>
      </x:c>
      <x:c r="I2168" s="7" t="n">
        <x:v>87</x:v>
      </x:c>
      <x:c r="J2168" s="9" t="n">
        <x:v>18.8</x:v>
      </x:c>
      <x:c r="K2168" s="9" t="n">
        <x:v>9</x:v>
      </x:c>
      <x:c r="L2168" s="7" t="n">
        <x:v>2026</x:v>
      </x:c>
      <x:c r="M2168" s="11" t="n">
        <x:v>4578</x:v>
      </x:c>
      <x:c r="N2168" s="7" t="n">
        <x:v>2</x:v>
      </x:c>
      <x:c r="O2168" s="7" t="n">
        <x:v>0</x:v>
      </x:c>
      <x:c r="P2168" s="9" t="n">
        <x:v>8.53</x:v>
      </x:c>
      <x:c r="Q2168" s="7" t="n">
        <x:f>'Guide'!$B$5-L2168</x:f>
        <x:v>0</x:v>
      </x:c>
      <x:c r="R2168" s="9" t="n">
        <x:f>K2168-P2168</x:f>
        <x:v>0.47000000000000064</x:v>
      </x:c>
      <x:c r="S2168" s="10" t="n">
        <x:f>IF(K2168&gt;0,R2168/K2168,"")</x:f>
        <x:v>0.052222222222222295</x:v>
      </x:c>
    </x:row>
    <x:row r="2169">
      <x:c r="A2169" s="7" t="n">
        <x:v>2165</x:v>
      </x:c>
      <x:c r="B2169" s="7" t="str">
        <x:v>Tata</x:v>
      </x:c>
      <x:c r="C2169" s="7" t="str">
        <x:v>Punch</x:v>
      </x:c>
      <x:c r="D2169" s="7" t="str">
        <x:v>Adventure AMT</x:v>
      </x:c>
      <x:c r="E2169" s="7" t="str">
        <x:v>Petrol</x:v>
      </x:c>
      <x:c r="F2169" s="7" t="str">
        <x:v>Automatic</x:v>
      </x:c>
      <x:c r="G2169" s="7" t="str">
        <x:v>Micro SUV</x:v>
      </x:c>
      <x:c r="H2169" s="7" t="n">
        <x:v>1199</x:v>
      </x:c>
      <x:c r="I2169" s="7" t="n">
        <x:v>87</x:v>
      </x:c>
      <x:c r="J2169" s="9" t="n">
        <x:v>18.8</x:v>
      </x:c>
      <x:c r="K2169" s="9" t="n">
        <x:v>9</x:v>
      </x:c>
      <x:c r="L2169" s="7" t="n">
        <x:v>2020</x:v>
      </x:c>
      <x:c r="M2169" s="11" t="n">
        <x:v>57849</x:v>
      </x:c>
      <x:c r="N2169" s="7" t="n">
        <x:v>1</x:v>
      </x:c>
      <x:c r="O2169" s="7" t="n">
        <x:v>1</x:v>
      </x:c>
      <x:c r="P2169" s="9" t="n">
        <x:v>3.12</x:v>
      </x:c>
      <x:c r="Q2169" s="7" t="n">
        <x:f>'Guide'!$B$5-L2169</x:f>
        <x:v>6</x:v>
      </x:c>
      <x:c r="R2169" s="9" t="n">
        <x:f>K2169-P2169</x:f>
        <x:v>5.88</x:v>
      </x:c>
      <x:c r="S2169" s="10" t="n">
        <x:f>IF(K2169&gt;0,R2169/K2169,"")</x:f>
        <x:v>0.6533333333333333</x:v>
      </x:c>
    </x:row>
    <x:row r="2170">
      <x:c r="A2170" s="7" t="n">
        <x:v>2166</x:v>
      </x:c>
      <x:c r="B2170" s="7" t="str">
        <x:v>Tata</x:v>
      </x:c>
      <x:c r="C2170" s="7" t="str">
        <x:v>Punch</x:v>
      </x:c>
      <x:c r="D2170" s="7" t="str">
        <x:v>Adventure AMT</x:v>
      </x:c>
      <x:c r="E2170" s="7" t="str">
        <x:v>Petrol</x:v>
      </x:c>
      <x:c r="F2170" s="7" t="str">
        <x:v>Automatic</x:v>
      </x:c>
      <x:c r="G2170" s="7" t="str">
        <x:v>Micro SUV</x:v>
      </x:c>
      <x:c r="H2170" s="7" t="n">
        <x:v>1199</x:v>
      </x:c>
      <x:c r="I2170" s="7" t="n">
        <x:v>87</x:v>
      </x:c>
      <x:c r="J2170" s="9" t="n">
        <x:v>18.8</x:v>
      </x:c>
      <x:c r="K2170" s="9" t="n">
        <x:v>9</x:v>
      </x:c>
      <x:c r="L2170" s="7" t="n">
        <x:v>2024</x:v>
      </x:c>
      <x:c r="M2170" s="11" t="n">
        <x:v>26230</x:v>
      </x:c>
      <x:c r="N2170" s="7" t="n">
        <x:v>1</x:v>
      </x:c>
      <x:c r="O2170" s="7" t="n">
        <x:v>0</x:v>
      </x:c>
      <x:c r="P2170" s="9" t="n">
        <x:v>7.06</x:v>
      </x:c>
      <x:c r="Q2170" s="7" t="n">
        <x:f>'Guide'!$B$5-L2170</x:f>
        <x:v>2</x:v>
      </x:c>
      <x:c r="R2170" s="9" t="n">
        <x:f>K2170-P2170</x:f>
        <x:v>1.9400000000000004</x:v>
      </x:c>
      <x:c r="S2170" s="10" t="n">
        <x:f>IF(K2170&gt;0,R2170/K2170,"")</x:f>
        <x:v>0.2155555555555556</x:v>
      </x:c>
    </x:row>
    <x:row r="2171">
      <x:c r="A2171" s="7" t="n">
        <x:v>2167</x:v>
      </x:c>
      <x:c r="B2171" s="7" t="str">
        <x:v>Tata</x:v>
      </x:c>
      <x:c r="C2171" s="7" t="str">
        <x:v>Punch</x:v>
      </x:c>
      <x:c r="D2171" s="7" t="str">
        <x:v>Adventure AMT</x:v>
      </x:c>
      <x:c r="E2171" s="7" t="str">
        <x:v>Petrol</x:v>
      </x:c>
      <x:c r="F2171" s="7" t="str">
        <x:v>Automatic</x:v>
      </x:c>
      <x:c r="G2171" s="7" t="str">
        <x:v>Micro SUV</x:v>
      </x:c>
      <x:c r="H2171" s="7" t="n">
        <x:v>1199</x:v>
      </x:c>
      <x:c r="I2171" s="7" t="n">
        <x:v>87</x:v>
      </x:c>
      <x:c r="J2171" s="9" t="n">
        <x:v>18.8</x:v>
      </x:c>
      <x:c r="K2171" s="9" t="n">
        <x:v>9</x:v>
      </x:c>
      <x:c r="L2171" s="7" t="n">
        <x:v>2020</x:v>
      </x:c>
      <x:c r="M2171" s="11" t="n">
        <x:v>72765</x:v>
      </x:c>
      <x:c r="N2171" s="7" t="n">
        <x:v>1</x:v>
      </x:c>
      <x:c r="O2171" s="7" t="n">
        <x:v>0</x:v>
      </x:c>
      <x:c r="P2171" s="9" t="n">
        <x:v>3.6</x:v>
      </x:c>
      <x:c r="Q2171" s="7" t="n">
        <x:f>'Guide'!$B$5-L2171</x:f>
        <x:v>6</x:v>
      </x:c>
      <x:c r="R2171" s="9" t="n">
        <x:f>K2171-P2171</x:f>
        <x:v>5.4</x:v>
      </x:c>
      <x:c r="S2171" s="10" t="n">
        <x:f>IF(K2171&gt;0,R2171/K2171,"")</x:f>
        <x:v>0.6000000000000001</x:v>
      </x:c>
    </x:row>
    <x:row r="2172">
      <x:c r="A2172" s="7" t="n">
        <x:v>2168</x:v>
      </x:c>
      <x:c r="B2172" s="7" t="str">
        <x:v>Tata</x:v>
      </x:c>
      <x:c r="C2172" s="7" t="str">
        <x:v>Punch</x:v>
      </x:c>
      <x:c r="D2172" s="7" t="str">
        <x:v>Adventure AMT</x:v>
      </x:c>
      <x:c r="E2172" s="7" t="str">
        <x:v>Petrol</x:v>
      </x:c>
      <x:c r="F2172" s="7" t="str">
        <x:v>Automatic</x:v>
      </x:c>
      <x:c r="G2172" s="7" t="str">
        <x:v>Micro SUV</x:v>
      </x:c>
      <x:c r="H2172" s="7" t="n">
        <x:v>1199</x:v>
      </x:c>
      <x:c r="I2172" s="7" t="n">
        <x:v>87</x:v>
      </x:c>
      <x:c r="J2172" s="9" t="n">
        <x:v>18.8</x:v>
      </x:c>
      <x:c r="K2172" s="9" t="n">
        <x:v>9</x:v>
      </x:c>
      <x:c r="L2172" s="7" t="n">
        <x:v>2024</x:v>
      </x:c>
      <x:c r="M2172" s="11" t="n">
        <x:v>20215</x:v>
      </x:c>
      <x:c r="N2172" s="7" t="n">
        <x:v>2</x:v>
      </x:c>
      <x:c r="O2172" s="7" t="n">
        <x:v>0</x:v>
      </x:c>
      <x:c r="P2172" s="9" t="n">
        <x:v>7.19</x:v>
      </x:c>
      <x:c r="Q2172" s="7" t="n">
        <x:f>'Guide'!$B$5-L2172</x:f>
        <x:v>2</x:v>
      </x:c>
      <x:c r="R2172" s="9" t="n">
        <x:f>K2172-P2172</x:f>
        <x:v>1.8099999999999996</x:v>
      </x:c>
      <x:c r="S2172" s="10" t="n">
        <x:f>IF(K2172&gt;0,R2172/K2172,"")</x:f>
        <x:v>0.20111111111111107</x:v>
      </x:c>
    </x:row>
    <x:row r="2173">
      <x:c r="A2173" s="7" t="n">
        <x:v>2169</x:v>
      </x:c>
      <x:c r="B2173" s="7" t="str">
        <x:v>Tata</x:v>
      </x:c>
      <x:c r="C2173" s="7" t="str">
        <x:v>Punch</x:v>
      </x:c>
      <x:c r="D2173" s="7" t="str">
        <x:v>Adventure AMT</x:v>
      </x:c>
      <x:c r="E2173" s="7" t="str">
        <x:v>Petrol</x:v>
      </x:c>
      <x:c r="F2173" s="7" t="str">
        <x:v>Automatic</x:v>
      </x:c>
      <x:c r="G2173" s="7" t="str">
        <x:v>Micro SUV</x:v>
      </x:c>
      <x:c r="H2173" s="7" t="n">
        <x:v>1199</x:v>
      </x:c>
      <x:c r="I2173" s="7" t="n">
        <x:v>87</x:v>
      </x:c>
      <x:c r="J2173" s="9" t="n">
        <x:v>18.8</x:v>
      </x:c>
      <x:c r="K2173" s="9" t="n">
        <x:v>9</x:v>
      </x:c>
      <x:c r="L2173" s="7" t="n">
        <x:v>2022</x:v>
      </x:c>
      <x:c r="M2173" s="11" t="n">
        <x:v>76721</x:v>
      </x:c>
      <x:c r="N2173" s="7" t="n">
        <x:v>1</x:v>
      </x:c>
      <x:c r="O2173" s="7" t="n">
        <x:v>1</x:v>
      </x:c>
      <x:c r="P2173" s="9" t="n">
        <x:v>4.43</x:v>
      </x:c>
      <x:c r="Q2173" s="7" t="n">
        <x:f>'Guide'!$B$5-L2173</x:f>
        <x:v>4</x:v>
      </x:c>
      <x:c r="R2173" s="9" t="n">
        <x:f>K2173-P2173</x:f>
        <x:v>4.57</x:v>
      </x:c>
      <x:c r="S2173" s="10" t="n">
        <x:f>IF(K2173&gt;0,R2173/K2173,"")</x:f>
        <x:v>0.5077777777777778</x:v>
      </x:c>
    </x:row>
    <x:row r="2174">
      <x:c r="A2174" s="7" t="n">
        <x:v>2170</x:v>
      </x:c>
      <x:c r="B2174" s="7" t="str">
        <x:v>Tata</x:v>
      </x:c>
      <x:c r="C2174" s="7" t="str">
        <x:v>Punch</x:v>
      </x:c>
      <x:c r="D2174" s="7" t="str">
        <x:v>Adventure AMT</x:v>
      </x:c>
      <x:c r="E2174" s="7" t="str">
        <x:v>Petrol</x:v>
      </x:c>
      <x:c r="F2174" s="7" t="str">
        <x:v>Automatic</x:v>
      </x:c>
      <x:c r="G2174" s="7" t="str">
        <x:v>Micro SUV</x:v>
      </x:c>
      <x:c r="H2174" s="7" t="n">
        <x:v>1199</x:v>
      </x:c>
      <x:c r="I2174" s="7" t="n">
        <x:v>87</x:v>
      </x:c>
      <x:c r="J2174" s="9" t="n">
        <x:v>18.8</x:v>
      </x:c>
      <x:c r="K2174" s="9" t="n">
        <x:v>9</x:v>
      </x:c>
      <x:c r="L2174" s="7" t="n">
        <x:v>2020</x:v>
      </x:c>
      <x:c r="M2174" s="11" t="n">
        <x:v>54948</x:v>
      </x:c>
      <x:c r="N2174" s="7" t="n">
        <x:v>1</x:v>
      </x:c>
      <x:c r="O2174" s="7" t="n">
        <x:v>0</x:v>
      </x:c>
      <x:c r="P2174" s="9" t="n">
        <x:v>3.87</x:v>
      </x:c>
      <x:c r="Q2174" s="7" t="n">
        <x:f>'Guide'!$B$5-L2174</x:f>
        <x:v>6</x:v>
      </x:c>
      <x:c r="R2174" s="9" t="n">
        <x:f>K2174-P2174</x:f>
        <x:v>5.13</x:v>
      </x:c>
      <x:c r="S2174" s="10" t="n">
        <x:f>IF(K2174&gt;0,R2174/K2174,"")</x:f>
        <x:v>0.57</x:v>
      </x:c>
    </x:row>
    <x:row r="2175">
      <x:c r="A2175" s="7" t="n">
        <x:v>2171</x:v>
      </x:c>
      <x:c r="B2175" s="7" t="str">
        <x:v>Tata</x:v>
      </x:c>
      <x:c r="C2175" s="7" t="str">
        <x:v>Punch</x:v>
      </x:c>
      <x:c r="D2175" s="7" t="str">
        <x:v>Adventure AMT</x:v>
      </x:c>
      <x:c r="E2175" s="7" t="str">
        <x:v>Petrol</x:v>
      </x:c>
      <x:c r="F2175" s="7" t="str">
        <x:v>Automatic</x:v>
      </x:c>
      <x:c r="G2175" s="7" t="str">
        <x:v>Micro SUV</x:v>
      </x:c>
      <x:c r="H2175" s="7" t="n">
        <x:v>1199</x:v>
      </x:c>
      <x:c r="I2175" s="7" t="n">
        <x:v>87</x:v>
      </x:c>
      <x:c r="J2175" s="9" t="n">
        <x:v>18.8</x:v>
      </x:c>
      <x:c r="K2175" s="9" t="n">
        <x:v>9</x:v>
      </x:c>
      <x:c r="L2175" s="7" t="n">
        <x:v>2024</x:v>
      </x:c>
      <x:c r="M2175" s="11" t="n">
        <x:v>42635</x:v>
      </x:c>
      <x:c r="N2175" s="7" t="n">
        <x:v>2</x:v>
      </x:c>
      <x:c r="O2175" s="7" t="n">
        <x:v>0</x:v>
      </x:c>
      <x:c r="P2175" s="9" t="n">
        <x:v>7.01</x:v>
      </x:c>
      <x:c r="Q2175" s="7" t="n">
        <x:f>'Guide'!$B$5-L2175</x:f>
        <x:v>2</x:v>
      </x:c>
      <x:c r="R2175" s="9" t="n">
        <x:f>K2175-P2175</x:f>
        <x:v>1.9900000000000002</x:v>
      </x:c>
      <x:c r="S2175" s="10" t="n">
        <x:f>IF(K2175&gt;0,R2175/K2175,"")</x:f>
        <x:v>0.22111111111111115</x:v>
      </x:c>
    </x:row>
    <x:row r="2176">
      <x:c r="A2176" s="7" t="n">
        <x:v>2172</x:v>
      </x:c>
      <x:c r="B2176" s="7" t="str">
        <x:v>Tata</x:v>
      </x:c>
      <x:c r="C2176" s="7" t="str">
        <x:v>Punch</x:v>
      </x:c>
      <x:c r="D2176" s="7" t="str">
        <x:v>Adventure AMT</x:v>
      </x:c>
      <x:c r="E2176" s="7" t="str">
        <x:v>Petrol</x:v>
      </x:c>
      <x:c r="F2176" s="7" t="str">
        <x:v>Automatic</x:v>
      </x:c>
      <x:c r="G2176" s="7" t="str">
        <x:v>Micro SUV</x:v>
      </x:c>
      <x:c r="H2176" s="7" t="n">
        <x:v>1199</x:v>
      </x:c>
      <x:c r="I2176" s="7" t="n">
        <x:v>87</x:v>
      </x:c>
      <x:c r="J2176" s="9" t="n">
        <x:v>18.8</x:v>
      </x:c>
      <x:c r="K2176" s="9" t="n">
        <x:v>9</x:v>
      </x:c>
      <x:c r="L2176" s="7" t="n">
        <x:v>2026</x:v>
      </x:c>
      <x:c r="M2176" s="11" t="n">
        <x:v>8655</x:v>
      </x:c>
      <x:c r="N2176" s="7" t="n">
        <x:v>3</x:v>
      </x:c>
      <x:c r="O2176" s="7" t="n">
        <x:v>0</x:v>
      </x:c>
      <x:c r="P2176" s="9" t="n">
        <x:v>8.5</x:v>
      </x:c>
      <x:c r="Q2176" s="7" t="n">
        <x:f>'Guide'!$B$5-L2176</x:f>
        <x:v>0</x:v>
      </x:c>
      <x:c r="R2176" s="9" t="n">
        <x:f>K2176-P2176</x:f>
        <x:v>0.5</x:v>
      </x:c>
      <x:c r="S2176" s="10" t="n">
        <x:f>IF(K2176&gt;0,R2176/K2176,"")</x:f>
        <x:v>0.05555555555555555</x:v>
      </x:c>
    </x:row>
    <x:row r="2177">
      <x:c r="A2177" s="7" t="n">
        <x:v>2173</x:v>
      </x:c>
      <x:c r="B2177" s="7" t="str">
        <x:v>Tata</x:v>
      </x:c>
      <x:c r="C2177" s="7" t="str">
        <x:v>Punch</x:v>
      </x:c>
      <x:c r="D2177" s="7" t="str">
        <x:v>Adventure AMT</x:v>
      </x:c>
      <x:c r="E2177" s="7" t="str">
        <x:v>Petrol</x:v>
      </x:c>
      <x:c r="F2177" s="7" t="str">
        <x:v>Automatic</x:v>
      </x:c>
      <x:c r="G2177" s="7" t="str">
        <x:v>Micro SUV</x:v>
      </x:c>
      <x:c r="H2177" s="7" t="n">
        <x:v>1199</x:v>
      </x:c>
      <x:c r="I2177" s="7" t="n">
        <x:v>87</x:v>
      </x:c>
      <x:c r="J2177" s="9" t="n">
        <x:v>18.8</x:v>
      </x:c>
      <x:c r="K2177" s="9" t="n">
        <x:v>9</x:v>
      </x:c>
      <x:c r="L2177" s="7" t="n">
        <x:v>2024</x:v>
      </x:c>
      <x:c r="M2177" s="11" t="n">
        <x:v>33588</x:v>
      </x:c>
      <x:c r="N2177" s="7" t="n">
        <x:v>1</x:v>
      </x:c>
      <x:c r="O2177" s="7" t="n">
        <x:v>0</x:v>
      </x:c>
      <x:c r="P2177" s="9" t="n">
        <x:v>7.57</x:v>
      </x:c>
      <x:c r="Q2177" s="7" t="n">
        <x:f>'Guide'!$B$5-L2177</x:f>
        <x:v>2</x:v>
      </x:c>
      <x:c r="R2177" s="9" t="n">
        <x:f>K2177-P2177</x:f>
        <x:v>1.4299999999999997</x:v>
      </x:c>
      <x:c r="S2177" s="10" t="n">
        <x:f>IF(K2177&gt;0,R2177/K2177,"")</x:f>
        <x:v>0.15888888888888886</x:v>
      </x:c>
    </x:row>
    <x:row r="2178">
      <x:c r="A2178" s="7" t="n">
        <x:v>2174</x:v>
      </x:c>
      <x:c r="B2178" s="7" t="str">
        <x:v>Tata</x:v>
      </x:c>
      <x:c r="C2178" s="7" t="str">
        <x:v>Punch</x:v>
      </x:c>
      <x:c r="D2178" s="7" t="str">
        <x:v>Adventure AMT</x:v>
      </x:c>
      <x:c r="E2178" s="7" t="str">
        <x:v>Petrol</x:v>
      </x:c>
      <x:c r="F2178" s="7" t="str">
        <x:v>Automatic</x:v>
      </x:c>
      <x:c r="G2178" s="7" t="str">
        <x:v>Micro SUV</x:v>
      </x:c>
      <x:c r="H2178" s="7" t="n">
        <x:v>1199</x:v>
      </x:c>
      <x:c r="I2178" s="7" t="n">
        <x:v>87</x:v>
      </x:c>
      <x:c r="J2178" s="9" t="n">
        <x:v>18.8</x:v>
      </x:c>
      <x:c r="K2178" s="9" t="n">
        <x:v>9</x:v>
      </x:c>
      <x:c r="L2178" s="7" t="n">
        <x:v>2026</x:v>
      </x:c>
      <x:c r="M2178" s="11" t="n">
        <x:v>9592</x:v>
      </x:c>
      <x:c r="N2178" s="7" t="n">
        <x:v>2</x:v>
      </x:c>
      <x:c r="O2178" s="7" t="n">
        <x:v>0</x:v>
      </x:c>
      <x:c r="P2178" s="9" t="n">
        <x:v>8.84</x:v>
      </x:c>
      <x:c r="Q2178" s="7" t="n">
        <x:f>'Guide'!$B$5-L2178</x:f>
        <x:v>0</x:v>
      </x:c>
      <x:c r="R2178" s="9" t="n">
        <x:f>K2178-P2178</x:f>
        <x:v>0.16000000000000014</x:v>
      </x:c>
      <x:c r="S2178" s="10" t="n">
        <x:f>IF(K2178&gt;0,R2178/K2178,"")</x:f>
        <x:v>0.017777777777777795</x:v>
      </x:c>
    </x:row>
    <x:row r="2179">
      <x:c r="A2179" s="7" t="n">
        <x:v>2175</x:v>
      </x:c>
      <x:c r="B2179" s="7" t="str">
        <x:v>Tata</x:v>
      </x:c>
      <x:c r="C2179" s="7" t="str">
        <x:v>Punch</x:v>
      </x:c>
      <x:c r="D2179" s="7" t="str">
        <x:v>Adventure AMT</x:v>
      </x:c>
      <x:c r="E2179" s="7" t="str">
        <x:v>Petrol</x:v>
      </x:c>
      <x:c r="F2179" s="7" t="str">
        <x:v>Automatic</x:v>
      </x:c>
      <x:c r="G2179" s="7" t="str">
        <x:v>Micro SUV</x:v>
      </x:c>
      <x:c r="H2179" s="7" t="n">
        <x:v>1199</x:v>
      </x:c>
      <x:c r="I2179" s="7" t="n">
        <x:v>87</x:v>
      </x:c>
      <x:c r="J2179" s="9" t="n">
        <x:v>18.8</x:v>
      </x:c>
      <x:c r="K2179" s="9" t="n">
        <x:v>9</x:v>
      </x:c>
      <x:c r="L2179" s="7" t="n">
        <x:v>2023</x:v>
      </x:c>
      <x:c r="M2179" s="11" t="n">
        <x:v>65564</x:v>
      </x:c>
      <x:c r="N2179" s="7" t="n">
        <x:v>1</x:v>
      </x:c>
      <x:c r="O2179" s="7" t="n">
        <x:v>0</x:v>
      </x:c>
      <x:c r="P2179" s="9" t="n">
        <x:v>5.81</x:v>
      </x:c>
      <x:c r="Q2179" s="7" t="n">
        <x:f>'Guide'!$B$5-L2179</x:f>
        <x:v>3</x:v>
      </x:c>
      <x:c r="R2179" s="9" t="n">
        <x:f>K2179-P2179</x:f>
        <x:v>3.1900000000000004</x:v>
      </x:c>
      <x:c r="S2179" s="10" t="n">
        <x:f>IF(K2179&gt;0,R2179/K2179,"")</x:f>
        <x:v>0.3544444444444445</x:v>
      </x:c>
    </x:row>
    <x:row r="2180">
      <x:c r="A2180" s="7" t="n">
        <x:v>2176</x:v>
      </x:c>
      <x:c r="B2180" s="7" t="str">
        <x:v>Tata</x:v>
      </x:c>
      <x:c r="C2180" s="7" t="str">
        <x:v>Punch</x:v>
      </x:c>
      <x:c r="D2180" s="7" t="str">
        <x:v>Adventure AMT</x:v>
      </x:c>
      <x:c r="E2180" s="7" t="str">
        <x:v>Petrol</x:v>
      </x:c>
      <x:c r="F2180" s="7" t="str">
        <x:v>Automatic</x:v>
      </x:c>
      <x:c r="G2180" s="7" t="str">
        <x:v>Micro SUV</x:v>
      </x:c>
      <x:c r="H2180" s="7" t="n">
        <x:v>1199</x:v>
      </x:c>
      <x:c r="I2180" s="7" t="n">
        <x:v>87</x:v>
      </x:c>
      <x:c r="J2180" s="9" t="n">
        <x:v>18.8</x:v>
      </x:c>
      <x:c r="K2180" s="9" t="n">
        <x:v>9</x:v>
      </x:c>
      <x:c r="L2180" s="7" t="n">
        <x:v>2024</x:v>
      </x:c>
      <x:c r="M2180" s="11" t="n">
        <x:v>25931</x:v>
      </x:c>
      <x:c r="N2180" s="7" t="n">
        <x:v>1</x:v>
      </x:c>
      <x:c r="O2180" s="7" t="n">
        <x:v>0</x:v>
      </x:c>
      <x:c r="P2180" s="9" t="n">
        <x:v>7.23</x:v>
      </x:c>
      <x:c r="Q2180" s="7" t="n">
        <x:f>'Guide'!$B$5-L2180</x:f>
        <x:v>2</x:v>
      </x:c>
      <x:c r="R2180" s="9" t="n">
        <x:f>K2180-P2180</x:f>
        <x:v>1.7699999999999996</x:v>
      </x:c>
      <x:c r="S2180" s="10" t="n">
        <x:f>IF(K2180&gt;0,R2180/K2180,"")</x:f>
        <x:v>0.19666666666666663</x:v>
      </x:c>
    </x:row>
    <x:row r="2181">
      <x:c r="A2181" s="7" t="n">
        <x:v>2177</x:v>
      </x:c>
      <x:c r="B2181" s="7" t="str">
        <x:v>Tata</x:v>
      </x:c>
      <x:c r="C2181" s="7" t="str">
        <x:v>Punch</x:v>
      </x:c>
      <x:c r="D2181" s="7" t="str">
        <x:v>Adventure AMT</x:v>
      </x:c>
      <x:c r="E2181" s="7" t="str">
        <x:v>Petrol</x:v>
      </x:c>
      <x:c r="F2181" s="7" t="str">
        <x:v>Automatic</x:v>
      </x:c>
      <x:c r="G2181" s="7" t="str">
        <x:v>Micro SUV</x:v>
      </x:c>
      <x:c r="H2181" s="7" t="n">
        <x:v>1199</x:v>
      </x:c>
      <x:c r="I2181" s="7" t="n">
        <x:v>87</x:v>
      </x:c>
      <x:c r="J2181" s="9" t="n">
        <x:v>18.8</x:v>
      </x:c>
      <x:c r="K2181" s="9" t="n">
        <x:v>9</x:v>
      </x:c>
      <x:c r="L2181" s="7" t="n">
        <x:v>2022</x:v>
      </x:c>
      <x:c r="M2181" s="11" t="n">
        <x:v>78063</x:v>
      </x:c>
      <x:c r="N2181" s="7" t="n">
        <x:v>1</x:v>
      </x:c>
      <x:c r="O2181" s="7" t="n">
        <x:v>0</x:v>
      </x:c>
      <x:c r="P2181" s="9" t="n">
        <x:v>5.37</x:v>
      </x:c>
      <x:c r="Q2181" s="7" t="n">
        <x:f>'Guide'!$B$5-L2181</x:f>
        <x:v>4</x:v>
      </x:c>
      <x:c r="R2181" s="9" t="n">
        <x:f>K2181-P2181</x:f>
        <x:v>3.63</x:v>
      </x:c>
      <x:c r="S2181" s="10" t="n">
        <x:f>IF(K2181&gt;0,R2181/K2181,"")</x:f>
        <x:v>0.4033333333333333</x:v>
      </x:c>
    </x:row>
    <x:row r="2182">
      <x:c r="A2182" s="7" t="n">
        <x:v>2178</x:v>
      </x:c>
      <x:c r="B2182" s="7" t="str">
        <x:v>Tata</x:v>
      </x:c>
      <x:c r="C2182" s="7" t="str">
        <x:v>Punch</x:v>
      </x:c>
      <x:c r="D2182" s="7" t="str">
        <x:v>Adventure AMT</x:v>
      </x:c>
      <x:c r="E2182" s="7" t="str">
        <x:v>Petrol</x:v>
      </x:c>
      <x:c r="F2182" s="7" t="str">
        <x:v>Automatic</x:v>
      </x:c>
      <x:c r="G2182" s="7" t="str">
        <x:v>Micro SUV</x:v>
      </x:c>
      <x:c r="H2182" s="7" t="n">
        <x:v>1199</x:v>
      </x:c>
      <x:c r="I2182" s="7" t="n">
        <x:v>87</x:v>
      </x:c>
      <x:c r="J2182" s="9" t="n">
        <x:v>18.8</x:v>
      </x:c>
      <x:c r="K2182" s="9" t="n">
        <x:v>9</x:v>
      </x:c>
      <x:c r="L2182" s="7" t="n">
        <x:v>2020</x:v>
      </x:c>
      <x:c r="M2182" s="11" t="n">
        <x:v>96948</x:v>
      </x:c>
      <x:c r="N2182" s="7" t="n">
        <x:v>1</x:v>
      </x:c>
      <x:c r="O2182" s="7" t="n">
        <x:v>0</x:v>
      </x:c>
      <x:c r="P2182" s="9" t="n">
        <x:v>3.87</x:v>
      </x:c>
      <x:c r="Q2182" s="7" t="n">
        <x:f>'Guide'!$B$5-L2182</x:f>
        <x:v>6</x:v>
      </x:c>
      <x:c r="R2182" s="9" t="n">
        <x:f>K2182-P2182</x:f>
        <x:v>5.13</x:v>
      </x:c>
      <x:c r="S2182" s="10" t="n">
        <x:f>IF(K2182&gt;0,R2182/K2182,"")</x:f>
        <x:v>0.57</x:v>
      </x:c>
    </x:row>
    <x:row r="2183">
      <x:c r="A2183" s="7" t="n">
        <x:v>2179</x:v>
      </x:c>
      <x:c r="B2183" s="7" t="str">
        <x:v>Tata</x:v>
      </x:c>
      <x:c r="C2183" s="7" t="str">
        <x:v>Punch</x:v>
      </x:c>
      <x:c r="D2183" s="7" t="str">
        <x:v>Adventure AMT</x:v>
      </x:c>
      <x:c r="E2183" s="7" t="str">
        <x:v>Petrol</x:v>
      </x:c>
      <x:c r="F2183" s="7" t="str">
        <x:v>Automatic</x:v>
      </x:c>
      <x:c r="G2183" s="7" t="str">
        <x:v>Micro SUV</x:v>
      </x:c>
      <x:c r="H2183" s="7" t="n">
        <x:v>1199</x:v>
      </x:c>
      <x:c r="I2183" s="7" t="n">
        <x:v>87</x:v>
      </x:c>
      <x:c r="J2183" s="9" t="n">
        <x:v>18.8</x:v>
      </x:c>
      <x:c r="K2183" s="9" t="n">
        <x:v>9</x:v>
      </x:c>
      <x:c r="L2183" s="7" t="n">
        <x:v>2024</x:v>
      </x:c>
      <x:c r="M2183" s="11" t="n">
        <x:v>20982</x:v>
      </x:c>
      <x:c r="N2183" s="7" t="n">
        <x:v>1</x:v>
      </x:c>
      <x:c r="O2183" s="7" t="n">
        <x:v>0</x:v>
      </x:c>
      <x:c r="P2183" s="9" t="n">
        <x:v>7.38</x:v>
      </x:c>
      <x:c r="Q2183" s="7" t="n">
        <x:f>'Guide'!$B$5-L2183</x:f>
        <x:v>2</x:v>
      </x:c>
      <x:c r="R2183" s="9" t="n">
        <x:f>K2183-P2183</x:f>
        <x:v>1.62</x:v>
      </x:c>
      <x:c r="S2183" s="10" t="n">
        <x:f>IF(K2183&gt;0,R2183/K2183,"")</x:f>
        <x:v>0.18000000000000002</x:v>
      </x:c>
    </x:row>
    <x:row r="2184">
      <x:c r="A2184" s="7" t="n">
        <x:v>2180</x:v>
      </x:c>
      <x:c r="B2184" s="7" t="str">
        <x:v>Tata</x:v>
      </x:c>
      <x:c r="C2184" s="7" t="str">
        <x:v>Punch</x:v>
      </x:c>
      <x:c r="D2184" s="7" t="str">
        <x:v>Adventure AMT</x:v>
      </x:c>
      <x:c r="E2184" s="7" t="str">
        <x:v>Petrol</x:v>
      </x:c>
      <x:c r="F2184" s="7" t="str">
        <x:v>Automatic</x:v>
      </x:c>
      <x:c r="G2184" s="7" t="str">
        <x:v>Micro SUV</x:v>
      </x:c>
      <x:c r="H2184" s="7" t="n">
        <x:v>1199</x:v>
      </x:c>
      <x:c r="I2184" s="7" t="n">
        <x:v>87</x:v>
      </x:c>
      <x:c r="J2184" s="9" t="n">
        <x:v>18.8</x:v>
      </x:c>
      <x:c r="K2184" s="9" t="n">
        <x:v>9</x:v>
      </x:c>
      <x:c r="L2184" s="7" t="n">
        <x:v>2020</x:v>
      </x:c>
      <x:c r="M2184" s="11" t="n">
        <x:v>80163</x:v>
      </x:c>
      <x:c r="N2184" s="7" t="n">
        <x:v>1</x:v>
      </x:c>
      <x:c r="O2184" s="7" t="n">
        <x:v>0</x:v>
      </x:c>
      <x:c r="P2184" s="9" t="n">
        <x:v>3.78</x:v>
      </x:c>
      <x:c r="Q2184" s="7" t="n">
        <x:f>'Guide'!$B$5-L2184</x:f>
        <x:v>6</x:v>
      </x:c>
      <x:c r="R2184" s="9" t="n">
        <x:f>K2184-P2184</x:f>
        <x:v>5.220000000000001</x:v>
      </x:c>
      <x:c r="S2184" s="10" t="n">
        <x:f>IF(K2184&gt;0,R2184/K2184,"")</x:f>
        <x:v>0.5800000000000001</x:v>
      </x:c>
    </x:row>
    <x:row r="2185">
      <x:c r="A2185" s="7" t="n">
        <x:v>2181</x:v>
      </x:c>
      <x:c r="B2185" s="7" t="str">
        <x:v>Tata</x:v>
      </x:c>
      <x:c r="C2185" s="7" t="str">
        <x:v>Punch</x:v>
      </x:c>
      <x:c r="D2185" s="7" t="str">
        <x:v>Adventure AMT</x:v>
      </x:c>
      <x:c r="E2185" s="7" t="str">
        <x:v>Petrol</x:v>
      </x:c>
      <x:c r="F2185" s="7" t="str">
        <x:v>Automatic</x:v>
      </x:c>
      <x:c r="G2185" s="7" t="str">
        <x:v>Micro SUV</x:v>
      </x:c>
      <x:c r="H2185" s="7" t="n">
        <x:v>1199</x:v>
      </x:c>
      <x:c r="I2185" s="7" t="n">
        <x:v>87</x:v>
      </x:c>
      <x:c r="J2185" s="9" t="n">
        <x:v>18.8</x:v>
      </x:c>
      <x:c r="K2185" s="9" t="n">
        <x:v>9</x:v>
      </x:c>
      <x:c r="L2185" s="7" t="n">
        <x:v>2022</x:v>
      </x:c>
      <x:c r="M2185" s="11" t="n">
        <x:v>89765</x:v>
      </x:c>
      <x:c r="N2185" s="7" t="n">
        <x:v>1</x:v>
      </x:c>
      <x:c r="O2185" s="7" t="n">
        <x:v>0</x:v>
      </x:c>
      <x:c r="P2185" s="9" t="n">
        <x:v>4.77</x:v>
      </x:c>
      <x:c r="Q2185" s="7" t="n">
        <x:f>'Guide'!$B$5-L2185</x:f>
        <x:v>4</x:v>
      </x:c>
      <x:c r="R2185" s="9" t="n">
        <x:f>K2185-P2185</x:f>
        <x:v>4.23</x:v>
      </x:c>
      <x:c r="S2185" s="10" t="n">
        <x:f>IF(K2185&gt;0,R2185/K2185,"")</x:f>
        <x:v>0.47000000000000003</x:v>
      </x:c>
    </x:row>
    <x:row r="2186">
      <x:c r="A2186" s="7" t="n">
        <x:v>2182</x:v>
      </x:c>
      <x:c r="B2186" s="7" t="str">
        <x:v>Tata</x:v>
      </x:c>
      <x:c r="C2186" s="7" t="str">
        <x:v>Punch</x:v>
      </x:c>
      <x:c r="D2186" s="7" t="str">
        <x:v>Adventure AMT</x:v>
      </x:c>
      <x:c r="E2186" s="7" t="str">
        <x:v>Petrol</x:v>
      </x:c>
      <x:c r="F2186" s="7" t="str">
        <x:v>Automatic</x:v>
      </x:c>
      <x:c r="G2186" s="7" t="str">
        <x:v>Micro SUV</x:v>
      </x:c>
      <x:c r="H2186" s="7" t="n">
        <x:v>1199</x:v>
      </x:c>
      <x:c r="I2186" s="7" t="n">
        <x:v>87</x:v>
      </x:c>
      <x:c r="J2186" s="9" t="n">
        <x:v>18.8</x:v>
      </x:c>
      <x:c r="K2186" s="9" t="n">
        <x:v>9</x:v>
      </x:c>
      <x:c r="L2186" s="7" t="n">
        <x:v>2020</x:v>
      </x:c>
      <x:c r="M2186" s="11" t="n">
        <x:v>116850</x:v>
      </x:c>
      <x:c r="N2186" s="7" t="n">
        <x:v>2</x:v>
      </x:c>
      <x:c r="O2186" s="7" t="n">
        <x:v>0</x:v>
      </x:c>
      <x:c r="P2186" s="9" t="n">
        <x:v>2.8</x:v>
      </x:c>
      <x:c r="Q2186" s="7" t="n">
        <x:f>'Guide'!$B$5-L2186</x:f>
        <x:v>6</x:v>
      </x:c>
      <x:c r="R2186" s="9" t="n">
        <x:f>K2186-P2186</x:f>
        <x:v>6.2</x:v>
      </x:c>
      <x:c r="S2186" s="10" t="n">
        <x:f>IF(K2186&gt;0,R2186/K2186,"")</x:f>
        <x:v>0.6888888888888889</x:v>
      </x:c>
    </x:row>
    <x:row r="2187">
      <x:c r="A2187" s="7" t="n">
        <x:v>2183</x:v>
      </x:c>
      <x:c r="B2187" s="7" t="str">
        <x:v>Tata</x:v>
      </x:c>
      <x:c r="C2187" s="7" t="str">
        <x:v>Punch</x:v>
      </x:c>
      <x:c r="D2187" s="7" t="str">
        <x:v>Adventure AMT</x:v>
      </x:c>
      <x:c r="E2187" s="7" t="str">
        <x:v>Petrol</x:v>
      </x:c>
      <x:c r="F2187" s="7" t="str">
        <x:v>Automatic</x:v>
      </x:c>
      <x:c r="G2187" s="7" t="str">
        <x:v>Micro SUV</x:v>
      </x:c>
      <x:c r="H2187" s="7" t="n">
        <x:v>1199</x:v>
      </x:c>
      <x:c r="I2187" s="7" t="n">
        <x:v>87</x:v>
      </x:c>
      <x:c r="J2187" s="9" t="n">
        <x:v>18.8</x:v>
      </x:c>
      <x:c r="K2187" s="9" t="n">
        <x:v>9</x:v>
      </x:c>
      <x:c r="L2187" s="7" t="n">
        <x:v>2020</x:v>
      </x:c>
      <x:c r="M2187" s="11" t="n">
        <x:v>78181</x:v>
      </x:c>
      <x:c r="N2187" s="7" t="n">
        <x:v>1</x:v>
      </x:c>
      <x:c r="O2187" s="7" t="n">
        <x:v>0</x:v>
      </x:c>
      <x:c r="P2187" s="9" t="n">
        <x:v>4.21</x:v>
      </x:c>
      <x:c r="Q2187" s="7" t="n">
        <x:f>'Guide'!$B$5-L2187</x:f>
        <x:v>6</x:v>
      </x:c>
      <x:c r="R2187" s="9" t="n">
        <x:f>K2187-P2187</x:f>
        <x:v>4.79</x:v>
      </x:c>
      <x:c r="S2187" s="10" t="n">
        <x:f>IF(K2187&gt;0,R2187/K2187,"")</x:f>
        <x:v>0.5322222222222223</x:v>
      </x:c>
    </x:row>
    <x:row r="2188">
      <x:c r="A2188" s="7" t="n">
        <x:v>2184</x:v>
      </x:c>
      <x:c r="B2188" s="7" t="str">
        <x:v>Tata</x:v>
      </x:c>
      <x:c r="C2188" s="7" t="str">
        <x:v>Punch</x:v>
      </x:c>
      <x:c r="D2188" s="7" t="str">
        <x:v>Adventure AMT</x:v>
      </x:c>
      <x:c r="E2188" s="7" t="str">
        <x:v>Petrol</x:v>
      </x:c>
      <x:c r="F2188" s="7" t="str">
        <x:v>Automatic</x:v>
      </x:c>
      <x:c r="G2188" s="7" t="str">
        <x:v>Micro SUV</x:v>
      </x:c>
      <x:c r="H2188" s="7" t="n">
        <x:v>1199</x:v>
      </x:c>
      <x:c r="I2188" s="7" t="n">
        <x:v>87</x:v>
      </x:c>
      <x:c r="J2188" s="9" t="n">
        <x:v>18.8</x:v>
      </x:c>
      <x:c r="K2188" s="9" t="n">
        <x:v>9</x:v>
      </x:c>
      <x:c r="L2188" s="7" t="n">
        <x:v>2022</x:v>
      </x:c>
      <x:c r="M2188" s="11" t="n">
        <x:v>43937</x:v>
      </x:c>
      <x:c r="N2188" s="7" t="n">
        <x:v>3</x:v>
      </x:c>
      <x:c r="O2188" s="7" t="n">
        <x:v>1</x:v>
      </x:c>
      <x:c r="P2188" s="9" t="n">
        <x:v>4.37</x:v>
      </x:c>
      <x:c r="Q2188" s="7" t="n">
        <x:f>'Guide'!$B$5-L2188</x:f>
        <x:v>4</x:v>
      </x:c>
      <x:c r="R2188" s="9" t="n">
        <x:f>K2188-P2188</x:f>
        <x:v>4.63</x:v>
      </x:c>
      <x:c r="S2188" s="10" t="n">
        <x:f>IF(K2188&gt;0,R2188/K2188,"")</x:f>
        <x:v>0.5144444444444445</x:v>
      </x:c>
    </x:row>
    <x:row r="2189">
      <x:c r="A2189" s="7" t="n">
        <x:v>2185</x:v>
      </x:c>
      <x:c r="B2189" s="7" t="str">
        <x:v>Tata</x:v>
      </x:c>
      <x:c r="C2189" s="7" t="str">
        <x:v>Punch</x:v>
      </x:c>
      <x:c r="D2189" s="7" t="str">
        <x:v>Adventure AMT</x:v>
      </x:c>
      <x:c r="E2189" s="7" t="str">
        <x:v>Petrol</x:v>
      </x:c>
      <x:c r="F2189" s="7" t="str">
        <x:v>Automatic</x:v>
      </x:c>
      <x:c r="G2189" s="7" t="str">
        <x:v>Micro SUV</x:v>
      </x:c>
      <x:c r="H2189" s="7" t="n">
        <x:v>1199</x:v>
      </x:c>
      <x:c r="I2189" s="7" t="n">
        <x:v>87</x:v>
      </x:c>
      <x:c r="J2189" s="9" t="n">
        <x:v>18.8</x:v>
      </x:c>
      <x:c r="K2189" s="9" t="n">
        <x:v>9</x:v>
      </x:c>
      <x:c r="L2189" s="7" t="n">
        <x:v>2021</x:v>
      </x:c>
      <x:c r="M2189" s="11" t="n">
        <x:v>63134</x:v>
      </x:c>
      <x:c r="N2189" s="7" t="n">
        <x:v>3</x:v>
      </x:c>
      <x:c r="O2189" s="7" t="n">
        <x:v>0</x:v>
      </x:c>
      <x:c r="P2189" s="9" t="n">
        <x:v>4.31</x:v>
      </x:c>
      <x:c r="Q2189" s="7" t="n">
        <x:f>'Guide'!$B$5-L2189</x:f>
        <x:v>5</x:v>
      </x:c>
      <x:c r="R2189" s="9" t="n">
        <x:f>K2189-P2189</x:f>
        <x:v>4.69</x:v>
      </x:c>
      <x:c r="S2189" s="10" t="n">
        <x:f>IF(K2189&gt;0,R2189/K2189,"")</x:f>
        <x:v>0.5211111111111112</x:v>
      </x:c>
    </x:row>
    <x:row r="2190">
      <x:c r="A2190" s="7" t="n">
        <x:v>2186</x:v>
      </x:c>
      <x:c r="B2190" s="7" t="str">
        <x:v>Tata</x:v>
      </x:c>
      <x:c r="C2190" s="7" t="str">
        <x:v>Punch</x:v>
      </x:c>
      <x:c r="D2190" s="7" t="str">
        <x:v>Adventure AMT</x:v>
      </x:c>
      <x:c r="E2190" s="7" t="str">
        <x:v>Petrol</x:v>
      </x:c>
      <x:c r="F2190" s="7" t="str">
        <x:v>Automatic</x:v>
      </x:c>
      <x:c r="G2190" s="7" t="str">
        <x:v>Micro SUV</x:v>
      </x:c>
      <x:c r="H2190" s="7" t="n">
        <x:v>1199</x:v>
      </x:c>
      <x:c r="I2190" s="7" t="n">
        <x:v>87</x:v>
      </x:c>
      <x:c r="J2190" s="9" t="n">
        <x:v>18.8</x:v>
      </x:c>
      <x:c r="K2190" s="9" t="n">
        <x:v>9</x:v>
      </x:c>
      <x:c r="L2190" s="7" t="n">
        <x:v>2023</x:v>
      </x:c>
      <x:c r="M2190" s="11" t="n">
        <x:v>42378</x:v>
      </x:c>
      <x:c r="N2190" s="7" t="n">
        <x:v>1</x:v>
      </x:c>
      <x:c r="O2190" s="7" t="n">
        <x:v>0</x:v>
      </x:c>
      <x:c r="P2190" s="9" t="n">
        <x:v>6.53</x:v>
      </x:c>
      <x:c r="Q2190" s="7" t="n">
        <x:f>'Guide'!$B$5-L2190</x:f>
        <x:v>3</x:v>
      </x:c>
      <x:c r="R2190" s="9" t="n">
        <x:f>K2190-P2190</x:f>
        <x:v>2.4699999999999998</x:v>
      </x:c>
      <x:c r="S2190" s="10" t="n">
        <x:f>IF(K2190&gt;0,R2190/K2190,"")</x:f>
        <x:v>0.27444444444444444</x:v>
      </x:c>
    </x:row>
    <x:row r="2191">
      <x:c r="A2191" s="7" t="n">
        <x:v>2187</x:v>
      </x:c>
      <x:c r="B2191" s="7" t="str">
        <x:v>Tata</x:v>
      </x:c>
      <x:c r="C2191" s="7" t="str">
        <x:v>Punch</x:v>
      </x:c>
      <x:c r="D2191" s="7" t="str">
        <x:v>Adventure AMT</x:v>
      </x:c>
      <x:c r="E2191" s="7" t="str">
        <x:v>Petrol</x:v>
      </x:c>
      <x:c r="F2191" s="7" t="str">
        <x:v>Automatic</x:v>
      </x:c>
      <x:c r="G2191" s="7" t="str">
        <x:v>Micro SUV</x:v>
      </x:c>
      <x:c r="H2191" s="7" t="n">
        <x:v>1199</x:v>
      </x:c>
      <x:c r="I2191" s="7" t="n">
        <x:v>87</x:v>
      </x:c>
      <x:c r="J2191" s="9" t="n">
        <x:v>18.8</x:v>
      </x:c>
      <x:c r="K2191" s="9" t="n">
        <x:v>9</x:v>
      </x:c>
      <x:c r="L2191" s="7" t="n">
        <x:v>2021</x:v>
      </x:c>
      <x:c r="M2191" s="11" t="n">
        <x:v>81551</x:v>
      </x:c>
      <x:c r="N2191" s="7" t="n">
        <x:v>1</x:v>
      </x:c>
      <x:c r="O2191" s="7" t="n">
        <x:v>0</x:v>
      </x:c>
      <x:c r="P2191" s="9" t="n">
        <x:v>4.37</x:v>
      </x:c>
      <x:c r="Q2191" s="7" t="n">
        <x:f>'Guide'!$B$5-L2191</x:f>
        <x:v>5</x:v>
      </x:c>
      <x:c r="R2191" s="9" t="n">
        <x:f>K2191-P2191</x:f>
        <x:v>4.63</x:v>
      </x:c>
      <x:c r="S2191" s="10" t="n">
        <x:f>IF(K2191&gt;0,R2191/K2191,"")</x:f>
        <x:v>0.5144444444444445</x:v>
      </x:c>
    </x:row>
    <x:row r="2192">
      <x:c r="A2192" s="7" t="n">
        <x:v>2188</x:v>
      </x:c>
      <x:c r="B2192" s="7" t="str">
        <x:v>Tata</x:v>
      </x:c>
      <x:c r="C2192" s="7" t="str">
        <x:v>Punch</x:v>
      </x:c>
      <x:c r="D2192" s="7" t="str">
        <x:v>Adventure AMT</x:v>
      </x:c>
      <x:c r="E2192" s="7" t="str">
        <x:v>Petrol</x:v>
      </x:c>
      <x:c r="F2192" s="7" t="str">
        <x:v>Automatic</x:v>
      </x:c>
      <x:c r="G2192" s="7" t="str">
        <x:v>Micro SUV</x:v>
      </x:c>
      <x:c r="H2192" s="7" t="n">
        <x:v>1199</x:v>
      </x:c>
      <x:c r="I2192" s="7" t="n">
        <x:v>87</x:v>
      </x:c>
      <x:c r="J2192" s="9" t="n">
        <x:v>18.8</x:v>
      </x:c>
      <x:c r="K2192" s="9" t="n">
        <x:v>9</x:v>
      </x:c>
      <x:c r="L2192" s="7" t="n">
        <x:v>2022</x:v>
      </x:c>
      <x:c r="M2192" s="11" t="n">
        <x:v>80989</x:v>
      </x:c>
      <x:c r="N2192" s="7" t="n">
        <x:v>1</x:v>
      </x:c>
      <x:c r="O2192" s="7" t="n">
        <x:v>0</x:v>
      </x:c>
      <x:c r="P2192" s="9" t="n">
        <x:v>5.41</x:v>
      </x:c>
      <x:c r="Q2192" s="7" t="n">
        <x:f>'Guide'!$B$5-L2192</x:f>
        <x:v>4</x:v>
      </x:c>
      <x:c r="R2192" s="9" t="n">
        <x:f>K2192-P2192</x:f>
        <x:v>3.59</x:v>
      </x:c>
      <x:c r="S2192" s="10" t="n">
        <x:f>IF(K2192&gt;0,R2192/K2192,"")</x:f>
        <x:v>0.39888888888888885</x:v>
      </x:c>
    </x:row>
    <x:row r="2193">
      <x:c r="A2193" s="7" t="n">
        <x:v>2189</x:v>
      </x:c>
      <x:c r="B2193" s="7" t="str">
        <x:v>Tata</x:v>
      </x:c>
      <x:c r="C2193" s="7" t="str">
        <x:v>Punch</x:v>
      </x:c>
      <x:c r="D2193" s="7" t="str">
        <x:v>Adventure AMT</x:v>
      </x:c>
      <x:c r="E2193" s="7" t="str">
        <x:v>Petrol</x:v>
      </x:c>
      <x:c r="F2193" s="7" t="str">
        <x:v>Automatic</x:v>
      </x:c>
      <x:c r="G2193" s="7" t="str">
        <x:v>Micro SUV</x:v>
      </x:c>
      <x:c r="H2193" s="7" t="n">
        <x:v>1199</x:v>
      </x:c>
      <x:c r="I2193" s="7" t="n">
        <x:v>87</x:v>
      </x:c>
      <x:c r="J2193" s="9" t="n">
        <x:v>18.8</x:v>
      </x:c>
      <x:c r="K2193" s="9" t="n">
        <x:v>9</x:v>
      </x:c>
      <x:c r="L2193" s="7" t="n">
        <x:v>2024</x:v>
      </x:c>
      <x:c r="M2193" s="11" t="n">
        <x:v>47301</x:v>
      </x:c>
      <x:c r="N2193" s="7" t="n">
        <x:v>1</x:v>
      </x:c>
      <x:c r="O2193" s="7" t="n">
        <x:v>0</x:v>
      </x:c>
      <x:c r="P2193" s="9" t="n">
        <x:v>7.15</x:v>
      </x:c>
      <x:c r="Q2193" s="7" t="n">
        <x:f>'Guide'!$B$5-L2193</x:f>
        <x:v>2</x:v>
      </x:c>
      <x:c r="R2193" s="9" t="n">
        <x:f>K2193-P2193</x:f>
        <x:v>1.8499999999999996</x:v>
      </x:c>
      <x:c r="S2193" s="10" t="n">
        <x:f>IF(K2193&gt;0,R2193/K2193,"")</x:f>
        <x:v>0.20555555555555552</x:v>
      </x:c>
    </x:row>
    <x:row r="2194">
      <x:c r="A2194" s="7" t="n">
        <x:v>2190</x:v>
      </x:c>
      <x:c r="B2194" s="7" t="str">
        <x:v>Tata</x:v>
      </x:c>
      <x:c r="C2194" s="7" t="str">
        <x:v>Punch</x:v>
      </x:c>
      <x:c r="D2194" s="7" t="str">
        <x:v>Adventure AMT</x:v>
      </x:c>
      <x:c r="E2194" s="7" t="str">
        <x:v>Petrol</x:v>
      </x:c>
      <x:c r="F2194" s="7" t="str">
        <x:v>Automatic</x:v>
      </x:c>
      <x:c r="G2194" s="7" t="str">
        <x:v>Micro SUV</x:v>
      </x:c>
      <x:c r="H2194" s="7" t="n">
        <x:v>1199</x:v>
      </x:c>
      <x:c r="I2194" s="7" t="n">
        <x:v>87</x:v>
      </x:c>
      <x:c r="J2194" s="9" t="n">
        <x:v>18.8</x:v>
      </x:c>
      <x:c r="K2194" s="9" t="n">
        <x:v>9</x:v>
      </x:c>
      <x:c r="L2194" s="7" t="n">
        <x:v>2026</x:v>
      </x:c>
      <x:c r="M2194" s="11" t="n">
        <x:v>6736</x:v>
      </x:c>
      <x:c r="N2194" s="7" t="n">
        <x:v>2</x:v>
      </x:c>
      <x:c r="O2194" s="7" t="n">
        <x:v>1</x:v>
      </x:c>
      <x:c r="P2194" s="9" t="n">
        <x:v>7.53</x:v>
      </x:c>
      <x:c r="Q2194" s="7" t="n">
        <x:f>'Guide'!$B$5-L2194</x:f>
        <x:v>0</x:v>
      </x:c>
      <x:c r="R2194" s="9" t="n">
        <x:f>K2194-P2194</x:f>
        <x:v>1.4699999999999998</x:v>
      </x:c>
      <x:c r="S2194" s="10" t="n">
        <x:f>IF(K2194&gt;0,R2194/K2194,"")</x:f>
        <x:v>0.1633333333333333</x:v>
      </x:c>
    </x:row>
    <x:row r="2195">
      <x:c r="A2195" s="7" t="n">
        <x:v>2191</x:v>
      </x:c>
      <x:c r="B2195" s="7" t="str">
        <x:v>Tata</x:v>
      </x:c>
      <x:c r="C2195" s="7" t="str">
        <x:v>Punch</x:v>
      </x:c>
      <x:c r="D2195" s="7" t="str">
        <x:v>Adventure AMT</x:v>
      </x:c>
      <x:c r="E2195" s="7" t="str">
        <x:v>Petrol</x:v>
      </x:c>
      <x:c r="F2195" s="7" t="str">
        <x:v>Automatic</x:v>
      </x:c>
      <x:c r="G2195" s="7" t="str">
        <x:v>Micro SUV</x:v>
      </x:c>
      <x:c r="H2195" s="7" t="n">
        <x:v>1199</x:v>
      </x:c>
      <x:c r="I2195" s="7" t="n">
        <x:v>87</x:v>
      </x:c>
      <x:c r="J2195" s="9" t="n">
        <x:v>18.8</x:v>
      </x:c>
      <x:c r="K2195" s="9" t="n">
        <x:v>9</x:v>
      </x:c>
      <x:c r="L2195" s="7" t="n">
        <x:v>2025</x:v>
      </x:c>
      <x:c r="M2195" s="11" t="n">
        <x:v>12892</x:v>
      </x:c>
      <x:c r="N2195" s="7" t="n">
        <x:v>1</x:v>
      </x:c>
      <x:c r="O2195" s="7" t="n">
        <x:v>0</x:v>
      </x:c>
      <x:c r="P2195" s="9" t="n">
        <x:v>8.49</x:v>
      </x:c>
      <x:c r="Q2195" s="7" t="n">
        <x:f>'Guide'!$B$5-L2195</x:f>
        <x:v>1</x:v>
      </x:c>
      <x:c r="R2195" s="9" t="n">
        <x:f>K2195-P2195</x:f>
        <x:v>0.5099999999999998</x:v>
      </x:c>
      <x:c r="S2195" s="10" t="n">
        <x:f>IF(K2195&gt;0,R2195/K2195,"")</x:f>
        <x:v>0.05666666666666664</x:v>
      </x:c>
    </x:row>
    <x:row r="2196">
      <x:c r="A2196" s="7" t="n">
        <x:v>2192</x:v>
      </x:c>
      <x:c r="B2196" s="7" t="str">
        <x:v>Tata</x:v>
      </x:c>
      <x:c r="C2196" s="7" t="str">
        <x:v>Punch</x:v>
      </x:c>
      <x:c r="D2196" s="7" t="str">
        <x:v>Adventure AMT</x:v>
      </x:c>
      <x:c r="E2196" s="7" t="str">
        <x:v>Petrol</x:v>
      </x:c>
      <x:c r="F2196" s="7" t="str">
        <x:v>Automatic</x:v>
      </x:c>
      <x:c r="G2196" s="7" t="str">
        <x:v>Micro SUV</x:v>
      </x:c>
      <x:c r="H2196" s="7" t="n">
        <x:v>1199</x:v>
      </x:c>
      <x:c r="I2196" s="7" t="n">
        <x:v>87</x:v>
      </x:c>
      <x:c r="J2196" s="9" t="n">
        <x:v>18.8</x:v>
      </x:c>
      <x:c r="K2196" s="9" t="n">
        <x:v>9</x:v>
      </x:c>
      <x:c r="L2196" s="7" t="n">
        <x:v>2022</x:v>
      </x:c>
      <x:c r="M2196" s="11" t="n">
        <x:v>66291</x:v>
      </x:c>
      <x:c r="N2196" s="7" t="n">
        <x:v>1</x:v>
      </x:c>
      <x:c r="O2196" s="7" t="n">
        <x:v>0</x:v>
      </x:c>
      <x:c r="P2196" s="9" t="n">
        <x:v>5.75</x:v>
      </x:c>
      <x:c r="Q2196" s="7" t="n">
        <x:f>'Guide'!$B$5-L2196</x:f>
        <x:v>4</x:v>
      </x:c>
      <x:c r="R2196" s="9" t="n">
        <x:f>K2196-P2196</x:f>
        <x:v>3.25</x:v>
      </x:c>
      <x:c r="S2196" s="10" t="n">
        <x:f>IF(K2196&gt;0,R2196/K2196,"")</x:f>
        <x:v>0.3611111111111111</x:v>
      </x:c>
    </x:row>
    <x:row r="2197">
      <x:c r="A2197" s="7" t="n">
        <x:v>2193</x:v>
      </x:c>
      <x:c r="B2197" s="7" t="str">
        <x:v>Tata</x:v>
      </x:c>
      <x:c r="C2197" s="7" t="str">
        <x:v>Punch</x:v>
      </x:c>
      <x:c r="D2197" s="7" t="str">
        <x:v>Adventure AMT</x:v>
      </x:c>
      <x:c r="E2197" s="7" t="str">
        <x:v>Petrol</x:v>
      </x:c>
      <x:c r="F2197" s="7" t="str">
        <x:v>Automatic</x:v>
      </x:c>
      <x:c r="G2197" s="7" t="str">
        <x:v>Micro SUV</x:v>
      </x:c>
      <x:c r="H2197" s="7" t="n">
        <x:v>1199</x:v>
      </x:c>
      <x:c r="I2197" s="7" t="n">
        <x:v>87</x:v>
      </x:c>
      <x:c r="J2197" s="9" t="n">
        <x:v>18.8</x:v>
      </x:c>
      <x:c r="K2197" s="9" t="n">
        <x:v>9</x:v>
      </x:c>
      <x:c r="L2197" s="7" t="n">
        <x:v>2023</x:v>
      </x:c>
      <x:c r="M2197" s="11" t="n">
        <x:v>35255</x:v>
      </x:c>
      <x:c r="N2197" s="7" t="n">
        <x:v>1</x:v>
      </x:c>
      <x:c r="O2197" s="7" t="n">
        <x:v>0</x:v>
      </x:c>
      <x:c r="P2197" s="9" t="n">
        <x:v>6.46</x:v>
      </x:c>
      <x:c r="Q2197" s="7" t="n">
        <x:f>'Guide'!$B$5-L2197</x:f>
        <x:v>3</x:v>
      </x:c>
      <x:c r="R2197" s="9" t="n">
        <x:f>K2197-P2197</x:f>
        <x:v>2.54</x:v>
      </x:c>
      <x:c r="S2197" s="10" t="n">
        <x:f>IF(K2197&gt;0,R2197/K2197,"")</x:f>
        <x:v>0.2822222222222222</x:v>
      </x:c>
    </x:row>
    <x:row r="2198">
      <x:c r="A2198" s="7" t="n">
        <x:v>2194</x:v>
      </x:c>
      <x:c r="B2198" s="7" t="str">
        <x:v>Tata</x:v>
      </x:c>
      <x:c r="C2198" s="7" t="str">
        <x:v>Punch</x:v>
      </x:c>
      <x:c r="D2198" s="7" t="str">
        <x:v>Adventure AMT</x:v>
      </x:c>
      <x:c r="E2198" s="7" t="str">
        <x:v>Petrol</x:v>
      </x:c>
      <x:c r="F2198" s="7" t="str">
        <x:v>Automatic</x:v>
      </x:c>
      <x:c r="G2198" s="7" t="str">
        <x:v>Micro SUV</x:v>
      </x:c>
      <x:c r="H2198" s="7" t="n">
        <x:v>1199</x:v>
      </x:c>
      <x:c r="I2198" s="7" t="n">
        <x:v>87</x:v>
      </x:c>
      <x:c r="J2198" s="9" t="n">
        <x:v>18.8</x:v>
      </x:c>
      <x:c r="K2198" s="9" t="n">
        <x:v>9</x:v>
      </x:c>
      <x:c r="L2198" s="7" t="n">
        <x:v>2020</x:v>
      </x:c>
      <x:c r="M2198" s="11" t="n">
        <x:v>75499</x:v>
      </x:c>
      <x:c r="N2198" s="7" t="n">
        <x:v>1</x:v>
      </x:c>
      <x:c r="O2198" s="7" t="n">
        <x:v>0</x:v>
      </x:c>
      <x:c r="P2198" s="9" t="n">
        <x:v>4.01</x:v>
      </x:c>
      <x:c r="Q2198" s="7" t="n">
        <x:f>'Guide'!$B$5-L2198</x:f>
        <x:v>6</x:v>
      </x:c>
      <x:c r="R2198" s="9" t="n">
        <x:f>K2198-P2198</x:f>
        <x:v>4.99</x:v>
      </x:c>
      <x:c r="S2198" s="10" t="n">
        <x:f>IF(K2198&gt;0,R2198/K2198,"")</x:f>
        <x:v>0.5544444444444445</x:v>
      </x:c>
    </x:row>
    <x:row r="2199">
      <x:c r="A2199" s="7" t="n">
        <x:v>2195</x:v>
      </x:c>
      <x:c r="B2199" s="7" t="str">
        <x:v>Tata</x:v>
      </x:c>
      <x:c r="C2199" s="7" t="str">
        <x:v>Punch</x:v>
      </x:c>
      <x:c r="D2199" s="7" t="str">
        <x:v>Adventure AMT</x:v>
      </x:c>
      <x:c r="E2199" s="7" t="str">
        <x:v>Petrol</x:v>
      </x:c>
      <x:c r="F2199" s="7" t="str">
        <x:v>Automatic</x:v>
      </x:c>
      <x:c r="G2199" s="7" t="str">
        <x:v>Micro SUV</x:v>
      </x:c>
      <x:c r="H2199" s="7" t="n">
        <x:v>1199</x:v>
      </x:c>
      <x:c r="I2199" s="7" t="n">
        <x:v>87</x:v>
      </x:c>
      <x:c r="J2199" s="9" t="n">
        <x:v>18.8</x:v>
      </x:c>
      <x:c r="K2199" s="9" t="n">
        <x:v>9</x:v>
      </x:c>
      <x:c r="L2199" s="7" t="n">
        <x:v>2026</x:v>
      </x:c>
      <x:c r="M2199" s="11" t="n">
        <x:v>9730</x:v>
      </x:c>
      <x:c r="N2199" s="7" t="n">
        <x:v>3</x:v>
      </x:c>
      <x:c r="O2199" s="7" t="n">
        <x:v>0</x:v>
      </x:c>
      <x:c r="P2199" s="9" t="n">
        <x:v>7.82</x:v>
      </x:c>
      <x:c r="Q2199" s="7" t="n">
        <x:f>'Guide'!$B$5-L2199</x:f>
        <x:v>0</x:v>
      </x:c>
      <x:c r="R2199" s="9" t="n">
        <x:f>K2199-P2199</x:f>
        <x:v>1.1799999999999997</x:v>
      </x:c>
      <x:c r="S2199" s="10" t="n">
        <x:f>IF(K2199&gt;0,R2199/K2199,"")</x:f>
        <x:v>0.13111111111111107</x:v>
      </x:c>
    </x:row>
    <x:row r="2200">
      <x:c r="A2200" s="7" t="n">
        <x:v>2196</x:v>
      </x:c>
      <x:c r="B2200" s="7" t="str">
        <x:v>Tata</x:v>
      </x:c>
      <x:c r="C2200" s="7" t="str">
        <x:v>Punch</x:v>
      </x:c>
      <x:c r="D2200" s="7" t="str">
        <x:v>Adventure AMT</x:v>
      </x:c>
      <x:c r="E2200" s="7" t="str">
        <x:v>Petrol</x:v>
      </x:c>
      <x:c r="F2200" s="7" t="str">
        <x:v>Automatic</x:v>
      </x:c>
      <x:c r="G2200" s="7" t="str">
        <x:v>Micro SUV</x:v>
      </x:c>
      <x:c r="H2200" s="7" t="n">
        <x:v>1199</x:v>
      </x:c>
      <x:c r="I2200" s="7" t="n">
        <x:v>87</x:v>
      </x:c>
      <x:c r="J2200" s="9" t="n">
        <x:v>18.8</x:v>
      </x:c>
      <x:c r="K2200" s="9" t="n">
        <x:v>9</x:v>
      </x:c>
      <x:c r="L2200" s="7" t="n">
        <x:v>2026</x:v>
      </x:c>
      <x:c r="M2200" s="11" t="n">
        <x:v>9811</x:v>
      </x:c>
      <x:c r="N2200" s="7" t="n">
        <x:v>1</x:v>
      </x:c>
      <x:c r="O2200" s="7" t="n">
        <x:v>0</x:v>
      </x:c>
      <x:c r="P2200" s="9" t="n">
        <x:v>8.62</x:v>
      </x:c>
      <x:c r="Q2200" s="7" t="n">
        <x:f>'Guide'!$B$5-L2200</x:f>
        <x:v>0</x:v>
      </x:c>
      <x:c r="R2200" s="9" t="n">
        <x:f>K2200-P2200</x:f>
        <x:v>0.3800000000000008</x:v>
      </x:c>
      <x:c r="S2200" s="10" t="n">
        <x:f>IF(K2200&gt;0,R2200/K2200,"")</x:f>
        <x:v>0.04222222222222231</x:v>
      </x:c>
    </x:row>
    <x:row r="2201">
      <x:c r="A2201" s="7" t="n">
        <x:v>2197</x:v>
      </x:c>
      <x:c r="B2201" s="7" t="str">
        <x:v>Tata</x:v>
      </x:c>
      <x:c r="C2201" s="7" t="str">
        <x:v>Punch</x:v>
      </x:c>
      <x:c r="D2201" s="7" t="str">
        <x:v>Adventure AMT</x:v>
      </x:c>
      <x:c r="E2201" s="7" t="str">
        <x:v>Petrol</x:v>
      </x:c>
      <x:c r="F2201" s="7" t="str">
        <x:v>Automatic</x:v>
      </x:c>
      <x:c r="G2201" s="7" t="str">
        <x:v>Micro SUV</x:v>
      </x:c>
      <x:c r="H2201" s="7" t="n">
        <x:v>1199</x:v>
      </x:c>
      <x:c r="I2201" s="7" t="n">
        <x:v>87</x:v>
      </x:c>
      <x:c r="J2201" s="9" t="n">
        <x:v>18.8</x:v>
      </x:c>
      <x:c r="K2201" s="9" t="n">
        <x:v>9</x:v>
      </x:c>
      <x:c r="L2201" s="7" t="n">
        <x:v>2025</x:v>
      </x:c>
      <x:c r="M2201" s="11" t="n">
        <x:v>22071</x:v>
      </x:c>
      <x:c r="N2201" s="7" t="n">
        <x:v>1</x:v>
      </x:c>
      <x:c r="O2201" s="7" t="n">
        <x:v>0</x:v>
      </x:c>
      <x:c r="P2201" s="9" t="n">
        <x:v>8.13</x:v>
      </x:c>
      <x:c r="Q2201" s="7" t="n">
        <x:f>'Guide'!$B$5-L2201</x:f>
        <x:v>1</x:v>
      </x:c>
      <x:c r="R2201" s="9" t="n">
        <x:f>K2201-P2201</x:f>
        <x:v>0.8699999999999992</x:v>
      </x:c>
      <x:c r="S2201" s="10" t="n">
        <x:f>IF(K2201&gt;0,R2201/K2201,"")</x:f>
        <x:v>0.09666666666666658</x:v>
      </x:c>
    </x:row>
    <x:row r="2202">
      <x:c r="A2202" s="7" t="n">
        <x:v>2198</x:v>
      </x:c>
      <x:c r="B2202" s="7" t="str">
        <x:v>Tata</x:v>
      </x:c>
      <x:c r="C2202" s="7" t="str">
        <x:v>Punch</x:v>
      </x:c>
      <x:c r="D2202" s="7" t="str">
        <x:v>Adventure AMT</x:v>
      </x:c>
      <x:c r="E2202" s="7" t="str">
        <x:v>Petrol</x:v>
      </x:c>
      <x:c r="F2202" s="7" t="str">
        <x:v>Automatic</x:v>
      </x:c>
      <x:c r="G2202" s="7" t="str">
        <x:v>Micro SUV</x:v>
      </x:c>
      <x:c r="H2202" s="7" t="n">
        <x:v>1199</x:v>
      </x:c>
      <x:c r="I2202" s="7" t="n">
        <x:v>87</x:v>
      </x:c>
      <x:c r="J2202" s="9" t="n">
        <x:v>18.8</x:v>
      </x:c>
      <x:c r="K2202" s="9" t="n">
        <x:v>9</x:v>
      </x:c>
      <x:c r="L2202" s="7" t="n">
        <x:v>2023</x:v>
      </x:c>
      <x:c r="M2202" s="11" t="n">
        <x:v>56885</x:v>
      </x:c>
      <x:c r="N2202" s="7" t="n">
        <x:v>2</x:v>
      </x:c>
      <x:c r="O2202" s="7" t="n">
        <x:v>0</x:v>
      </x:c>
      <x:c r="P2202" s="9" t="n">
        <x:v>5.43</x:v>
      </x:c>
      <x:c r="Q2202" s="7" t="n">
        <x:f>'Guide'!$B$5-L2202</x:f>
        <x:v>3</x:v>
      </x:c>
      <x:c r="R2202" s="9" t="n">
        <x:f>K2202-P2202</x:f>
        <x:v>3.5700000000000003</x:v>
      </x:c>
      <x:c r="S2202" s="10" t="n">
        <x:f>IF(K2202&gt;0,R2202/K2202,"")</x:f>
        <x:v>0.3966666666666667</x:v>
      </x:c>
    </x:row>
    <x:row r="2203">
      <x:c r="A2203" s="7" t="n">
        <x:v>2199</x:v>
      </x:c>
      <x:c r="B2203" s="7" t="str">
        <x:v>Tata</x:v>
      </x:c>
      <x:c r="C2203" s="7" t="str">
        <x:v>Punch</x:v>
      </x:c>
      <x:c r="D2203" s="7" t="str">
        <x:v>Adventure AMT</x:v>
      </x:c>
      <x:c r="E2203" s="7" t="str">
        <x:v>Petrol</x:v>
      </x:c>
      <x:c r="F2203" s="7" t="str">
        <x:v>Automatic</x:v>
      </x:c>
      <x:c r="G2203" s="7" t="str">
        <x:v>Micro SUV</x:v>
      </x:c>
      <x:c r="H2203" s="7" t="n">
        <x:v>1199</x:v>
      </x:c>
      <x:c r="I2203" s="7" t="n">
        <x:v>87</x:v>
      </x:c>
      <x:c r="J2203" s="9" t="n">
        <x:v>18.8</x:v>
      </x:c>
      <x:c r="K2203" s="9" t="n">
        <x:v>9</x:v>
      </x:c>
      <x:c r="L2203" s="7" t="n">
        <x:v>2020</x:v>
      </x:c>
      <x:c r="M2203" s="11" t="n">
        <x:v>75988</x:v>
      </x:c>
      <x:c r="N2203" s="7" t="n">
        <x:v>1</x:v>
      </x:c>
      <x:c r="O2203" s="7" t="n">
        <x:v>0</x:v>
      </x:c>
      <x:c r="P2203" s="9" t="n">
        <x:v>3.77</x:v>
      </x:c>
      <x:c r="Q2203" s="7" t="n">
        <x:f>'Guide'!$B$5-L2203</x:f>
        <x:v>6</x:v>
      </x:c>
      <x:c r="R2203" s="9" t="n">
        <x:f>K2203-P2203</x:f>
        <x:v>5.23</x:v>
      </x:c>
      <x:c r="S2203" s="10" t="n">
        <x:f>IF(K2203&gt;0,R2203/K2203,"")</x:f>
        <x:v>0.5811111111111111</x:v>
      </x:c>
    </x:row>
    <x:row r="2204">
      <x:c r="A2204" s="7" t="n">
        <x:v>2200</x:v>
      </x:c>
      <x:c r="B2204" s="7" t="str">
        <x:v>Tata</x:v>
      </x:c>
      <x:c r="C2204" s="7" t="str">
        <x:v>Punch</x:v>
      </x:c>
      <x:c r="D2204" s="7" t="str">
        <x:v>Adventure AMT</x:v>
      </x:c>
      <x:c r="E2204" s="7" t="str">
        <x:v>Petrol</x:v>
      </x:c>
      <x:c r="F2204" s="7" t="str">
        <x:v>Automatic</x:v>
      </x:c>
      <x:c r="G2204" s="7" t="str">
        <x:v>Micro SUV</x:v>
      </x:c>
      <x:c r="H2204" s="7" t="n">
        <x:v>1199</x:v>
      </x:c>
      <x:c r="I2204" s="7" t="n">
        <x:v>87</x:v>
      </x:c>
      <x:c r="J2204" s="9" t="n">
        <x:v>18.8</x:v>
      </x:c>
      <x:c r="K2204" s="9" t="n">
        <x:v>9</x:v>
      </x:c>
      <x:c r="L2204" s="7" t="n">
        <x:v>2026</x:v>
      </x:c>
      <x:c r="M2204" s="11" t="n">
        <x:v>8320</x:v>
      </x:c>
      <x:c r="N2204" s="7" t="n">
        <x:v>1</x:v>
      </x:c>
      <x:c r="O2204" s="7" t="n">
        <x:v>0</x:v>
      </x:c>
      <x:c r="P2204" s="9" t="n">
        <x:v>9.09</x:v>
      </x:c>
      <x:c r="Q2204" s="7" t="n">
        <x:f>'Guide'!$B$5-L2204</x:f>
        <x:v>0</x:v>
      </x:c>
      <x:c r="R2204" s="9" t="n">
        <x:f>K2204-P2204</x:f>
        <x:v>-0.08999999999999986</x:v>
      </x:c>
      <x:c r="S2204" s="10" t="n">
        <x:f>IF(K2204&gt;0,R2204/K2204,"")</x:f>
        <x:v>-0.009999999999999985</x:v>
      </x:c>
    </x:row>
    <x:row r="2205">
      <x:c r="A2205" s="7" t="n">
        <x:v>2201</x:v>
      </x:c>
      <x:c r="B2205" s="7" t="str">
        <x:v>Tata</x:v>
      </x:c>
      <x:c r="C2205" s="7" t="str">
        <x:v>Punch</x:v>
      </x:c>
      <x:c r="D2205" s="7" t="str">
        <x:v>Adventure CNG</x:v>
      </x:c>
      <x:c r="E2205" s="7" t="str">
        <x:v>CNG</x:v>
      </x:c>
      <x:c r="F2205" s="7" t="str">
        <x:v>Manual</x:v>
      </x:c>
      <x:c r="G2205" s="7" t="str">
        <x:v>Micro SUV</x:v>
      </x:c>
      <x:c r="H2205" s="7" t="n">
        <x:v>1199</x:v>
      </x:c>
      <x:c r="I2205" s="7" t="n">
        <x:v>73</x:v>
      </x:c>
      <x:c r="J2205" s="9" t="n">
        <x:v>26.9</x:v>
      </x:c>
      <x:c r="K2205" s="9" t="n">
        <x:v>8.8</x:v>
      </x:c>
      <x:c r="L2205" s="7" t="n">
        <x:v>2022</x:v>
      </x:c>
      <x:c r="M2205" s="11" t="n">
        <x:v>60907</x:v>
      </x:c>
      <x:c r="N2205" s="7" t="n">
        <x:v>1</x:v>
      </x:c>
      <x:c r="O2205" s="7" t="n">
        <x:v>0</x:v>
      </x:c>
      <x:c r="P2205" s="9" t="n">
        <x:v>5.01</x:v>
      </x:c>
      <x:c r="Q2205" s="7" t="n">
        <x:f>'Guide'!$B$5-L2205</x:f>
        <x:v>4</x:v>
      </x:c>
      <x:c r="R2205" s="9" t="n">
        <x:f>K2205-P2205</x:f>
        <x:v>3.790000000000001</x:v>
      </x:c>
      <x:c r="S2205" s="10" t="n">
        <x:f>IF(K2205&gt;0,R2205/K2205,"")</x:f>
        <x:v>0.4306818181818183</x:v>
      </x:c>
    </x:row>
    <x:row r="2206">
      <x:c r="A2206" s="7" t="n">
        <x:v>2202</x:v>
      </x:c>
      <x:c r="B2206" s="7" t="str">
        <x:v>Tata</x:v>
      </x:c>
      <x:c r="C2206" s="7" t="str">
        <x:v>Punch</x:v>
      </x:c>
      <x:c r="D2206" s="7" t="str">
        <x:v>Adventure CNG</x:v>
      </x:c>
      <x:c r="E2206" s="7" t="str">
        <x:v>CNG</x:v>
      </x:c>
      <x:c r="F2206" s="7" t="str">
        <x:v>Manual</x:v>
      </x:c>
      <x:c r="G2206" s="7" t="str">
        <x:v>Micro SUV</x:v>
      </x:c>
      <x:c r="H2206" s="7" t="n">
        <x:v>1199</x:v>
      </x:c>
      <x:c r="I2206" s="7" t="n">
        <x:v>73</x:v>
      </x:c>
      <x:c r="J2206" s="9" t="n">
        <x:v>26.9</x:v>
      </x:c>
      <x:c r="K2206" s="9" t="n">
        <x:v>8.8</x:v>
      </x:c>
      <x:c r="L2206" s="7" t="n">
        <x:v>2020</x:v>
      </x:c>
      <x:c r="M2206" s="11" t="n">
        <x:v>76956</x:v>
      </x:c>
      <x:c r="N2206" s="7" t="n">
        <x:v>1</x:v>
      </x:c>
      <x:c r="O2206" s="7" t="n">
        <x:v>0</x:v>
      </x:c>
      <x:c r="P2206" s="9" t="n">
        <x:v>3.71</x:v>
      </x:c>
      <x:c r="Q2206" s="7" t="n">
        <x:f>'Guide'!$B$5-L2206</x:f>
        <x:v>6</x:v>
      </x:c>
      <x:c r="R2206" s="9" t="n">
        <x:f>K2206-P2206</x:f>
        <x:v>5.090000000000001</x:v>
      </x:c>
      <x:c r="S2206" s="10" t="n">
        <x:f>IF(K2206&gt;0,R2206/K2206,"")</x:f>
        <x:v>0.578409090909091</x:v>
      </x:c>
    </x:row>
    <x:row r="2207">
      <x:c r="A2207" s="7" t="n">
        <x:v>2203</x:v>
      </x:c>
      <x:c r="B2207" s="7" t="str">
        <x:v>Tata</x:v>
      </x:c>
      <x:c r="C2207" s="7" t="str">
        <x:v>Punch</x:v>
      </x:c>
      <x:c r="D2207" s="7" t="str">
        <x:v>Adventure CNG</x:v>
      </x:c>
      <x:c r="E2207" s="7" t="str">
        <x:v>CNG</x:v>
      </x:c>
      <x:c r="F2207" s="7" t="str">
        <x:v>Manual</x:v>
      </x:c>
      <x:c r="G2207" s="7" t="str">
        <x:v>Micro SUV</x:v>
      </x:c>
      <x:c r="H2207" s="7" t="n">
        <x:v>1199</x:v>
      </x:c>
      <x:c r="I2207" s="7" t="n">
        <x:v>73</x:v>
      </x:c>
      <x:c r="J2207" s="9" t="n">
        <x:v>26.9</x:v>
      </x:c>
      <x:c r="K2207" s="9" t="n">
        <x:v>8.8</x:v>
      </x:c>
      <x:c r="L2207" s="7" t="n">
        <x:v>2025</x:v>
      </x:c>
      <x:c r="M2207" s="11" t="n">
        <x:v>18112</x:v>
      </x:c>
      <x:c r="N2207" s="7" t="n">
        <x:v>2</x:v>
      </x:c>
      <x:c r="O2207" s="7" t="n">
        <x:v>0</x:v>
      </x:c>
      <x:c r="P2207" s="9" t="n">
        <x:v>7.12</x:v>
      </x:c>
      <x:c r="Q2207" s="7" t="n">
        <x:f>'Guide'!$B$5-L2207</x:f>
        <x:v>1</x:v>
      </x:c>
      <x:c r="R2207" s="9" t="n">
        <x:f>K2207-P2207</x:f>
        <x:v>1.6800000000000006</x:v>
      </x:c>
      <x:c r="S2207" s="10" t="n">
        <x:f>IF(K2207&gt;0,R2207/K2207,"")</x:f>
        <x:v>0.19090909090909097</x:v>
      </x:c>
    </x:row>
    <x:row r="2208">
      <x:c r="A2208" s="7" t="n">
        <x:v>2204</x:v>
      </x:c>
      <x:c r="B2208" s="7" t="str">
        <x:v>Tata</x:v>
      </x:c>
      <x:c r="C2208" s="7" t="str">
        <x:v>Punch</x:v>
      </x:c>
      <x:c r="D2208" s="7" t="str">
        <x:v>Adventure CNG</x:v>
      </x:c>
      <x:c r="E2208" s="7" t="str">
        <x:v>CNG</x:v>
      </x:c>
      <x:c r="F2208" s="7" t="str">
        <x:v>Manual</x:v>
      </x:c>
      <x:c r="G2208" s="7" t="str">
        <x:v>Micro SUV</x:v>
      </x:c>
      <x:c r="H2208" s="7" t="n">
        <x:v>1199</x:v>
      </x:c>
      <x:c r="I2208" s="7" t="n">
        <x:v>73</x:v>
      </x:c>
      <x:c r="J2208" s="9" t="n">
        <x:v>26.9</x:v>
      </x:c>
      <x:c r="K2208" s="9" t="n">
        <x:v>8.8</x:v>
      </x:c>
      <x:c r="L2208" s="7" t="n">
        <x:v>2026</x:v>
      </x:c>
      <x:c r="M2208" s="11" t="n">
        <x:v>5381</x:v>
      </x:c>
      <x:c r="N2208" s="7" t="n">
        <x:v>3</x:v>
      </x:c>
      <x:c r="O2208" s="7" t="n">
        <x:v>0</x:v>
      </x:c>
      <x:c r="P2208" s="9" t="n">
        <x:v>7.56</x:v>
      </x:c>
      <x:c r="Q2208" s="7" t="n">
        <x:f>'Guide'!$B$5-L2208</x:f>
        <x:v>0</x:v>
      </x:c>
      <x:c r="R2208" s="9" t="n">
        <x:f>K2208-P2208</x:f>
        <x:v>1.240000000000001</x:v>
      </x:c>
      <x:c r="S2208" s="10" t="n">
        <x:f>IF(K2208&gt;0,R2208/K2208,"")</x:f>
        <x:v>0.140909090909091</x:v>
      </x:c>
    </x:row>
    <x:row r="2209">
      <x:c r="A2209" s="7" t="n">
        <x:v>2205</x:v>
      </x:c>
      <x:c r="B2209" s="7" t="str">
        <x:v>Tata</x:v>
      </x:c>
      <x:c r="C2209" s="7" t="str">
        <x:v>Punch</x:v>
      </x:c>
      <x:c r="D2209" s="7" t="str">
        <x:v>Adventure CNG</x:v>
      </x:c>
      <x:c r="E2209" s="7" t="str">
        <x:v>CNG</x:v>
      </x:c>
      <x:c r="F2209" s="7" t="str">
        <x:v>Manual</x:v>
      </x:c>
      <x:c r="G2209" s="7" t="str">
        <x:v>Micro SUV</x:v>
      </x:c>
      <x:c r="H2209" s="7" t="n">
        <x:v>1199</x:v>
      </x:c>
      <x:c r="I2209" s="7" t="n">
        <x:v>73</x:v>
      </x:c>
      <x:c r="J2209" s="9" t="n">
        <x:v>26.9</x:v>
      </x:c>
      <x:c r="K2209" s="9" t="n">
        <x:v>8.8</x:v>
      </x:c>
      <x:c r="L2209" s="7" t="n">
        <x:v>2025</x:v>
      </x:c>
      <x:c r="M2209" s="11" t="n">
        <x:v>19651</x:v>
      </x:c>
      <x:c r="N2209" s="7" t="n">
        <x:v>1</x:v>
      </x:c>
      <x:c r="O2209" s="7" t="n">
        <x:v>0</x:v>
      </x:c>
      <x:c r="P2209" s="9" t="n">
        <x:v>7.58</x:v>
      </x:c>
      <x:c r="Q2209" s="7" t="n">
        <x:f>'Guide'!$B$5-L2209</x:f>
        <x:v>1</x:v>
      </x:c>
      <x:c r="R2209" s="9" t="n">
        <x:f>K2209-P2209</x:f>
        <x:v>1.2200000000000006</x:v>
      </x:c>
      <x:c r="S2209" s="10" t="n">
        <x:f>IF(K2209&gt;0,R2209/K2209,"")</x:f>
        <x:v>0.1386363636363637</x:v>
      </x:c>
    </x:row>
    <x:row r="2210">
      <x:c r="A2210" s="7" t="n">
        <x:v>2206</x:v>
      </x:c>
      <x:c r="B2210" s="7" t="str">
        <x:v>Tata</x:v>
      </x:c>
      <x:c r="C2210" s="7" t="str">
        <x:v>Punch</x:v>
      </x:c>
      <x:c r="D2210" s="7" t="str">
        <x:v>Adventure CNG</x:v>
      </x:c>
      <x:c r="E2210" s="7" t="str">
        <x:v>CNG</x:v>
      </x:c>
      <x:c r="F2210" s="7" t="str">
        <x:v>Manual</x:v>
      </x:c>
      <x:c r="G2210" s="7" t="str">
        <x:v>Micro SUV</x:v>
      </x:c>
      <x:c r="H2210" s="7" t="n">
        <x:v>1199</x:v>
      </x:c>
      <x:c r="I2210" s="7" t="n">
        <x:v>73</x:v>
      </x:c>
      <x:c r="J2210" s="9" t="n">
        <x:v>26.9</x:v>
      </x:c>
      <x:c r="K2210" s="9" t="n">
        <x:v>8.8</x:v>
      </x:c>
      <x:c r="L2210" s="7" t="n">
        <x:v>2024</x:v>
      </x:c>
      <x:c r="M2210" s="11" t="n">
        <x:v>36630</x:v>
      </x:c>
      <x:c r="N2210" s="7" t="n">
        <x:v>1</x:v>
      </x:c>
      <x:c r="O2210" s="7" t="n">
        <x:v>0</x:v>
      </x:c>
      <x:c r="P2210" s="9" t="n">
        <x:v>7.4</x:v>
      </x:c>
      <x:c r="Q2210" s="7" t="n">
        <x:f>'Guide'!$B$5-L2210</x:f>
        <x:v>2</x:v>
      </x:c>
      <x:c r="R2210" s="9" t="n">
        <x:f>K2210-P2210</x:f>
        <x:v>1.4000000000000004</x:v>
      </x:c>
      <x:c r="S2210" s="10" t="n">
        <x:f>IF(K2210&gt;0,R2210/K2210,"")</x:f>
        <x:v>0.15909090909090912</x:v>
      </x:c>
    </x:row>
    <x:row r="2211">
      <x:c r="A2211" s="7" t="n">
        <x:v>2207</x:v>
      </x:c>
      <x:c r="B2211" s="7" t="str">
        <x:v>Tata</x:v>
      </x:c>
      <x:c r="C2211" s="7" t="str">
        <x:v>Punch</x:v>
      </x:c>
      <x:c r="D2211" s="7" t="str">
        <x:v>Adventure CNG</x:v>
      </x:c>
      <x:c r="E2211" s="7" t="str">
        <x:v>CNG</x:v>
      </x:c>
      <x:c r="F2211" s="7" t="str">
        <x:v>Manual</x:v>
      </x:c>
      <x:c r="G2211" s="7" t="str">
        <x:v>Micro SUV</x:v>
      </x:c>
      <x:c r="H2211" s="7" t="n">
        <x:v>1199</x:v>
      </x:c>
      <x:c r="I2211" s="7" t="n">
        <x:v>73</x:v>
      </x:c>
      <x:c r="J2211" s="9" t="n">
        <x:v>26.9</x:v>
      </x:c>
      <x:c r="K2211" s="9" t="n">
        <x:v>8.8</x:v>
      </x:c>
      <x:c r="L2211" s="7" t="n">
        <x:v>2023</x:v>
      </x:c>
      <x:c r="M2211" s="11" t="n">
        <x:v>40842</x:v>
      </x:c>
      <x:c r="N2211" s="7" t="n">
        <x:v>1</x:v>
      </x:c>
      <x:c r="O2211" s="7" t="n">
        <x:v>0</x:v>
      </x:c>
      <x:c r="P2211" s="9" t="n">
        <x:v>6.65</x:v>
      </x:c>
      <x:c r="Q2211" s="7" t="n">
        <x:f>'Guide'!$B$5-L2211</x:f>
        <x:v>3</x:v>
      </x:c>
      <x:c r="R2211" s="9" t="n">
        <x:f>K2211-P2211</x:f>
        <x:v>2.1500000000000004</x:v>
      </x:c>
      <x:c r="S2211" s="10" t="n">
        <x:f>IF(K2211&gt;0,R2211/K2211,"")</x:f>
        <x:v>0.24431818181818185</x:v>
      </x:c>
    </x:row>
    <x:row r="2212">
      <x:c r="A2212" s="7" t="n">
        <x:v>2208</x:v>
      </x:c>
      <x:c r="B2212" s="7" t="str">
        <x:v>Tata</x:v>
      </x:c>
      <x:c r="C2212" s="7" t="str">
        <x:v>Punch</x:v>
      </x:c>
      <x:c r="D2212" s="7" t="str">
        <x:v>Adventure CNG</x:v>
      </x:c>
      <x:c r="E2212" s="7" t="str">
        <x:v>CNG</x:v>
      </x:c>
      <x:c r="F2212" s="7" t="str">
        <x:v>Manual</x:v>
      </x:c>
      <x:c r="G2212" s="7" t="str">
        <x:v>Micro SUV</x:v>
      </x:c>
      <x:c r="H2212" s="7" t="n">
        <x:v>1199</x:v>
      </x:c>
      <x:c r="I2212" s="7" t="n">
        <x:v>73</x:v>
      </x:c>
      <x:c r="J2212" s="9" t="n">
        <x:v>26.9</x:v>
      </x:c>
      <x:c r="K2212" s="9" t="n">
        <x:v>8.8</x:v>
      </x:c>
      <x:c r="L2212" s="7" t="n">
        <x:v>2026</x:v>
      </x:c>
      <x:c r="M2212" s="11" t="n">
        <x:v>4288</x:v>
      </x:c>
      <x:c r="N2212" s="7" t="n">
        <x:v>1</x:v>
      </x:c>
      <x:c r="O2212" s="7" t="n">
        <x:v>0</x:v>
      </x:c>
      <x:c r="P2212" s="9" t="n">
        <x:v>8.66</x:v>
      </x:c>
      <x:c r="Q2212" s="7" t="n">
        <x:f>'Guide'!$B$5-L2212</x:f>
        <x:v>0</x:v>
      </x:c>
      <x:c r="R2212" s="9" t="n">
        <x:f>K2212-P2212</x:f>
        <x:v>0.14000000000000057</x:v>
      </x:c>
      <x:c r="S2212" s="10" t="n">
        <x:f>IF(K2212&gt;0,R2212/K2212,"")</x:f>
        <x:v>0.015909090909090973</x:v>
      </x:c>
    </x:row>
    <x:row r="2213">
      <x:c r="A2213" s="7" t="n">
        <x:v>2209</x:v>
      </x:c>
      <x:c r="B2213" s="7" t="str">
        <x:v>Tata</x:v>
      </x:c>
      <x:c r="C2213" s="7" t="str">
        <x:v>Punch</x:v>
      </x:c>
      <x:c r="D2213" s="7" t="str">
        <x:v>Adventure CNG</x:v>
      </x:c>
      <x:c r="E2213" s="7" t="str">
        <x:v>CNG</x:v>
      </x:c>
      <x:c r="F2213" s="7" t="str">
        <x:v>Manual</x:v>
      </x:c>
      <x:c r="G2213" s="7" t="str">
        <x:v>Micro SUV</x:v>
      </x:c>
      <x:c r="H2213" s="7" t="n">
        <x:v>1199</x:v>
      </x:c>
      <x:c r="I2213" s="7" t="n">
        <x:v>73</x:v>
      </x:c>
      <x:c r="J2213" s="9" t="n">
        <x:v>26.9</x:v>
      </x:c>
      <x:c r="K2213" s="9" t="n">
        <x:v>8.8</x:v>
      </x:c>
      <x:c r="L2213" s="7" t="n">
        <x:v>2020</x:v>
      </x:c>
      <x:c r="M2213" s="11" t="n">
        <x:v>112901</x:v>
      </x:c>
      <x:c r="N2213" s="7" t="n">
        <x:v>1</x:v>
      </x:c>
      <x:c r="O2213" s="7" t="n">
        <x:v>0</x:v>
      </x:c>
      <x:c r="P2213" s="9" t="n">
        <x:v>3.18</x:v>
      </x:c>
      <x:c r="Q2213" s="7" t="n">
        <x:f>'Guide'!$B$5-L2213</x:f>
        <x:v>6</x:v>
      </x:c>
      <x:c r="R2213" s="9" t="n">
        <x:f>K2213-P2213</x:f>
        <x:v>5.620000000000001</x:v>
      </x:c>
      <x:c r="S2213" s="10" t="n">
        <x:f>IF(K2213&gt;0,R2213/K2213,"")</x:f>
        <x:v>0.6386363636363637</x:v>
      </x:c>
    </x:row>
    <x:row r="2214">
      <x:c r="A2214" s="7" t="n">
        <x:v>2210</x:v>
      </x:c>
      <x:c r="B2214" s="7" t="str">
        <x:v>Tata</x:v>
      </x:c>
      <x:c r="C2214" s="7" t="str">
        <x:v>Punch</x:v>
      </x:c>
      <x:c r="D2214" s="7" t="str">
        <x:v>Adventure CNG</x:v>
      </x:c>
      <x:c r="E2214" s="7" t="str">
        <x:v>CNG</x:v>
      </x:c>
      <x:c r="F2214" s="7" t="str">
        <x:v>Manual</x:v>
      </x:c>
      <x:c r="G2214" s="7" t="str">
        <x:v>Micro SUV</x:v>
      </x:c>
      <x:c r="H2214" s="7" t="n">
        <x:v>1199</x:v>
      </x:c>
      <x:c r="I2214" s="7" t="n">
        <x:v>73</x:v>
      </x:c>
      <x:c r="J2214" s="9" t="n">
        <x:v>26.9</x:v>
      </x:c>
      <x:c r="K2214" s="9" t="n">
        <x:v>8.8</x:v>
      </x:c>
      <x:c r="L2214" s="7" t="n">
        <x:v>2026</x:v>
      </x:c>
      <x:c r="M2214" s="11" t="n">
        <x:v>5834</x:v>
      </x:c>
      <x:c r="N2214" s="7" t="n">
        <x:v>1</x:v>
      </x:c>
      <x:c r="O2214" s="7" t="n">
        <x:v>0</x:v>
      </x:c>
      <x:c r="P2214" s="9" t="n">
        <x:v>9.07</x:v>
      </x:c>
      <x:c r="Q2214" s="7" t="n">
        <x:f>'Guide'!$B$5-L2214</x:f>
        <x:v>0</x:v>
      </x:c>
      <x:c r="R2214" s="9" t="n">
        <x:f>K2214-P2214</x:f>
        <x:v>-0.2699999999999996</x:v>
      </x:c>
      <x:c r="S2214" s="10" t="n">
        <x:f>IF(K2214&gt;0,R2214/K2214,"")</x:f>
        <x:v>-0.03068181818181813</x:v>
      </x:c>
    </x:row>
    <x:row r="2215">
      <x:c r="A2215" s="7" t="n">
        <x:v>2211</x:v>
      </x:c>
      <x:c r="B2215" s="7" t="str">
        <x:v>Tata</x:v>
      </x:c>
      <x:c r="C2215" s="7" t="str">
        <x:v>Punch</x:v>
      </x:c>
      <x:c r="D2215" s="7" t="str">
        <x:v>Adventure CNG</x:v>
      </x:c>
      <x:c r="E2215" s="7" t="str">
        <x:v>CNG</x:v>
      </x:c>
      <x:c r="F2215" s="7" t="str">
        <x:v>Manual</x:v>
      </x:c>
      <x:c r="G2215" s="7" t="str">
        <x:v>Micro SUV</x:v>
      </x:c>
      <x:c r="H2215" s="7" t="n">
        <x:v>1199</x:v>
      </x:c>
      <x:c r="I2215" s="7" t="n">
        <x:v>73</x:v>
      </x:c>
      <x:c r="J2215" s="9" t="n">
        <x:v>26.9</x:v>
      </x:c>
      <x:c r="K2215" s="9" t="n">
        <x:v>8.8</x:v>
      </x:c>
      <x:c r="L2215" s="7" t="n">
        <x:v>2022</x:v>
      </x:c>
      <x:c r="M2215" s="11" t="n">
        <x:v>64638</x:v>
      </x:c>
      <x:c r="N2215" s="7" t="n">
        <x:v>1</x:v>
      </x:c>
      <x:c r="O2215" s="7" t="n">
        <x:v>1</x:v>
      </x:c>
      <x:c r="P2215" s="9" t="n">
        <x:v>4.72</x:v>
      </x:c>
      <x:c r="Q2215" s="7" t="n">
        <x:f>'Guide'!$B$5-L2215</x:f>
        <x:v>4</x:v>
      </x:c>
      <x:c r="R2215" s="9" t="n">
        <x:f>K2215-P2215</x:f>
        <x:v>4.080000000000001</x:v>
      </x:c>
      <x:c r="S2215" s="10" t="n">
        <x:f>IF(K2215&gt;0,R2215/K2215,"")</x:f>
        <x:v>0.46363636363636374</x:v>
      </x:c>
    </x:row>
    <x:row r="2216">
      <x:c r="A2216" s="7" t="n">
        <x:v>2212</x:v>
      </x:c>
      <x:c r="B2216" s="7" t="str">
        <x:v>Tata</x:v>
      </x:c>
      <x:c r="C2216" s="7" t="str">
        <x:v>Punch</x:v>
      </x:c>
      <x:c r="D2216" s="7" t="str">
        <x:v>Adventure CNG</x:v>
      </x:c>
      <x:c r="E2216" s="7" t="str">
        <x:v>CNG</x:v>
      </x:c>
      <x:c r="F2216" s="7" t="str">
        <x:v>Manual</x:v>
      </x:c>
      <x:c r="G2216" s="7" t="str">
        <x:v>Micro SUV</x:v>
      </x:c>
      <x:c r="H2216" s="7" t="n">
        <x:v>1199</x:v>
      </x:c>
      <x:c r="I2216" s="7" t="n">
        <x:v>73</x:v>
      </x:c>
      <x:c r="J2216" s="9" t="n">
        <x:v>26.9</x:v>
      </x:c>
      <x:c r="K2216" s="9" t="n">
        <x:v>8.8</x:v>
      </x:c>
      <x:c r="L2216" s="7" t="n">
        <x:v>2020</x:v>
      </x:c>
      <x:c r="M2216" s="11" t="n">
        <x:v>127349</x:v>
      </x:c>
      <x:c r="N2216" s="7" t="n">
        <x:v>3</x:v>
      </x:c>
      <x:c r="O2216" s="7" t="n">
        <x:v>0</x:v>
      </x:c>
      <x:c r="P2216" s="9" t="n">
        <x:v>2.77</x:v>
      </x:c>
      <x:c r="Q2216" s="7" t="n">
        <x:f>'Guide'!$B$5-L2216</x:f>
        <x:v>6</x:v>
      </x:c>
      <x:c r="R2216" s="9" t="n">
        <x:f>K2216-P2216</x:f>
        <x:v>6.030000000000001</x:v>
      </x:c>
      <x:c r="S2216" s="10" t="n">
        <x:f>IF(K2216&gt;0,R2216/K2216,"")</x:f>
        <x:v>0.6852272727272728</x:v>
      </x:c>
    </x:row>
    <x:row r="2217">
      <x:c r="A2217" s="7" t="n">
        <x:v>2213</x:v>
      </x:c>
      <x:c r="B2217" s="7" t="str">
        <x:v>Tata</x:v>
      </x:c>
      <x:c r="C2217" s="7" t="str">
        <x:v>Punch</x:v>
      </x:c>
      <x:c r="D2217" s="7" t="str">
        <x:v>Adventure CNG</x:v>
      </x:c>
      <x:c r="E2217" s="7" t="str">
        <x:v>CNG</x:v>
      </x:c>
      <x:c r="F2217" s="7" t="str">
        <x:v>Manual</x:v>
      </x:c>
      <x:c r="G2217" s="7" t="str">
        <x:v>Micro SUV</x:v>
      </x:c>
      <x:c r="H2217" s="7" t="n">
        <x:v>1199</x:v>
      </x:c>
      <x:c r="I2217" s="7" t="n">
        <x:v>73</x:v>
      </x:c>
      <x:c r="J2217" s="9" t="n">
        <x:v>26.9</x:v>
      </x:c>
      <x:c r="K2217" s="9" t="n">
        <x:v>8.8</x:v>
      </x:c>
      <x:c r="L2217" s="7" t="n">
        <x:v>2026</x:v>
      </x:c>
      <x:c r="M2217" s="11" t="n">
        <x:v>7133</x:v>
      </x:c>
      <x:c r="N2217" s="7" t="n">
        <x:v>2</x:v>
      </x:c>
      <x:c r="O2217" s="7" t="n">
        <x:v>0</x:v>
      </x:c>
      <x:c r="P2217" s="9" t="n">
        <x:v>8.21</x:v>
      </x:c>
      <x:c r="Q2217" s="7" t="n">
        <x:f>'Guide'!$B$5-L2217</x:f>
        <x:v>0</x:v>
      </x:c>
      <x:c r="R2217" s="9" t="n">
        <x:f>K2217-P2217</x:f>
        <x:v>0.5899999999999999</x:v>
      </x:c>
      <x:c r="S2217" s="10" t="n">
        <x:f>IF(K2217&gt;0,R2217/K2217,"")</x:f>
        <x:v>0.06704545454545452</x:v>
      </x:c>
    </x:row>
    <x:row r="2218">
      <x:c r="A2218" s="7" t="n">
        <x:v>2214</x:v>
      </x:c>
      <x:c r="B2218" s="7" t="str">
        <x:v>Tata</x:v>
      </x:c>
      <x:c r="C2218" s="7" t="str">
        <x:v>Punch</x:v>
      </x:c>
      <x:c r="D2218" s="7" t="str">
        <x:v>Adventure CNG</x:v>
      </x:c>
      <x:c r="E2218" s="7" t="str">
        <x:v>CNG</x:v>
      </x:c>
      <x:c r="F2218" s="7" t="str">
        <x:v>Manual</x:v>
      </x:c>
      <x:c r="G2218" s="7" t="str">
        <x:v>Micro SUV</x:v>
      </x:c>
      <x:c r="H2218" s="7" t="n">
        <x:v>1199</x:v>
      </x:c>
      <x:c r="I2218" s="7" t="n">
        <x:v>73</x:v>
      </x:c>
      <x:c r="J2218" s="9" t="n">
        <x:v>26.9</x:v>
      </x:c>
      <x:c r="K2218" s="9" t="n">
        <x:v>8.8</x:v>
      </x:c>
      <x:c r="L2218" s="7" t="n">
        <x:v>2021</x:v>
      </x:c>
      <x:c r="M2218" s="11" t="n">
        <x:v>63728</x:v>
      </x:c>
      <x:c r="N2218" s="7" t="n">
        <x:v>1</x:v>
      </x:c>
      <x:c r="O2218" s="7" t="n">
        <x:v>0</x:v>
      </x:c>
      <x:c r="P2218" s="9" t="n">
        <x:v>4.5</x:v>
      </x:c>
      <x:c r="Q2218" s="7" t="n">
        <x:f>'Guide'!$B$5-L2218</x:f>
        <x:v>5</x:v>
      </x:c>
      <x:c r="R2218" s="9" t="n">
        <x:f>K2218-P2218</x:f>
        <x:v>4.300000000000001</x:v>
      </x:c>
      <x:c r="S2218" s="10" t="n">
        <x:f>IF(K2218&gt;0,R2218/K2218,"")</x:f>
        <x:v>0.4886363636363637</x:v>
      </x:c>
    </x:row>
    <x:row r="2219">
      <x:c r="A2219" s="7" t="n">
        <x:v>2215</x:v>
      </x:c>
      <x:c r="B2219" s="7" t="str">
        <x:v>Tata</x:v>
      </x:c>
      <x:c r="C2219" s="7" t="str">
        <x:v>Punch</x:v>
      </x:c>
      <x:c r="D2219" s="7" t="str">
        <x:v>Adventure CNG</x:v>
      </x:c>
      <x:c r="E2219" s="7" t="str">
        <x:v>CNG</x:v>
      </x:c>
      <x:c r="F2219" s="7" t="str">
        <x:v>Manual</x:v>
      </x:c>
      <x:c r="G2219" s="7" t="str">
        <x:v>Micro SUV</x:v>
      </x:c>
      <x:c r="H2219" s="7" t="n">
        <x:v>1199</x:v>
      </x:c>
      <x:c r="I2219" s="7" t="n">
        <x:v>73</x:v>
      </x:c>
      <x:c r="J2219" s="9" t="n">
        <x:v>26.9</x:v>
      </x:c>
      <x:c r="K2219" s="9" t="n">
        <x:v>8.8</x:v>
      </x:c>
      <x:c r="L2219" s="7" t="n">
        <x:v>2026</x:v>
      </x:c>
      <x:c r="M2219" s="11" t="n">
        <x:v>6000</x:v>
      </x:c>
      <x:c r="N2219" s="7" t="n">
        <x:v>2</x:v>
      </x:c>
      <x:c r="O2219" s="7" t="n">
        <x:v>0</x:v>
      </x:c>
      <x:c r="P2219" s="9" t="n">
        <x:v>8.31</x:v>
      </x:c>
      <x:c r="Q2219" s="7" t="n">
        <x:f>'Guide'!$B$5-L2219</x:f>
        <x:v>0</x:v>
      </x:c>
      <x:c r="R2219" s="9" t="n">
        <x:f>K2219-P2219</x:f>
        <x:v>0.4900000000000002</x:v>
      </x:c>
      <x:c r="S2219" s="10" t="n">
        <x:f>IF(K2219&gt;0,R2219/K2219,"")</x:f>
        <x:v>0.0556818181818182</x:v>
      </x:c>
    </x:row>
    <x:row r="2220">
      <x:c r="A2220" s="7" t="n">
        <x:v>2216</x:v>
      </x:c>
      <x:c r="B2220" s="7" t="str">
        <x:v>Tata</x:v>
      </x:c>
      <x:c r="C2220" s="7" t="str">
        <x:v>Punch</x:v>
      </x:c>
      <x:c r="D2220" s="7" t="str">
        <x:v>Adventure CNG</x:v>
      </x:c>
      <x:c r="E2220" s="7" t="str">
        <x:v>CNG</x:v>
      </x:c>
      <x:c r="F2220" s="7" t="str">
        <x:v>Manual</x:v>
      </x:c>
      <x:c r="G2220" s="7" t="str">
        <x:v>Micro SUV</x:v>
      </x:c>
      <x:c r="H2220" s="7" t="n">
        <x:v>1199</x:v>
      </x:c>
      <x:c r="I2220" s="7" t="n">
        <x:v>73</x:v>
      </x:c>
      <x:c r="J2220" s="9" t="n">
        <x:v>26.9</x:v>
      </x:c>
      <x:c r="K2220" s="9" t="n">
        <x:v>8.8</x:v>
      </x:c>
      <x:c r="L2220" s="7" t="n">
        <x:v>2025</x:v>
      </x:c>
      <x:c r="M2220" s="11" t="n">
        <x:v>24715</x:v>
      </x:c>
      <x:c r="N2220" s="7" t="n">
        <x:v>1</x:v>
      </x:c>
      <x:c r="O2220" s="7" t="n">
        <x:v>0</x:v>
      </x:c>
      <x:c r="P2220" s="9" t="n">
        <x:v>7.71</x:v>
      </x:c>
      <x:c r="Q2220" s="7" t="n">
        <x:f>'Guide'!$B$5-L2220</x:f>
        <x:v>1</x:v>
      </x:c>
      <x:c r="R2220" s="9" t="n">
        <x:f>K2220-P2220</x:f>
        <x:v>1.0900000000000007</x:v>
      </x:c>
      <x:c r="S2220" s="10" t="n">
        <x:f>IF(K2220&gt;0,R2220/K2220,"")</x:f>
        <x:v>0.12386363636363644</x:v>
      </x:c>
    </x:row>
    <x:row r="2221">
      <x:c r="A2221" s="7" t="n">
        <x:v>2217</x:v>
      </x:c>
      <x:c r="B2221" s="7" t="str">
        <x:v>Tata</x:v>
      </x:c>
      <x:c r="C2221" s="7" t="str">
        <x:v>Punch</x:v>
      </x:c>
      <x:c r="D2221" s="7" t="str">
        <x:v>Adventure CNG</x:v>
      </x:c>
      <x:c r="E2221" s="7" t="str">
        <x:v>CNG</x:v>
      </x:c>
      <x:c r="F2221" s="7" t="str">
        <x:v>Manual</x:v>
      </x:c>
      <x:c r="G2221" s="7" t="str">
        <x:v>Micro SUV</x:v>
      </x:c>
      <x:c r="H2221" s="7" t="n">
        <x:v>1199</x:v>
      </x:c>
      <x:c r="I2221" s="7" t="n">
        <x:v>73</x:v>
      </x:c>
      <x:c r="J2221" s="9" t="n">
        <x:v>26.9</x:v>
      </x:c>
      <x:c r="K2221" s="9" t="n">
        <x:v>8.8</x:v>
      </x:c>
      <x:c r="L2221" s="7" t="n">
        <x:v>2020</x:v>
      </x:c>
      <x:c r="M2221" s="11" t="n">
        <x:v>91883</x:v>
      </x:c>
      <x:c r="N2221" s="7" t="n">
        <x:v>2</x:v>
      </x:c>
      <x:c r="O2221" s="7" t="n">
        <x:v>0</x:v>
      </x:c>
      <x:c r="P2221" s="9" t="n">
        <x:v>2.98</x:v>
      </x:c>
      <x:c r="Q2221" s="7" t="n">
        <x:f>'Guide'!$B$5-L2221</x:f>
        <x:v>6</x:v>
      </x:c>
      <x:c r="R2221" s="9" t="n">
        <x:f>K2221-P2221</x:f>
        <x:v>5.82</x:v>
      </x:c>
      <x:c r="S2221" s="10" t="n">
        <x:f>IF(K2221&gt;0,R2221/K2221,"")</x:f>
        <x:v>0.6613636363636364</x:v>
      </x:c>
    </x:row>
    <x:row r="2222">
      <x:c r="A2222" s="7" t="n">
        <x:v>2218</x:v>
      </x:c>
      <x:c r="B2222" s="7" t="str">
        <x:v>Tata</x:v>
      </x:c>
      <x:c r="C2222" s="7" t="str">
        <x:v>Punch</x:v>
      </x:c>
      <x:c r="D2222" s="7" t="str">
        <x:v>Adventure CNG</x:v>
      </x:c>
      <x:c r="E2222" s="7" t="str">
        <x:v>CNG</x:v>
      </x:c>
      <x:c r="F2222" s="7" t="str">
        <x:v>Manual</x:v>
      </x:c>
      <x:c r="G2222" s="7" t="str">
        <x:v>Micro SUV</x:v>
      </x:c>
      <x:c r="H2222" s="7" t="n">
        <x:v>1199</x:v>
      </x:c>
      <x:c r="I2222" s="7" t="n">
        <x:v>73</x:v>
      </x:c>
      <x:c r="J2222" s="9" t="n">
        <x:v>26.9</x:v>
      </x:c>
      <x:c r="K2222" s="9" t="n">
        <x:v>8.8</x:v>
      </x:c>
      <x:c r="L2222" s="7" t="n">
        <x:v>2022</x:v>
      </x:c>
      <x:c r="M2222" s="11" t="n">
        <x:v>72947</x:v>
      </x:c>
      <x:c r="N2222" s="7" t="n">
        <x:v>1</x:v>
      </x:c>
      <x:c r="O2222" s="7" t="n">
        <x:v>1</x:v>
      </x:c>
      <x:c r="P2222" s="9" t="n">
        <x:v>4.42</x:v>
      </x:c>
      <x:c r="Q2222" s="7" t="n">
        <x:f>'Guide'!$B$5-L2222</x:f>
        <x:v>4</x:v>
      </x:c>
      <x:c r="R2222" s="9" t="n">
        <x:f>K2222-P2222</x:f>
        <x:v>4.380000000000001</x:v>
      </x:c>
      <x:c r="S2222" s="10" t="n">
        <x:f>IF(K2222&gt;0,R2222/K2222,"")</x:f>
        <x:v>0.4977272727272728</x:v>
      </x:c>
    </x:row>
    <x:row r="2223">
      <x:c r="A2223" s="7" t="n">
        <x:v>2219</x:v>
      </x:c>
      <x:c r="B2223" s="7" t="str">
        <x:v>Tata</x:v>
      </x:c>
      <x:c r="C2223" s="7" t="str">
        <x:v>Punch</x:v>
      </x:c>
      <x:c r="D2223" s="7" t="str">
        <x:v>Adventure CNG</x:v>
      </x:c>
      <x:c r="E2223" s="7" t="str">
        <x:v>CNG</x:v>
      </x:c>
      <x:c r="F2223" s="7" t="str">
        <x:v>Manual</x:v>
      </x:c>
      <x:c r="G2223" s="7" t="str">
        <x:v>Micro SUV</x:v>
      </x:c>
      <x:c r="H2223" s="7" t="n">
        <x:v>1199</x:v>
      </x:c>
      <x:c r="I2223" s="7" t="n">
        <x:v>73</x:v>
      </x:c>
      <x:c r="J2223" s="9" t="n">
        <x:v>26.9</x:v>
      </x:c>
      <x:c r="K2223" s="9" t="n">
        <x:v>8.8</x:v>
      </x:c>
      <x:c r="L2223" s="7" t="n">
        <x:v>2025</x:v>
      </x:c>
      <x:c r="M2223" s="11" t="n">
        <x:v>24811</x:v>
      </x:c>
      <x:c r="N2223" s="7" t="n">
        <x:v>1</x:v>
      </x:c>
      <x:c r="O2223" s="7" t="n">
        <x:v>1</x:v>
      </x:c>
      <x:c r="P2223" s="9" t="n">
        <x:v>6.72</x:v>
      </x:c>
      <x:c r="Q2223" s="7" t="n">
        <x:f>'Guide'!$B$5-L2223</x:f>
        <x:v>1</x:v>
      </x:c>
      <x:c r="R2223" s="9" t="n">
        <x:f>K2223-P2223</x:f>
        <x:v>2.080000000000001</x:v>
      </x:c>
      <x:c r="S2223" s="10" t="n">
        <x:f>IF(K2223&gt;0,R2223/K2223,"")</x:f>
        <x:v>0.23636363636363644</x:v>
      </x:c>
    </x:row>
    <x:row r="2224">
      <x:c r="A2224" s="7" t="n">
        <x:v>2220</x:v>
      </x:c>
      <x:c r="B2224" s="7" t="str">
        <x:v>Tata</x:v>
      </x:c>
      <x:c r="C2224" s="7" t="str">
        <x:v>Punch</x:v>
      </x:c>
      <x:c r="D2224" s="7" t="str">
        <x:v>Adventure CNG</x:v>
      </x:c>
      <x:c r="E2224" s="7" t="str">
        <x:v>CNG</x:v>
      </x:c>
      <x:c r="F2224" s="7" t="str">
        <x:v>Manual</x:v>
      </x:c>
      <x:c r="G2224" s="7" t="str">
        <x:v>Micro SUV</x:v>
      </x:c>
      <x:c r="H2224" s="7" t="n">
        <x:v>1199</x:v>
      </x:c>
      <x:c r="I2224" s="7" t="n">
        <x:v>73</x:v>
      </x:c>
      <x:c r="J2224" s="9" t="n">
        <x:v>26.9</x:v>
      </x:c>
      <x:c r="K2224" s="9" t="n">
        <x:v>8.8</x:v>
      </x:c>
      <x:c r="L2224" s="7" t="n">
        <x:v>2022</x:v>
      </x:c>
      <x:c r="M2224" s="11" t="n">
        <x:v>54894</x:v>
      </x:c>
      <x:c r="N2224" s="7" t="n">
        <x:v>1</x:v>
      </x:c>
      <x:c r="O2224" s="7" t="n">
        <x:v>0</x:v>
      </x:c>
      <x:c r="P2224" s="9" t="n">
        <x:v>5.34</x:v>
      </x:c>
      <x:c r="Q2224" s="7" t="n">
        <x:f>'Guide'!$B$5-L2224</x:f>
        <x:v>4</x:v>
      </x:c>
      <x:c r="R2224" s="9" t="n">
        <x:f>K2224-P2224</x:f>
        <x:v>3.460000000000001</x:v>
      </x:c>
      <x:c r="S2224" s="10" t="n">
        <x:f>IF(K2224&gt;0,R2224/K2224,"")</x:f>
        <x:v>0.39318181818181824</x:v>
      </x:c>
    </x:row>
    <x:row r="2225">
      <x:c r="A2225" s="7" t="n">
        <x:v>2221</x:v>
      </x:c>
      <x:c r="B2225" s="7" t="str">
        <x:v>Tata</x:v>
      </x:c>
      <x:c r="C2225" s="7" t="str">
        <x:v>Punch</x:v>
      </x:c>
      <x:c r="D2225" s="7" t="str">
        <x:v>Adventure CNG</x:v>
      </x:c>
      <x:c r="E2225" s="7" t="str">
        <x:v>CNG</x:v>
      </x:c>
      <x:c r="F2225" s="7" t="str">
        <x:v>Manual</x:v>
      </x:c>
      <x:c r="G2225" s="7" t="str">
        <x:v>Micro SUV</x:v>
      </x:c>
      <x:c r="H2225" s="7" t="n">
        <x:v>1199</x:v>
      </x:c>
      <x:c r="I2225" s="7" t="n">
        <x:v>73</x:v>
      </x:c>
      <x:c r="J2225" s="9" t="n">
        <x:v>26.9</x:v>
      </x:c>
      <x:c r="K2225" s="9" t="n">
        <x:v>8.8</x:v>
      </x:c>
      <x:c r="L2225" s="7" t="n">
        <x:v>2024</x:v>
      </x:c>
      <x:c r="M2225" s="11" t="n">
        <x:v>25325</x:v>
      </x:c>
      <x:c r="N2225" s="7" t="n">
        <x:v>2</x:v>
      </x:c>
      <x:c r="O2225" s="7" t="n">
        <x:v>1</x:v>
      </x:c>
      <x:c r="P2225" s="9" t="n">
        <x:v>6.16</x:v>
      </x:c>
      <x:c r="Q2225" s="7" t="n">
        <x:f>'Guide'!$B$5-L2225</x:f>
        <x:v>2</x:v>
      </x:c>
      <x:c r="R2225" s="9" t="n">
        <x:f>K2225-P2225</x:f>
        <x:v>2.6400000000000006</x:v>
      </x:c>
      <x:c r="S2225" s="10" t="n">
        <x:f>IF(K2225&gt;0,R2225/K2225,"")</x:f>
        <x:v>0.30000000000000004</x:v>
      </x:c>
    </x:row>
    <x:row r="2226">
      <x:c r="A2226" s="7" t="n">
        <x:v>2222</x:v>
      </x:c>
      <x:c r="B2226" s="7" t="str">
        <x:v>Tata</x:v>
      </x:c>
      <x:c r="C2226" s="7" t="str">
        <x:v>Punch</x:v>
      </x:c>
      <x:c r="D2226" s="7" t="str">
        <x:v>Adventure CNG</x:v>
      </x:c>
      <x:c r="E2226" s="7" t="str">
        <x:v>CNG</x:v>
      </x:c>
      <x:c r="F2226" s="7" t="str">
        <x:v>Manual</x:v>
      </x:c>
      <x:c r="G2226" s="7" t="str">
        <x:v>Micro SUV</x:v>
      </x:c>
      <x:c r="H2226" s="7" t="n">
        <x:v>1199</x:v>
      </x:c>
      <x:c r="I2226" s="7" t="n">
        <x:v>73</x:v>
      </x:c>
      <x:c r="J2226" s="9" t="n">
        <x:v>26.9</x:v>
      </x:c>
      <x:c r="K2226" s="9" t="n">
        <x:v>8.8</x:v>
      </x:c>
      <x:c r="L2226" s="7" t="n">
        <x:v>2021</x:v>
      </x:c>
      <x:c r="M2226" s="11" t="n">
        <x:v>75507</x:v>
      </x:c>
      <x:c r="N2226" s="7" t="n">
        <x:v>1</x:v>
      </x:c>
      <x:c r="O2226" s="7" t="n">
        <x:v>0</x:v>
      </x:c>
      <x:c r="P2226" s="9" t="n">
        <x:v>4.6</x:v>
      </x:c>
      <x:c r="Q2226" s="7" t="n">
        <x:f>'Guide'!$B$5-L2226</x:f>
        <x:v>5</x:v>
      </x:c>
      <x:c r="R2226" s="9" t="n">
        <x:f>K2226-P2226</x:f>
        <x:v>4.200000000000001</x:v>
      </x:c>
      <x:c r="S2226" s="10" t="n">
        <x:f>IF(K2226&gt;0,R2226/K2226,"")</x:f>
        <x:v>0.47727272727272735</x:v>
      </x:c>
    </x:row>
    <x:row r="2227">
      <x:c r="A2227" s="7" t="n">
        <x:v>2223</x:v>
      </x:c>
      <x:c r="B2227" s="7" t="str">
        <x:v>Tata</x:v>
      </x:c>
      <x:c r="C2227" s="7" t="str">
        <x:v>Punch</x:v>
      </x:c>
      <x:c r="D2227" s="7" t="str">
        <x:v>Adventure CNG</x:v>
      </x:c>
      <x:c r="E2227" s="7" t="str">
        <x:v>CNG</x:v>
      </x:c>
      <x:c r="F2227" s="7" t="str">
        <x:v>Manual</x:v>
      </x:c>
      <x:c r="G2227" s="7" t="str">
        <x:v>Micro SUV</x:v>
      </x:c>
      <x:c r="H2227" s="7" t="n">
        <x:v>1199</x:v>
      </x:c>
      <x:c r="I2227" s="7" t="n">
        <x:v>73</x:v>
      </x:c>
      <x:c r="J2227" s="9" t="n">
        <x:v>26.9</x:v>
      </x:c>
      <x:c r="K2227" s="9" t="n">
        <x:v>8.8</x:v>
      </x:c>
      <x:c r="L2227" s="7" t="n">
        <x:v>2023</x:v>
      </x:c>
      <x:c r="M2227" s="11" t="n">
        <x:v>34695</x:v>
      </x:c>
      <x:c r="N2227" s="7" t="n">
        <x:v>1</x:v>
      </x:c>
      <x:c r="O2227" s="7" t="n">
        <x:v>0</x:v>
      </x:c>
      <x:c r="P2227" s="9" t="n">
        <x:v>6.3</x:v>
      </x:c>
      <x:c r="Q2227" s="7" t="n">
        <x:f>'Guide'!$B$5-L2227</x:f>
        <x:v>3</x:v>
      </x:c>
      <x:c r="R2227" s="9" t="n">
        <x:f>K2227-P2227</x:f>
        <x:v>2.500000000000001</x:v>
      </x:c>
      <x:c r="S2227" s="10" t="n">
        <x:f>IF(K2227&gt;0,R2227/K2227,"")</x:f>
        <x:v>0.28409090909090917</x:v>
      </x:c>
    </x:row>
    <x:row r="2228">
      <x:c r="A2228" s="7" t="n">
        <x:v>2224</x:v>
      </x:c>
      <x:c r="B2228" s="7" t="str">
        <x:v>Tata</x:v>
      </x:c>
      <x:c r="C2228" s="7" t="str">
        <x:v>Punch</x:v>
      </x:c>
      <x:c r="D2228" s="7" t="str">
        <x:v>Adventure CNG</x:v>
      </x:c>
      <x:c r="E2228" s="7" t="str">
        <x:v>CNG</x:v>
      </x:c>
      <x:c r="F2228" s="7" t="str">
        <x:v>Manual</x:v>
      </x:c>
      <x:c r="G2228" s="7" t="str">
        <x:v>Micro SUV</x:v>
      </x:c>
      <x:c r="H2228" s="7" t="n">
        <x:v>1199</x:v>
      </x:c>
      <x:c r="I2228" s="7" t="n">
        <x:v>73</x:v>
      </x:c>
      <x:c r="J2228" s="9" t="n">
        <x:v>26.9</x:v>
      </x:c>
      <x:c r="K2228" s="9" t="n">
        <x:v>8.8</x:v>
      </x:c>
      <x:c r="L2228" s="7" t="n">
        <x:v>2026</x:v>
      </x:c>
      <x:c r="M2228" s="11" t="n">
        <x:v>9344</x:v>
      </x:c>
      <x:c r="N2228" s="7" t="n">
        <x:v>1</x:v>
      </x:c>
      <x:c r="O2228" s="7" t="n">
        <x:v>0</x:v>
      </x:c>
      <x:c r="P2228" s="9" t="n">
        <x:v>8.8</x:v>
      </x:c>
      <x:c r="Q2228" s="7" t="n">
        <x:f>'Guide'!$B$5-L2228</x:f>
        <x:v>0</x:v>
      </x:c>
      <x:c r="R2228" s="9" t="n">
        <x:f>K2228-P2228</x:f>
        <x:v>0</x:v>
      </x:c>
      <x:c r="S2228" s="10" t="n">
        <x:f>IF(K2228&gt;0,R2228/K2228,"")</x:f>
        <x:v>0</x:v>
      </x:c>
    </x:row>
    <x:row r="2229">
      <x:c r="A2229" s="7" t="n">
        <x:v>2225</x:v>
      </x:c>
      <x:c r="B2229" s="7" t="str">
        <x:v>Tata</x:v>
      </x:c>
      <x:c r="C2229" s="7" t="str">
        <x:v>Punch</x:v>
      </x:c>
      <x:c r="D2229" s="7" t="str">
        <x:v>Adventure CNG</x:v>
      </x:c>
      <x:c r="E2229" s="7" t="str">
        <x:v>CNG</x:v>
      </x:c>
      <x:c r="F2229" s="7" t="str">
        <x:v>Manual</x:v>
      </x:c>
      <x:c r="G2229" s="7" t="str">
        <x:v>Micro SUV</x:v>
      </x:c>
      <x:c r="H2229" s="7" t="n">
        <x:v>1199</x:v>
      </x:c>
      <x:c r="I2229" s="7" t="n">
        <x:v>73</x:v>
      </x:c>
      <x:c r="J2229" s="9" t="n">
        <x:v>26.9</x:v>
      </x:c>
      <x:c r="K2229" s="9" t="n">
        <x:v>8.8</x:v>
      </x:c>
      <x:c r="L2229" s="7" t="n">
        <x:v>2026</x:v>
      </x:c>
      <x:c r="M2229" s="11" t="n">
        <x:v>6522</x:v>
      </x:c>
      <x:c r="N2229" s="7" t="n">
        <x:v>2</x:v>
      </x:c>
      <x:c r="O2229" s="7" t="n">
        <x:v>1</x:v>
      </x:c>
      <x:c r="P2229" s="9" t="n">
        <x:v>7.83</x:v>
      </x:c>
      <x:c r="Q2229" s="7" t="n">
        <x:f>'Guide'!$B$5-L2229</x:f>
        <x:v>0</x:v>
      </x:c>
      <x:c r="R2229" s="9" t="n">
        <x:f>K2229-P2229</x:f>
        <x:v>0.9700000000000006</x:v>
      </x:c>
      <x:c r="S2229" s="10" t="n">
        <x:f>IF(K2229&gt;0,R2229/K2229,"")</x:f>
        <x:v>0.11022727272727278</x:v>
      </x:c>
    </x:row>
    <x:row r="2230">
      <x:c r="A2230" s="7" t="n">
        <x:v>2226</x:v>
      </x:c>
      <x:c r="B2230" s="7" t="str">
        <x:v>Tata</x:v>
      </x:c>
      <x:c r="C2230" s="7" t="str">
        <x:v>Punch</x:v>
      </x:c>
      <x:c r="D2230" s="7" t="str">
        <x:v>Adventure CNG</x:v>
      </x:c>
      <x:c r="E2230" s="7" t="str">
        <x:v>CNG</x:v>
      </x:c>
      <x:c r="F2230" s="7" t="str">
        <x:v>Manual</x:v>
      </x:c>
      <x:c r="G2230" s="7" t="str">
        <x:v>Micro SUV</x:v>
      </x:c>
      <x:c r="H2230" s="7" t="n">
        <x:v>1199</x:v>
      </x:c>
      <x:c r="I2230" s="7" t="n">
        <x:v>73</x:v>
      </x:c>
      <x:c r="J2230" s="9" t="n">
        <x:v>26.9</x:v>
      </x:c>
      <x:c r="K2230" s="9" t="n">
        <x:v>8.8</x:v>
      </x:c>
      <x:c r="L2230" s="7" t="n">
        <x:v>2021</x:v>
      </x:c>
      <x:c r="M2230" s="11" t="n">
        <x:v>82420</x:v>
      </x:c>
      <x:c r="N2230" s="7" t="n">
        <x:v>2</x:v>
      </x:c>
      <x:c r="O2230" s="7" t="n">
        <x:v>0</x:v>
      </x:c>
      <x:c r="P2230" s="9" t="n">
        <x:v>3.67</x:v>
      </x:c>
      <x:c r="Q2230" s="7" t="n">
        <x:f>'Guide'!$B$5-L2230</x:f>
        <x:v>5</x:v>
      </x:c>
      <x:c r="R2230" s="9" t="n">
        <x:f>K2230-P2230</x:f>
        <x:v>5.130000000000001</x:v>
      </x:c>
      <x:c r="S2230" s="10" t="n">
        <x:f>IF(K2230&gt;0,R2230/K2230,"")</x:f>
        <x:v>0.5829545454545455</x:v>
      </x:c>
    </x:row>
    <x:row r="2231">
      <x:c r="A2231" s="7" t="n">
        <x:v>2227</x:v>
      </x:c>
      <x:c r="B2231" s="7" t="str">
        <x:v>Tata</x:v>
      </x:c>
      <x:c r="C2231" s="7" t="str">
        <x:v>Punch</x:v>
      </x:c>
      <x:c r="D2231" s="7" t="str">
        <x:v>Adventure CNG</x:v>
      </x:c>
      <x:c r="E2231" s="7" t="str">
        <x:v>CNG</x:v>
      </x:c>
      <x:c r="F2231" s="7" t="str">
        <x:v>Manual</x:v>
      </x:c>
      <x:c r="G2231" s="7" t="str">
        <x:v>Micro SUV</x:v>
      </x:c>
      <x:c r="H2231" s="7" t="n">
        <x:v>1199</x:v>
      </x:c>
      <x:c r="I2231" s="7" t="n">
        <x:v>73</x:v>
      </x:c>
      <x:c r="J2231" s="9" t="n">
        <x:v>26.9</x:v>
      </x:c>
      <x:c r="K2231" s="9" t="n">
        <x:v>8.8</x:v>
      </x:c>
      <x:c r="L2231" s="7" t="n">
        <x:v>2023</x:v>
      </x:c>
      <x:c r="M2231" s="11" t="n">
        <x:v>42735</x:v>
      </x:c>
      <x:c r="N2231" s="7" t="n">
        <x:v>2</x:v>
      </x:c>
      <x:c r="O2231" s="7" t="n">
        <x:v>0</x:v>
      </x:c>
      <x:c r="P2231" s="9" t="n">
        <x:v>6.08</x:v>
      </x:c>
      <x:c r="Q2231" s="7" t="n">
        <x:f>'Guide'!$B$5-L2231</x:f>
        <x:v>3</x:v>
      </x:c>
      <x:c r="R2231" s="9" t="n">
        <x:f>K2231-P2231</x:f>
        <x:v>2.7200000000000006</x:v>
      </x:c>
      <x:c r="S2231" s="10" t="n">
        <x:f>IF(K2231&gt;0,R2231/K2231,"")</x:f>
        <x:v>0.30909090909090914</x:v>
      </x:c>
    </x:row>
    <x:row r="2232">
      <x:c r="A2232" s="7" t="n">
        <x:v>2228</x:v>
      </x:c>
      <x:c r="B2232" s="7" t="str">
        <x:v>Tata</x:v>
      </x:c>
      <x:c r="C2232" s="7" t="str">
        <x:v>Punch</x:v>
      </x:c>
      <x:c r="D2232" s="7" t="str">
        <x:v>Adventure CNG</x:v>
      </x:c>
      <x:c r="E2232" s="7" t="str">
        <x:v>CNG</x:v>
      </x:c>
      <x:c r="F2232" s="7" t="str">
        <x:v>Manual</x:v>
      </x:c>
      <x:c r="G2232" s="7" t="str">
        <x:v>Micro SUV</x:v>
      </x:c>
      <x:c r="H2232" s="7" t="n">
        <x:v>1199</x:v>
      </x:c>
      <x:c r="I2232" s="7" t="n">
        <x:v>73</x:v>
      </x:c>
      <x:c r="J2232" s="9" t="n">
        <x:v>26.9</x:v>
      </x:c>
      <x:c r="K2232" s="9" t="n">
        <x:v>8.8</x:v>
      </x:c>
      <x:c r="L2232" s="7" t="n">
        <x:v>2025</x:v>
      </x:c>
      <x:c r="M2232" s="11" t="n">
        <x:v>27910</x:v>
      </x:c>
      <x:c r="N2232" s="7" t="n">
        <x:v>1</x:v>
      </x:c>
      <x:c r="O2232" s="7" t="n">
        <x:v>0</x:v>
      </x:c>
      <x:c r="P2232" s="9" t="n">
        <x:v>7.86</x:v>
      </x:c>
      <x:c r="Q2232" s="7" t="n">
        <x:f>'Guide'!$B$5-L2232</x:f>
        <x:v>1</x:v>
      </x:c>
      <x:c r="R2232" s="9" t="n">
        <x:f>K2232-P2232</x:f>
        <x:v>0.9400000000000004</x:v>
      </x:c>
      <x:c r="S2232" s="10" t="n">
        <x:f>IF(K2232&gt;0,R2232/K2232,"")</x:f>
        <x:v>0.10681818181818185</x:v>
      </x:c>
    </x:row>
    <x:row r="2233">
      <x:c r="A2233" s="7" t="n">
        <x:v>2229</x:v>
      </x:c>
      <x:c r="B2233" s="7" t="str">
        <x:v>Tata</x:v>
      </x:c>
      <x:c r="C2233" s="7" t="str">
        <x:v>Punch</x:v>
      </x:c>
      <x:c r="D2233" s="7" t="str">
        <x:v>Adventure CNG</x:v>
      </x:c>
      <x:c r="E2233" s="7" t="str">
        <x:v>CNG</x:v>
      </x:c>
      <x:c r="F2233" s="7" t="str">
        <x:v>Manual</x:v>
      </x:c>
      <x:c r="G2233" s="7" t="str">
        <x:v>Micro SUV</x:v>
      </x:c>
      <x:c r="H2233" s="7" t="n">
        <x:v>1199</x:v>
      </x:c>
      <x:c r="I2233" s="7" t="n">
        <x:v>73</x:v>
      </x:c>
      <x:c r="J2233" s="9" t="n">
        <x:v>26.9</x:v>
      </x:c>
      <x:c r="K2233" s="9" t="n">
        <x:v>8.8</x:v>
      </x:c>
      <x:c r="L2233" s="7" t="n">
        <x:v>2025</x:v>
      </x:c>
      <x:c r="M2233" s="11" t="n">
        <x:v>16649</x:v>
      </x:c>
      <x:c r="N2233" s="7" t="n">
        <x:v>1</x:v>
      </x:c>
      <x:c r="O2233" s="7" t="n">
        <x:v>0</x:v>
      </x:c>
      <x:c r="P2233" s="9" t="n">
        <x:v>8.2</x:v>
      </x:c>
      <x:c r="Q2233" s="7" t="n">
        <x:f>'Guide'!$B$5-L2233</x:f>
        <x:v>1</x:v>
      </x:c>
      <x:c r="R2233" s="9" t="n">
        <x:f>K2233-P2233</x:f>
        <x:v>0.6000000000000014</x:v>
      </x:c>
      <x:c r="S2233" s="10" t="n">
        <x:f>IF(K2233&gt;0,R2233/K2233,"")</x:f>
        <x:v>0.06818181818181834</x:v>
      </x:c>
    </x:row>
    <x:row r="2234">
      <x:c r="A2234" s="7" t="n">
        <x:v>2230</x:v>
      </x:c>
      <x:c r="B2234" s="7" t="str">
        <x:v>Tata</x:v>
      </x:c>
      <x:c r="C2234" s="7" t="str">
        <x:v>Punch</x:v>
      </x:c>
      <x:c r="D2234" s="7" t="str">
        <x:v>Adventure CNG</x:v>
      </x:c>
      <x:c r="E2234" s="7" t="str">
        <x:v>CNG</x:v>
      </x:c>
      <x:c r="F2234" s="7" t="str">
        <x:v>Manual</x:v>
      </x:c>
      <x:c r="G2234" s="7" t="str">
        <x:v>Micro SUV</x:v>
      </x:c>
      <x:c r="H2234" s="7" t="n">
        <x:v>1199</x:v>
      </x:c>
      <x:c r="I2234" s="7" t="n">
        <x:v>73</x:v>
      </x:c>
      <x:c r="J2234" s="9" t="n">
        <x:v>26.9</x:v>
      </x:c>
      <x:c r="K2234" s="9" t="n">
        <x:v>8.8</x:v>
      </x:c>
      <x:c r="L2234" s="7" t="n">
        <x:v>2022</x:v>
      </x:c>
      <x:c r="M2234" s="11" t="n">
        <x:v>61502</x:v>
      </x:c>
      <x:c r="N2234" s="7" t="n">
        <x:v>1</x:v>
      </x:c>
      <x:c r="O2234" s="7" t="n">
        <x:v>0</x:v>
      </x:c>
      <x:c r="P2234" s="9" t="n">
        <x:v>5.21</x:v>
      </x:c>
      <x:c r="Q2234" s="7" t="n">
        <x:f>'Guide'!$B$5-L2234</x:f>
        <x:v>4</x:v>
      </x:c>
      <x:c r="R2234" s="9" t="n">
        <x:f>K2234-P2234</x:f>
        <x:v>3.5900000000000007</x:v>
      </x:c>
      <x:c r="S2234" s="10" t="n">
        <x:f>IF(K2234&gt;0,R2234/K2234,"")</x:f>
        <x:v>0.4079545454545455</x:v>
      </x:c>
    </x:row>
    <x:row r="2235">
      <x:c r="A2235" s="7" t="n">
        <x:v>2231</x:v>
      </x:c>
      <x:c r="B2235" s="7" t="str">
        <x:v>Tata</x:v>
      </x:c>
      <x:c r="C2235" s="7" t="str">
        <x:v>Punch</x:v>
      </x:c>
      <x:c r="D2235" s="7" t="str">
        <x:v>Adventure CNG</x:v>
      </x:c>
      <x:c r="E2235" s="7" t="str">
        <x:v>CNG</x:v>
      </x:c>
      <x:c r="F2235" s="7" t="str">
        <x:v>Manual</x:v>
      </x:c>
      <x:c r="G2235" s="7" t="str">
        <x:v>Micro SUV</x:v>
      </x:c>
      <x:c r="H2235" s="7" t="n">
        <x:v>1199</x:v>
      </x:c>
      <x:c r="I2235" s="7" t="n">
        <x:v>73</x:v>
      </x:c>
      <x:c r="J2235" s="9" t="n">
        <x:v>26.9</x:v>
      </x:c>
      <x:c r="K2235" s="9" t="n">
        <x:v>8.8</x:v>
      </x:c>
      <x:c r="L2235" s="7" t="n">
        <x:v>2022</x:v>
      </x:c>
      <x:c r="M2235" s="11" t="n">
        <x:v>83259</x:v>
      </x:c>
      <x:c r="N2235" s="7" t="n">
        <x:v>2</x:v>
      </x:c>
      <x:c r="O2235" s="7" t="n">
        <x:v>0</x:v>
      </x:c>
      <x:c r="P2235" s="9" t="n">
        <x:v>4.38</x:v>
      </x:c>
      <x:c r="Q2235" s="7" t="n">
        <x:f>'Guide'!$B$5-L2235</x:f>
        <x:v>4</x:v>
      </x:c>
      <x:c r="R2235" s="9" t="n">
        <x:f>K2235-P2235</x:f>
        <x:v>4.420000000000001</x:v>
      </x:c>
      <x:c r="S2235" s="10" t="n">
        <x:f>IF(K2235&gt;0,R2235/K2235,"")</x:f>
        <x:v>0.5022727272727273</x:v>
      </x:c>
    </x:row>
    <x:row r="2236">
      <x:c r="A2236" s="7" t="n">
        <x:v>2232</x:v>
      </x:c>
      <x:c r="B2236" s="7" t="str">
        <x:v>Tata</x:v>
      </x:c>
      <x:c r="C2236" s="7" t="str">
        <x:v>Punch</x:v>
      </x:c>
      <x:c r="D2236" s="7" t="str">
        <x:v>Adventure CNG</x:v>
      </x:c>
      <x:c r="E2236" s="7" t="str">
        <x:v>CNG</x:v>
      </x:c>
      <x:c r="F2236" s="7" t="str">
        <x:v>Manual</x:v>
      </x:c>
      <x:c r="G2236" s="7" t="str">
        <x:v>Micro SUV</x:v>
      </x:c>
      <x:c r="H2236" s="7" t="n">
        <x:v>1199</x:v>
      </x:c>
      <x:c r="I2236" s="7" t="n">
        <x:v>73</x:v>
      </x:c>
      <x:c r="J2236" s="9" t="n">
        <x:v>26.9</x:v>
      </x:c>
      <x:c r="K2236" s="9" t="n">
        <x:v>8.8</x:v>
      </x:c>
      <x:c r="L2236" s="7" t="n">
        <x:v>2021</x:v>
      </x:c>
      <x:c r="M2236" s="11" t="n">
        <x:v>60418</x:v>
      </x:c>
      <x:c r="N2236" s="7" t="n">
        <x:v>2</x:v>
      </x:c>
      <x:c r="O2236" s="7" t="n">
        <x:v>0</x:v>
      </x:c>
      <x:c r="P2236" s="9" t="n">
        <x:v>4.5</x:v>
      </x:c>
      <x:c r="Q2236" s="7" t="n">
        <x:f>'Guide'!$B$5-L2236</x:f>
        <x:v>5</x:v>
      </x:c>
      <x:c r="R2236" s="9" t="n">
        <x:f>K2236-P2236</x:f>
        <x:v>4.300000000000001</x:v>
      </x:c>
      <x:c r="S2236" s="10" t="n">
        <x:f>IF(K2236&gt;0,R2236/K2236,"")</x:f>
        <x:v>0.4886363636363637</x:v>
      </x:c>
    </x:row>
    <x:row r="2237">
      <x:c r="A2237" s="7" t="n">
        <x:v>2233</x:v>
      </x:c>
      <x:c r="B2237" s="7" t="str">
        <x:v>Tata</x:v>
      </x:c>
      <x:c r="C2237" s="7" t="str">
        <x:v>Punch</x:v>
      </x:c>
      <x:c r="D2237" s="7" t="str">
        <x:v>Adventure CNG</x:v>
      </x:c>
      <x:c r="E2237" s="7" t="str">
        <x:v>CNG</x:v>
      </x:c>
      <x:c r="F2237" s="7" t="str">
        <x:v>Manual</x:v>
      </x:c>
      <x:c r="G2237" s="7" t="str">
        <x:v>Micro SUV</x:v>
      </x:c>
      <x:c r="H2237" s="7" t="n">
        <x:v>1199</x:v>
      </x:c>
      <x:c r="I2237" s="7" t="n">
        <x:v>73</x:v>
      </x:c>
      <x:c r="J2237" s="9" t="n">
        <x:v>26.9</x:v>
      </x:c>
      <x:c r="K2237" s="9" t="n">
        <x:v>8.8</x:v>
      </x:c>
      <x:c r="L2237" s="7" t="n">
        <x:v>2025</x:v>
      </x:c>
      <x:c r="M2237" s="11" t="n">
        <x:v>20330</x:v>
      </x:c>
      <x:c r="N2237" s="7" t="n">
        <x:v>2</x:v>
      </x:c>
      <x:c r="O2237" s="7" t="n">
        <x:v>0</x:v>
      </x:c>
      <x:c r="P2237" s="9" t="n">
        <x:v>7.38</x:v>
      </x:c>
      <x:c r="Q2237" s="7" t="n">
        <x:f>'Guide'!$B$5-L2237</x:f>
        <x:v>1</x:v>
      </x:c>
      <x:c r="R2237" s="9" t="n">
        <x:f>K2237-P2237</x:f>
        <x:v>1.4200000000000008</x:v>
      </x:c>
      <x:c r="S2237" s="10" t="n">
        <x:f>IF(K2237&gt;0,R2237/K2237,"")</x:f>
        <x:v>0.16136363636363643</x:v>
      </x:c>
    </x:row>
    <x:row r="2238">
      <x:c r="A2238" s="7" t="n">
        <x:v>2234</x:v>
      </x:c>
      <x:c r="B2238" s="7" t="str">
        <x:v>Tata</x:v>
      </x:c>
      <x:c r="C2238" s="7" t="str">
        <x:v>Punch</x:v>
      </x:c>
      <x:c r="D2238" s="7" t="str">
        <x:v>Adventure CNG</x:v>
      </x:c>
      <x:c r="E2238" s="7" t="str">
        <x:v>CNG</x:v>
      </x:c>
      <x:c r="F2238" s="7" t="str">
        <x:v>Manual</x:v>
      </x:c>
      <x:c r="G2238" s="7" t="str">
        <x:v>Micro SUV</x:v>
      </x:c>
      <x:c r="H2238" s="7" t="n">
        <x:v>1199</x:v>
      </x:c>
      <x:c r="I2238" s="7" t="n">
        <x:v>73</x:v>
      </x:c>
      <x:c r="J2238" s="9" t="n">
        <x:v>26.9</x:v>
      </x:c>
      <x:c r="K2238" s="9" t="n">
        <x:v>8.8</x:v>
      </x:c>
      <x:c r="L2238" s="7" t="n">
        <x:v>2022</x:v>
      </x:c>
      <x:c r="M2238" s="11" t="n">
        <x:v>38017</x:v>
      </x:c>
      <x:c r="N2238" s="7" t="n">
        <x:v>2</x:v>
      </x:c>
      <x:c r="O2238" s="7" t="n">
        <x:v>0</x:v>
      </x:c>
      <x:c r="P2238" s="9" t="n">
        <x:v>5.41</x:v>
      </x:c>
      <x:c r="Q2238" s="7" t="n">
        <x:f>'Guide'!$B$5-L2238</x:f>
        <x:v>4</x:v>
      </x:c>
      <x:c r="R2238" s="9" t="n">
        <x:f>K2238-P2238</x:f>
        <x:v>3.3900000000000006</x:v>
      </x:c>
      <x:c r="S2238" s="10" t="n">
        <x:f>IF(K2238&gt;0,R2238/K2238,"")</x:f>
        <x:v>0.38522727272727275</x:v>
      </x:c>
    </x:row>
    <x:row r="2239">
      <x:c r="A2239" s="7" t="n">
        <x:v>2235</x:v>
      </x:c>
      <x:c r="B2239" s="7" t="str">
        <x:v>Tata</x:v>
      </x:c>
      <x:c r="C2239" s="7" t="str">
        <x:v>Punch</x:v>
      </x:c>
      <x:c r="D2239" s="7" t="str">
        <x:v>Adventure CNG</x:v>
      </x:c>
      <x:c r="E2239" s="7" t="str">
        <x:v>CNG</x:v>
      </x:c>
      <x:c r="F2239" s="7" t="str">
        <x:v>Manual</x:v>
      </x:c>
      <x:c r="G2239" s="7" t="str">
        <x:v>Micro SUV</x:v>
      </x:c>
      <x:c r="H2239" s="7" t="n">
        <x:v>1199</x:v>
      </x:c>
      <x:c r="I2239" s="7" t="n">
        <x:v>73</x:v>
      </x:c>
      <x:c r="J2239" s="9" t="n">
        <x:v>26.9</x:v>
      </x:c>
      <x:c r="K2239" s="9" t="n">
        <x:v>8.8</x:v>
      </x:c>
      <x:c r="L2239" s="7" t="n">
        <x:v>2023</x:v>
      </x:c>
      <x:c r="M2239" s="11" t="n">
        <x:v>42994</x:v>
      </x:c>
      <x:c r="N2239" s="7" t="n">
        <x:v>3</x:v>
      </x:c>
      <x:c r="O2239" s="7" t="n">
        <x:v>0</x:v>
      </x:c>
      <x:c r="P2239" s="9" t="n">
        <x:v>5.37</x:v>
      </x:c>
      <x:c r="Q2239" s="7" t="n">
        <x:f>'Guide'!$B$5-L2239</x:f>
        <x:v>3</x:v>
      </x:c>
      <x:c r="R2239" s="9" t="n">
        <x:f>K2239-P2239</x:f>
        <x:v>3.4300000000000006</x:v>
      </x:c>
      <x:c r="S2239" s="10" t="n">
        <x:f>IF(K2239&gt;0,R2239/K2239,"")</x:f>
        <x:v>0.3897727272727273</x:v>
      </x:c>
    </x:row>
    <x:row r="2240">
      <x:c r="A2240" s="7" t="n">
        <x:v>2236</x:v>
      </x:c>
      <x:c r="B2240" s="7" t="str">
        <x:v>Tata</x:v>
      </x:c>
      <x:c r="C2240" s="7" t="str">
        <x:v>Punch</x:v>
      </x:c>
      <x:c r="D2240" s="7" t="str">
        <x:v>Adventure CNG</x:v>
      </x:c>
      <x:c r="E2240" s="7" t="str">
        <x:v>CNG</x:v>
      </x:c>
      <x:c r="F2240" s="7" t="str">
        <x:v>Manual</x:v>
      </x:c>
      <x:c r="G2240" s="7" t="str">
        <x:v>Micro SUV</x:v>
      </x:c>
      <x:c r="H2240" s="7" t="n">
        <x:v>1199</x:v>
      </x:c>
      <x:c r="I2240" s="7" t="n">
        <x:v>73</x:v>
      </x:c>
      <x:c r="J2240" s="9" t="n">
        <x:v>26.9</x:v>
      </x:c>
      <x:c r="K2240" s="9" t="n">
        <x:v>8.8</x:v>
      </x:c>
      <x:c r="L2240" s="7" t="n">
        <x:v>2021</x:v>
      </x:c>
      <x:c r="M2240" s="11" t="n">
        <x:v>101398</x:v>
      </x:c>
      <x:c r="N2240" s="7" t="n">
        <x:v>2</x:v>
      </x:c>
      <x:c r="O2240" s="7" t="n">
        <x:v>1</x:v>
      </x:c>
      <x:c r="P2240" s="9" t="n">
        <x:v>3.28</x:v>
      </x:c>
      <x:c r="Q2240" s="7" t="n">
        <x:f>'Guide'!$B$5-L2240</x:f>
        <x:v>5</x:v>
      </x:c>
      <x:c r="R2240" s="9" t="n">
        <x:f>K2240-P2240</x:f>
        <x:v>5.520000000000001</x:v>
      </x:c>
      <x:c r="S2240" s="10" t="n">
        <x:f>IF(K2240&gt;0,R2240/K2240,"")</x:f>
        <x:v>0.6272727272727274</x:v>
      </x:c>
    </x:row>
    <x:row r="2241">
      <x:c r="A2241" s="7" t="n">
        <x:v>2237</x:v>
      </x:c>
      <x:c r="B2241" s="7" t="str">
        <x:v>Tata</x:v>
      </x:c>
      <x:c r="C2241" s="7" t="str">
        <x:v>Punch</x:v>
      </x:c>
      <x:c r="D2241" s="7" t="str">
        <x:v>Adventure CNG</x:v>
      </x:c>
      <x:c r="E2241" s="7" t="str">
        <x:v>CNG</x:v>
      </x:c>
      <x:c r="F2241" s="7" t="str">
        <x:v>Manual</x:v>
      </x:c>
      <x:c r="G2241" s="7" t="str">
        <x:v>Micro SUV</x:v>
      </x:c>
      <x:c r="H2241" s="7" t="n">
        <x:v>1199</x:v>
      </x:c>
      <x:c r="I2241" s="7" t="n">
        <x:v>73</x:v>
      </x:c>
      <x:c r="J2241" s="9" t="n">
        <x:v>26.9</x:v>
      </x:c>
      <x:c r="K2241" s="9" t="n">
        <x:v>8.8</x:v>
      </x:c>
      <x:c r="L2241" s="7" t="n">
        <x:v>2021</x:v>
      </x:c>
      <x:c r="M2241" s="11" t="n">
        <x:v>88663</x:v>
      </x:c>
      <x:c r="N2241" s="7" t="n">
        <x:v>2</x:v>
      </x:c>
      <x:c r="O2241" s="7" t="n">
        <x:v>0</x:v>
      </x:c>
      <x:c r="P2241" s="9" t="n">
        <x:v>4.21</x:v>
      </x:c>
      <x:c r="Q2241" s="7" t="n">
        <x:f>'Guide'!$B$5-L2241</x:f>
        <x:v>5</x:v>
      </x:c>
      <x:c r="R2241" s="9" t="n">
        <x:f>K2241-P2241</x:f>
        <x:v>4.590000000000001</x:v>
      </x:c>
      <x:c r="S2241" s="10" t="n">
        <x:f>IF(K2241&gt;0,R2241/K2241,"")</x:f>
        <x:v>0.5215909090909091</x:v>
      </x:c>
    </x:row>
    <x:row r="2242">
      <x:c r="A2242" s="7" t="n">
        <x:v>2238</x:v>
      </x:c>
      <x:c r="B2242" s="7" t="str">
        <x:v>Tata</x:v>
      </x:c>
      <x:c r="C2242" s="7" t="str">
        <x:v>Punch</x:v>
      </x:c>
      <x:c r="D2242" s="7" t="str">
        <x:v>Adventure CNG</x:v>
      </x:c>
      <x:c r="E2242" s="7" t="str">
        <x:v>CNG</x:v>
      </x:c>
      <x:c r="F2242" s="7" t="str">
        <x:v>Manual</x:v>
      </x:c>
      <x:c r="G2242" s="7" t="str">
        <x:v>Micro SUV</x:v>
      </x:c>
      <x:c r="H2242" s="7" t="n">
        <x:v>1199</x:v>
      </x:c>
      <x:c r="I2242" s="7" t="n">
        <x:v>73</x:v>
      </x:c>
      <x:c r="J2242" s="9" t="n">
        <x:v>26.9</x:v>
      </x:c>
      <x:c r="K2242" s="9" t="n">
        <x:v>8.8</x:v>
      </x:c>
      <x:c r="L2242" s="7" t="n">
        <x:v>2020</x:v>
      </x:c>
      <x:c r="M2242" s="11" t="n">
        <x:v>59392</x:v>
      </x:c>
      <x:c r="N2242" s="7" t="n">
        <x:v>1</x:v>
      </x:c>
      <x:c r="O2242" s="7" t="n">
        <x:v>0</x:v>
      </x:c>
      <x:c r="P2242" s="9" t="n">
        <x:v>3.77</x:v>
      </x:c>
      <x:c r="Q2242" s="7" t="n">
        <x:f>'Guide'!$B$5-L2242</x:f>
        <x:v>6</x:v>
      </x:c>
      <x:c r="R2242" s="9" t="n">
        <x:f>K2242-P2242</x:f>
        <x:v>5.030000000000001</x:v>
      </x:c>
      <x:c r="S2242" s="10" t="n">
        <x:f>IF(K2242&gt;0,R2242/K2242,"")</x:f>
        <x:v>0.5715909090909091</x:v>
      </x:c>
    </x:row>
    <x:row r="2243">
      <x:c r="A2243" s="7" t="n">
        <x:v>2239</x:v>
      </x:c>
      <x:c r="B2243" s="7" t="str">
        <x:v>Tata</x:v>
      </x:c>
      <x:c r="C2243" s="7" t="str">
        <x:v>Punch</x:v>
      </x:c>
      <x:c r="D2243" s="7" t="str">
        <x:v>Adventure CNG</x:v>
      </x:c>
      <x:c r="E2243" s="7" t="str">
        <x:v>CNG</x:v>
      </x:c>
      <x:c r="F2243" s="7" t="str">
        <x:v>Manual</x:v>
      </x:c>
      <x:c r="G2243" s="7" t="str">
        <x:v>Micro SUV</x:v>
      </x:c>
      <x:c r="H2243" s="7" t="n">
        <x:v>1199</x:v>
      </x:c>
      <x:c r="I2243" s="7" t="n">
        <x:v>73</x:v>
      </x:c>
      <x:c r="J2243" s="9" t="n">
        <x:v>26.9</x:v>
      </x:c>
      <x:c r="K2243" s="9" t="n">
        <x:v>8.8</x:v>
      </x:c>
      <x:c r="L2243" s="7" t="n">
        <x:v>2021</x:v>
      </x:c>
      <x:c r="M2243" s="11" t="n">
        <x:v>88759</x:v>
      </x:c>
      <x:c r="N2243" s="7" t="n">
        <x:v>2</x:v>
      </x:c>
      <x:c r="O2243" s="7" t="n">
        <x:v>1</x:v>
      </x:c>
      <x:c r="P2243" s="9" t="n">
        <x:v>3.05</x:v>
      </x:c>
      <x:c r="Q2243" s="7" t="n">
        <x:f>'Guide'!$B$5-L2243</x:f>
        <x:v>5</x:v>
      </x:c>
      <x:c r="R2243" s="9" t="n">
        <x:f>K2243-P2243</x:f>
        <x:v>5.750000000000001</x:v>
      </x:c>
      <x:c r="S2243" s="10" t="n">
        <x:f>IF(K2243&gt;0,R2243/K2243,"")</x:f>
        <x:v>0.6534090909090909</x:v>
      </x:c>
    </x:row>
    <x:row r="2244">
      <x:c r="A2244" s="7" t="n">
        <x:v>2240</x:v>
      </x:c>
      <x:c r="B2244" s="7" t="str">
        <x:v>Tata</x:v>
      </x:c>
      <x:c r="C2244" s="7" t="str">
        <x:v>Punch</x:v>
      </x:c>
      <x:c r="D2244" s="7" t="str">
        <x:v>Adventure CNG</x:v>
      </x:c>
      <x:c r="E2244" s="7" t="str">
        <x:v>CNG</x:v>
      </x:c>
      <x:c r="F2244" s="7" t="str">
        <x:v>Manual</x:v>
      </x:c>
      <x:c r="G2244" s="7" t="str">
        <x:v>Micro SUV</x:v>
      </x:c>
      <x:c r="H2244" s="7" t="n">
        <x:v>1199</x:v>
      </x:c>
      <x:c r="I2244" s="7" t="n">
        <x:v>73</x:v>
      </x:c>
      <x:c r="J2244" s="9" t="n">
        <x:v>26.9</x:v>
      </x:c>
      <x:c r="K2244" s="9" t="n">
        <x:v>8.8</x:v>
      </x:c>
      <x:c r="L2244" s="7" t="n">
        <x:v>2020</x:v>
      </x:c>
      <x:c r="M2244" s="11" t="n">
        <x:v>97447</x:v>
      </x:c>
      <x:c r="N2244" s="7" t="n">
        <x:v>1</x:v>
      </x:c>
      <x:c r="O2244" s="7" t="n">
        <x:v>0</x:v>
      </x:c>
      <x:c r="P2244" s="9" t="n">
        <x:v>3.53</x:v>
      </x:c>
      <x:c r="Q2244" s="7" t="n">
        <x:f>'Guide'!$B$5-L2244</x:f>
        <x:v>6</x:v>
      </x:c>
      <x:c r="R2244" s="9" t="n">
        <x:f>K2244-P2244</x:f>
        <x:v>5.270000000000001</x:v>
      </x:c>
      <x:c r="S2244" s="10" t="n">
        <x:f>IF(K2244&gt;0,R2244/K2244,"")</x:f>
        <x:v>0.5988636363636365</x:v>
      </x:c>
    </x:row>
    <x:row r="2245">
      <x:c r="A2245" s="7" t="n">
        <x:v>2241</x:v>
      </x:c>
      <x:c r="B2245" s="7" t="str">
        <x:v>Tata</x:v>
      </x:c>
      <x:c r="C2245" s="7" t="str">
        <x:v>Punch</x:v>
      </x:c>
      <x:c r="D2245" s="7" t="str">
        <x:v>Adventure CNG</x:v>
      </x:c>
      <x:c r="E2245" s="7" t="str">
        <x:v>CNG</x:v>
      </x:c>
      <x:c r="F2245" s="7" t="str">
        <x:v>Manual</x:v>
      </x:c>
      <x:c r="G2245" s="7" t="str">
        <x:v>Micro SUV</x:v>
      </x:c>
      <x:c r="H2245" s="7" t="n">
        <x:v>1199</x:v>
      </x:c>
      <x:c r="I2245" s="7" t="n">
        <x:v>73</x:v>
      </x:c>
      <x:c r="J2245" s="9" t="n">
        <x:v>26.9</x:v>
      </x:c>
      <x:c r="K2245" s="9" t="n">
        <x:v>8.8</x:v>
      </x:c>
      <x:c r="L2245" s="7" t="n">
        <x:v>2022</x:v>
      </x:c>
      <x:c r="M2245" s="11" t="n">
        <x:v>69921</x:v>
      </x:c>
      <x:c r="N2245" s="7" t="n">
        <x:v>2</x:v>
      </x:c>
      <x:c r="O2245" s="7" t="n">
        <x:v>0</x:v>
      </x:c>
      <x:c r="P2245" s="9" t="n">
        <x:v>4.69</x:v>
      </x:c>
      <x:c r="Q2245" s="7" t="n">
        <x:f>'Guide'!$B$5-L2245</x:f>
        <x:v>4</x:v>
      </x:c>
      <x:c r="R2245" s="9" t="n">
        <x:f>K2245-P2245</x:f>
        <x:v>4.11</x:v>
      </x:c>
      <x:c r="S2245" s="10" t="n">
        <x:f>IF(K2245&gt;0,R2245/K2245,"")</x:f>
        <x:v>0.46704545454545454</x:v>
      </x:c>
    </x:row>
    <x:row r="2246">
      <x:c r="A2246" s="7" t="n">
        <x:v>2242</x:v>
      </x:c>
      <x:c r="B2246" s="7" t="str">
        <x:v>Tata</x:v>
      </x:c>
      <x:c r="C2246" s="7" t="str">
        <x:v>Punch</x:v>
      </x:c>
      <x:c r="D2246" s="7" t="str">
        <x:v>Adventure CNG</x:v>
      </x:c>
      <x:c r="E2246" s="7" t="str">
        <x:v>CNG</x:v>
      </x:c>
      <x:c r="F2246" s="7" t="str">
        <x:v>Manual</x:v>
      </x:c>
      <x:c r="G2246" s="7" t="str">
        <x:v>Micro SUV</x:v>
      </x:c>
      <x:c r="H2246" s="7" t="n">
        <x:v>1199</x:v>
      </x:c>
      <x:c r="I2246" s="7" t="n">
        <x:v>73</x:v>
      </x:c>
      <x:c r="J2246" s="9" t="n">
        <x:v>26.9</x:v>
      </x:c>
      <x:c r="K2246" s="9" t="n">
        <x:v>8.8</x:v>
      </x:c>
      <x:c r="L2246" s="7" t="n">
        <x:v>2021</x:v>
      </x:c>
      <x:c r="M2246" s="11" t="n">
        <x:v>98366</x:v>
      </x:c>
      <x:c r="N2246" s="7" t="n">
        <x:v>3</x:v>
      </x:c>
      <x:c r="O2246" s="7" t="n">
        <x:v>0</x:v>
      </x:c>
      <x:c r="P2246" s="9" t="n">
        <x:v>3.07</x:v>
      </x:c>
      <x:c r="Q2246" s="7" t="n">
        <x:f>'Guide'!$B$5-L2246</x:f>
        <x:v>5</x:v>
      </x:c>
      <x:c r="R2246" s="9" t="n">
        <x:f>K2246-P2246</x:f>
        <x:v>5.73</x:v>
      </x:c>
      <x:c r="S2246" s="10" t="n">
        <x:f>IF(K2246&gt;0,R2246/K2246,"")</x:f>
        <x:v>0.6511363636363636</x:v>
      </x:c>
    </x:row>
    <x:row r="2247">
      <x:c r="A2247" s="7" t="n">
        <x:v>2243</x:v>
      </x:c>
      <x:c r="B2247" s="7" t="str">
        <x:v>Tata</x:v>
      </x:c>
      <x:c r="C2247" s="7" t="str">
        <x:v>Punch</x:v>
      </x:c>
      <x:c r="D2247" s="7" t="str">
        <x:v>Adventure CNG</x:v>
      </x:c>
      <x:c r="E2247" s="7" t="str">
        <x:v>CNG</x:v>
      </x:c>
      <x:c r="F2247" s="7" t="str">
        <x:v>Manual</x:v>
      </x:c>
      <x:c r="G2247" s="7" t="str">
        <x:v>Micro SUV</x:v>
      </x:c>
      <x:c r="H2247" s="7" t="n">
        <x:v>1199</x:v>
      </x:c>
      <x:c r="I2247" s="7" t="n">
        <x:v>73</x:v>
      </x:c>
      <x:c r="J2247" s="9" t="n">
        <x:v>26.9</x:v>
      </x:c>
      <x:c r="K2247" s="9" t="n">
        <x:v>8.8</x:v>
      </x:c>
      <x:c r="L2247" s="7" t="n">
        <x:v>2020</x:v>
      </x:c>
      <x:c r="M2247" s="11" t="n">
        <x:v>98120</x:v>
      </x:c>
      <x:c r="N2247" s="7" t="n">
        <x:v>1</x:v>
      </x:c>
      <x:c r="O2247" s="7" t="n">
        <x:v>0</x:v>
      </x:c>
      <x:c r="P2247" s="9" t="n">
        <x:v>3.46</x:v>
      </x:c>
      <x:c r="Q2247" s="7" t="n">
        <x:f>'Guide'!$B$5-L2247</x:f>
        <x:v>6</x:v>
      </x:c>
      <x:c r="R2247" s="9" t="n">
        <x:f>K2247-P2247</x:f>
        <x:v>5.340000000000001</x:v>
      </x:c>
      <x:c r="S2247" s="10" t="n">
        <x:f>IF(K2247&gt;0,R2247/K2247,"")</x:f>
        <x:v>0.6068181818181818</x:v>
      </x:c>
    </x:row>
    <x:row r="2248">
      <x:c r="A2248" s="7" t="n">
        <x:v>2244</x:v>
      </x:c>
      <x:c r="B2248" s="7" t="str">
        <x:v>Tata</x:v>
      </x:c>
      <x:c r="C2248" s="7" t="str">
        <x:v>Punch</x:v>
      </x:c>
      <x:c r="D2248" s="7" t="str">
        <x:v>Adventure CNG</x:v>
      </x:c>
      <x:c r="E2248" s="7" t="str">
        <x:v>CNG</x:v>
      </x:c>
      <x:c r="F2248" s="7" t="str">
        <x:v>Manual</x:v>
      </x:c>
      <x:c r="G2248" s="7" t="str">
        <x:v>Micro SUV</x:v>
      </x:c>
      <x:c r="H2248" s="7" t="n">
        <x:v>1199</x:v>
      </x:c>
      <x:c r="I2248" s="7" t="n">
        <x:v>73</x:v>
      </x:c>
      <x:c r="J2248" s="9" t="n">
        <x:v>26.9</x:v>
      </x:c>
      <x:c r="K2248" s="9" t="n">
        <x:v>8.8</x:v>
      </x:c>
      <x:c r="L2248" s="7" t="n">
        <x:v>2026</x:v>
      </x:c>
      <x:c r="M2248" s="11" t="n">
        <x:v>5090</x:v>
      </x:c>
      <x:c r="N2248" s="7" t="n">
        <x:v>1</x:v>
      </x:c>
      <x:c r="O2248" s="7" t="n">
        <x:v>0</x:v>
      </x:c>
      <x:c r="P2248" s="9" t="n">
        <x:v>8.76</x:v>
      </x:c>
      <x:c r="Q2248" s="7" t="n">
        <x:f>'Guide'!$B$5-L2248</x:f>
        <x:v>0</x:v>
      </x:c>
      <x:c r="R2248" s="9" t="n">
        <x:f>K2248-P2248</x:f>
        <x:v>0.040000000000000924</x:v>
      </x:c>
      <x:c r="S2248" s="10" t="n">
        <x:f>IF(K2248&gt;0,R2248/K2248,"")</x:f>
        <x:v>0.00454545454545465</x:v>
      </x:c>
    </x:row>
    <x:row r="2249">
      <x:c r="A2249" s="7" t="n">
        <x:v>2245</x:v>
      </x:c>
      <x:c r="B2249" s="7" t="str">
        <x:v>Tata</x:v>
      </x:c>
      <x:c r="C2249" s="7" t="str">
        <x:v>Punch</x:v>
      </x:c>
      <x:c r="D2249" s="7" t="str">
        <x:v>Adventure CNG</x:v>
      </x:c>
      <x:c r="E2249" s="7" t="str">
        <x:v>CNG</x:v>
      </x:c>
      <x:c r="F2249" s="7" t="str">
        <x:v>Manual</x:v>
      </x:c>
      <x:c r="G2249" s="7" t="str">
        <x:v>Micro SUV</x:v>
      </x:c>
      <x:c r="H2249" s="7" t="n">
        <x:v>1199</x:v>
      </x:c>
      <x:c r="I2249" s="7" t="n">
        <x:v>73</x:v>
      </x:c>
      <x:c r="J2249" s="9" t="n">
        <x:v>26.9</x:v>
      </x:c>
      <x:c r="K2249" s="9" t="n">
        <x:v>8.8</x:v>
      </x:c>
      <x:c r="L2249" s="7" t="n">
        <x:v>2021</x:v>
      </x:c>
      <x:c r="M2249" s="11" t="n">
        <x:v>58076</x:v>
      </x:c>
      <x:c r="N2249" s="7" t="n">
        <x:v>1</x:v>
      </x:c>
      <x:c r="O2249" s="7" t="n">
        <x:v>0</x:v>
      </x:c>
      <x:c r="P2249" s="9" t="n">
        <x:v>4.36</x:v>
      </x:c>
      <x:c r="Q2249" s="7" t="n">
        <x:f>'Guide'!$B$5-L2249</x:f>
        <x:v>5</x:v>
      </x:c>
      <x:c r="R2249" s="9" t="n">
        <x:f>K2249-P2249</x:f>
        <x:v>4.44</x:v>
      </x:c>
      <x:c r="S2249" s="10" t="n">
        <x:f>IF(K2249&gt;0,R2249/K2249,"")</x:f>
        <x:v>0.5045454545454545</x:v>
      </x:c>
    </x:row>
    <x:row r="2250">
      <x:c r="A2250" s="7" t="n">
        <x:v>2246</x:v>
      </x:c>
      <x:c r="B2250" s="7" t="str">
        <x:v>Tata</x:v>
      </x:c>
      <x:c r="C2250" s="7" t="str">
        <x:v>Punch</x:v>
      </x:c>
      <x:c r="D2250" s="7" t="str">
        <x:v>Adventure CNG</x:v>
      </x:c>
      <x:c r="E2250" s="7" t="str">
        <x:v>CNG</x:v>
      </x:c>
      <x:c r="F2250" s="7" t="str">
        <x:v>Manual</x:v>
      </x:c>
      <x:c r="G2250" s="7" t="str">
        <x:v>Micro SUV</x:v>
      </x:c>
      <x:c r="H2250" s="7" t="n">
        <x:v>1199</x:v>
      </x:c>
      <x:c r="I2250" s="7" t="n">
        <x:v>73</x:v>
      </x:c>
      <x:c r="J2250" s="9" t="n">
        <x:v>26.9</x:v>
      </x:c>
      <x:c r="K2250" s="9" t="n">
        <x:v>8.8</x:v>
      </x:c>
      <x:c r="L2250" s="7" t="n">
        <x:v>2024</x:v>
      </x:c>
      <x:c r="M2250" s="11" t="n">
        <x:v>33339</x:v>
      </x:c>
      <x:c r="N2250" s="7" t="n">
        <x:v>3</x:v>
      </x:c>
      <x:c r="O2250" s="7" t="n">
        <x:v>0</x:v>
      </x:c>
      <x:c r="P2250" s="9" t="n">
        <x:v>6.33</x:v>
      </x:c>
      <x:c r="Q2250" s="7" t="n">
        <x:f>'Guide'!$B$5-L2250</x:f>
        <x:v>2</x:v>
      </x:c>
      <x:c r="R2250" s="9" t="n">
        <x:f>K2250-P2250</x:f>
        <x:v>2.4700000000000006</x:v>
      </x:c>
      <x:c r="S2250" s="10" t="n">
        <x:f>IF(K2250&gt;0,R2250/K2250,"")</x:f>
        <x:v>0.28068181818181825</x:v>
      </x:c>
    </x:row>
    <x:row r="2251">
      <x:c r="A2251" s="7" t="n">
        <x:v>2247</x:v>
      </x:c>
      <x:c r="B2251" s="7" t="str">
        <x:v>Tata</x:v>
      </x:c>
      <x:c r="C2251" s="7" t="str">
        <x:v>Punch</x:v>
      </x:c>
      <x:c r="D2251" s="7" t="str">
        <x:v>Adventure CNG</x:v>
      </x:c>
      <x:c r="E2251" s="7" t="str">
        <x:v>CNG</x:v>
      </x:c>
      <x:c r="F2251" s="7" t="str">
        <x:v>Manual</x:v>
      </x:c>
      <x:c r="G2251" s="7" t="str">
        <x:v>Micro SUV</x:v>
      </x:c>
      <x:c r="H2251" s="7" t="n">
        <x:v>1199</x:v>
      </x:c>
      <x:c r="I2251" s="7" t="n">
        <x:v>73</x:v>
      </x:c>
      <x:c r="J2251" s="9" t="n">
        <x:v>26.9</x:v>
      </x:c>
      <x:c r="K2251" s="9" t="n">
        <x:v>8.8</x:v>
      </x:c>
      <x:c r="L2251" s="7" t="n">
        <x:v>2022</x:v>
      </x:c>
      <x:c r="M2251" s="11" t="n">
        <x:v>72275</x:v>
      </x:c>
      <x:c r="N2251" s="7" t="n">
        <x:v>1</x:v>
      </x:c>
      <x:c r="O2251" s="7" t="n">
        <x:v>0</x:v>
      </x:c>
      <x:c r="P2251" s="9" t="n">
        <x:v>5.33</x:v>
      </x:c>
      <x:c r="Q2251" s="7" t="n">
        <x:f>'Guide'!$B$5-L2251</x:f>
        <x:v>4</x:v>
      </x:c>
      <x:c r="R2251" s="9" t="n">
        <x:f>K2251-P2251</x:f>
        <x:v>3.4700000000000006</x:v>
      </x:c>
      <x:c r="S2251" s="10" t="n">
        <x:f>IF(K2251&gt;0,R2251/K2251,"")</x:f>
        <x:v>0.39431818181818185</x:v>
      </x:c>
    </x:row>
    <x:row r="2252">
      <x:c r="A2252" s="7" t="n">
        <x:v>2248</x:v>
      </x:c>
      <x:c r="B2252" s="7" t="str">
        <x:v>Tata</x:v>
      </x:c>
      <x:c r="C2252" s="7" t="str">
        <x:v>Punch</x:v>
      </x:c>
      <x:c r="D2252" s="7" t="str">
        <x:v>Adventure CNG</x:v>
      </x:c>
      <x:c r="E2252" s="7" t="str">
        <x:v>CNG</x:v>
      </x:c>
      <x:c r="F2252" s="7" t="str">
        <x:v>Manual</x:v>
      </x:c>
      <x:c r="G2252" s="7" t="str">
        <x:v>Micro SUV</x:v>
      </x:c>
      <x:c r="H2252" s="7" t="n">
        <x:v>1199</x:v>
      </x:c>
      <x:c r="I2252" s="7" t="n">
        <x:v>73</x:v>
      </x:c>
      <x:c r="J2252" s="9" t="n">
        <x:v>26.9</x:v>
      </x:c>
      <x:c r="K2252" s="9" t="n">
        <x:v>8.8</x:v>
      </x:c>
      <x:c r="L2252" s="7" t="n">
        <x:v>2022</x:v>
      </x:c>
      <x:c r="M2252" s="11" t="n">
        <x:v>50357</x:v>
      </x:c>
      <x:c r="N2252" s="7" t="n">
        <x:v>1</x:v>
      </x:c>
      <x:c r="O2252" s="7" t="n">
        <x:v>0</x:v>
      </x:c>
      <x:c r="P2252" s="9" t="n">
        <x:v>5.09</x:v>
      </x:c>
      <x:c r="Q2252" s="7" t="n">
        <x:f>'Guide'!$B$5-L2252</x:f>
        <x:v>4</x:v>
      </x:c>
      <x:c r="R2252" s="9" t="n">
        <x:f>K2252-P2252</x:f>
        <x:v>3.710000000000001</x:v>
      </x:c>
      <x:c r="S2252" s="10" t="n">
        <x:f>IF(K2252&gt;0,R2252/K2252,"")</x:f>
        <x:v>0.4215909090909091</x:v>
      </x:c>
    </x:row>
    <x:row r="2253">
      <x:c r="A2253" s="7" t="n">
        <x:v>2249</x:v>
      </x:c>
      <x:c r="B2253" s="7" t="str">
        <x:v>Tata</x:v>
      </x:c>
      <x:c r="C2253" s="7" t="str">
        <x:v>Punch</x:v>
      </x:c>
      <x:c r="D2253" s="7" t="str">
        <x:v>Adventure CNG</x:v>
      </x:c>
      <x:c r="E2253" s="7" t="str">
        <x:v>CNG</x:v>
      </x:c>
      <x:c r="F2253" s="7" t="str">
        <x:v>Manual</x:v>
      </x:c>
      <x:c r="G2253" s="7" t="str">
        <x:v>Micro SUV</x:v>
      </x:c>
      <x:c r="H2253" s="7" t="n">
        <x:v>1199</x:v>
      </x:c>
      <x:c r="I2253" s="7" t="n">
        <x:v>73</x:v>
      </x:c>
      <x:c r="J2253" s="9" t="n">
        <x:v>26.9</x:v>
      </x:c>
      <x:c r="K2253" s="9" t="n">
        <x:v>8.8</x:v>
      </x:c>
      <x:c r="L2253" s="7" t="n">
        <x:v>2022</x:v>
      </x:c>
      <x:c r="M2253" s="11" t="n">
        <x:v>85657</x:v>
      </x:c>
      <x:c r="N2253" s="7" t="n">
        <x:v>1</x:v>
      </x:c>
      <x:c r="O2253" s="7" t="n">
        <x:v>0</x:v>
      </x:c>
      <x:c r="P2253" s="9" t="n">
        <x:v>5.02</x:v>
      </x:c>
      <x:c r="Q2253" s="7" t="n">
        <x:f>'Guide'!$B$5-L2253</x:f>
        <x:v>4</x:v>
      </x:c>
      <x:c r="R2253" s="9" t="n">
        <x:f>K2253-P2253</x:f>
        <x:v>3.780000000000001</x:v>
      </x:c>
      <x:c r="S2253" s="10" t="n">
        <x:f>IF(K2253&gt;0,R2253/K2253,"")</x:f>
        <x:v>0.4295454545454546</x:v>
      </x:c>
    </x:row>
    <x:row r="2254">
      <x:c r="A2254" s="7" t="n">
        <x:v>2250</x:v>
      </x:c>
      <x:c r="B2254" s="7" t="str">
        <x:v>Tata</x:v>
      </x:c>
      <x:c r="C2254" s="7" t="str">
        <x:v>Punch</x:v>
      </x:c>
      <x:c r="D2254" s="7" t="str">
        <x:v>Adventure CNG</x:v>
      </x:c>
      <x:c r="E2254" s="7" t="str">
        <x:v>CNG</x:v>
      </x:c>
      <x:c r="F2254" s="7" t="str">
        <x:v>Manual</x:v>
      </x:c>
      <x:c r="G2254" s="7" t="str">
        <x:v>Micro SUV</x:v>
      </x:c>
      <x:c r="H2254" s="7" t="n">
        <x:v>1199</x:v>
      </x:c>
      <x:c r="I2254" s="7" t="n">
        <x:v>73</x:v>
      </x:c>
      <x:c r="J2254" s="9" t="n">
        <x:v>26.9</x:v>
      </x:c>
      <x:c r="K2254" s="9" t="n">
        <x:v>8.8</x:v>
      </x:c>
      <x:c r="L2254" s="7" t="n">
        <x:v>2022</x:v>
      </x:c>
      <x:c r="M2254" s="11" t="n">
        <x:v>40474</x:v>
      </x:c>
      <x:c r="N2254" s="7" t="n">
        <x:v>1</x:v>
      </x:c>
      <x:c r="O2254" s="7" t="n">
        <x:v>0</x:v>
      </x:c>
      <x:c r="P2254" s="9" t="n">
        <x:v>5.94</x:v>
      </x:c>
      <x:c r="Q2254" s="7" t="n">
        <x:f>'Guide'!$B$5-L2254</x:f>
        <x:v>4</x:v>
      </x:c>
      <x:c r="R2254" s="9" t="n">
        <x:f>K2254-P2254</x:f>
        <x:v>2.8600000000000003</x:v>
      </x:c>
      <x:c r="S2254" s="10" t="n">
        <x:f>IF(K2254&gt;0,R2254/K2254,"")</x:f>
        <x:v>0.325</x:v>
      </x:c>
    </x:row>
    <x:row r="2255">
      <x:c r="A2255" s="7" t="n">
        <x:v>2251</x:v>
      </x:c>
      <x:c r="B2255" s="7" t="str">
        <x:v>Tata</x:v>
      </x:c>
      <x:c r="C2255" s="7" t="str">
        <x:v>Punch</x:v>
      </x:c>
      <x:c r="D2255" s="7" t="str">
        <x:v>Adventure CNG</x:v>
      </x:c>
      <x:c r="E2255" s="7" t="str">
        <x:v>CNG</x:v>
      </x:c>
      <x:c r="F2255" s="7" t="str">
        <x:v>Manual</x:v>
      </x:c>
      <x:c r="G2255" s="7" t="str">
        <x:v>Micro SUV</x:v>
      </x:c>
      <x:c r="H2255" s="7" t="n">
        <x:v>1199</x:v>
      </x:c>
      <x:c r="I2255" s="7" t="n">
        <x:v>73</x:v>
      </x:c>
      <x:c r="J2255" s="9" t="n">
        <x:v>26.9</x:v>
      </x:c>
      <x:c r="K2255" s="9" t="n">
        <x:v>8.8</x:v>
      </x:c>
      <x:c r="L2255" s="7" t="n">
        <x:v>2024</x:v>
      </x:c>
      <x:c r="M2255" s="11" t="n">
        <x:v>37787</x:v>
      </x:c>
      <x:c r="N2255" s="7" t="n">
        <x:v>1</x:v>
      </x:c>
      <x:c r="O2255" s="7" t="n">
        <x:v>0</x:v>
      </x:c>
      <x:c r="P2255" s="9" t="n">
        <x:v>7.32</x:v>
      </x:c>
      <x:c r="Q2255" s="7" t="n">
        <x:f>'Guide'!$B$5-L2255</x:f>
        <x:v>2</x:v>
      </x:c>
      <x:c r="R2255" s="9" t="n">
        <x:f>K2255-P2255</x:f>
        <x:v>1.4800000000000004</x:v>
      </x:c>
      <x:c r="S2255" s="10" t="n">
        <x:f>IF(K2255&gt;0,R2255/K2255,"")</x:f>
        <x:v>0.1681818181818182</x:v>
      </x:c>
    </x:row>
    <x:row r="2256">
      <x:c r="A2256" s="7" t="n">
        <x:v>2252</x:v>
      </x:c>
      <x:c r="B2256" s="7" t="str">
        <x:v>Tata</x:v>
      </x:c>
      <x:c r="C2256" s="7" t="str">
        <x:v>Punch</x:v>
      </x:c>
      <x:c r="D2256" s="7" t="str">
        <x:v>Adventure CNG</x:v>
      </x:c>
      <x:c r="E2256" s="7" t="str">
        <x:v>CNG</x:v>
      </x:c>
      <x:c r="F2256" s="7" t="str">
        <x:v>Manual</x:v>
      </x:c>
      <x:c r="G2256" s="7" t="str">
        <x:v>Micro SUV</x:v>
      </x:c>
      <x:c r="H2256" s="7" t="n">
        <x:v>1199</x:v>
      </x:c>
      <x:c r="I2256" s="7" t="n">
        <x:v>73</x:v>
      </x:c>
      <x:c r="J2256" s="9" t="n">
        <x:v>26.9</x:v>
      </x:c>
      <x:c r="K2256" s="9" t="n">
        <x:v>8.8</x:v>
      </x:c>
      <x:c r="L2256" s="7" t="n">
        <x:v>2022</x:v>
      </x:c>
      <x:c r="M2256" s="11" t="n">
        <x:v>74725</x:v>
      </x:c>
      <x:c r="N2256" s="7" t="n">
        <x:v>1</x:v>
      </x:c>
      <x:c r="O2256" s="7" t="n">
        <x:v>1</x:v>
      </x:c>
      <x:c r="P2256" s="9" t="n">
        <x:v>4.72</x:v>
      </x:c>
      <x:c r="Q2256" s="7" t="n">
        <x:f>'Guide'!$B$5-L2256</x:f>
        <x:v>4</x:v>
      </x:c>
      <x:c r="R2256" s="9" t="n">
        <x:f>K2256-P2256</x:f>
        <x:v>4.080000000000001</x:v>
      </x:c>
      <x:c r="S2256" s="10" t="n">
        <x:f>IF(K2256&gt;0,R2256/K2256,"")</x:f>
        <x:v>0.46363636363636374</x:v>
      </x:c>
    </x:row>
    <x:row r="2257">
      <x:c r="A2257" s="7" t="n">
        <x:v>2253</x:v>
      </x:c>
      <x:c r="B2257" s="7" t="str">
        <x:v>Tata</x:v>
      </x:c>
      <x:c r="C2257" s="7" t="str">
        <x:v>Punch</x:v>
      </x:c>
      <x:c r="D2257" s="7" t="str">
        <x:v>Adventure CNG</x:v>
      </x:c>
      <x:c r="E2257" s="7" t="str">
        <x:v>CNG</x:v>
      </x:c>
      <x:c r="F2257" s="7" t="str">
        <x:v>Manual</x:v>
      </x:c>
      <x:c r="G2257" s="7" t="str">
        <x:v>Micro SUV</x:v>
      </x:c>
      <x:c r="H2257" s="7" t="n">
        <x:v>1199</x:v>
      </x:c>
      <x:c r="I2257" s="7" t="n">
        <x:v>73</x:v>
      </x:c>
      <x:c r="J2257" s="9" t="n">
        <x:v>26.9</x:v>
      </x:c>
      <x:c r="K2257" s="9" t="n">
        <x:v>8.8</x:v>
      </x:c>
      <x:c r="L2257" s="7" t="n">
        <x:v>2021</x:v>
      </x:c>
      <x:c r="M2257" s="11" t="n">
        <x:v>99155</x:v>
      </x:c>
      <x:c r="N2257" s="7" t="n">
        <x:v>2</x:v>
      </x:c>
      <x:c r="O2257" s="7" t="n">
        <x:v>0</x:v>
      </x:c>
      <x:c r="P2257" s="9" t="n">
        <x:v>4.01</x:v>
      </x:c>
      <x:c r="Q2257" s="7" t="n">
        <x:f>'Guide'!$B$5-L2257</x:f>
        <x:v>5</x:v>
      </x:c>
      <x:c r="R2257" s="9" t="n">
        <x:f>K2257-P2257</x:f>
        <x:v>4.790000000000001</x:v>
      </x:c>
      <x:c r="S2257" s="10" t="n">
        <x:f>IF(K2257&gt;0,R2257/K2257,"")</x:f>
        <x:v>0.5443181818181819</x:v>
      </x:c>
    </x:row>
    <x:row r="2258">
      <x:c r="A2258" s="7" t="n">
        <x:v>2254</x:v>
      </x:c>
      <x:c r="B2258" s="7" t="str">
        <x:v>Tata</x:v>
      </x:c>
      <x:c r="C2258" s="7" t="str">
        <x:v>Punch</x:v>
      </x:c>
      <x:c r="D2258" s="7" t="str">
        <x:v>Adventure CNG</x:v>
      </x:c>
      <x:c r="E2258" s="7" t="str">
        <x:v>CNG</x:v>
      </x:c>
      <x:c r="F2258" s="7" t="str">
        <x:v>Manual</x:v>
      </x:c>
      <x:c r="G2258" s="7" t="str">
        <x:v>Micro SUV</x:v>
      </x:c>
      <x:c r="H2258" s="7" t="n">
        <x:v>1199</x:v>
      </x:c>
      <x:c r="I2258" s="7" t="n">
        <x:v>73</x:v>
      </x:c>
      <x:c r="J2258" s="9" t="n">
        <x:v>26.9</x:v>
      </x:c>
      <x:c r="K2258" s="9" t="n">
        <x:v>8.8</x:v>
      </x:c>
      <x:c r="L2258" s="7" t="n">
        <x:v>2025</x:v>
      </x:c>
      <x:c r="M2258" s="11" t="n">
        <x:v>13463</x:v>
      </x:c>
      <x:c r="N2258" s="7" t="n">
        <x:v>2</x:v>
      </x:c>
      <x:c r="O2258" s="7" t="n">
        <x:v>0</x:v>
      </x:c>
      <x:c r="P2258" s="9" t="n">
        <x:v>7.27</x:v>
      </x:c>
      <x:c r="Q2258" s="7" t="n">
        <x:f>'Guide'!$B$5-L2258</x:f>
        <x:v>1</x:v>
      </x:c>
      <x:c r="R2258" s="9" t="n">
        <x:f>K2258-P2258</x:f>
        <x:v>1.5300000000000011</x:v>
      </x:c>
      <x:c r="S2258" s="10" t="n">
        <x:f>IF(K2258&gt;0,R2258/K2258,"")</x:f>
        <x:v>0.17386363636363647</x:v>
      </x:c>
    </x:row>
    <x:row r="2259">
      <x:c r="A2259" s="7" t="n">
        <x:v>2255</x:v>
      </x:c>
      <x:c r="B2259" s="7" t="str">
        <x:v>Tata</x:v>
      </x:c>
      <x:c r="C2259" s="7" t="str">
        <x:v>Punch</x:v>
      </x:c>
      <x:c r="D2259" s="7" t="str">
        <x:v>Adventure CNG</x:v>
      </x:c>
      <x:c r="E2259" s="7" t="str">
        <x:v>CNG</x:v>
      </x:c>
      <x:c r="F2259" s="7" t="str">
        <x:v>Manual</x:v>
      </x:c>
      <x:c r="G2259" s="7" t="str">
        <x:v>Micro SUV</x:v>
      </x:c>
      <x:c r="H2259" s="7" t="n">
        <x:v>1199</x:v>
      </x:c>
      <x:c r="I2259" s="7" t="n">
        <x:v>73</x:v>
      </x:c>
      <x:c r="J2259" s="9" t="n">
        <x:v>26.9</x:v>
      </x:c>
      <x:c r="K2259" s="9" t="n">
        <x:v>8.8</x:v>
      </x:c>
      <x:c r="L2259" s="7" t="n">
        <x:v>2020</x:v>
      </x:c>
      <x:c r="M2259" s="11" t="n">
        <x:v>129855</x:v>
      </x:c>
      <x:c r="N2259" s="7" t="n">
        <x:v>1</x:v>
      </x:c>
      <x:c r="O2259" s="7" t="n">
        <x:v>0</x:v>
      </x:c>
      <x:c r="P2259" s="9" t="n">
        <x:v>3.32</x:v>
      </x:c>
      <x:c r="Q2259" s="7" t="n">
        <x:f>'Guide'!$B$5-L2259</x:f>
        <x:v>6</x:v>
      </x:c>
      <x:c r="R2259" s="9" t="n">
        <x:f>K2259-P2259</x:f>
        <x:v>5.48</x:v>
      </x:c>
      <x:c r="S2259" s="10" t="n">
        <x:f>IF(K2259&gt;0,R2259/K2259,"")</x:f>
        <x:v>0.6227272727272727</x:v>
      </x:c>
    </x:row>
    <x:row r="2260">
      <x:c r="A2260" s="7" t="n">
        <x:v>2256</x:v>
      </x:c>
      <x:c r="B2260" s="7" t="str">
        <x:v>Tata</x:v>
      </x:c>
      <x:c r="C2260" s="7" t="str">
        <x:v>Punch</x:v>
      </x:c>
      <x:c r="D2260" s="7" t="str">
        <x:v>Adventure CNG</x:v>
      </x:c>
      <x:c r="E2260" s="7" t="str">
        <x:v>CNG</x:v>
      </x:c>
      <x:c r="F2260" s="7" t="str">
        <x:v>Manual</x:v>
      </x:c>
      <x:c r="G2260" s="7" t="str">
        <x:v>Micro SUV</x:v>
      </x:c>
      <x:c r="H2260" s="7" t="n">
        <x:v>1199</x:v>
      </x:c>
      <x:c r="I2260" s="7" t="n">
        <x:v>73</x:v>
      </x:c>
      <x:c r="J2260" s="9" t="n">
        <x:v>26.9</x:v>
      </x:c>
      <x:c r="K2260" s="9" t="n">
        <x:v>8.8</x:v>
      </x:c>
      <x:c r="L2260" s="7" t="n">
        <x:v>2020</x:v>
      </x:c>
      <x:c r="M2260" s="11" t="n">
        <x:v>64972</x:v>
      </x:c>
      <x:c r="N2260" s="7" t="n">
        <x:v>1</x:v>
      </x:c>
      <x:c r="O2260" s="7" t="n">
        <x:v>0</x:v>
      </x:c>
      <x:c r="P2260" s="9" t="n">
        <x:v>4.2</x:v>
      </x:c>
      <x:c r="Q2260" s="7" t="n">
        <x:f>'Guide'!$B$5-L2260</x:f>
        <x:v>6</x:v>
      </x:c>
      <x:c r="R2260" s="9" t="n">
        <x:f>K2260-P2260</x:f>
        <x:v>4.6000000000000005</x:v>
      </x:c>
      <x:c r="S2260" s="10" t="n">
        <x:f>IF(K2260&gt;0,R2260/K2260,"")</x:f>
        <x:v>0.5227272727272727</x:v>
      </x:c>
    </x:row>
    <x:row r="2261">
      <x:c r="A2261" s="7" t="n">
        <x:v>2257</x:v>
      </x:c>
      <x:c r="B2261" s="7" t="str">
        <x:v>Tata</x:v>
      </x:c>
      <x:c r="C2261" s="7" t="str">
        <x:v>Punch</x:v>
      </x:c>
      <x:c r="D2261" s="7" t="str">
        <x:v>Adventure CNG</x:v>
      </x:c>
      <x:c r="E2261" s="7" t="str">
        <x:v>CNG</x:v>
      </x:c>
      <x:c r="F2261" s="7" t="str">
        <x:v>Manual</x:v>
      </x:c>
      <x:c r="G2261" s="7" t="str">
        <x:v>Micro SUV</x:v>
      </x:c>
      <x:c r="H2261" s="7" t="n">
        <x:v>1199</x:v>
      </x:c>
      <x:c r="I2261" s="7" t="n">
        <x:v>73</x:v>
      </x:c>
      <x:c r="J2261" s="9" t="n">
        <x:v>26.9</x:v>
      </x:c>
      <x:c r="K2261" s="9" t="n">
        <x:v>8.8</x:v>
      </x:c>
      <x:c r="L2261" s="7" t="n">
        <x:v>2022</x:v>
      </x:c>
      <x:c r="M2261" s="11" t="n">
        <x:v>38266</x:v>
      </x:c>
      <x:c r="N2261" s="7" t="n">
        <x:v>1</x:v>
      </x:c>
      <x:c r="O2261" s="7" t="n">
        <x:v>1</x:v>
      </x:c>
      <x:c r="P2261" s="9" t="n">
        <x:v>4.49</x:v>
      </x:c>
      <x:c r="Q2261" s="7" t="n">
        <x:f>'Guide'!$B$5-L2261</x:f>
        <x:v>4</x:v>
      </x:c>
      <x:c r="R2261" s="9" t="n">
        <x:f>K2261-P2261</x:f>
        <x:v>4.3100000000000005</x:v>
      </x:c>
      <x:c r="S2261" s="10" t="n">
        <x:f>IF(K2261&gt;0,R2261/K2261,"")</x:f>
        <x:v>0.4897727272727273</x:v>
      </x:c>
    </x:row>
    <x:row r="2262">
      <x:c r="A2262" s="7" t="n">
        <x:v>2258</x:v>
      </x:c>
      <x:c r="B2262" s="7" t="str">
        <x:v>Tata</x:v>
      </x:c>
      <x:c r="C2262" s="7" t="str">
        <x:v>Punch</x:v>
      </x:c>
      <x:c r="D2262" s="7" t="str">
        <x:v>Adventure CNG</x:v>
      </x:c>
      <x:c r="E2262" s="7" t="str">
        <x:v>CNG</x:v>
      </x:c>
      <x:c r="F2262" s="7" t="str">
        <x:v>Manual</x:v>
      </x:c>
      <x:c r="G2262" s="7" t="str">
        <x:v>Micro SUV</x:v>
      </x:c>
      <x:c r="H2262" s="7" t="n">
        <x:v>1199</x:v>
      </x:c>
      <x:c r="I2262" s="7" t="n">
        <x:v>73</x:v>
      </x:c>
      <x:c r="J2262" s="9" t="n">
        <x:v>26.9</x:v>
      </x:c>
      <x:c r="K2262" s="9" t="n">
        <x:v>8.8</x:v>
      </x:c>
      <x:c r="L2262" s="7" t="n">
        <x:v>2023</x:v>
      </x:c>
      <x:c r="M2262" s="11" t="n">
        <x:v>48268</x:v>
      </x:c>
      <x:c r="N2262" s="7" t="n">
        <x:v>1</x:v>
      </x:c>
      <x:c r="O2262" s="7" t="n">
        <x:v>0</x:v>
      </x:c>
      <x:c r="P2262" s="9" t="n">
        <x:v>6.51</x:v>
      </x:c>
      <x:c r="Q2262" s="7" t="n">
        <x:f>'Guide'!$B$5-L2262</x:f>
        <x:v>3</x:v>
      </x:c>
      <x:c r="R2262" s="9" t="n">
        <x:f>K2262-P2262</x:f>
        <x:v>2.290000000000001</x:v>
      </x:c>
      <x:c r="S2262" s="10" t="n">
        <x:f>IF(K2262&gt;0,R2262/K2262,"")</x:f>
        <x:v>0.2602272727272728</x:v>
      </x:c>
    </x:row>
    <x:row r="2263">
      <x:c r="A2263" s="7" t="n">
        <x:v>2259</x:v>
      </x:c>
      <x:c r="B2263" s="7" t="str">
        <x:v>Tata</x:v>
      </x:c>
      <x:c r="C2263" s="7" t="str">
        <x:v>Punch</x:v>
      </x:c>
      <x:c r="D2263" s="7" t="str">
        <x:v>Adventure CNG</x:v>
      </x:c>
      <x:c r="E2263" s="7" t="str">
        <x:v>CNG</x:v>
      </x:c>
      <x:c r="F2263" s="7" t="str">
        <x:v>Manual</x:v>
      </x:c>
      <x:c r="G2263" s="7" t="str">
        <x:v>Micro SUV</x:v>
      </x:c>
      <x:c r="H2263" s="7" t="n">
        <x:v>1199</x:v>
      </x:c>
      <x:c r="I2263" s="7" t="n">
        <x:v>73</x:v>
      </x:c>
      <x:c r="J2263" s="9" t="n">
        <x:v>26.9</x:v>
      </x:c>
      <x:c r="K2263" s="9" t="n">
        <x:v>8.8</x:v>
      </x:c>
      <x:c r="L2263" s="7" t="n">
        <x:v>2021</x:v>
      </x:c>
      <x:c r="M2263" s="11" t="n">
        <x:v>67878</x:v>
      </x:c>
      <x:c r="N2263" s="7" t="n">
        <x:v>1</x:v>
      </x:c>
      <x:c r="O2263" s="7" t="n">
        <x:v>0</x:v>
      </x:c>
      <x:c r="P2263" s="9" t="n">
        <x:v>4.74</x:v>
      </x:c>
      <x:c r="Q2263" s="7" t="n">
        <x:f>'Guide'!$B$5-L2263</x:f>
        <x:v>5</x:v>
      </x:c>
      <x:c r="R2263" s="9" t="n">
        <x:f>K2263-P2263</x:f>
        <x:v>4.0600000000000005</x:v>
      </x:c>
      <x:c r="S2263" s="10" t="n">
        <x:f>IF(K2263&gt;0,R2263/K2263,"")</x:f>
        <x:v>0.46136363636363636</x:v>
      </x:c>
    </x:row>
    <x:row r="2264">
      <x:c r="A2264" s="7" t="n">
        <x:v>2260</x:v>
      </x:c>
      <x:c r="B2264" s="7" t="str">
        <x:v>Tata</x:v>
      </x:c>
      <x:c r="C2264" s="7" t="str">
        <x:v>Punch</x:v>
      </x:c>
      <x:c r="D2264" s="7" t="str">
        <x:v>Adventure CNG</x:v>
      </x:c>
      <x:c r="E2264" s="7" t="str">
        <x:v>CNG</x:v>
      </x:c>
      <x:c r="F2264" s="7" t="str">
        <x:v>Manual</x:v>
      </x:c>
      <x:c r="G2264" s="7" t="str">
        <x:v>Micro SUV</x:v>
      </x:c>
      <x:c r="H2264" s="7" t="n">
        <x:v>1199</x:v>
      </x:c>
      <x:c r="I2264" s="7" t="n">
        <x:v>73</x:v>
      </x:c>
      <x:c r="J2264" s="9" t="n">
        <x:v>26.9</x:v>
      </x:c>
      <x:c r="K2264" s="9" t="n">
        <x:v>8.8</x:v>
      </x:c>
      <x:c r="L2264" s="7" t="n">
        <x:v>2025</x:v>
      </x:c>
      <x:c r="M2264" s="11" t="n">
        <x:v>13953</x:v>
      </x:c>
      <x:c r="N2264" s="7" t="n">
        <x:v>1</x:v>
      </x:c>
      <x:c r="O2264" s="7" t="n">
        <x:v>0</x:v>
      </x:c>
      <x:c r="P2264" s="9" t="n">
        <x:v>7.76</x:v>
      </x:c>
      <x:c r="Q2264" s="7" t="n">
        <x:f>'Guide'!$B$5-L2264</x:f>
        <x:v>1</x:v>
      </x:c>
      <x:c r="R2264" s="9" t="n">
        <x:f>K2264-P2264</x:f>
        <x:v>1.040000000000001</x:v>
      </x:c>
      <x:c r="S2264" s="10" t="n">
        <x:f>IF(K2264&gt;0,R2264/K2264,"")</x:f>
        <x:v>0.11818181818181828</x:v>
      </x:c>
    </x:row>
    <x:row r="2265">
      <x:c r="A2265" s="7" t="n">
        <x:v>2261</x:v>
      </x:c>
      <x:c r="B2265" s="7" t="str">
        <x:v>Tata</x:v>
      </x:c>
      <x:c r="C2265" s="7" t="str">
        <x:v>Punch</x:v>
      </x:c>
      <x:c r="D2265" s="7" t="str">
        <x:v>Adventure CNG</x:v>
      </x:c>
      <x:c r="E2265" s="7" t="str">
        <x:v>CNG</x:v>
      </x:c>
      <x:c r="F2265" s="7" t="str">
        <x:v>Manual</x:v>
      </x:c>
      <x:c r="G2265" s="7" t="str">
        <x:v>Micro SUV</x:v>
      </x:c>
      <x:c r="H2265" s="7" t="n">
        <x:v>1199</x:v>
      </x:c>
      <x:c r="I2265" s="7" t="n">
        <x:v>73</x:v>
      </x:c>
      <x:c r="J2265" s="9" t="n">
        <x:v>26.9</x:v>
      </x:c>
      <x:c r="K2265" s="9" t="n">
        <x:v>8.8</x:v>
      </x:c>
      <x:c r="L2265" s="7" t="n">
        <x:v>2024</x:v>
      </x:c>
      <x:c r="M2265" s="11" t="n">
        <x:v>26550</x:v>
      </x:c>
      <x:c r="N2265" s="7" t="n">
        <x:v>2</x:v>
      </x:c>
      <x:c r="O2265" s="7" t="n">
        <x:v>0</x:v>
      </x:c>
      <x:c r="P2265" s="9" t="n">
        <x:v>6.81</x:v>
      </x:c>
      <x:c r="Q2265" s="7" t="n">
        <x:f>'Guide'!$B$5-L2265</x:f>
        <x:v>2</x:v>
      </x:c>
      <x:c r="R2265" s="9" t="n">
        <x:f>K2265-P2265</x:f>
        <x:v>1.990000000000001</x:v>
      </x:c>
      <x:c r="S2265" s="10" t="n">
        <x:f>IF(K2265&gt;0,R2265/K2265,"")</x:f>
        <x:v>0.22613636363636375</x:v>
      </x:c>
    </x:row>
    <x:row r="2266">
      <x:c r="A2266" s="7" t="n">
        <x:v>2262</x:v>
      </x:c>
      <x:c r="B2266" s="7" t="str">
        <x:v>Tata</x:v>
      </x:c>
      <x:c r="C2266" s="7" t="str">
        <x:v>Punch</x:v>
      </x:c>
      <x:c r="D2266" s="7" t="str">
        <x:v>Adventure CNG</x:v>
      </x:c>
      <x:c r="E2266" s="7" t="str">
        <x:v>CNG</x:v>
      </x:c>
      <x:c r="F2266" s="7" t="str">
        <x:v>Manual</x:v>
      </x:c>
      <x:c r="G2266" s="7" t="str">
        <x:v>Micro SUV</x:v>
      </x:c>
      <x:c r="H2266" s="7" t="n">
        <x:v>1199</x:v>
      </x:c>
      <x:c r="I2266" s="7" t="n">
        <x:v>73</x:v>
      </x:c>
      <x:c r="J2266" s="9" t="n">
        <x:v>26.9</x:v>
      </x:c>
      <x:c r="K2266" s="9" t="n">
        <x:v>8.8</x:v>
      </x:c>
      <x:c r="L2266" s="7" t="n">
        <x:v>2020</x:v>
      </x:c>
      <x:c r="M2266" s="11" t="n">
        <x:v>118401</x:v>
      </x:c>
      <x:c r="N2266" s="7" t="n">
        <x:v>1</x:v>
      </x:c>
      <x:c r="O2266" s="7" t="n">
        <x:v>0</x:v>
      </x:c>
      <x:c r="P2266" s="9" t="n">
        <x:v>2.97</x:v>
      </x:c>
      <x:c r="Q2266" s="7" t="n">
        <x:f>'Guide'!$B$5-L2266</x:f>
        <x:v>6</x:v>
      </x:c>
      <x:c r="R2266" s="9" t="n">
        <x:f>K2266-P2266</x:f>
        <x:v>5.83</x:v>
      </x:c>
      <x:c r="S2266" s="10" t="n">
        <x:f>IF(K2266&gt;0,R2266/K2266,"")</x:f>
        <x:v>0.6625</x:v>
      </x:c>
    </x:row>
    <x:row r="2267">
      <x:c r="A2267" s="7" t="n">
        <x:v>2263</x:v>
      </x:c>
      <x:c r="B2267" s="7" t="str">
        <x:v>Tata</x:v>
      </x:c>
      <x:c r="C2267" s="7" t="str">
        <x:v>Punch</x:v>
      </x:c>
      <x:c r="D2267" s="7" t="str">
        <x:v>Adventure CNG</x:v>
      </x:c>
      <x:c r="E2267" s="7" t="str">
        <x:v>CNG</x:v>
      </x:c>
      <x:c r="F2267" s="7" t="str">
        <x:v>Manual</x:v>
      </x:c>
      <x:c r="G2267" s="7" t="str">
        <x:v>Micro SUV</x:v>
      </x:c>
      <x:c r="H2267" s="7" t="n">
        <x:v>1199</x:v>
      </x:c>
      <x:c r="I2267" s="7" t="n">
        <x:v>73</x:v>
      </x:c>
      <x:c r="J2267" s="9" t="n">
        <x:v>26.9</x:v>
      </x:c>
      <x:c r="K2267" s="9" t="n">
        <x:v>8.8</x:v>
      </x:c>
      <x:c r="L2267" s="7" t="n">
        <x:v>2024</x:v>
      </x:c>
      <x:c r="M2267" s="11" t="n">
        <x:v>27784</x:v>
      </x:c>
      <x:c r="N2267" s="7" t="n">
        <x:v>2</x:v>
      </x:c>
      <x:c r="O2267" s="7" t="n">
        <x:v>0</x:v>
      </x:c>
      <x:c r="P2267" s="9" t="n">
        <x:v>6.39</x:v>
      </x:c>
      <x:c r="Q2267" s="7" t="n">
        <x:f>'Guide'!$B$5-L2267</x:f>
        <x:v>2</x:v>
      </x:c>
      <x:c r="R2267" s="9" t="n">
        <x:f>K2267-P2267</x:f>
        <x:v>2.410000000000001</x:v>
      </x:c>
      <x:c r="S2267" s="10" t="n">
        <x:f>IF(K2267&gt;0,R2267/K2267,"")</x:f>
        <x:v>0.2738636363636365</x:v>
      </x:c>
    </x:row>
    <x:row r="2268">
      <x:c r="A2268" s="7" t="n">
        <x:v>2264</x:v>
      </x:c>
      <x:c r="B2268" s="7" t="str">
        <x:v>Tata</x:v>
      </x:c>
      <x:c r="C2268" s="7" t="str">
        <x:v>Punch</x:v>
      </x:c>
      <x:c r="D2268" s="7" t="str">
        <x:v>Adventure CNG</x:v>
      </x:c>
      <x:c r="E2268" s="7" t="str">
        <x:v>CNG</x:v>
      </x:c>
      <x:c r="F2268" s="7" t="str">
        <x:v>Manual</x:v>
      </x:c>
      <x:c r="G2268" s="7" t="str">
        <x:v>Micro SUV</x:v>
      </x:c>
      <x:c r="H2268" s="7" t="n">
        <x:v>1199</x:v>
      </x:c>
      <x:c r="I2268" s="7" t="n">
        <x:v>73</x:v>
      </x:c>
      <x:c r="J2268" s="9" t="n">
        <x:v>26.9</x:v>
      </x:c>
      <x:c r="K2268" s="9" t="n">
        <x:v>8.8</x:v>
      </x:c>
      <x:c r="L2268" s="7" t="n">
        <x:v>2020</x:v>
      </x:c>
      <x:c r="M2268" s="11" t="n">
        <x:v>64868</x:v>
      </x:c>
      <x:c r="N2268" s="7" t="n">
        <x:v>1</x:v>
      </x:c>
      <x:c r="O2268" s="7" t="n">
        <x:v>0</x:v>
      </x:c>
      <x:c r="P2268" s="9" t="n">
        <x:v>4.03</x:v>
      </x:c>
      <x:c r="Q2268" s="7" t="n">
        <x:f>'Guide'!$B$5-L2268</x:f>
        <x:v>6</x:v>
      </x:c>
      <x:c r="R2268" s="9" t="n">
        <x:f>K2268-P2268</x:f>
        <x:v>4.7700000000000005</x:v>
      </x:c>
      <x:c r="S2268" s="10" t="n">
        <x:f>IF(K2268&gt;0,R2268/K2268,"")</x:f>
        <x:v>0.5420454545454546</x:v>
      </x:c>
    </x:row>
    <x:row r="2269">
      <x:c r="A2269" s="7" t="n">
        <x:v>2265</x:v>
      </x:c>
      <x:c r="B2269" s="7" t="str">
        <x:v>Tata</x:v>
      </x:c>
      <x:c r="C2269" s="7" t="str">
        <x:v>Punch</x:v>
      </x:c>
      <x:c r="D2269" s="7" t="str">
        <x:v>Adventure CNG</x:v>
      </x:c>
      <x:c r="E2269" s="7" t="str">
        <x:v>CNG</x:v>
      </x:c>
      <x:c r="F2269" s="7" t="str">
        <x:v>Manual</x:v>
      </x:c>
      <x:c r="G2269" s="7" t="str">
        <x:v>Micro SUV</x:v>
      </x:c>
      <x:c r="H2269" s="7" t="n">
        <x:v>1199</x:v>
      </x:c>
      <x:c r="I2269" s="7" t="n">
        <x:v>73</x:v>
      </x:c>
      <x:c r="J2269" s="9" t="n">
        <x:v>26.9</x:v>
      </x:c>
      <x:c r="K2269" s="9" t="n">
        <x:v>8.8</x:v>
      </x:c>
      <x:c r="L2269" s="7" t="n">
        <x:v>2023</x:v>
      </x:c>
      <x:c r="M2269" s="11" t="n">
        <x:v>42886</x:v>
      </x:c>
      <x:c r="N2269" s="7" t="n">
        <x:v>2</x:v>
      </x:c>
      <x:c r="O2269" s="7" t="n">
        <x:v>0</x:v>
      </x:c>
      <x:c r="P2269" s="9" t="n">
        <x:v>6.15</x:v>
      </x:c>
      <x:c r="Q2269" s="7" t="n">
        <x:f>'Guide'!$B$5-L2269</x:f>
        <x:v>3</x:v>
      </x:c>
      <x:c r="R2269" s="9" t="n">
        <x:f>K2269-P2269</x:f>
        <x:v>2.6500000000000004</x:v>
      </x:c>
      <x:c r="S2269" s="10" t="n">
        <x:f>IF(K2269&gt;0,R2269/K2269,"")</x:f>
        <x:v>0.30113636363636365</x:v>
      </x:c>
    </x:row>
    <x:row r="2270">
      <x:c r="A2270" s="7" t="n">
        <x:v>2266</x:v>
      </x:c>
      <x:c r="B2270" s="7" t="str">
        <x:v>Tata</x:v>
      </x:c>
      <x:c r="C2270" s="7" t="str">
        <x:v>Punch</x:v>
      </x:c>
      <x:c r="D2270" s="7" t="str">
        <x:v>Adventure CNG</x:v>
      </x:c>
      <x:c r="E2270" s="7" t="str">
        <x:v>CNG</x:v>
      </x:c>
      <x:c r="F2270" s="7" t="str">
        <x:v>Manual</x:v>
      </x:c>
      <x:c r="G2270" s="7" t="str">
        <x:v>Micro SUV</x:v>
      </x:c>
      <x:c r="H2270" s="7" t="n">
        <x:v>1199</x:v>
      </x:c>
      <x:c r="I2270" s="7" t="n">
        <x:v>73</x:v>
      </x:c>
      <x:c r="J2270" s="9" t="n">
        <x:v>26.9</x:v>
      </x:c>
      <x:c r="K2270" s="9" t="n">
        <x:v>8.8</x:v>
      </x:c>
      <x:c r="L2270" s="7" t="n">
        <x:v>2024</x:v>
      </x:c>
      <x:c r="M2270" s="11" t="n">
        <x:v>43708</x:v>
      </x:c>
      <x:c r="N2270" s="7" t="n">
        <x:v>1</x:v>
      </x:c>
      <x:c r="O2270" s="7" t="n">
        <x:v>1</x:v>
      </x:c>
      <x:c r="P2270" s="9" t="n">
        <x:v>6.2</x:v>
      </x:c>
      <x:c r="Q2270" s="7" t="n">
        <x:f>'Guide'!$B$5-L2270</x:f>
        <x:v>2</x:v>
      </x:c>
      <x:c r="R2270" s="9" t="n">
        <x:f>K2270-P2270</x:f>
        <x:v>2.6000000000000005</x:v>
      </x:c>
      <x:c r="S2270" s="10" t="n">
        <x:f>IF(K2270&gt;0,R2270/K2270,"")</x:f>
        <x:v>0.29545454545454547</x:v>
      </x:c>
    </x:row>
    <x:row r="2271">
      <x:c r="A2271" s="7" t="n">
        <x:v>2267</x:v>
      </x:c>
      <x:c r="B2271" s="7" t="str">
        <x:v>Tata</x:v>
      </x:c>
      <x:c r="C2271" s="7" t="str">
        <x:v>Punch</x:v>
      </x:c>
      <x:c r="D2271" s="7" t="str">
        <x:v>Adventure CNG</x:v>
      </x:c>
      <x:c r="E2271" s="7" t="str">
        <x:v>CNG</x:v>
      </x:c>
      <x:c r="F2271" s="7" t="str">
        <x:v>Manual</x:v>
      </x:c>
      <x:c r="G2271" s="7" t="str">
        <x:v>Micro SUV</x:v>
      </x:c>
      <x:c r="H2271" s="7" t="n">
        <x:v>1199</x:v>
      </x:c>
      <x:c r="I2271" s="7" t="n">
        <x:v>73</x:v>
      </x:c>
      <x:c r="J2271" s="9" t="n">
        <x:v>26.9</x:v>
      </x:c>
      <x:c r="K2271" s="9" t="n">
        <x:v>8.8</x:v>
      </x:c>
      <x:c r="L2271" s="7" t="n">
        <x:v>2022</x:v>
      </x:c>
      <x:c r="M2271" s="11" t="n">
        <x:v>79367</x:v>
      </x:c>
      <x:c r="N2271" s="7" t="n">
        <x:v>1</x:v>
      </x:c>
      <x:c r="O2271" s="7" t="n">
        <x:v>0</x:v>
      </x:c>
      <x:c r="P2271" s="9" t="n">
        <x:v>5.27</x:v>
      </x:c>
      <x:c r="Q2271" s="7" t="n">
        <x:f>'Guide'!$B$5-L2271</x:f>
        <x:v>4</x:v>
      </x:c>
      <x:c r="R2271" s="9" t="n">
        <x:f>K2271-P2271</x:f>
        <x:v>3.530000000000001</x:v>
      </x:c>
      <x:c r="S2271" s="10" t="n">
        <x:f>IF(K2271&gt;0,R2271/K2271,"")</x:f>
        <x:v>0.40113636363636374</x:v>
      </x:c>
    </x:row>
    <x:row r="2272">
      <x:c r="A2272" s="7" t="n">
        <x:v>2268</x:v>
      </x:c>
      <x:c r="B2272" s="7" t="str">
        <x:v>Tata</x:v>
      </x:c>
      <x:c r="C2272" s="7" t="str">
        <x:v>Punch</x:v>
      </x:c>
      <x:c r="D2272" s="7" t="str">
        <x:v>Adventure CNG</x:v>
      </x:c>
      <x:c r="E2272" s="7" t="str">
        <x:v>CNG</x:v>
      </x:c>
      <x:c r="F2272" s="7" t="str">
        <x:v>Manual</x:v>
      </x:c>
      <x:c r="G2272" s="7" t="str">
        <x:v>Micro SUV</x:v>
      </x:c>
      <x:c r="H2272" s="7" t="n">
        <x:v>1199</x:v>
      </x:c>
      <x:c r="I2272" s="7" t="n">
        <x:v>73</x:v>
      </x:c>
      <x:c r="J2272" s="9" t="n">
        <x:v>26.9</x:v>
      </x:c>
      <x:c r="K2272" s="9" t="n">
        <x:v>8.8</x:v>
      </x:c>
      <x:c r="L2272" s="7" t="n">
        <x:v>2024</x:v>
      </x:c>
      <x:c r="M2272" s="11" t="n">
        <x:v>32372</x:v>
      </x:c>
      <x:c r="N2272" s="7" t="n">
        <x:v>3</x:v>
      </x:c>
      <x:c r="O2272" s="7" t="n">
        <x:v>0</x:v>
      </x:c>
      <x:c r="P2272" s="9" t="n">
        <x:v>6.02</x:v>
      </x:c>
      <x:c r="Q2272" s="7" t="n">
        <x:f>'Guide'!$B$5-L2272</x:f>
        <x:v>2</x:v>
      </x:c>
      <x:c r="R2272" s="9" t="n">
        <x:f>K2272-P2272</x:f>
        <x:v>2.780000000000001</x:v>
      </x:c>
      <x:c r="S2272" s="10" t="n">
        <x:f>IF(K2272&gt;0,R2272/K2272,"")</x:f>
        <x:v>0.31590909090909103</x:v>
      </x:c>
    </x:row>
    <x:row r="2273">
      <x:c r="A2273" s="7" t="n">
        <x:v>2269</x:v>
      </x:c>
      <x:c r="B2273" s="7" t="str">
        <x:v>Tata</x:v>
      </x:c>
      <x:c r="C2273" s="7" t="str">
        <x:v>Punch</x:v>
      </x:c>
      <x:c r="D2273" s="7" t="str">
        <x:v>Adventure CNG</x:v>
      </x:c>
      <x:c r="E2273" s="7" t="str">
        <x:v>CNG</x:v>
      </x:c>
      <x:c r="F2273" s="7" t="str">
        <x:v>Manual</x:v>
      </x:c>
      <x:c r="G2273" s="7" t="str">
        <x:v>Micro SUV</x:v>
      </x:c>
      <x:c r="H2273" s="7" t="n">
        <x:v>1199</x:v>
      </x:c>
      <x:c r="I2273" s="7" t="n">
        <x:v>73</x:v>
      </x:c>
      <x:c r="J2273" s="9" t="n">
        <x:v>26.9</x:v>
      </x:c>
      <x:c r="K2273" s="9" t="n">
        <x:v>8.8</x:v>
      </x:c>
      <x:c r="L2273" s="7" t="n">
        <x:v>2021</x:v>
      </x:c>
      <x:c r="M2273" s="11" t="n">
        <x:v>108894</x:v>
      </x:c>
      <x:c r="N2273" s="7" t="n">
        <x:v>2</x:v>
      </x:c>
      <x:c r="O2273" s="7" t="n">
        <x:v>0</x:v>
      </x:c>
      <x:c r="P2273" s="9" t="n">
        <x:v>3.46</x:v>
      </x:c>
      <x:c r="Q2273" s="7" t="n">
        <x:f>'Guide'!$B$5-L2273</x:f>
        <x:v>5</x:v>
      </x:c>
      <x:c r="R2273" s="9" t="n">
        <x:f>K2273-P2273</x:f>
        <x:v>5.340000000000001</x:v>
      </x:c>
      <x:c r="S2273" s="10" t="n">
        <x:f>IF(K2273&gt;0,R2273/K2273,"")</x:f>
        <x:v>0.6068181818181818</x:v>
      </x:c>
    </x:row>
    <x:row r="2274">
      <x:c r="A2274" s="7" t="n">
        <x:v>2270</x:v>
      </x:c>
      <x:c r="B2274" s="7" t="str">
        <x:v>Tata</x:v>
      </x:c>
      <x:c r="C2274" s="7" t="str">
        <x:v>Punch</x:v>
      </x:c>
      <x:c r="D2274" s="7" t="str">
        <x:v>Adventure CNG</x:v>
      </x:c>
      <x:c r="E2274" s="7" t="str">
        <x:v>CNG</x:v>
      </x:c>
      <x:c r="F2274" s="7" t="str">
        <x:v>Manual</x:v>
      </x:c>
      <x:c r="G2274" s="7" t="str">
        <x:v>Micro SUV</x:v>
      </x:c>
      <x:c r="H2274" s="7" t="n">
        <x:v>1199</x:v>
      </x:c>
      <x:c r="I2274" s="7" t="n">
        <x:v>73</x:v>
      </x:c>
      <x:c r="J2274" s="9" t="n">
        <x:v>26.9</x:v>
      </x:c>
      <x:c r="K2274" s="9" t="n">
        <x:v>8.8</x:v>
      </x:c>
      <x:c r="L2274" s="7" t="n">
        <x:v>2022</x:v>
      </x:c>
      <x:c r="M2274" s="11" t="n">
        <x:v>58544</x:v>
      </x:c>
      <x:c r="N2274" s="7" t="n">
        <x:v>1</x:v>
      </x:c>
      <x:c r="O2274" s="7" t="n">
        <x:v>1</x:v>
      </x:c>
      <x:c r="P2274" s="9" t="n">
        <x:v>4.31</x:v>
      </x:c>
      <x:c r="Q2274" s="7" t="n">
        <x:f>'Guide'!$B$5-L2274</x:f>
        <x:v>4</x:v>
      </x:c>
      <x:c r="R2274" s="9" t="n">
        <x:f>K2274-P2274</x:f>
        <x:v>4.490000000000001</x:v>
      </x:c>
      <x:c r="S2274" s="10" t="n">
        <x:f>IF(K2274&gt;0,R2274/K2274,"")</x:f>
        <x:v>0.5102272727272729</x:v>
      </x:c>
    </x:row>
    <x:row r="2275">
      <x:c r="A2275" s="7" t="n">
        <x:v>2271</x:v>
      </x:c>
      <x:c r="B2275" s="7" t="str">
        <x:v>Tata</x:v>
      </x:c>
      <x:c r="C2275" s="7" t="str">
        <x:v>Punch</x:v>
      </x:c>
      <x:c r="D2275" s="7" t="str">
        <x:v>Adventure CNG</x:v>
      </x:c>
      <x:c r="E2275" s="7" t="str">
        <x:v>CNG</x:v>
      </x:c>
      <x:c r="F2275" s="7" t="str">
        <x:v>Manual</x:v>
      </x:c>
      <x:c r="G2275" s="7" t="str">
        <x:v>Micro SUV</x:v>
      </x:c>
      <x:c r="H2275" s="7" t="n">
        <x:v>1199</x:v>
      </x:c>
      <x:c r="I2275" s="7" t="n">
        <x:v>73</x:v>
      </x:c>
      <x:c r="J2275" s="9" t="n">
        <x:v>26.9</x:v>
      </x:c>
      <x:c r="K2275" s="9" t="n">
        <x:v>8.8</x:v>
      </x:c>
      <x:c r="L2275" s="7" t="n">
        <x:v>2022</x:v>
      </x:c>
      <x:c r="M2275" s="11" t="n">
        <x:v>87287</x:v>
      </x:c>
      <x:c r="N2275" s="7" t="n">
        <x:v>2</x:v>
      </x:c>
      <x:c r="O2275" s="7" t="n">
        <x:v>0</x:v>
      </x:c>
      <x:c r="P2275" s="9" t="n">
        <x:v>4.3</x:v>
      </x:c>
      <x:c r="Q2275" s="7" t="n">
        <x:f>'Guide'!$B$5-L2275</x:f>
        <x:v>4</x:v>
      </x:c>
      <x:c r="R2275" s="9" t="n">
        <x:f>K2275-P2275</x:f>
        <x:v>4.500000000000001</x:v>
      </x:c>
      <x:c r="S2275" s="10" t="n">
        <x:f>IF(K2275&gt;0,R2275/K2275,"")</x:f>
        <x:v>0.5113636363636365</x:v>
      </x:c>
    </x:row>
    <x:row r="2276">
      <x:c r="A2276" s="7" t="n">
        <x:v>2272</x:v>
      </x:c>
      <x:c r="B2276" s="7" t="str">
        <x:v>Tata</x:v>
      </x:c>
      <x:c r="C2276" s="7" t="str">
        <x:v>Punch</x:v>
      </x:c>
      <x:c r="D2276" s="7" t="str">
        <x:v>Adventure CNG</x:v>
      </x:c>
      <x:c r="E2276" s="7" t="str">
        <x:v>CNG</x:v>
      </x:c>
      <x:c r="F2276" s="7" t="str">
        <x:v>Manual</x:v>
      </x:c>
      <x:c r="G2276" s="7" t="str">
        <x:v>Micro SUV</x:v>
      </x:c>
      <x:c r="H2276" s="7" t="n">
        <x:v>1199</x:v>
      </x:c>
      <x:c r="I2276" s="7" t="n">
        <x:v>73</x:v>
      </x:c>
      <x:c r="J2276" s="9" t="n">
        <x:v>26.9</x:v>
      </x:c>
      <x:c r="K2276" s="9" t="n">
        <x:v>8.8</x:v>
      </x:c>
      <x:c r="L2276" s="7" t="n">
        <x:v>2026</x:v>
      </x:c>
      <x:c r="M2276" s="11" t="n">
        <x:v>5532</x:v>
      </x:c>
      <x:c r="N2276" s="7" t="n">
        <x:v>2</x:v>
      </x:c>
      <x:c r="O2276" s="7" t="n">
        <x:v>0</x:v>
      </x:c>
      <x:c r="P2276" s="9" t="n">
        <x:v>8.03</x:v>
      </x:c>
      <x:c r="Q2276" s="7" t="n">
        <x:f>'Guide'!$B$5-L2276</x:f>
        <x:v>0</x:v>
      </x:c>
      <x:c r="R2276" s="9" t="n">
        <x:f>K2276-P2276</x:f>
        <x:v>0.7700000000000014</x:v>
      </x:c>
      <x:c r="S2276" s="10" t="n">
        <x:f>IF(K2276&gt;0,R2276/K2276,"")</x:f>
        <x:v>0.08750000000000015</x:v>
      </x:c>
    </x:row>
    <x:row r="2277">
      <x:c r="A2277" s="7" t="n">
        <x:v>2273</x:v>
      </x:c>
      <x:c r="B2277" s="7" t="str">
        <x:v>Tata</x:v>
      </x:c>
      <x:c r="C2277" s="7" t="str">
        <x:v>Punch</x:v>
      </x:c>
      <x:c r="D2277" s="7" t="str">
        <x:v>Adventure CNG</x:v>
      </x:c>
      <x:c r="E2277" s="7" t="str">
        <x:v>CNG</x:v>
      </x:c>
      <x:c r="F2277" s="7" t="str">
        <x:v>Manual</x:v>
      </x:c>
      <x:c r="G2277" s="7" t="str">
        <x:v>Micro SUV</x:v>
      </x:c>
      <x:c r="H2277" s="7" t="n">
        <x:v>1199</x:v>
      </x:c>
      <x:c r="I2277" s="7" t="n">
        <x:v>73</x:v>
      </x:c>
      <x:c r="J2277" s="9" t="n">
        <x:v>26.9</x:v>
      </x:c>
      <x:c r="K2277" s="9" t="n">
        <x:v>8.8</x:v>
      </x:c>
      <x:c r="L2277" s="7" t="n">
        <x:v>2020</x:v>
      </x:c>
      <x:c r="M2277" s="11" t="n">
        <x:v>84817</x:v>
      </x:c>
      <x:c r="N2277" s="7" t="n">
        <x:v>1</x:v>
      </x:c>
      <x:c r="O2277" s="7" t="n">
        <x:v>1</x:v>
      </x:c>
      <x:c r="P2277" s="9" t="n">
        <x:v>3.22</x:v>
      </x:c>
      <x:c r="Q2277" s="7" t="n">
        <x:f>'Guide'!$B$5-L2277</x:f>
        <x:v>6</x:v>
      </x:c>
      <x:c r="R2277" s="9" t="n">
        <x:f>K2277-P2277</x:f>
        <x:v>5.58</x:v>
      </x:c>
      <x:c r="S2277" s="10" t="n">
        <x:f>IF(K2277&gt;0,R2277/K2277,"")</x:f>
        <x:v>0.634090909090909</x:v>
      </x:c>
    </x:row>
    <x:row r="2278">
      <x:c r="A2278" s="7" t="n">
        <x:v>2274</x:v>
      </x:c>
      <x:c r="B2278" s="7" t="str">
        <x:v>Tata</x:v>
      </x:c>
      <x:c r="C2278" s="7" t="str">
        <x:v>Punch</x:v>
      </x:c>
      <x:c r="D2278" s="7" t="str">
        <x:v>Adventure CNG</x:v>
      </x:c>
      <x:c r="E2278" s="7" t="str">
        <x:v>CNG</x:v>
      </x:c>
      <x:c r="F2278" s="7" t="str">
        <x:v>Manual</x:v>
      </x:c>
      <x:c r="G2278" s="7" t="str">
        <x:v>Micro SUV</x:v>
      </x:c>
      <x:c r="H2278" s="7" t="n">
        <x:v>1199</x:v>
      </x:c>
      <x:c r="I2278" s="7" t="n">
        <x:v>73</x:v>
      </x:c>
      <x:c r="J2278" s="9" t="n">
        <x:v>26.9</x:v>
      </x:c>
      <x:c r="K2278" s="9" t="n">
        <x:v>8.8</x:v>
      </x:c>
      <x:c r="L2278" s="7" t="n">
        <x:v>2023</x:v>
      </x:c>
      <x:c r="M2278" s="11" t="n">
        <x:v>68200</x:v>
      </x:c>
      <x:c r="N2278" s="7" t="n">
        <x:v>1</x:v>
      </x:c>
      <x:c r="O2278" s="7" t="n">
        <x:v>0</x:v>
      </x:c>
      <x:c r="P2278" s="9" t="n">
        <x:v>5.84</x:v>
      </x:c>
      <x:c r="Q2278" s="7" t="n">
        <x:f>'Guide'!$B$5-L2278</x:f>
        <x:v>3</x:v>
      </x:c>
      <x:c r="R2278" s="9" t="n">
        <x:f>K2278-P2278</x:f>
        <x:v>2.960000000000001</x:v>
      </x:c>
      <x:c r="S2278" s="10" t="n">
        <x:f>IF(K2278&gt;0,R2278/K2278,"")</x:f>
        <x:v>0.3363636363636364</x:v>
      </x:c>
    </x:row>
    <x:row r="2279">
      <x:c r="A2279" s="7" t="n">
        <x:v>2275</x:v>
      </x:c>
      <x:c r="B2279" s="7" t="str">
        <x:v>Tata</x:v>
      </x:c>
      <x:c r="C2279" s="7" t="str">
        <x:v>Punch</x:v>
      </x:c>
      <x:c r="D2279" s="7" t="str">
        <x:v>Adventure CNG</x:v>
      </x:c>
      <x:c r="E2279" s="7" t="str">
        <x:v>CNG</x:v>
      </x:c>
      <x:c r="F2279" s="7" t="str">
        <x:v>Manual</x:v>
      </x:c>
      <x:c r="G2279" s="7" t="str">
        <x:v>Micro SUV</x:v>
      </x:c>
      <x:c r="H2279" s="7" t="n">
        <x:v>1199</x:v>
      </x:c>
      <x:c r="I2279" s="7" t="n">
        <x:v>73</x:v>
      </x:c>
      <x:c r="J2279" s="9" t="n">
        <x:v>26.9</x:v>
      </x:c>
      <x:c r="K2279" s="9" t="n">
        <x:v>8.8</x:v>
      </x:c>
      <x:c r="L2279" s="7" t="n">
        <x:v>2020</x:v>
      </x:c>
      <x:c r="M2279" s="11" t="n">
        <x:v>79718</x:v>
      </x:c>
      <x:c r="N2279" s="7" t="n">
        <x:v>1</x:v>
      </x:c>
      <x:c r="O2279" s="7" t="n">
        <x:v>0</x:v>
      </x:c>
      <x:c r="P2279" s="9" t="n">
        <x:v>3.57</x:v>
      </x:c>
      <x:c r="Q2279" s="7" t="n">
        <x:f>'Guide'!$B$5-L2279</x:f>
        <x:v>6</x:v>
      </x:c>
      <x:c r="R2279" s="9" t="n">
        <x:f>K2279-P2279</x:f>
        <x:v>5.23</x:v>
      </x:c>
      <x:c r="S2279" s="10" t="n">
        <x:f>IF(K2279&gt;0,R2279/K2279,"")</x:f>
        <x:v>0.5943181818181819</x:v>
      </x:c>
    </x:row>
    <x:row r="2280">
      <x:c r="A2280" s="7" t="n">
        <x:v>2276</x:v>
      </x:c>
      <x:c r="B2280" s="7" t="str">
        <x:v>Tata</x:v>
      </x:c>
      <x:c r="C2280" s="7" t="str">
        <x:v>Punch</x:v>
      </x:c>
      <x:c r="D2280" s="7" t="str">
        <x:v>Adventure CNG</x:v>
      </x:c>
      <x:c r="E2280" s="7" t="str">
        <x:v>CNG</x:v>
      </x:c>
      <x:c r="F2280" s="7" t="str">
        <x:v>Manual</x:v>
      </x:c>
      <x:c r="G2280" s="7" t="str">
        <x:v>Micro SUV</x:v>
      </x:c>
      <x:c r="H2280" s="7" t="n">
        <x:v>1199</x:v>
      </x:c>
      <x:c r="I2280" s="7" t="n">
        <x:v>73</x:v>
      </x:c>
      <x:c r="J2280" s="9" t="n">
        <x:v>26.9</x:v>
      </x:c>
      <x:c r="K2280" s="9" t="n">
        <x:v>8.8</x:v>
      </x:c>
      <x:c r="L2280" s="7" t="n">
        <x:v>2024</x:v>
      </x:c>
      <x:c r="M2280" s="11" t="n">
        <x:v>28902</x:v>
      </x:c>
      <x:c r="N2280" s="7" t="n">
        <x:v>1</x:v>
      </x:c>
      <x:c r="O2280" s="7" t="n">
        <x:v>0</x:v>
      </x:c>
      <x:c r="P2280" s="9" t="n">
        <x:v>7.28</x:v>
      </x:c>
      <x:c r="Q2280" s="7" t="n">
        <x:f>'Guide'!$B$5-L2280</x:f>
        <x:v>2</x:v>
      </x:c>
      <x:c r="R2280" s="9" t="n">
        <x:f>K2280-P2280</x:f>
        <x:v>1.5200000000000005</x:v>
      </x:c>
      <x:c r="S2280" s="10" t="n">
        <x:f>IF(K2280&gt;0,R2280/K2280,"")</x:f>
        <x:v>0.17272727272727276</x:v>
      </x:c>
    </x:row>
    <x:row r="2281">
      <x:c r="A2281" s="7" t="n">
        <x:v>2277</x:v>
      </x:c>
      <x:c r="B2281" s="7" t="str">
        <x:v>Tata</x:v>
      </x:c>
      <x:c r="C2281" s="7" t="str">
        <x:v>Punch</x:v>
      </x:c>
      <x:c r="D2281" s="7" t="str">
        <x:v>Adventure CNG</x:v>
      </x:c>
      <x:c r="E2281" s="7" t="str">
        <x:v>CNG</x:v>
      </x:c>
      <x:c r="F2281" s="7" t="str">
        <x:v>Manual</x:v>
      </x:c>
      <x:c r="G2281" s="7" t="str">
        <x:v>Micro SUV</x:v>
      </x:c>
      <x:c r="H2281" s="7" t="n">
        <x:v>1199</x:v>
      </x:c>
      <x:c r="I2281" s="7" t="n">
        <x:v>73</x:v>
      </x:c>
      <x:c r="J2281" s="9" t="n">
        <x:v>26.9</x:v>
      </x:c>
      <x:c r="K2281" s="9" t="n">
        <x:v>8.8</x:v>
      </x:c>
      <x:c r="L2281" s="7" t="n">
        <x:v>2025</x:v>
      </x:c>
      <x:c r="M2281" s="11" t="n">
        <x:v>21296</x:v>
      </x:c>
      <x:c r="N2281" s="7" t="n">
        <x:v>1</x:v>
      </x:c>
      <x:c r="O2281" s="7" t="n">
        <x:v>1</x:v>
      </x:c>
      <x:c r="P2281" s="9" t="n">
        <x:v>6.69</x:v>
      </x:c>
      <x:c r="Q2281" s="7" t="n">
        <x:f>'Guide'!$B$5-L2281</x:f>
        <x:v>1</x:v>
      </x:c>
      <x:c r="R2281" s="9" t="n">
        <x:f>K2281-P2281</x:f>
        <x:v>2.1100000000000003</x:v>
      </x:c>
      <x:c r="S2281" s="10" t="n">
        <x:f>IF(K2281&gt;0,R2281/K2281,"")</x:f>
        <x:v>0.23977272727272728</x:v>
      </x:c>
    </x:row>
    <x:row r="2282">
      <x:c r="A2282" s="7" t="n">
        <x:v>2278</x:v>
      </x:c>
      <x:c r="B2282" s="7" t="str">
        <x:v>Tata</x:v>
      </x:c>
      <x:c r="C2282" s="7" t="str">
        <x:v>Punch</x:v>
      </x:c>
      <x:c r="D2282" s="7" t="str">
        <x:v>Adventure CNG</x:v>
      </x:c>
      <x:c r="E2282" s="7" t="str">
        <x:v>CNG</x:v>
      </x:c>
      <x:c r="F2282" s="7" t="str">
        <x:v>Manual</x:v>
      </x:c>
      <x:c r="G2282" s="7" t="str">
        <x:v>Micro SUV</x:v>
      </x:c>
      <x:c r="H2282" s="7" t="n">
        <x:v>1199</x:v>
      </x:c>
      <x:c r="I2282" s="7" t="n">
        <x:v>73</x:v>
      </x:c>
      <x:c r="J2282" s="9" t="n">
        <x:v>26.9</x:v>
      </x:c>
      <x:c r="K2282" s="9" t="n">
        <x:v>8.8</x:v>
      </x:c>
      <x:c r="L2282" s="7" t="n">
        <x:v>2025</x:v>
      </x:c>
      <x:c r="M2282" s="11" t="n">
        <x:v>23936</x:v>
      </x:c>
      <x:c r="N2282" s="7" t="n">
        <x:v>3</x:v>
      </x:c>
      <x:c r="O2282" s="7" t="n">
        <x:v>0</x:v>
      </x:c>
      <x:c r="P2282" s="9" t="n">
        <x:v>7.05</x:v>
      </x:c>
      <x:c r="Q2282" s="7" t="n">
        <x:f>'Guide'!$B$5-L2282</x:f>
        <x:v>1</x:v>
      </x:c>
      <x:c r="R2282" s="9" t="n">
        <x:f>K2282-P2282</x:f>
        <x:v>1.7500000000000009</x:v>
      </x:c>
      <x:c r="S2282" s="10" t="n">
        <x:f>IF(K2282&gt;0,R2282/K2282,"")</x:f>
        <x:v>0.19886363636363644</x:v>
      </x:c>
    </x:row>
    <x:row r="2283">
      <x:c r="A2283" s="7" t="n">
        <x:v>2279</x:v>
      </x:c>
      <x:c r="B2283" s="7" t="str">
        <x:v>Tata</x:v>
      </x:c>
      <x:c r="C2283" s="7" t="str">
        <x:v>Punch</x:v>
      </x:c>
      <x:c r="D2283" s="7" t="str">
        <x:v>Adventure CNG</x:v>
      </x:c>
      <x:c r="E2283" s="7" t="str">
        <x:v>CNG</x:v>
      </x:c>
      <x:c r="F2283" s="7" t="str">
        <x:v>Manual</x:v>
      </x:c>
      <x:c r="G2283" s="7" t="str">
        <x:v>Micro SUV</x:v>
      </x:c>
      <x:c r="H2283" s="7" t="n">
        <x:v>1199</x:v>
      </x:c>
      <x:c r="I2283" s="7" t="n">
        <x:v>73</x:v>
      </x:c>
      <x:c r="J2283" s="9" t="n">
        <x:v>26.9</x:v>
      </x:c>
      <x:c r="K2283" s="9" t="n">
        <x:v>8.8</x:v>
      </x:c>
      <x:c r="L2283" s="7" t="n">
        <x:v>2020</x:v>
      </x:c>
      <x:c r="M2283" s="11" t="n">
        <x:v>80637</x:v>
      </x:c>
      <x:c r="N2283" s="7" t="n">
        <x:v>2</x:v>
      </x:c>
      <x:c r="O2283" s="7" t="n">
        <x:v>0</x:v>
      </x:c>
      <x:c r="P2283" s="9" t="n">
        <x:v>2.96</x:v>
      </x:c>
      <x:c r="Q2283" s="7" t="n">
        <x:f>'Guide'!$B$5-L2283</x:f>
        <x:v>6</x:v>
      </x:c>
      <x:c r="R2283" s="9" t="n">
        <x:f>K2283-P2283</x:f>
        <x:v>5.840000000000001</x:v>
      </x:c>
      <x:c r="S2283" s="10" t="n">
        <x:f>IF(K2283&gt;0,R2283/K2283,"")</x:f>
        <x:v>0.6636363636363637</x:v>
      </x:c>
    </x:row>
    <x:row r="2284">
      <x:c r="A2284" s="7" t="n">
        <x:v>2280</x:v>
      </x:c>
      <x:c r="B2284" s="7" t="str">
        <x:v>Tata</x:v>
      </x:c>
      <x:c r="C2284" s="7" t="str">
        <x:v>Punch</x:v>
      </x:c>
      <x:c r="D2284" s="7" t="str">
        <x:v>Adventure CNG</x:v>
      </x:c>
      <x:c r="E2284" s="7" t="str">
        <x:v>CNG</x:v>
      </x:c>
      <x:c r="F2284" s="7" t="str">
        <x:v>Manual</x:v>
      </x:c>
      <x:c r="G2284" s="7" t="str">
        <x:v>Micro SUV</x:v>
      </x:c>
      <x:c r="H2284" s="7" t="n">
        <x:v>1199</x:v>
      </x:c>
      <x:c r="I2284" s="7" t="n">
        <x:v>73</x:v>
      </x:c>
      <x:c r="J2284" s="9" t="n">
        <x:v>26.9</x:v>
      </x:c>
      <x:c r="K2284" s="9" t="n">
        <x:v>8.8</x:v>
      </x:c>
      <x:c r="L2284" s="7" t="n">
        <x:v>2024</x:v>
      </x:c>
      <x:c r="M2284" s="11" t="n">
        <x:v>35607</x:v>
      </x:c>
      <x:c r="N2284" s="7" t="n">
        <x:v>1</x:v>
      </x:c>
      <x:c r="O2284" s="7" t="n">
        <x:v>1</x:v>
      </x:c>
      <x:c r="P2284" s="9" t="n">
        <x:v>6.46</x:v>
      </x:c>
      <x:c r="Q2284" s="7" t="n">
        <x:f>'Guide'!$B$5-L2284</x:f>
        <x:v>2</x:v>
      </x:c>
      <x:c r="R2284" s="9" t="n">
        <x:f>K2284-P2284</x:f>
        <x:v>2.3400000000000007</x:v>
      </x:c>
      <x:c r="S2284" s="10" t="n">
        <x:f>IF(K2284&gt;0,R2284/K2284,"")</x:f>
        <x:v>0.265909090909091</x:v>
      </x:c>
    </x:row>
    <x:row r="2285">
      <x:c r="A2285" s="7" t="n">
        <x:v>2281</x:v>
      </x:c>
      <x:c r="B2285" s="7" t="str">
        <x:v>Tata</x:v>
      </x:c>
      <x:c r="C2285" s="7" t="str">
        <x:v>Punch</x:v>
      </x:c>
      <x:c r="D2285" s="7" t="str">
        <x:v>Adventure CNG</x:v>
      </x:c>
      <x:c r="E2285" s="7" t="str">
        <x:v>CNG</x:v>
      </x:c>
      <x:c r="F2285" s="7" t="str">
        <x:v>Manual</x:v>
      </x:c>
      <x:c r="G2285" s="7" t="str">
        <x:v>Micro SUV</x:v>
      </x:c>
      <x:c r="H2285" s="7" t="n">
        <x:v>1199</x:v>
      </x:c>
      <x:c r="I2285" s="7" t="n">
        <x:v>73</x:v>
      </x:c>
      <x:c r="J2285" s="9" t="n">
        <x:v>26.9</x:v>
      </x:c>
      <x:c r="K2285" s="9" t="n">
        <x:v>8.8</x:v>
      </x:c>
      <x:c r="L2285" s="7" t="n">
        <x:v>2026</x:v>
      </x:c>
      <x:c r="M2285" s="11" t="n">
        <x:v>8164</x:v>
      </x:c>
      <x:c r="N2285" s="7" t="n">
        <x:v>1</x:v>
      </x:c>
      <x:c r="O2285" s="7" t="n">
        <x:v>0</x:v>
      </x:c>
      <x:c r="P2285" s="9" t="n">
        <x:v>8.46</x:v>
      </x:c>
      <x:c r="Q2285" s="7" t="n">
        <x:f>'Guide'!$B$5-L2285</x:f>
        <x:v>0</x:v>
      </x:c>
      <x:c r="R2285" s="9" t="n">
        <x:f>K2285-P2285</x:f>
        <x:v>0.33999999999999986</x:v>
      </x:c>
      <x:c r="S2285" s="10" t="n">
        <x:f>IF(K2285&gt;0,R2285/K2285,"")</x:f>
        <x:v>0.038636363636363615</x:v>
      </x:c>
    </x:row>
    <x:row r="2286">
      <x:c r="A2286" s="7" t="n">
        <x:v>2282</x:v>
      </x:c>
      <x:c r="B2286" s="7" t="str">
        <x:v>Tata</x:v>
      </x:c>
      <x:c r="C2286" s="7" t="str">
        <x:v>Punch</x:v>
      </x:c>
      <x:c r="D2286" s="7" t="str">
        <x:v>Adventure CNG</x:v>
      </x:c>
      <x:c r="E2286" s="7" t="str">
        <x:v>CNG</x:v>
      </x:c>
      <x:c r="F2286" s="7" t="str">
        <x:v>Manual</x:v>
      </x:c>
      <x:c r="G2286" s="7" t="str">
        <x:v>Micro SUV</x:v>
      </x:c>
      <x:c r="H2286" s="7" t="n">
        <x:v>1199</x:v>
      </x:c>
      <x:c r="I2286" s="7" t="n">
        <x:v>73</x:v>
      </x:c>
      <x:c r="J2286" s="9" t="n">
        <x:v>26.9</x:v>
      </x:c>
      <x:c r="K2286" s="9" t="n">
        <x:v>8.8</x:v>
      </x:c>
      <x:c r="L2286" s="7" t="n">
        <x:v>2024</x:v>
      </x:c>
      <x:c r="M2286" s="11" t="n">
        <x:v>22362</x:v>
      </x:c>
      <x:c r="N2286" s="7" t="n">
        <x:v>2</x:v>
      </x:c>
      <x:c r="O2286" s="7" t="n">
        <x:v>0</x:v>
      </x:c>
      <x:c r="P2286" s="9" t="n">
        <x:v>6.99</x:v>
      </x:c>
      <x:c r="Q2286" s="7" t="n">
        <x:f>'Guide'!$B$5-L2286</x:f>
        <x:v>2</x:v>
      </x:c>
      <x:c r="R2286" s="9" t="n">
        <x:f>K2286-P2286</x:f>
        <x:v>1.8100000000000005</x:v>
      </x:c>
      <x:c r="S2286" s="10" t="n">
        <x:f>IF(K2286&gt;0,R2286/K2286,"")</x:f>
        <x:v>0.20568181818181822</x:v>
      </x:c>
    </x:row>
    <x:row r="2287">
      <x:c r="A2287" s="7" t="n">
        <x:v>2283</x:v>
      </x:c>
      <x:c r="B2287" s="7" t="str">
        <x:v>Tata</x:v>
      </x:c>
      <x:c r="C2287" s="7" t="str">
        <x:v>Punch</x:v>
      </x:c>
      <x:c r="D2287" s="7" t="str">
        <x:v>Adventure CNG</x:v>
      </x:c>
      <x:c r="E2287" s="7" t="str">
        <x:v>CNG</x:v>
      </x:c>
      <x:c r="F2287" s="7" t="str">
        <x:v>Manual</x:v>
      </x:c>
      <x:c r="G2287" s="7" t="str">
        <x:v>Micro SUV</x:v>
      </x:c>
      <x:c r="H2287" s="7" t="n">
        <x:v>1199</x:v>
      </x:c>
      <x:c r="I2287" s="7" t="n">
        <x:v>73</x:v>
      </x:c>
      <x:c r="J2287" s="9" t="n">
        <x:v>26.9</x:v>
      </x:c>
      <x:c r="K2287" s="9" t="n">
        <x:v>8.8</x:v>
      </x:c>
      <x:c r="L2287" s="7" t="n">
        <x:v>2023</x:v>
      </x:c>
      <x:c r="M2287" s="11" t="n">
        <x:v>54951</x:v>
      </x:c>
      <x:c r="N2287" s="7" t="n">
        <x:v>1</x:v>
      </x:c>
      <x:c r="O2287" s="7" t="n">
        <x:v>0</x:v>
      </x:c>
      <x:c r="P2287" s="9" t="n">
        <x:v>6.16</x:v>
      </x:c>
      <x:c r="Q2287" s="7" t="n">
        <x:f>'Guide'!$B$5-L2287</x:f>
        <x:v>3</x:v>
      </x:c>
      <x:c r="R2287" s="9" t="n">
        <x:f>K2287-P2287</x:f>
        <x:v>2.6400000000000006</x:v>
      </x:c>
      <x:c r="S2287" s="10" t="n">
        <x:f>IF(K2287&gt;0,R2287/K2287,"")</x:f>
        <x:v>0.30000000000000004</x:v>
      </x:c>
    </x:row>
    <x:row r="2288">
      <x:c r="A2288" s="7" t="n">
        <x:v>2284</x:v>
      </x:c>
      <x:c r="B2288" s="7" t="str">
        <x:v>Tata</x:v>
      </x:c>
      <x:c r="C2288" s="7" t="str">
        <x:v>Punch</x:v>
      </x:c>
      <x:c r="D2288" s="7" t="str">
        <x:v>Adventure CNG</x:v>
      </x:c>
      <x:c r="E2288" s="7" t="str">
        <x:v>CNG</x:v>
      </x:c>
      <x:c r="F2288" s="7" t="str">
        <x:v>Manual</x:v>
      </x:c>
      <x:c r="G2288" s="7" t="str">
        <x:v>Micro SUV</x:v>
      </x:c>
      <x:c r="H2288" s="7" t="n">
        <x:v>1199</x:v>
      </x:c>
      <x:c r="I2288" s="7" t="n">
        <x:v>73</x:v>
      </x:c>
      <x:c r="J2288" s="9" t="n">
        <x:v>26.9</x:v>
      </x:c>
      <x:c r="K2288" s="9" t="n">
        <x:v>8.8</x:v>
      </x:c>
      <x:c r="L2288" s="7" t="n">
        <x:v>2026</x:v>
      </x:c>
      <x:c r="M2288" s="11" t="n">
        <x:v>6713</x:v>
      </x:c>
      <x:c r="N2288" s="7" t="n">
        <x:v>3</x:v>
      </x:c>
      <x:c r="O2288" s="7" t="n">
        <x:v>0</x:v>
      </x:c>
      <x:c r="P2288" s="9" t="n">
        <x:v>7.89</x:v>
      </x:c>
      <x:c r="Q2288" s="7" t="n">
        <x:f>'Guide'!$B$5-L2288</x:f>
        <x:v>0</x:v>
      </x:c>
      <x:c r="R2288" s="9" t="n">
        <x:f>K2288-P2288</x:f>
        <x:v>0.910000000000001</x:v>
      </x:c>
      <x:c r="S2288" s="10" t="n">
        <x:f>IF(K2288&gt;0,R2288/K2288,"")</x:f>
        <x:v>0.10340909090909102</x:v>
      </x:c>
    </x:row>
    <x:row r="2289">
      <x:c r="A2289" s="7" t="n">
        <x:v>2285</x:v>
      </x:c>
      <x:c r="B2289" s="7" t="str">
        <x:v>Tata</x:v>
      </x:c>
      <x:c r="C2289" s="7" t="str">
        <x:v>Punch</x:v>
      </x:c>
      <x:c r="D2289" s="7" t="str">
        <x:v>Adventure CNG</x:v>
      </x:c>
      <x:c r="E2289" s="7" t="str">
        <x:v>CNG</x:v>
      </x:c>
      <x:c r="F2289" s="7" t="str">
        <x:v>Manual</x:v>
      </x:c>
      <x:c r="G2289" s="7" t="str">
        <x:v>Micro SUV</x:v>
      </x:c>
      <x:c r="H2289" s="7" t="n">
        <x:v>1199</x:v>
      </x:c>
      <x:c r="I2289" s="7" t="n">
        <x:v>73</x:v>
      </x:c>
      <x:c r="J2289" s="9" t="n">
        <x:v>26.9</x:v>
      </x:c>
      <x:c r="K2289" s="9" t="n">
        <x:v>8.8</x:v>
      </x:c>
      <x:c r="L2289" s="7" t="n">
        <x:v>2026</x:v>
      </x:c>
      <x:c r="M2289" s="11" t="n">
        <x:v>9441</x:v>
      </x:c>
      <x:c r="N2289" s="7" t="n">
        <x:v>1</x:v>
      </x:c>
      <x:c r="O2289" s="7" t="n">
        <x:v>0</x:v>
      </x:c>
      <x:c r="P2289" s="9" t="n">
        <x:v>8.66</x:v>
      </x:c>
      <x:c r="Q2289" s="7" t="n">
        <x:f>'Guide'!$B$5-L2289</x:f>
        <x:v>0</x:v>
      </x:c>
      <x:c r="R2289" s="9" t="n">
        <x:f>K2289-P2289</x:f>
        <x:v>0.14000000000000057</x:v>
      </x:c>
      <x:c r="S2289" s="10" t="n">
        <x:f>IF(K2289&gt;0,R2289/K2289,"")</x:f>
        <x:v>0.015909090909090973</x:v>
      </x:c>
    </x:row>
    <x:row r="2290">
      <x:c r="A2290" s="7" t="n">
        <x:v>2286</x:v>
      </x:c>
      <x:c r="B2290" s="7" t="str">
        <x:v>Tata</x:v>
      </x:c>
      <x:c r="C2290" s="7" t="str">
        <x:v>Punch</x:v>
      </x:c>
      <x:c r="D2290" s="7" t="str">
        <x:v>Adventure CNG</x:v>
      </x:c>
      <x:c r="E2290" s="7" t="str">
        <x:v>CNG</x:v>
      </x:c>
      <x:c r="F2290" s="7" t="str">
        <x:v>Manual</x:v>
      </x:c>
      <x:c r="G2290" s="7" t="str">
        <x:v>Micro SUV</x:v>
      </x:c>
      <x:c r="H2290" s="7" t="n">
        <x:v>1199</x:v>
      </x:c>
      <x:c r="I2290" s="7" t="n">
        <x:v>73</x:v>
      </x:c>
      <x:c r="J2290" s="9" t="n">
        <x:v>26.9</x:v>
      </x:c>
      <x:c r="K2290" s="9" t="n">
        <x:v>8.8</x:v>
      </x:c>
      <x:c r="L2290" s="7" t="n">
        <x:v>2023</x:v>
      </x:c>
      <x:c r="M2290" s="11" t="n">
        <x:v>50742</x:v>
      </x:c>
      <x:c r="N2290" s="7" t="n">
        <x:v>2</x:v>
      </x:c>
      <x:c r="O2290" s="7" t="n">
        <x:v>0</x:v>
      </x:c>
      <x:c r="P2290" s="9" t="n">
        <x:v>5.41</x:v>
      </x:c>
      <x:c r="Q2290" s="7" t="n">
        <x:f>'Guide'!$B$5-L2290</x:f>
        <x:v>3</x:v>
      </x:c>
      <x:c r="R2290" s="9" t="n">
        <x:f>K2290-P2290</x:f>
        <x:v>3.3900000000000006</x:v>
      </x:c>
      <x:c r="S2290" s="10" t="n">
        <x:f>IF(K2290&gt;0,R2290/K2290,"")</x:f>
        <x:v>0.38522727272727275</x:v>
      </x:c>
    </x:row>
    <x:row r="2291">
      <x:c r="A2291" s="7" t="n">
        <x:v>2287</x:v>
      </x:c>
      <x:c r="B2291" s="7" t="str">
        <x:v>Tata</x:v>
      </x:c>
      <x:c r="C2291" s="7" t="str">
        <x:v>Punch</x:v>
      </x:c>
      <x:c r="D2291" s="7" t="str">
        <x:v>Adventure CNG</x:v>
      </x:c>
      <x:c r="E2291" s="7" t="str">
        <x:v>CNG</x:v>
      </x:c>
      <x:c r="F2291" s="7" t="str">
        <x:v>Manual</x:v>
      </x:c>
      <x:c r="G2291" s="7" t="str">
        <x:v>Micro SUV</x:v>
      </x:c>
      <x:c r="H2291" s="7" t="n">
        <x:v>1199</x:v>
      </x:c>
      <x:c r="I2291" s="7" t="n">
        <x:v>73</x:v>
      </x:c>
      <x:c r="J2291" s="9" t="n">
        <x:v>26.9</x:v>
      </x:c>
      <x:c r="K2291" s="9" t="n">
        <x:v>8.8</x:v>
      </x:c>
      <x:c r="L2291" s="7" t="n">
        <x:v>2026</x:v>
      </x:c>
      <x:c r="M2291" s="11" t="n">
        <x:v>4825</x:v>
      </x:c>
      <x:c r="N2291" s="7" t="n">
        <x:v>2</x:v>
      </x:c>
      <x:c r="O2291" s="7" t="n">
        <x:v>0</x:v>
      </x:c>
      <x:c r="P2291" s="9" t="n">
        <x:v>8.47</x:v>
      </x:c>
      <x:c r="Q2291" s="7" t="n">
        <x:f>'Guide'!$B$5-L2291</x:f>
        <x:v>0</x:v>
      </x:c>
      <x:c r="R2291" s="9" t="n">
        <x:f>K2291-P2291</x:f>
        <x:v>0.33000000000000007</x:v>
      </x:c>
      <x:c r="S2291" s="10" t="n">
        <x:f>IF(K2291&gt;0,R2291/K2291,"")</x:f>
        <x:v>0.037500000000000006</x:v>
      </x:c>
    </x:row>
    <x:row r="2292">
      <x:c r="A2292" s="7" t="n">
        <x:v>2288</x:v>
      </x:c>
      <x:c r="B2292" s="7" t="str">
        <x:v>Tata</x:v>
      </x:c>
      <x:c r="C2292" s="7" t="str">
        <x:v>Punch</x:v>
      </x:c>
      <x:c r="D2292" s="7" t="str">
        <x:v>Adventure CNG</x:v>
      </x:c>
      <x:c r="E2292" s="7" t="str">
        <x:v>CNG</x:v>
      </x:c>
      <x:c r="F2292" s="7" t="str">
        <x:v>Manual</x:v>
      </x:c>
      <x:c r="G2292" s="7" t="str">
        <x:v>Micro SUV</x:v>
      </x:c>
      <x:c r="H2292" s="7" t="n">
        <x:v>1199</x:v>
      </x:c>
      <x:c r="I2292" s="7" t="n">
        <x:v>73</x:v>
      </x:c>
      <x:c r="J2292" s="9" t="n">
        <x:v>26.9</x:v>
      </x:c>
      <x:c r="K2292" s="9" t="n">
        <x:v>8.8</x:v>
      </x:c>
      <x:c r="L2292" s="7" t="n">
        <x:v>2024</x:v>
      </x:c>
      <x:c r="M2292" s="11" t="n">
        <x:v>28786</x:v>
      </x:c>
      <x:c r="N2292" s="7" t="n">
        <x:v>1</x:v>
      </x:c>
      <x:c r="O2292" s="7" t="n">
        <x:v>0</x:v>
      </x:c>
      <x:c r="P2292" s="9" t="n">
        <x:v>7.42</x:v>
      </x:c>
      <x:c r="Q2292" s="7" t="n">
        <x:f>'Guide'!$B$5-L2292</x:f>
        <x:v>2</x:v>
      </x:c>
      <x:c r="R2292" s="9" t="n">
        <x:f>K2292-P2292</x:f>
        <x:v>1.3800000000000008</x:v>
      </x:c>
      <x:c r="S2292" s="10" t="n">
        <x:f>IF(K2292&gt;0,R2292/K2292,"")</x:f>
        <x:v>0.15681818181818188</x:v>
      </x:c>
    </x:row>
    <x:row r="2293">
      <x:c r="A2293" s="7" t="n">
        <x:v>2289</x:v>
      </x:c>
      <x:c r="B2293" s="7" t="str">
        <x:v>Tata</x:v>
      </x:c>
      <x:c r="C2293" s="7" t="str">
        <x:v>Punch</x:v>
      </x:c>
      <x:c r="D2293" s="7" t="str">
        <x:v>Adventure CNG</x:v>
      </x:c>
      <x:c r="E2293" s="7" t="str">
        <x:v>CNG</x:v>
      </x:c>
      <x:c r="F2293" s="7" t="str">
        <x:v>Manual</x:v>
      </x:c>
      <x:c r="G2293" s="7" t="str">
        <x:v>Micro SUV</x:v>
      </x:c>
      <x:c r="H2293" s="7" t="n">
        <x:v>1199</x:v>
      </x:c>
      <x:c r="I2293" s="7" t="n">
        <x:v>73</x:v>
      </x:c>
      <x:c r="J2293" s="9" t="n">
        <x:v>26.9</x:v>
      </x:c>
      <x:c r="K2293" s="9" t="n">
        <x:v>8.8</x:v>
      </x:c>
      <x:c r="L2293" s="7" t="n">
        <x:v>2023</x:v>
      </x:c>
      <x:c r="M2293" s="11" t="n">
        <x:v>62445</x:v>
      </x:c>
      <x:c r="N2293" s="7" t="n">
        <x:v>1</x:v>
      </x:c>
      <x:c r="O2293" s="7" t="n">
        <x:v>0</x:v>
      </x:c>
      <x:c r="P2293" s="9" t="n">
        <x:v>6.29</x:v>
      </x:c>
      <x:c r="Q2293" s="7" t="n">
        <x:f>'Guide'!$B$5-L2293</x:f>
        <x:v>3</x:v>
      </x:c>
      <x:c r="R2293" s="9" t="n">
        <x:f>K2293-P2293</x:f>
        <x:v>2.5100000000000007</x:v>
      </x:c>
      <x:c r="S2293" s="10" t="n">
        <x:f>IF(K2293&gt;0,R2293/K2293,"")</x:f>
        <x:v>0.2852272727272728</x:v>
      </x:c>
    </x:row>
    <x:row r="2294">
      <x:c r="A2294" s="7" t="n">
        <x:v>2290</x:v>
      </x:c>
      <x:c r="B2294" s="7" t="str">
        <x:v>Tata</x:v>
      </x:c>
      <x:c r="C2294" s="7" t="str">
        <x:v>Punch</x:v>
      </x:c>
      <x:c r="D2294" s="7" t="str">
        <x:v>Adventure CNG</x:v>
      </x:c>
      <x:c r="E2294" s="7" t="str">
        <x:v>CNG</x:v>
      </x:c>
      <x:c r="F2294" s="7" t="str">
        <x:v>Manual</x:v>
      </x:c>
      <x:c r="G2294" s="7" t="str">
        <x:v>Micro SUV</x:v>
      </x:c>
      <x:c r="H2294" s="7" t="n">
        <x:v>1199</x:v>
      </x:c>
      <x:c r="I2294" s="7" t="n">
        <x:v>73</x:v>
      </x:c>
      <x:c r="J2294" s="9" t="n">
        <x:v>26.9</x:v>
      </x:c>
      <x:c r="K2294" s="9" t="n">
        <x:v>8.8</x:v>
      </x:c>
      <x:c r="L2294" s="7" t="n">
        <x:v>2022</x:v>
      </x:c>
      <x:c r="M2294" s="11" t="n">
        <x:v>40415</x:v>
      </x:c>
      <x:c r="N2294" s="7" t="n">
        <x:v>1</x:v>
      </x:c>
      <x:c r="O2294" s="7" t="n">
        <x:v>0</x:v>
      </x:c>
      <x:c r="P2294" s="9" t="n">
        <x:v>5.43</x:v>
      </x:c>
      <x:c r="Q2294" s="7" t="n">
        <x:f>'Guide'!$B$5-L2294</x:f>
        <x:v>4</x:v>
      </x:c>
      <x:c r="R2294" s="9" t="n">
        <x:f>K2294-P2294</x:f>
        <x:v>3.370000000000001</x:v>
      </x:c>
      <x:c r="S2294" s="10" t="n">
        <x:f>IF(K2294&gt;0,R2294/K2294,"")</x:f>
        <x:v>0.38295454545454555</x:v>
      </x:c>
    </x:row>
    <x:row r="2295">
      <x:c r="A2295" s="7" t="n">
        <x:v>2291</x:v>
      </x:c>
      <x:c r="B2295" s="7" t="str">
        <x:v>Tata</x:v>
      </x:c>
      <x:c r="C2295" s="7" t="str">
        <x:v>Punch</x:v>
      </x:c>
      <x:c r="D2295" s="7" t="str">
        <x:v>Adventure CNG</x:v>
      </x:c>
      <x:c r="E2295" s="7" t="str">
        <x:v>CNG</x:v>
      </x:c>
      <x:c r="F2295" s="7" t="str">
        <x:v>Manual</x:v>
      </x:c>
      <x:c r="G2295" s="7" t="str">
        <x:v>Micro SUV</x:v>
      </x:c>
      <x:c r="H2295" s="7" t="n">
        <x:v>1199</x:v>
      </x:c>
      <x:c r="I2295" s="7" t="n">
        <x:v>73</x:v>
      </x:c>
      <x:c r="J2295" s="9" t="n">
        <x:v>26.9</x:v>
      </x:c>
      <x:c r="K2295" s="9" t="n">
        <x:v>8.8</x:v>
      </x:c>
      <x:c r="L2295" s="7" t="n">
        <x:v>2021</x:v>
      </x:c>
      <x:c r="M2295" s="11" t="n">
        <x:v>84589</x:v>
      </x:c>
      <x:c r="N2295" s="7" t="n">
        <x:v>2</x:v>
      </x:c>
      <x:c r="O2295" s="7" t="n">
        <x:v>0</x:v>
      </x:c>
      <x:c r="P2295" s="9" t="n">
        <x:v>4.37</x:v>
      </x:c>
      <x:c r="Q2295" s="7" t="n">
        <x:f>'Guide'!$B$5-L2295</x:f>
        <x:v>5</x:v>
      </x:c>
      <x:c r="R2295" s="9" t="n">
        <x:f>K2295-P2295</x:f>
        <x:v>4.430000000000001</x:v>
      </x:c>
      <x:c r="S2295" s="10" t="n">
        <x:f>IF(K2295&gt;0,R2295/K2295,"")</x:f>
        <x:v>0.5034090909090909</x:v>
      </x:c>
    </x:row>
    <x:row r="2296">
      <x:c r="A2296" s="7" t="n">
        <x:v>2292</x:v>
      </x:c>
      <x:c r="B2296" s="7" t="str">
        <x:v>Tata</x:v>
      </x:c>
      <x:c r="C2296" s="7" t="str">
        <x:v>Punch</x:v>
      </x:c>
      <x:c r="D2296" s="7" t="str">
        <x:v>Adventure CNG</x:v>
      </x:c>
      <x:c r="E2296" s="7" t="str">
        <x:v>CNG</x:v>
      </x:c>
      <x:c r="F2296" s="7" t="str">
        <x:v>Manual</x:v>
      </x:c>
      <x:c r="G2296" s="7" t="str">
        <x:v>Micro SUV</x:v>
      </x:c>
      <x:c r="H2296" s="7" t="n">
        <x:v>1199</x:v>
      </x:c>
      <x:c r="I2296" s="7" t="n">
        <x:v>73</x:v>
      </x:c>
      <x:c r="J2296" s="9" t="n">
        <x:v>26.9</x:v>
      </x:c>
      <x:c r="K2296" s="9" t="n">
        <x:v>8.8</x:v>
      </x:c>
      <x:c r="L2296" s="7" t="n">
        <x:v>2020</x:v>
      </x:c>
      <x:c r="M2296" s="11" t="n">
        <x:v>100609</x:v>
      </x:c>
      <x:c r="N2296" s="7" t="n">
        <x:v>2</x:v>
      </x:c>
      <x:c r="O2296" s="7" t="n">
        <x:v>1</x:v>
      </x:c>
      <x:c r="P2296" s="9" t="n">
        <x:v>2.15</x:v>
      </x:c>
      <x:c r="Q2296" s="7" t="n">
        <x:f>'Guide'!$B$5-L2296</x:f>
        <x:v>6</x:v>
      </x:c>
      <x:c r="R2296" s="9" t="n">
        <x:f>K2296-P2296</x:f>
        <x:v>6.65</x:v>
      </x:c>
      <x:c r="S2296" s="10" t="n">
        <x:f>IF(K2296&gt;0,R2296/K2296,"")</x:f>
        <x:v>0.7556818181818181</x:v>
      </x:c>
    </x:row>
    <x:row r="2297">
      <x:c r="A2297" s="7" t="n">
        <x:v>2293</x:v>
      </x:c>
      <x:c r="B2297" s="7" t="str">
        <x:v>Tata</x:v>
      </x:c>
      <x:c r="C2297" s="7" t="str">
        <x:v>Punch</x:v>
      </x:c>
      <x:c r="D2297" s="7" t="str">
        <x:v>Adventure CNG</x:v>
      </x:c>
      <x:c r="E2297" s="7" t="str">
        <x:v>CNG</x:v>
      </x:c>
      <x:c r="F2297" s="7" t="str">
        <x:v>Manual</x:v>
      </x:c>
      <x:c r="G2297" s="7" t="str">
        <x:v>Micro SUV</x:v>
      </x:c>
      <x:c r="H2297" s="7" t="n">
        <x:v>1199</x:v>
      </x:c>
      <x:c r="I2297" s="7" t="n">
        <x:v>73</x:v>
      </x:c>
      <x:c r="J2297" s="9" t="n">
        <x:v>26.9</x:v>
      </x:c>
      <x:c r="K2297" s="9" t="n">
        <x:v>8.8</x:v>
      </x:c>
      <x:c r="L2297" s="7" t="n">
        <x:v>2026</x:v>
      </x:c>
      <x:c r="M2297" s="11" t="n">
        <x:v>7820</x:v>
      </x:c>
      <x:c r="N2297" s="7" t="n">
        <x:v>1</x:v>
      </x:c>
      <x:c r="O2297" s="7" t="n">
        <x:v>0</x:v>
      </x:c>
      <x:c r="P2297" s="9" t="n">
        <x:v>8.65</x:v>
      </x:c>
      <x:c r="Q2297" s="7" t="n">
        <x:f>'Guide'!$B$5-L2297</x:f>
        <x:v>0</x:v>
      </x:c>
      <x:c r="R2297" s="9" t="n">
        <x:f>K2297-P2297</x:f>
        <x:v>0.15000000000000036</x:v>
      </x:c>
      <x:c r="S2297" s="10" t="n">
        <x:f>IF(K2297&gt;0,R2297/K2297,"")</x:f>
        <x:v>0.017045454545454586</x:v>
      </x:c>
    </x:row>
    <x:row r="2298">
      <x:c r="A2298" s="7" t="n">
        <x:v>2294</x:v>
      </x:c>
      <x:c r="B2298" s="7" t="str">
        <x:v>Tata</x:v>
      </x:c>
      <x:c r="C2298" s="7" t="str">
        <x:v>Punch</x:v>
      </x:c>
      <x:c r="D2298" s="7" t="str">
        <x:v>Adventure CNG</x:v>
      </x:c>
      <x:c r="E2298" s="7" t="str">
        <x:v>CNG</x:v>
      </x:c>
      <x:c r="F2298" s="7" t="str">
        <x:v>Manual</x:v>
      </x:c>
      <x:c r="G2298" s="7" t="str">
        <x:v>Micro SUV</x:v>
      </x:c>
      <x:c r="H2298" s="7" t="n">
        <x:v>1199</x:v>
      </x:c>
      <x:c r="I2298" s="7" t="n">
        <x:v>73</x:v>
      </x:c>
      <x:c r="J2298" s="9" t="n">
        <x:v>26.9</x:v>
      </x:c>
      <x:c r="K2298" s="9" t="n">
        <x:v>8.8</x:v>
      </x:c>
      <x:c r="L2298" s="7" t="n">
        <x:v>2023</x:v>
      </x:c>
      <x:c r="M2298" s="11" t="n">
        <x:v>59642</x:v>
      </x:c>
      <x:c r="N2298" s="7" t="n">
        <x:v>3</x:v>
      </x:c>
      <x:c r="O2298" s="7" t="n">
        <x:v>1</x:v>
      </x:c>
      <x:c r="P2298" s="9" t="n">
        <x:v>4.81</x:v>
      </x:c>
      <x:c r="Q2298" s="7" t="n">
        <x:f>'Guide'!$B$5-L2298</x:f>
        <x:v>3</x:v>
      </x:c>
      <x:c r="R2298" s="9" t="n">
        <x:f>K2298-P2298</x:f>
        <x:v>3.990000000000001</x:v>
      </x:c>
      <x:c r="S2298" s="10" t="n">
        <x:f>IF(K2298&gt;0,R2298/K2298,"")</x:f>
        <x:v>0.453409090909091</x:v>
      </x:c>
    </x:row>
    <x:row r="2299">
      <x:c r="A2299" s="7" t="n">
        <x:v>2295</x:v>
      </x:c>
      <x:c r="B2299" s="7" t="str">
        <x:v>Tata</x:v>
      </x:c>
      <x:c r="C2299" s="7" t="str">
        <x:v>Punch</x:v>
      </x:c>
      <x:c r="D2299" s="7" t="str">
        <x:v>Adventure CNG</x:v>
      </x:c>
      <x:c r="E2299" s="7" t="str">
        <x:v>CNG</x:v>
      </x:c>
      <x:c r="F2299" s="7" t="str">
        <x:v>Manual</x:v>
      </x:c>
      <x:c r="G2299" s="7" t="str">
        <x:v>Micro SUV</x:v>
      </x:c>
      <x:c r="H2299" s="7" t="n">
        <x:v>1199</x:v>
      </x:c>
      <x:c r="I2299" s="7" t="n">
        <x:v>73</x:v>
      </x:c>
      <x:c r="J2299" s="9" t="n">
        <x:v>26.9</x:v>
      </x:c>
      <x:c r="K2299" s="9" t="n">
        <x:v>8.8</x:v>
      </x:c>
      <x:c r="L2299" s="7" t="n">
        <x:v>2023</x:v>
      </x:c>
      <x:c r="M2299" s="11" t="n">
        <x:v>48534</x:v>
      </x:c>
      <x:c r="N2299" s="7" t="n">
        <x:v>1</x:v>
      </x:c>
      <x:c r="O2299" s="7" t="n">
        <x:v>0</x:v>
      </x:c>
      <x:c r="P2299" s="9" t="n">
        <x:v>6.27</x:v>
      </x:c>
      <x:c r="Q2299" s="7" t="n">
        <x:f>'Guide'!$B$5-L2299</x:f>
        <x:v>3</x:v>
      </x:c>
      <x:c r="R2299" s="9" t="n">
        <x:f>K2299-P2299</x:f>
        <x:v>2.530000000000001</x:v>
      </x:c>
      <x:c r="S2299" s="10" t="n">
        <x:f>IF(K2299&gt;0,R2299/K2299,"")</x:f>
        <x:v>0.2875000000000001</x:v>
      </x:c>
    </x:row>
    <x:row r="2300">
      <x:c r="A2300" s="7" t="n">
        <x:v>2296</x:v>
      </x:c>
      <x:c r="B2300" s="7" t="str">
        <x:v>Tata</x:v>
      </x:c>
      <x:c r="C2300" s="7" t="str">
        <x:v>Punch</x:v>
      </x:c>
      <x:c r="D2300" s="7" t="str">
        <x:v>Adventure CNG</x:v>
      </x:c>
      <x:c r="E2300" s="7" t="str">
        <x:v>CNG</x:v>
      </x:c>
      <x:c r="F2300" s="7" t="str">
        <x:v>Manual</x:v>
      </x:c>
      <x:c r="G2300" s="7" t="str">
        <x:v>Micro SUV</x:v>
      </x:c>
      <x:c r="H2300" s="7" t="n">
        <x:v>1199</x:v>
      </x:c>
      <x:c r="I2300" s="7" t="n">
        <x:v>73</x:v>
      </x:c>
      <x:c r="J2300" s="9" t="n">
        <x:v>26.9</x:v>
      </x:c>
      <x:c r="K2300" s="9" t="n">
        <x:v>8.8</x:v>
      </x:c>
      <x:c r="L2300" s="7" t="n">
        <x:v>2020</x:v>
      </x:c>
      <x:c r="M2300" s="11" t="n">
        <x:v>101625</x:v>
      </x:c>
      <x:c r="N2300" s="7" t="n">
        <x:v>1</x:v>
      </x:c>
      <x:c r="O2300" s="7" t="n">
        <x:v>0</x:v>
      </x:c>
      <x:c r="P2300" s="9" t="n">
        <x:v>3.89</x:v>
      </x:c>
      <x:c r="Q2300" s="7" t="n">
        <x:f>'Guide'!$B$5-L2300</x:f>
        <x:v>6</x:v>
      </x:c>
      <x:c r="R2300" s="9" t="n">
        <x:f>K2300-P2300</x:f>
        <x:v>4.91</x:v>
      </x:c>
      <x:c r="S2300" s="10" t="n">
        <x:f>IF(K2300&gt;0,R2300/K2300,"")</x:f>
        <x:v>0.5579545454545455</x:v>
      </x:c>
    </x:row>
    <x:row r="2301">
      <x:c r="A2301" s="7" t="n">
        <x:v>2297</x:v>
      </x:c>
      <x:c r="B2301" s="7" t="str">
        <x:v>Tata</x:v>
      </x:c>
      <x:c r="C2301" s="7" t="str">
        <x:v>Punch</x:v>
      </x:c>
      <x:c r="D2301" s="7" t="str">
        <x:v>Adventure CNG</x:v>
      </x:c>
      <x:c r="E2301" s="7" t="str">
        <x:v>CNG</x:v>
      </x:c>
      <x:c r="F2301" s="7" t="str">
        <x:v>Manual</x:v>
      </x:c>
      <x:c r="G2301" s="7" t="str">
        <x:v>Micro SUV</x:v>
      </x:c>
      <x:c r="H2301" s="7" t="n">
        <x:v>1199</x:v>
      </x:c>
      <x:c r="I2301" s="7" t="n">
        <x:v>73</x:v>
      </x:c>
      <x:c r="J2301" s="9" t="n">
        <x:v>26.9</x:v>
      </x:c>
      <x:c r="K2301" s="9" t="n">
        <x:v>8.8</x:v>
      </x:c>
      <x:c r="L2301" s="7" t="n">
        <x:v>2024</x:v>
      </x:c>
      <x:c r="M2301" s="11" t="n">
        <x:v>43293</x:v>
      </x:c>
      <x:c r="N2301" s="7" t="n">
        <x:v>1</x:v>
      </x:c>
      <x:c r="O2301" s="7" t="n">
        <x:v>0</x:v>
      </x:c>
      <x:c r="P2301" s="9" t="n">
        <x:v>6.84</x:v>
      </x:c>
      <x:c r="Q2301" s="7" t="n">
        <x:f>'Guide'!$B$5-L2301</x:f>
        <x:v>2</x:v>
      </x:c>
      <x:c r="R2301" s="9" t="n">
        <x:f>K2301-P2301</x:f>
        <x:v>1.9600000000000009</x:v>
      </x:c>
      <x:c r="S2301" s="10" t="n">
        <x:f>IF(K2301&gt;0,R2301/K2301,"")</x:f>
        <x:v>0.2227272727272728</x:v>
      </x:c>
    </x:row>
    <x:row r="2302">
      <x:c r="A2302" s="7" t="n">
        <x:v>2298</x:v>
      </x:c>
      <x:c r="B2302" s="7" t="str">
        <x:v>Tata</x:v>
      </x:c>
      <x:c r="C2302" s="7" t="str">
        <x:v>Punch</x:v>
      </x:c>
      <x:c r="D2302" s="7" t="str">
        <x:v>Adventure CNG</x:v>
      </x:c>
      <x:c r="E2302" s="7" t="str">
        <x:v>CNG</x:v>
      </x:c>
      <x:c r="F2302" s="7" t="str">
        <x:v>Manual</x:v>
      </x:c>
      <x:c r="G2302" s="7" t="str">
        <x:v>Micro SUV</x:v>
      </x:c>
      <x:c r="H2302" s="7" t="n">
        <x:v>1199</x:v>
      </x:c>
      <x:c r="I2302" s="7" t="n">
        <x:v>73</x:v>
      </x:c>
      <x:c r="J2302" s="9" t="n">
        <x:v>26.9</x:v>
      </x:c>
      <x:c r="K2302" s="9" t="n">
        <x:v>8.8</x:v>
      </x:c>
      <x:c r="L2302" s="7" t="n">
        <x:v>2025</x:v>
      </x:c>
      <x:c r="M2302" s="11" t="n">
        <x:v>26821</x:v>
      </x:c>
      <x:c r="N2302" s="7" t="n">
        <x:v>1</x:v>
      </x:c>
      <x:c r="O2302" s="7" t="n">
        <x:v>0</x:v>
      </x:c>
      <x:c r="P2302" s="9" t="n">
        <x:v>7.52</x:v>
      </x:c>
      <x:c r="Q2302" s="7" t="n">
        <x:f>'Guide'!$B$5-L2302</x:f>
        <x:v>1</x:v>
      </x:c>
      <x:c r="R2302" s="9" t="n">
        <x:f>K2302-P2302</x:f>
        <x:v>1.2800000000000011</x:v>
      </x:c>
      <x:c r="S2302" s="10" t="n">
        <x:f>IF(K2302&gt;0,R2302/K2302,"")</x:f>
        <x:v>0.14545454545454556</x:v>
      </x:c>
    </x:row>
    <x:row r="2303">
      <x:c r="A2303" s="7" t="n">
        <x:v>2299</x:v>
      </x:c>
      <x:c r="B2303" s="7" t="str">
        <x:v>Tata</x:v>
      </x:c>
      <x:c r="C2303" s="7" t="str">
        <x:v>Punch</x:v>
      </x:c>
      <x:c r="D2303" s="7" t="str">
        <x:v>Adventure CNG</x:v>
      </x:c>
      <x:c r="E2303" s="7" t="str">
        <x:v>CNG</x:v>
      </x:c>
      <x:c r="F2303" s="7" t="str">
        <x:v>Manual</x:v>
      </x:c>
      <x:c r="G2303" s="7" t="str">
        <x:v>Micro SUV</x:v>
      </x:c>
      <x:c r="H2303" s="7" t="n">
        <x:v>1199</x:v>
      </x:c>
      <x:c r="I2303" s="7" t="n">
        <x:v>73</x:v>
      </x:c>
      <x:c r="J2303" s="9" t="n">
        <x:v>26.9</x:v>
      </x:c>
      <x:c r="K2303" s="9" t="n">
        <x:v>8.8</x:v>
      </x:c>
      <x:c r="L2303" s="7" t="n">
        <x:v>2026</x:v>
      </x:c>
      <x:c r="M2303" s="11" t="n">
        <x:v>4759</x:v>
      </x:c>
      <x:c r="N2303" s="7" t="n">
        <x:v>1</x:v>
      </x:c>
      <x:c r="O2303" s="7" t="n">
        <x:v>0</x:v>
      </x:c>
      <x:c r="P2303" s="9" t="n">
        <x:v>8.6</x:v>
      </x:c>
      <x:c r="Q2303" s="7" t="n">
        <x:f>'Guide'!$B$5-L2303</x:f>
        <x:v>0</x:v>
      </x:c>
      <x:c r="R2303" s="9" t="n">
        <x:f>K2303-P2303</x:f>
        <x:v>0.20000000000000107</x:v>
      </x:c>
      <x:c r="S2303" s="10" t="n">
        <x:f>IF(K2303&gt;0,R2303/K2303,"")</x:f>
        <x:v>0.022727272727272846</x:v>
      </x:c>
    </x:row>
    <x:row r="2304">
      <x:c r="A2304" s="7" t="n">
        <x:v>2300</x:v>
      </x:c>
      <x:c r="B2304" s="7" t="str">
        <x:v>Tata</x:v>
      </x:c>
      <x:c r="C2304" s="7" t="str">
        <x:v>Punch</x:v>
      </x:c>
      <x:c r="D2304" s="7" t="str">
        <x:v>Adventure CNG</x:v>
      </x:c>
      <x:c r="E2304" s="7" t="str">
        <x:v>CNG</x:v>
      </x:c>
      <x:c r="F2304" s="7" t="str">
        <x:v>Manual</x:v>
      </x:c>
      <x:c r="G2304" s="7" t="str">
        <x:v>Micro SUV</x:v>
      </x:c>
      <x:c r="H2304" s="7" t="n">
        <x:v>1199</x:v>
      </x:c>
      <x:c r="I2304" s="7" t="n">
        <x:v>73</x:v>
      </x:c>
      <x:c r="J2304" s="9" t="n">
        <x:v>26.9</x:v>
      </x:c>
      <x:c r="K2304" s="9" t="n">
        <x:v>8.8</x:v>
      </x:c>
      <x:c r="L2304" s="7" t="n">
        <x:v>2020</x:v>
      </x:c>
      <x:c r="M2304" s="11" t="n">
        <x:v>101768</x:v>
      </x:c>
      <x:c r="N2304" s="7" t="n">
        <x:v>2</x:v>
      </x:c>
      <x:c r="O2304" s="7" t="n">
        <x:v>0</x:v>
      </x:c>
      <x:c r="P2304" s="9" t="n">
        <x:v>2.81</x:v>
      </x:c>
      <x:c r="Q2304" s="7" t="n">
        <x:f>'Guide'!$B$5-L2304</x:f>
        <x:v>6</x:v>
      </x:c>
      <x:c r="R2304" s="9" t="n">
        <x:f>K2304-P2304</x:f>
        <x:v>5.99</x:v>
      </x:c>
      <x:c r="S2304" s="10" t="n">
        <x:f>IF(K2304&gt;0,R2304/K2304,"")</x:f>
        <x:v>0.6806818181818182</x:v>
      </x:c>
    </x:row>
    <x:row r="2305">
      <x:c r="A2305" s="7" t="n">
        <x:v>2301</x:v>
      </x:c>
      <x:c r="B2305" s="7" t="str">
        <x:v>Tata</x:v>
      </x:c>
      <x:c r="C2305" s="7" t="str">
        <x:v>Punch</x:v>
      </x:c>
      <x:c r="D2305" s="7" t="str">
        <x:v>Adventure CNG</x:v>
      </x:c>
      <x:c r="E2305" s="7" t="str">
        <x:v>CNG</x:v>
      </x:c>
      <x:c r="F2305" s="7" t="str">
        <x:v>Manual</x:v>
      </x:c>
      <x:c r="G2305" s="7" t="str">
        <x:v>Micro SUV</x:v>
      </x:c>
      <x:c r="H2305" s="7" t="n">
        <x:v>1199</x:v>
      </x:c>
      <x:c r="I2305" s="7" t="n">
        <x:v>73</x:v>
      </x:c>
      <x:c r="J2305" s="9" t="n">
        <x:v>26.9</x:v>
      </x:c>
      <x:c r="K2305" s="9" t="n">
        <x:v>8.8</x:v>
      </x:c>
      <x:c r="L2305" s="7" t="n">
        <x:v>2025</x:v>
      </x:c>
      <x:c r="M2305" s="11" t="n">
        <x:v>29517</x:v>
      </x:c>
      <x:c r="N2305" s="7" t="n">
        <x:v>1</x:v>
      </x:c>
      <x:c r="O2305" s="7" t="n">
        <x:v>0</x:v>
      </x:c>
      <x:c r="P2305" s="9" t="n">
        <x:v>7.4</x:v>
      </x:c>
      <x:c r="Q2305" s="7" t="n">
        <x:f>'Guide'!$B$5-L2305</x:f>
        <x:v>1</x:v>
      </x:c>
      <x:c r="R2305" s="9" t="n">
        <x:f>K2305-P2305</x:f>
        <x:v>1.4000000000000004</x:v>
      </x:c>
      <x:c r="S2305" s="10" t="n">
        <x:f>IF(K2305&gt;0,R2305/K2305,"")</x:f>
        <x:v>0.15909090909090912</x:v>
      </x:c>
    </x:row>
    <x:row r="2306">
      <x:c r="A2306" s="7" t="n">
        <x:v>2302</x:v>
      </x:c>
      <x:c r="B2306" s="7" t="str">
        <x:v>Tata</x:v>
      </x:c>
      <x:c r="C2306" s="7" t="str">
        <x:v>Punch</x:v>
      </x:c>
      <x:c r="D2306" s="7" t="str">
        <x:v>Adventure CNG</x:v>
      </x:c>
      <x:c r="E2306" s="7" t="str">
        <x:v>CNG</x:v>
      </x:c>
      <x:c r="F2306" s="7" t="str">
        <x:v>Manual</x:v>
      </x:c>
      <x:c r="G2306" s="7" t="str">
        <x:v>Micro SUV</x:v>
      </x:c>
      <x:c r="H2306" s="7" t="n">
        <x:v>1199</x:v>
      </x:c>
      <x:c r="I2306" s="7" t="n">
        <x:v>73</x:v>
      </x:c>
      <x:c r="J2306" s="9" t="n">
        <x:v>26.9</x:v>
      </x:c>
      <x:c r="K2306" s="9" t="n">
        <x:v>8.8</x:v>
      </x:c>
      <x:c r="L2306" s="7" t="n">
        <x:v>2023</x:v>
      </x:c>
      <x:c r="M2306" s="11" t="n">
        <x:v>45343</x:v>
      </x:c>
      <x:c r="N2306" s="7" t="n">
        <x:v>2</x:v>
      </x:c>
      <x:c r="O2306" s="7" t="n">
        <x:v>0</x:v>
      </x:c>
      <x:c r="P2306" s="9" t="n">
        <x:v>6.01</x:v>
      </x:c>
      <x:c r="Q2306" s="7" t="n">
        <x:f>'Guide'!$B$5-L2306</x:f>
        <x:v>3</x:v>
      </x:c>
      <x:c r="R2306" s="9" t="n">
        <x:f>K2306-P2306</x:f>
        <x:v>2.790000000000001</x:v>
      </x:c>
      <x:c r="S2306" s="10" t="n">
        <x:f>IF(K2306&gt;0,R2306/K2306,"")</x:f>
        <x:v>0.31704545454545463</x:v>
      </x:c>
    </x:row>
    <x:row r="2307">
      <x:c r="A2307" s="7" t="n">
        <x:v>2303</x:v>
      </x:c>
      <x:c r="B2307" s="7" t="str">
        <x:v>Tata</x:v>
      </x:c>
      <x:c r="C2307" s="7" t="str">
        <x:v>Punch</x:v>
      </x:c>
      <x:c r="D2307" s="7" t="str">
        <x:v>Adventure CNG</x:v>
      </x:c>
      <x:c r="E2307" s="7" t="str">
        <x:v>CNG</x:v>
      </x:c>
      <x:c r="F2307" s="7" t="str">
        <x:v>Manual</x:v>
      </x:c>
      <x:c r="G2307" s="7" t="str">
        <x:v>Micro SUV</x:v>
      </x:c>
      <x:c r="H2307" s="7" t="n">
        <x:v>1199</x:v>
      </x:c>
      <x:c r="I2307" s="7" t="n">
        <x:v>73</x:v>
      </x:c>
      <x:c r="J2307" s="9" t="n">
        <x:v>26.9</x:v>
      </x:c>
      <x:c r="K2307" s="9" t="n">
        <x:v>8.8</x:v>
      </x:c>
      <x:c r="L2307" s="7" t="n">
        <x:v>2021</x:v>
      </x:c>
      <x:c r="M2307" s="11" t="n">
        <x:v>44964</x:v>
      </x:c>
      <x:c r="N2307" s="7" t="n">
        <x:v>2</x:v>
      </x:c>
      <x:c r="O2307" s="7" t="n">
        <x:v>0</x:v>
      </x:c>
      <x:c r="P2307" s="9" t="n">
        <x:v>4.32</x:v>
      </x:c>
      <x:c r="Q2307" s="7" t="n">
        <x:f>'Guide'!$B$5-L2307</x:f>
        <x:v>5</x:v>
      </x:c>
      <x:c r="R2307" s="9" t="n">
        <x:f>K2307-P2307</x:f>
        <x:v>4.48</x:v>
      </x:c>
      <x:c r="S2307" s="10" t="n">
        <x:f>IF(K2307&gt;0,R2307/K2307,"")</x:f>
        <x:v>0.5090909090909091</x:v>
      </x:c>
    </x:row>
    <x:row r="2308">
      <x:c r="A2308" s="7" t="n">
        <x:v>2304</x:v>
      </x:c>
      <x:c r="B2308" s="7" t="str">
        <x:v>Tata</x:v>
      </x:c>
      <x:c r="C2308" s="7" t="str">
        <x:v>Punch</x:v>
      </x:c>
      <x:c r="D2308" s="7" t="str">
        <x:v>Adventure CNG</x:v>
      </x:c>
      <x:c r="E2308" s="7" t="str">
        <x:v>CNG</x:v>
      </x:c>
      <x:c r="F2308" s="7" t="str">
        <x:v>Manual</x:v>
      </x:c>
      <x:c r="G2308" s="7" t="str">
        <x:v>Micro SUV</x:v>
      </x:c>
      <x:c r="H2308" s="7" t="n">
        <x:v>1199</x:v>
      </x:c>
      <x:c r="I2308" s="7" t="n">
        <x:v>73</x:v>
      </x:c>
      <x:c r="J2308" s="9" t="n">
        <x:v>26.9</x:v>
      </x:c>
      <x:c r="K2308" s="9" t="n">
        <x:v>8.8</x:v>
      </x:c>
      <x:c r="L2308" s="7" t="n">
        <x:v>2023</x:v>
      </x:c>
      <x:c r="M2308" s="11" t="n">
        <x:v>41289</x:v>
      </x:c>
      <x:c r="N2308" s="7" t="n">
        <x:v>1</x:v>
      </x:c>
      <x:c r="O2308" s="7" t="n">
        <x:v>0</x:v>
      </x:c>
      <x:c r="P2308" s="9" t="n">
        <x:v>6.35</x:v>
      </x:c>
      <x:c r="Q2308" s="7" t="n">
        <x:f>'Guide'!$B$5-L2308</x:f>
        <x:v>3</x:v>
      </x:c>
      <x:c r="R2308" s="9" t="n">
        <x:f>K2308-P2308</x:f>
        <x:v>2.450000000000001</x:v>
      </x:c>
      <x:c r="S2308" s="10" t="n">
        <x:f>IF(K2308&gt;0,R2308/K2308,"")</x:f>
        <x:v>0.278409090909091</x:v>
      </x:c>
    </x:row>
    <x:row r="2309">
      <x:c r="A2309" s="7" t="n">
        <x:v>2305</x:v>
      </x:c>
      <x:c r="B2309" s="7" t="str">
        <x:v>Tata</x:v>
      </x:c>
      <x:c r="C2309" s="7" t="str">
        <x:v>Punch</x:v>
      </x:c>
      <x:c r="D2309" s="7" t="str">
        <x:v>Adventure CNG</x:v>
      </x:c>
      <x:c r="E2309" s="7" t="str">
        <x:v>CNG</x:v>
      </x:c>
      <x:c r="F2309" s="7" t="str">
        <x:v>Manual</x:v>
      </x:c>
      <x:c r="G2309" s="7" t="str">
        <x:v>Micro SUV</x:v>
      </x:c>
      <x:c r="H2309" s="7" t="n">
        <x:v>1199</x:v>
      </x:c>
      <x:c r="I2309" s="7" t="n">
        <x:v>73</x:v>
      </x:c>
      <x:c r="J2309" s="9" t="n">
        <x:v>26.9</x:v>
      </x:c>
      <x:c r="K2309" s="9" t="n">
        <x:v>8.8</x:v>
      </x:c>
      <x:c r="L2309" s="7" t="n">
        <x:v>2022</x:v>
      </x:c>
      <x:c r="M2309" s="11" t="n">
        <x:v>54330</x:v>
      </x:c>
      <x:c r="N2309" s="7" t="n">
        <x:v>1</x:v>
      </x:c>
      <x:c r="O2309" s="7" t="n">
        <x:v>0</x:v>
      </x:c>
      <x:c r="P2309" s="9" t="n">
        <x:v>5.3</x:v>
      </x:c>
      <x:c r="Q2309" s="7" t="n">
        <x:f>'Guide'!$B$5-L2309</x:f>
        <x:v>4</x:v>
      </x:c>
      <x:c r="R2309" s="9" t="n">
        <x:f>K2309-P2309</x:f>
        <x:v>3.500000000000001</x:v>
      </x:c>
      <x:c r="S2309" s="10" t="n">
        <x:f>IF(K2309&gt;0,R2309/K2309,"")</x:f>
        <x:v>0.3977272727272728</x:v>
      </x:c>
    </x:row>
    <x:row r="2310">
      <x:c r="A2310" s="7" t="n">
        <x:v>2306</x:v>
      </x:c>
      <x:c r="B2310" s="7" t="str">
        <x:v>Tata</x:v>
      </x:c>
      <x:c r="C2310" s="7" t="str">
        <x:v>Punch</x:v>
      </x:c>
      <x:c r="D2310" s="7" t="str">
        <x:v>Adventure CNG</x:v>
      </x:c>
      <x:c r="E2310" s="7" t="str">
        <x:v>CNG</x:v>
      </x:c>
      <x:c r="F2310" s="7" t="str">
        <x:v>Manual</x:v>
      </x:c>
      <x:c r="G2310" s="7" t="str">
        <x:v>Micro SUV</x:v>
      </x:c>
      <x:c r="H2310" s="7" t="n">
        <x:v>1199</x:v>
      </x:c>
      <x:c r="I2310" s="7" t="n">
        <x:v>73</x:v>
      </x:c>
      <x:c r="J2310" s="9" t="n">
        <x:v>26.9</x:v>
      </x:c>
      <x:c r="K2310" s="9" t="n">
        <x:v>8.8</x:v>
      </x:c>
      <x:c r="L2310" s="7" t="n">
        <x:v>2022</x:v>
      </x:c>
      <x:c r="M2310" s="11" t="n">
        <x:v>74708</x:v>
      </x:c>
      <x:c r="N2310" s="7" t="n">
        <x:v>1</x:v>
      </x:c>
      <x:c r="O2310" s="7" t="n">
        <x:v>1</x:v>
      </x:c>
      <x:c r="P2310" s="9" t="n">
        <x:v>4.46</x:v>
      </x:c>
      <x:c r="Q2310" s="7" t="n">
        <x:f>'Guide'!$B$5-L2310</x:f>
        <x:v>4</x:v>
      </x:c>
      <x:c r="R2310" s="9" t="n">
        <x:f>K2310-P2310</x:f>
        <x:v>4.340000000000001</x:v>
      </x:c>
      <x:c r="S2310" s="10" t="n">
        <x:f>IF(K2310&gt;0,R2310/K2310,"")</x:f>
        <x:v>0.4931818181818182</x:v>
      </x:c>
    </x:row>
    <x:row r="2311">
      <x:c r="A2311" s="7" t="n">
        <x:v>2307</x:v>
      </x:c>
      <x:c r="B2311" s="7" t="str">
        <x:v>Tata</x:v>
      </x:c>
      <x:c r="C2311" s="7" t="str">
        <x:v>Punch</x:v>
      </x:c>
      <x:c r="D2311" s="7" t="str">
        <x:v>Adventure CNG</x:v>
      </x:c>
      <x:c r="E2311" s="7" t="str">
        <x:v>CNG</x:v>
      </x:c>
      <x:c r="F2311" s="7" t="str">
        <x:v>Manual</x:v>
      </x:c>
      <x:c r="G2311" s="7" t="str">
        <x:v>Micro SUV</x:v>
      </x:c>
      <x:c r="H2311" s="7" t="n">
        <x:v>1199</x:v>
      </x:c>
      <x:c r="I2311" s="7" t="n">
        <x:v>73</x:v>
      </x:c>
      <x:c r="J2311" s="9" t="n">
        <x:v>26.9</x:v>
      </x:c>
      <x:c r="K2311" s="9" t="n">
        <x:v>8.8</x:v>
      </x:c>
      <x:c r="L2311" s="7" t="n">
        <x:v>2026</x:v>
      </x:c>
      <x:c r="M2311" s="11" t="n">
        <x:v>9801</x:v>
      </x:c>
      <x:c r="N2311" s="7" t="n">
        <x:v>1</x:v>
      </x:c>
      <x:c r="O2311" s="7" t="n">
        <x:v>0</x:v>
      </x:c>
      <x:c r="P2311" s="9" t="n">
        <x:v>8.73</x:v>
      </x:c>
      <x:c r="Q2311" s="7" t="n">
        <x:f>'Guide'!$B$5-L2311</x:f>
        <x:v>0</x:v>
      </x:c>
      <x:c r="R2311" s="9" t="n">
        <x:f>K2311-P2311</x:f>
        <x:v>0.07000000000000028</x:v>
      </x:c>
      <x:c r="S2311" s="10" t="n">
        <x:f>IF(K2311&gt;0,R2311/K2311,"")</x:f>
        <x:v>0.007954545454545487</x:v>
      </x:c>
    </x:row>
    <x:row r="2312">
      <x:c r="A2312" s="7" t="n">
        <x:v>2308</x:v>
      </x:c>
      <x:c r="B2312" s="7" t="str">
        <x:v>Tata</x:v>
      </x:c>
      <x:c r="C2312" s="7" t="str">
        <x:v>Punch</x:v>
      </x:c>
      <x:c r="D2312" s="7" t="str">
        <x:v>Adventure CNG</x:v>
      </x:c>
      <x:c r="E2312" s="7" t="str">
        <x:v>CNG</x:v>
      </x:c>
      <x:c r="F2312" s="7" t="str">
        <x:v>Manual</x:v>
      </x:c>
      <x:c r="G2312" s="7" t="str">
        <x:v>Micro SUV</x:v>
      </x:c>
      <x:c r="H2312" s="7" t="n">
        <x:v>1199</x:v>
      </x:c>
      <x:c r="I2312" s="7" t="n">
        <x:v>73</x:v>
      </x:c>
      <x:c r="J2312" s="9" t="n">
        <x:v>26.9</x:v>
      </x:c>
      <x:c r="K2312" s="9" t="n">
        <x:v>8.8</x:v>
      </x:c>
      <x:c r="L2312" s="7" t="n">
        <x:v>2020</x:v>
      </x:c>
      <x:c r="M2312" s="11" t="n">
        <x:v>58761</x:v>
      </x:c>
      <x:c r="N2312" s="7" t="n">
        <x:v>1</x:v>
      </x:c>
      <x:c r="O2312" s="7" t="n">
        <x:v>0</x:v>
      </x:c>
      <x:c r="P2312" s="9" t="n">
        <x:v>3.84</x:v>
      </x:c>
      <x:c r="Q2312" s="7" t="n">
        <x:f>'Guide'!$B$5-L2312</x:f>
        <x:v>6</x:v>
      </x:c>
      <x:c r="R2312" s="9" t="n">
        <x:f>K2312-P2312</x:f>
        <x:v>4.960000000000001</x:v>
      </x:c>
      <x:c r="S2312" s="10" t="n">
        <x:f>IF(K2312&gt;0,R2312/K2312,"")</x:f>
        <x:v>0.5636363636363637</x:v>
      </x:c>
    </x:row>
    <x:row r="2313">
      <x:c r="A2313" s="7" t="n">
        <x:v>2309</x:v>
      </x:c>
      <x:c r="B2313" s="7" t="str">
        <x:v>Tata</x:v>
      </x:c>
      <x:c r="C2313" s="7" t="str">
        <x:v>Punch</x:v>
      </x:c>
      <x:c r="D2313" s="7" t="str">
        <x:v>Adventure CNG</x:v>
      </x:c>
      <x:c r="E2313" s="7" t="str">
        <x:v>CNG</x:v>
      </x:c>
      <x:c r="F2313" s="7" t="str">
        <x:v>Manual</x:v>
      </x:c>
      <x:c r="G2313" s="7" t="str">
        <x:v>Micro SUV</x:v>
      </x:c>
      <x:c r="H2313" s="7" t="n">
        <x:v>1199</x:v>
      </x:c>
      <x:c r="I2313" s="7" t="n">
        <x:v>73</x:v>
      </x:c>
      <x:c r="J2313" s="9" t="n">
        <x:v>26.9</x:v>
      </x:c>
      <x:c r="K2313" s="9" t="n">
        <x:v>8.8</x:v>
      </x:c>
      <x:c r="L2313" s="7" t="n">
        <x:v>2024</x:v>
      </x:c>
      <x:c r="M2313" s="11" t="n">
        <x:v>40013</x:v>
      </x:c>
      <x:c r="N2313" s="7" t="n">
        <x:v>2</x:v>
      </x:c>
      <x:c r="O2313" s="7" t="n">
        <x:v>0</x:v>
      </x:c>
      <x:c r="P2313" s="9" t="n">
        <x:v>6.84</x:v>
      </x:c>
      <x:c r="Q2313" s="7" t="n">
        <x:f>'Guide'!$B$5-L2313</x:f>
        <x:v>2</x:v>
      </x:c>
      <x:c r="R2313" s="9" t="n">
        <x:f>K2313-P2313</x:f>
        <x:v>1.9600000000000009</x:v>
      </x:c>
      <x:c r="S2313" s="10" t="n">
        <x:f>IF(K2313&gt;0,R2313/K2313,"")</x:f>
        <x:v>0.2227272727272728</x:v>
      </x:c>
    </x:row>
    <x:row r="2314">
      <x:c r="A2314" s="7" t="n">
        <x:v>2310</x:v>
      </x:c>
      <x:c r="B2314" s="7" t="str">
        <x:v>Tata</x:v>
      </x:c>
      <x:c r="C2314" s="7" t="str">
        <x:v>Punch</x:v>
      </x:c>
      <x:c r="D2314" s="7" t="str">
        <x:v>Adventure CNG</x:v>
      </x:c>
      <x:c r="E2314" s="7" t="str">
        <x:v>CNG</x:v>
      </x:c>
      <x:c r="F2314" s="7" t="str">
        <x:v>Manual</x:v>
      </x:c>
      <x:c r="G2314" s="7" t="str">
        <x:v>Micro SUV</x:v>
      </x:c>
      <x:c r="H2314" s="7" t="n">
        <x:v>1199</x:v>
      </x:c>
      <x:c r="I2314" s="7" t="n">
        <x:v>73</x:v>
      </x:c>
      <x:c r="J2314" s="9" t="n">
        <x:v>26.9</x:v>
      </x:c>
      <x:c r="K2314" s="9" t="n">
        <x:v>8.8</x:v>
      </x:c>
      <x:c r="L2314" s="7" t="n">
        <x:v>2022</x:v>
      </x:c>
      <x:c r="M2314" s="11" t="n">
        <x:v>61610</x:v>
      </x:c>
      <x:c r="N2314" s="7" t="n">
        <x:v>1</x:v>
      </x:c>
      <x:c r="O2314" s="7" t="n">
        <x:v>0</x:v>
      </x:c>
      <x:c r="P2314" s="9" t="n">
        <x:v>5.71</x:v>
      </x:c>
      <x:c r="Q2314" s="7" t="n">
        <x:f>'Guide'!$B$5-L2314</x:f>
        <x:v>4</x:v>
      </x:c>
      <x:c r="R2314" s="9" t="n">
        <x:f>K2314-P2314</x:f>
        <x:v>3.0900000000000007</x:v>
      </x:c>
      <x:c r="S2314" s="10" t="n">
        <x:f>IF(K2314&gt;0,R2314/K2314,"")</x:f>
        <x:v>0.3511363636363637</x:v>
      </x:c>
    </x:row>
    <x:row r="2315">
      <x:c r="A2315" s="7" t="n">
        <x:v>2311</x:v>
      </x:c>
      <x:c r="B2315" s="7" t="str">
        <x:v>Tata</x:v>
      </x:c>
      <x:c r="C2315" s="7" t="str">
        <x:v>Punch</x:v>
      </x:c>
      <x:c r="D2315" s="7" t="str">
        <x:v>Adventure CNG</x:v>
      </x:c>
      <x:c r="E2315" s="7" t="str">
        <x:v>CNG</x:v>
      </x:c>
      <x:c r="F2315" s="7" t="str">
        <x:v>Manual</x:v>
      </x:c>
      <x:c r="G2315" s="7" t="str">
        <x:v>Micro SUV</x:v>
      </x:c>
      <x:c r="H2315" s="7" t="n">
        <x:v>1199</x:v>
      </x:c>
      <x:c r="I2315" s="7" t="n">
        <x:v>73</x:v>
      </x:c>
      <x:c r="J2315" s="9" t="n">
        <x:v>26.9</x:v>
      </x:c>
      <x:c r="K2315" s="9" t="n">
        <x:v>8.8</x:v>
      </x:c>
      <x:c r="L2315" s="7" t="n">
        <x:v>2020</x:v>
      </x:c>
      <x:c r="M2315" s="11" t="n">
        <x:v>88980</x:v>
      </x:c>
      <x:c r="N2315" s="7" t="n">
        <x:v>1</x:v>
      </x:c>
      <x:c r="O2315" s="7" t="n">
        <x:v>0</x:v>
      </x:c>
      <x:c r="P2315" s="9" t="n">
        <x:v>3.7</x:v>
      </x:c>
      <x:c r="Q2315" s="7" t="n">
        <x:f>'Guide'!$B$5-L2315</x:f>
        <x:v>6</x:v>
      </x:c>
      <x:c r="R2315" s="9" t="n">
        <x:f>K2315-P2315</x:f>
        <x:v>5.1000000000000005</x:v>
      </x:c>
      <x:c r="S2315" s="10" t="n">
        <x:f>IF(K2315&gt;0,R2315/K2315,"")</x:f>
        <x:v>0.5795454545454546</x:v>
      </x:c>
    </x:row>
    <x:row r="2316">
      <x:c r="A2316" s="7" t="n">
        <x:v>2312</x:v>
      </x:c>
      <x:c r="B2316" s="7" t="str">
        <x:v>Tata</x:v>
      </x:c>
      <x:c r="C2316" s="7" t="str">
        <x:v>Punch</x:v>
      </x:c>
      <x:c r="D2316" s="7" t="str">
        <x:v>Adventure CNG</x:v>
      </x:c>
      <x:c r="E2316" s="7" t="str">
        <x:v>CNG</x:v>
      </x:c>
      <x:c r="F2316" s="7" t="str">
        <x:v>Manual</x:v>
      </x:c>
      <x:c r="G2316" s="7" t="str">
        <x:v>Micro SUV</x:v>
      </x:c>
      <x:c r="H2316" s="7" t="n">
        <x:v>1199</x:v>
      </x:c>
      <x:c r="I2316" s="7" t="n">
        <x:v>73</x:v>
      </x:c>
      <x:c r="J2316" s="9" t="n">
        <x:v>26.9</x:v>
      </x:c>
      <x:c r="K2316" s="9" t="n">
        <x:v>8.8</x:v>
      </x:c>
      <x:c r="L2316" s="7" t="n">
        <x:v>2026</x:v>
      </x:c>
      <x:c r="M2316" s="11" t="n">
        <x:v>7661</x:v>
      </x:c>
      <x:c r="N2316" s="7" t="n">
        <x:v>1</x:v>
      </x:c>
      <x:c r="O2316" s="7" t="n">
        <x:v>0</x:v>
      </x:c>
      <x:c r="P2316" s="9" t="n">
        <x:v>8.76</x:v>
      </x:c>
      <x:c r="Q2316" s="7" t="n">
        <x:f>'Guide'!$B$5-L2316</x:f>
        <x:v>0</x:v>
      </x:c>
      <x:c r="R2316" s="9" t="n">
        <x:f>K2316-P2316</x:f>
        <x:v>0.040000000000000924</x:v>
      </x:c>
      <x:c r="S2316" s="10" t="n">
        <x:f>IF(K2316&gt;0,R2316/K2316,"")</x:f>
        <x:v>0.00454545454545465</x:v>
      </x:c>
    </x:row>
    <x:row r="2317">
      <x:c r="A2317" s="7" t="n">
        <x:v>2313</x:v>
      </x:c>
      <x:c r="B2317" s="7" t="str">
        <x:v>Tata</x:v>
      </x:c>
      <x:c r="C2317" s="7" t="str">
        <x:v>Punch</x:v>
      </x:c>
      <x:c r="D2317" s="7" t="str">
        <x:v>Adventure CNG</x:v>
      </x:c>
      <x:c r="E2317" s="7" t="str">
        <x:v>CNG</x:v>
      </x:c>
      <x:c r="F2317" s="7" t="str">
        <x:v>Manual</x:v>
      </x:c>
      <x:c r="G2317" s="7" t="str">
        <x:v>Micro SUV</x:v>
      </x:c>
      <x:c r="H2317" s="7" t="n">
        <x:v>1199</x:v>
      </x:c>
      <x:c r="I2317" s="7" t="n">
        <x:v>73</x:v>
      </x:c>
      <x:c r="J2317" s="9" t="n">
        <x:v>26.9</x:v>
      </x:c>
      <x:c r="K2317" s="9" t="n">
        <x:v>8.8</x:v>
      </x:c>
      <x:c r="L2317" s="7" t="n">
        <x:v>2025</x:v>
      </x:c>
      <x:c r="M2317" s="11" t="n">
        <x:v>12491</x:v>
      </x:c>
      <x:c r="N2317" s="7" t="n">
        <x:v>1</x:v>
      </x:c>
      <x:c r="O2317" s="7" t="n">
        <x:v>0</x:v>
      </x:c>
      <x:c r="P2317" s="9" t="n">
        <x:v>8.03</x:v>
      </x:c>
      <x:c r="Q2317" s="7" t="n">
        <x:f>'Guide'!$B$5-L2317</x:f>
        <x:v>1</x:v>
      </x:c>
      <x:c r="R2317" s="9" t="n">
        <x:f>K2317-P2317</x:f>
        <x:v>0.7700000000000014</x:v>
      </x:c>
      <x:c r="S2317" s="10" t="n">
        <x:f>IF(K2317&gt;0,R2317/K2317,"")</x:f>
        <x:v>0.08750000000000015</x:v>
      </x:c>
    </x:row>
    <x:row r="2318">
      <x:c r="A2318" s="7" t="n">
        <x:v>2314</x:v>
      </x:c>
      <x:c r="B2318" s="7" t="str">
        <x:v>Tata</x:v>
      </x:c>
      <x:c r="C2318" s="7" t="str">
        <x:v>Punch</x:v>
      </x:c>
      <x:c r="D2318" s="7" t="str">
        <x:v>Adventure CNG</x:v>
      </x:c>
      <x:c r="E2318" s="7" t="str">
        <x:v>CNG</x:v>
      </x:c>
      <x:c r="F2318" s="7" t="str">
        <x:v>Manual</x:v>
      </x:c>
      <x:c r="G2318" s="7" t="str">
        <x:v>Micro SUV</x:v>
      </x:c>
      <x:c r="H2318" s="7" t="n">
        <x:v>1199</x:v>
      </x:c>
      <x:c r="I2318" s="7" t="n">
        <x:v>73</x:v>
      </x:c>
      <x:c r="J2318" s="9" t="n">
        <x:v>26.9</x:v>
      </x:c>
      <x:c r="K2318" s="9" t="n">
        <x:v>8.8</x:v>
      </x:c>
      <x:c r="L2318" s="7" t="n">
        <x:v>2024</x:v>
      </x:c>
      <x:c r="M2318" s="11" t="n">
        <x:v>45331</x:v>
      </x:c>
      <x:c r="N2318" s="7" t="n">
        <x:v>1</x:v>
      </x:c>
      <x:c r="O2318" s="7" t="n">
        <x:v>0</x:v>
      </x:c>
      <x:c r="P2318" s="9" t="n">
        <x:v>7.03</x:v>
      </x:c>
      <x:c r="Q2318" s="7" t="n">
        <x:f>'Guide'!$B$5-L2318</x:f>
        <x:v>2</x:v>
      </x:c>
      <x:c r="R2318" s="9" t="n">
        <x:f>K2318-P2318</x:f>
        <x:v>1.7700000000000005</x:v>
      </x:c>
      <x:c r="S2318" s="10" t="n">
        <x:f>IF(K2318&gt;0,R2318/K2318,"")</x:f>
        <x:v>0.20113636363636367</x:v>
      </x:c>
    </x:row>
    <x:row r="2319">
      <x:c r="A2319" s="7" t="n">
        <x:v>2315</x:v>
      </x:c>
      <x:c r="B2319" s="7" t="str">
        <x:v>Tata</x:v>
      </x:c>
      <x:c r="C2319" s="7" t="str">
        <x:v>Punch</x:v>
      </x:c>
      <x:c r="D2319" s="7" t="str">
        <x:v>Adventure CNG</x:v>
      </x:c>
      <x:c r="E2319" s="7" t="str">
        <x:v>CNG</x:v>
      </x:c>
      <x:c r="F2319" s="7" t="str">
        <x:v>Manual</x:v>
      </x:c>
      <x:c r="G2319" s="7" t="str">
        <x:v>Micro SUV</x:v>
      </x:c>
      <x:c r="H2319" s="7" t="n">
        <x:v>1199</x:v>
      </x:c>
      <x:c r="I2319" s="7" t="n">
        <x:v>73</x:v>
      </x:c>
      <x:c r="J2319" s="9" t="n">
        <x:v>26.9</x:v>
      </x:c>
      <x:c r="K2319" s="9" t="n">
        <x:v>8.8</x:v>
      </x:c>
      <x:c r="L2319" s="7" t="n">
        <x:v>2023</x:v>
      </x:c>
      <x:c r="M2319" s="11" t="n">
        <x:v>53842</x:v>
      </x:c>
      <x:c r="N2319" s="7" t="n">
        <x:v>1</x:v>
      </x:c>
      <x:c r="O2319" s="7" t="n">
        <x:v>0</x:v>
      </x:c>
      <x:c r="P2319" s="9" t="n">
        <x:v>5.82</x:v>
      </x:c>
      <x:c r="Q2319" s="7" t="n">
        <x:f>'Guide'!$B$5-L2319</x:f>
        <x:v>3</x:v>
      </x:c>
      <x:c r="R2319" s="9" t="n">
        <x:f>K2319-P2319</x:f>
        <x:v>2.9800000000000004</x:v>
      </x:c>
      <x:c r="S2319" s="10" t="n">
        <x:f>IF(K2319&gt;0,R2319/K2319,"")</x:f>
        <x:v>0.3386363636363637</x:v>
      </x:c>
    </x:row>
    <x:row r="2320">
      <x:c r="A2320" s="7" t="n">
        <x:v>2316</x:v>
      </x:c>
      <x:c r="B2320" s="7" t="str">
        <x:v>Tata</x:v>
      </x:c>
      <x:c r="C2320" s="7" t="str">
        <x:v>Punch</x:v>
      </x:c>
      <x:c r="D2320" s="7" t="str">
        <x:v>Adventure CNG</x:v>
      </x:c>
      <x:c r="E2320" s="7" t="str">
        <x:v>CNG</x:v>
      </x:c>
      <x:c r="F2320" s="7" t="str">
        <x:v>Manual</x:v>
      </x:c>
      <x:c r="G2320" s="7" t="str">
        <x:v>Micro SUV</x:v>
      </x:c>
      <x:c r="H2320" s="7" t="n">
        <x:v>1199</x:v>
      </x:c>
      <x:c r="I2320" s="7" t="n">
        <x:v>73</x:v>
      </x:c>
      <x:c r="J2320" s="9" t="n">
        <x:v>26.9</x:v>
      </x:c>
      <x:c r="K2320" s="9" t="n">
        <x:v>8.8</x:v>
      </x:c>
      <x:c r="L2320" s="7" t="n">
        <x:v>2025</x:v>
      </x:c>
      <x:c r="M2320" s="11" t="n">
        <x:v>12302</x:v>
      </x:c>
      <x:c r="N2320" s="7" t="n">
        <x:v>1</x:v>
      </x:c>
      <x:c r="O2320" s="7" t="n">
        <x:v>0</x:v>
      </x:c>
      <x:c r="P2320" s="9" t="n">
        <x:v>7.6</x:v>
      </x:c>
      <x:c r="Q2320" s="7" t="n">
        <x:f>'Guide'!$B$5-L2320</x:f>
        <x:v>1</x:v>
      </x:c>
      <x:c r="R2320" s="9" t="n">
        <x:f>K2320-P2320</x:f>
        <x:v>1.200000000000001</x:v>
      </x:c>
      <x:c r="S2320" s="10" t="n">
        <x:f>IF(K2320&gt;0,R2320/K2320,"")</x:f>
        <x:v>0.13636363636363646</x:v>
      </x:c>
    </x:row>
    <x:row r="2321">
      <x:c r="A2321" s="7" t="n">
        <x:v>2317</x:v>
      </x:c>
      <x:c r="B2321" s="7" t="str">
        <x:v>Tata</x:v>
      </x:c>
      <x:c r="C2321" s="7" t="str">
        <x:v>Punch</x:v>
      </x:c>
      <x:c r="D2321" s="7" t="str">
        <x:v>Adventure CNG</x:v>
      </x:c>
      <x:c r="E2321" s="7" t="str">
        <x:v>CNG</x:v>
      </x:c>
      <x:c r="F2321" s="7" t="str">
        <x:v>Manual</x:v>
      </x:c>
      <x:c r="G2321" s="7" t="str">
        <x:v>Micro SUV</x:v>
      </x:c>
      <x:c r="H2321" s="7" t="n">
        <x:v>1199</x:v>
      </x:c>
      <x:c r="I2321" s="7" t="n">
        <x:v>73</x:v>
      </x:c>
      <x:c r="J2321" s="9" t="n">
        <x:v>26.9</x:v>
      </x:c>
      <x:c r="K2321" s="9" t="n">
        <x:v>8.8</x:v>
      </x:c>
      <x:c r="L2321" s="7" t="n">
        <x:v>2025</x:v>
      </x:c>
      <x:c r="M2321" s="11" t="n">
        <x:v>24006</x:v>
      </x:c>
      <x:c r="N2321" s="7" t="n">
        <x:v>1</x:v>
      </x:c>
      <x:c r="O2321" s="7" t="n">
        <x:v>0</x:v>
      </x:c>
      <x:c r="P2321" s="9" t="n">
        <x:v>7.91</x:v>
      </x:c>
      <x:c r="Q2321" s="7" t="n">
        <x:f>'Guide'!$B$5-L2321</x:f>
        <x:v>1</x:v>
      </x:c>
      <x:c r="R2321" s="9" t="n">
        <x:f>K2321-P2321</x:f>
        <x:v>0.8900000000000006</x:v>
      </x:c>
      <x:c r="S2321" s="10" t="n">
        <x:f>IF(K2321&gt;0,R2321/K2321,"")</x:f>
        <x:v>0.10113636363636369</x:v>
      </x:c>
    </x:row>
    <x:row r="2322">
      <x:c r="A2322" s="7" t="n">
        <x:v>2318</x:v>
      </x:c>
      <x:c r="B2322" s="7" t="str">
        <x:v>Tata</x:v>
      </x:c>
      <x:c r="C2322" s="7" t="str">
        <x:v>Punch</x:v>
      </x:c>
      <x:c r="D2322" s="7" t="str">
        <x:v>Adventure CNG</x:v>
      </x:c>
      <x:c r="E2322" s="7" t="str">
        <x:v>CNG</x:v>
      </x:c>
      <x:c r="F2322" s="7" t="str">
        <x:v>Manual</x:v>
      </x:c>
      <x:c r="G2322" s="7" t="str">
        <x:v>Micro SUV</x:v>
      </x:c>
      <x:c r="H2322" s="7" t="n">
        <x:v>1199</x:v>
      </x:c>
      <x:c r="I2322" s="7" t="n">
        <x:v>73</x:v>
      </x:c>
      <x:c r="J2322" s="9" t="n">
        <x:v>26.9</x:v>
      </x:c>
      <x:c r="K2322" s="9" t="n">
        <x:v>8.8</x:v>
      </x:c>
      <x:c r="L2322" s="7" t="n">
        <x:v>2024</x:v>
      </x:c>
      <x:c r="M2322" s="11" t="n">
        <x:v>34962</x:v>
      </x:c>
      <x:c r="N2322" s="7" t="n">
        <x:v>1</x:v>
      </x:c>
      <x:c r="O2322" s="7" t="n">
        <x:v>0</x:v>
      </x:c>
      <x:c r="P2322" s="9" t="n">
        <x:v>6.91</x:v>
      </x:c>
      <x:c r="Q2322" s="7" t="n">
        <x:f>'Guide'!$B$5-L2322</x:f>
        <x:v>2</x:v>
      </x:c>
      <x:c r="R2322" s="9" t="n">
        <x:f>K2322-P2322</x:f>
        <x:v>1.8900000000000006</x:v>
      </x:c>
      <x:c r="S2322" s="10" t="n">
        <x:f>IF(K2322&gt;0,R2322/K2322,"")</x:f>
        <x:v>0.2147727272727273</x:v>
      </x:c>
    </x:row>
    <x:row r="2323">
      <x:c r="A2323" s="7" t="n">
        <x:v>2319</x:v>
      </x:c>
      <x:c r="B2323" s="7" t="str">
        <x:v>Tata</x:v>
      </x:c>
      <x:c r="C2323" s="7" t="str">
        <x:v>Punch</x:v>
      </x:c>
      <x:c r="D2323" s="7" t="str">
        <x:v>Adventure CNG</x:v>
      </x:c>
      <x:c r="E2323" s="7" t="str">
        <x:v>CNG</x:v>
      </x:c>
      <x:c r="F2323" s="7" t="str">
        <x:v>Manual</x:v>
      </x:c>
      <x:c r="G2323" s="7" t="str">
        <x:v>Micro SUV</x:v>
      </x:c>
      <x:c r="H2323" s="7" t="n">
        <x:v>1199</x:v>
      </x:c>
      <x:c r="I2323" s="7" t="n">
        <x:v>73</x:v>
      </x:c>
      <x:c r="J2323" s="9" t="n">
        <x:v>26.9</x:v>
      </x:c>
      <x:c r="K2323" s="9" t="n">
        <x:v>8.8</x:v>
      </x:c>
      <x:c r="L2323" s="7" t="n">
        <x:v>2020</x:v>
      </x:c>
      <x:c r="M2323" s="11" t="n">
        <x:v>84465</x:v>
      </x:c>
      <x:c r="N2323" s="7" t="n">
        <x:v>1</x:v>
      </x:c>
      <x:c r="O2323" s="7" t="n">
        <x:v>0</x:v>
      </x:c>
      <x:c r="P2323" s="9" t="n">
        <x:v>3.77</x:v>
      </x:c>
      <x:c r="Q2323" s="7" t="n">
        <x:f>'Guide'!$B$5-L2323</x:f>
        <x:v>6</x:v>
      </x:c>
      <x:c r="R2323" s="9" t="n">
        <x:f>K2323-P2323</x:f>
        <x:v>5.030000000000001</x:v>
      </x:c>
      <x:c r="S2323" s="10" t="n">
        <x:f>IF(K2323&gt;0,R2323/K2323,"")</x:f>
        <x:v>0.5715909090909091</x:v>
      </x:c>
    </x:row>
    <x:row r="2324">
      <x:c r="A2324" s="7" t="n">
        <x:v>2320</x:v>
      </x:c>
      <x:c r="B2324" s="7" t="str">
        <x:v>Tata</x:v>
      </x:c>
      <x:c r="C2324" s="7" t="str">
        <x:v>Punch</x:v>
      </x:c>
      <x:c r="D2324" s="7" t="str">
        <x:v>Adventure CNG</x:v>
      </x:c>
      <x:c r="E2324" s="7" t="str">
        <x:v>CNG</x:v>
      </x:c>
      <x:c r="F2324" s="7" t="str">
        <x:v>Manual</x:v>
      </x:c>
      <x:c r="G2324" s="7" t="str">
        <x:v>Micro SUV</x:v>
      </x:c>
      <x:c r="H2324" s="7" t="n">
        <x:v>1199</x:v>
      </x:c>
      <x:c r="I2324" s="7" t="n">
        <x:v>73</x:v>
      </x:c>
      <x:c r="J2324" s="9" t="n">
        <x:v>26.9</x:v>
      </x:c>
      <x:c r="K2324" s="9" t="n">
        <x:v>8.8</x:v>
      </x:c>
      <x:c r="L2324" s="7" t="n">
        <x:v>2021</x:v>
      </x:c>
      <x:c r="M2324" s="11" t="n">
        <x:v>104811</x:v>
      </x:c>
      <x:c r="N2324" s="7" t="n">
        <x:v>2</x:v>
      </x:c>
      <x:c r="O2324" s="7" t="n">
        <x:v>0</x:v>
      </x:c>
      <x:c r="P2324" s="9" t="n">
        <x:v>3.76</x:v>
      </x:c>
      <x:c r="Q2324" s="7" t="n">
        <x:f>'Guide'!$B$5-L2324</x:f>
        <x:v>5</x:v>
      </x:c>
      <x:c r="R2324" s="9" t="n">
        <x:f>K2324-P2324</x:f>
        <x:v>5.040000000000001</x:v>
      </x:c>
      <x:c r="S2324" s="10" t="n">
        <x:f>IF(K2324&gt;0,R2324/K2324,"")</x:f>
        <x:v>0.5727272727272728</x:v>
      </x:c>
    </x:row>
    <x:row r="2325">
      <x:c r="A2325" s="7" t="n">
        <x:v>2321</x:v>
      </x:c>
      <x:c r="B2325" s="7" t="str">
        <x:v>Tata</x:v>
      </x:c>
      <x:c r="C2325" s="7" t="str">
        <x:v>Punch</x:v>
      </x:c>
      <x:c r="D2325" s="7" t="str">
        <x:v>Adventure CNG</x:v>
      </x:c>
      <x:c r="E2325" s="7" t="str">
        <x:v>CNG</x:v>
      </x:c>
      <x:c r="F2325" s="7" t="str">
        <x:v>Manual</x:v>
      </x:c>
      <x:c r="G2325" s="7" t="str">
        <x:v>Micro SUV</x:v>
      </x:c>
      <x:c r="H2325" s="7" t="n">
        <x:v>1199</x:v>
      </x:c>
      <x:c r="I2325" s="7" t="n">
        <x:v>73</x:v>
      </x:c>
      <x:c r="J2325" s="9" t="n">
        <x:v>26.9</x:v>
      </x:c>
      <x:c r="K2325" s="9" t="n">
        <x:v>8.8</x:v>
      </x:c>
      <x:c r="L2325" s="7" t="n">
        <x:v>2023</x:v>
      </x:c>
      <x:c r="M2325" s="11" t="n">
        <x:v>66931</x:v>
      </x:c>
      <x:c r="N2325" s="7" t="n">
        <x:v>1</x:v>
      </x:c>
      <x:c r="O2325" s="7" t="n">
        <x:v>0</x:v>
      </x:c>
      <x:c r="P2325" s="9" t="n">
        <x:v>6.07</x:v>
      </x:c>
      <x:c r="Q2325" s="7" t="n">
        <x:f>'Guide'!$B$5-L2325</x:f>
        <x:v>3</x:v>
      </x:c>
      <x:c r="R2325" s="9" t="n">
        <x:f>K2325-P2325</x:f>
        <x:v>2.7300000000000004</x:v>
      </x:c>
      <x:c r="S2325" s="10" t="n">
        <x:f>IF(K2325&gt;0,R2325/K2325,"")</x:f>
        <x:v>0.31022727272727274</x:v>
      </x:c>
    </x:row>
    <x:row r="2326">
      <x:c r="A2326" s="7" t="n">
        <x:v>2322</x:v>
      </x:c>
      <x:c r="B2326" s="7" t="str">
        <x:v>Tata</x:v>
      </x:c>
      <x:c r="C2326" s="7" t="str">
        <x:v>Punch</x:v>
      </x:c>
      <x:c r="D2326" s="7" t="str">
        <x:v>Adventure CNG</x:v>
      </x:c>
      <x:c r="E2326" s="7" t="str">
        <x:v>CNG</x:v>
      </x:c>
      <x:c r="F2326" s="7" t="str">
        <x:v>Manual</x:v>
      </x:c>
      <x:c r="G2326" s="7" t="str">
        <x:v>Micro SUV</x:v>
      </x:c>
      <x:c r="H2326" s="7" t="n">
        <x:v>1199</x:v>
      </x:c>
      <x:c r="I2326" s="7" t="n">
        <x:v>73</x:v>
      </x:c>
      <x:c r="J2326" s="9" t="n">
        <x:v>26.9</x:v>
      </x:c>
      <x:c r="K2326" s="9" t="n">
        <x:v>8.8</x:v>
      </x:c>
      <x:c r="L2326" s="7" t="n">
        <x:v>2026</x:v>
      </x:c>
      <x:c r="M2326" s="11" t="n">
        <x:v>4040</x:v>
      </x:c>
      <x:c r="N2326" s="7" t="n">
        <x:v>2</x:v>
      </x:c>
      <x:c r="O2326" s="7" t="n">
        <x:v>0</x:v>
      </x:c>
      <x:c r="P2326" s="9" t="n">
        <x:v>8.1</x:v>
      </x:c>
      <x:c r="Q2326" s="7" t="n">
        <x:f>'Guide'!$B$5-L2326</x:f>
        <x:v>0</x:v>
      </x:c>
      <x:c r="R2326" s="9" t="n">
        <x:f>K2326-P2326</x:f>
        <x:v>0.7000000000000011</x:v>
      </x:c>
      <x:c r="S2326" s="10" t="n">
        <x:f>IF(K2326&gt;0,R2326/K2326,"")</x:f>
        <x:v>0.07954545454545466</x:v>
      </x:c>
    </x:row>
    <x:row r="2327">
      <x:c r="A2327" s="7" t="n">
        <x:v>2323</x:v>
      </x:c>
      <x:c r="B2327" s="7" t="str">
        <x:v>Tata</x:v>
      </x:c>
      <x:c r="C2327" s="7" t="str">
        <x:v>Punch</x:v>
      </x:c>
      <x:c r="D2327" s="7" t="str">
        <x:v>Adventure CNG</x:v>
      </x:c>
      <x:c r="E2327" s="7" t="str">
        <x:v>CNG</x:v>
      </x:c>
      <x:c r="F2327" s="7" t="str">
        <x:v>Manual</x:v>
      </x:c>
      <x:c r="G2327" s="7" t="str">
        <x:v>Micro SUV</x:v>
      </x:c>
      <x:c r="H2327" s="7" t="n">
        <x:v>1199</x:v>
      </x:c>
      <x:c r="I2327" s="7" t="n">
        <x:v>73</x:v>
      </x:c>
      <x:c r="J2327" s="9" t="n">
        <x:v>26.9</x:v>
      </x:c>
      <x:c r="K2327" s="9" t="n">
        <x:v>8.8</x:v>
      </x:c>
      <x:c r="L2327" s="7" t="n">
        <x:v>2023</x:v>
      </x:c>
      <x:c r="M2327" s="11" t="n">
        <x:v>34935</x:v>
      </x:c>
      <x:c r="N2327" s="7" t="n">
        <x:v>1</x:v>
      </x:c>
      <x:c r="O2327" s="7" t="n">
        <x:v>1</x:v>
      </x:c>
      <x:c r="P2327" s="9" t="n">
        <x:v>5.14</x:v>
      </x:c>
      <x:c r="Q2327" s="7" t="n">
        <x:f>'Guide'!$B$5-L2327</x:f>
        <x:v>3</x:v>
      </x:c>
      <x:c r="R2327" s="9" t="n">
        <x:f>K2327-P2327</x:f>
        <x:v>3.660000000000001</x:v>
      </x:c>
      <x:c r="S2327" s="10" t="n">
        <x:f>IF(K2327&gt;0,R2327/K2327,"")</x:f>
        <x:v>0.415909090909091</x:v>
      </x:c>
    </x:row>
    <x:row r="2328">
      <x:c r="A2328" s="7" t="n">
        <x:v>2324</x:v>
      </x:c>
      <x:c r="B2328" s="7" t="str">
        <x:v>Tata</x:v>
      </x:c>
      <x:c r="C2328" s="7" t="str">
        <x:v>Punch</x:v>
      </x:c>
      <x:c r="D2328" s="7" t="str">
        <x:v>Adventure CNG</x:v>
      </x:c>
      <x:c r="E2328" s="7" t="str">
        <x:v>CNG</x:v>
      </x:c>
      <x:c r="F2328" s="7" t="str">
        <x:v>Manual</x:v>
      </x:c>
      <x:c r="G2328" s="7" t="str">
        <x:v>Micro SUV</x:v>
      </x:c>
      <x:c r="H2328" s="7" t="n">
        <x:v>1199</x:v>
      </x:c>
      <x:c r="I2328" s="7" t="n">
        <x:v>73</x:v>
      </x:c>
      <x:c r="J2328" s="9" t="n">
        <x:v>26.9</x:v>
      </x:c>
      <x:c r="K2328" s="9" t="n">
        <x:v>8.8</x:v>
      </x:c>
      <x:c r="L2328" s="7" t="n">
        <x:v>2026</x:v>
      </x:c>
      <x:c r="M2328" s="11" t="n">
        <x:v>6624</x:v>
      </x:c>
      <x:c r="N2328" s="7" t="n">
        <x:v>1</x:v>
      </x:c>
      <x:c r="O2328" s="7" t="n">
        <x:v>0</x:v>
      </x:c>
      <x:c r="P2328" s="9" t="n">
        <x:v>8.47</x:v>
      </x:c>
      <x:c r="Q2328" s="7" t="n">
        <x:f>'Guide'!$B$5-L2328</x:f>
        <x:v>0</x:v>
      </x:c>
      <x:c r="R2328" s="9" t="n">
        <x:f>K2328-P2328</x:f>
        <x:v>0.33000000000000007</x:v>
      </x:c>
      <x:c r="S2328" s="10" t="n">
        <x:f>IF(K2328&gt;0,R2328/K2328,"")</x:f>
        <x:v>0.037500000000000006</x:v>
      </x:c>
    </x:row>
    <x:row r="2329">
      <x:c r="A2329" s="7" t="n">
        <x:v>2325</x:v>
      </x:c>
      <x:c r="B2329" s="7" t="str">
        <x:v>Tata</x:v>
      </x:c>
      <x:c r="C2329" s="7" t="str">
        <x:v>Punch</x:v>
      </x:c>
      <x:c r="D2329" s="7" t="str">
        <x:v>Adventure CNG</x:v>
      </x:c>
      <x:c r="E2329" s="7" t="str">
        <x:v>CNG</x:v>
      </x:c>
      <x:c r="F2329" s="7" t="str">
        <x:v>Manual</x:v>
      </x:c>
      <x:c r="G2329" s="7" t="str">
        <x:v>Micro SUV</x:v>
      </x:c>
      <x:c r="H2329" s="7" t="n">
        <x:v>1199</x:v>
      </x:c>
      <x:c r="I2329" s="7" t="n">
        <x:v>73</x:v>
      </x:c>
      <x:c r="J2329" s="9" t="n">
        <x:v>26.9</x:v>
      </x:c>
      <x:c r="K2329" s="9" t="n">
        <x:v>8.8</x:v>
      </x:c>
      <x:c r="L2329" s="7" t="n">
        <x:v>2021</x:v>
      </x:c>
      <x:c r="M2329" s="11" t="n">
        <x:v>101481</x:v>
      </x:c>
      <x:c r="N2329" s="7" t="n">
        <x:v>1</x:v>
      </x:c>
      <x:c r="O2329" s="7" t="n">
        <x:v>0</x:v>
      </x:c>
      <x:c r="P2329" s="9" t="n">
        <x:v>4.47</x:v>
      </x:c>
      <x:c r="Q2329" s="7" t="n">
        <x:f>'Guide'!$B$5-L2329</x:f>
        <x:v>5</x:v>
      </x:c>
      <x:c r="R2329" s="9" t="n">
        <x:f>K2329-P2329</x:f>
        <x:v>4.330000000000001</x:v>
      </x:c>
      <x:c r="S2329" s="10" t="n">
        <x:f>IF(K2329&gt;0,R2329/K2329,"")</x:f>
        <x:v>0.4920454545454546</x:v>
      </x:c>
    </x:row>
    <x:row r="2330">
      <x:c r="A2330" s="7" t="n">
        <x:v>2326</x:v>
      </x:c>
      <x:c r="B2330" s="7" t="str">
        <x:v>Tata</x:v>
      </x:c>
      <x:c r="C2330" s="7" t="str">
        <x:v>Punch</x:v>
      </x:c>
      <x:c r="D2330" s="7" t="str">
        <x:v>Adventure CNG</x:v>
      </x:c>
      <x:c r="E2330" s="7" t="str">
        <x:v>CNG</x:v>
      </x:c>
      <x:c r="F2330" s="7" t="str">
        <x:v>Manual</x:v>
      </x:c>
      <x:c r="G2330" s="7" t="str">
        <x:v>Micro SUV</x:v>
      </x:c>
      <x:c r="H2330" s="7" t="n">
        <x:v>1199</x:v>
      </x:c>
      <x:c r="I2330" s="7" t="n">
        <x:v>73</x:v>
      </x:c>
      <x:c r="J2330" s="9" t="n">
        <x:v>26.9</x:v>
      </x:c>
      <x:c r="K2330" s="9" t="n">
        <x:v>8.8</x:v>
      </x:c>
      <x:c r="L2330" s="7" t="n">
        <x:v>2024</x:v>
      </x:c>
      <x:c r="M2330" s="11" t="n">
        <x:v>46585</x:v>
      </x:c>
      <x:c r="N2330" s="7" t="n">
        <x:v>1</x:v>
      </x:c>
      <x:c r="O2330" s="7" t="n">
        <x:v>0</x:v>
      </x:c>
      <x:c r="P2330" s="9" t="n">
        <x:v>6.66</x:v>
      </x:c>
      <x:c r="Q2330" s="7" t="n">
        <x:f>'Guide'!$B$5-L2330</x:f>
        <x:v>2</x:v>
      </x:c>
      <x:c r="R2330" s="9" t="n">
        <x:f>K2330-P2330</x:f>
        <x:v>2.1400000000000006</x:v>
      </x:c>
      <x:c r="S2330" s="10" t="n">
        <x:f>IF(K2330&gt;0,R2330/K2330,"")</x:f>
        <x:v>0.24318181818181822</x:v>
      </x:c>
    </x:row>
    <x:row r="2331">
      <x:c r="A2331" s="7" t="n">
        <x:v>2327</x:v>
      </x:c>
      <x:c r="B2331" s="7" t="str">
        <x:v>Tata</x:v>
      </x:c>
      <x:c r="C2331" s="7" t="str">
        <x:v>Punch</x:v>
      </x:c>
      <x:c r="D2331" s="7" t="str">
        <x:v>Adventure CNG</x:v>
      </x:c>
      <x:c r="E2331" s="7" t="str">
        <x:v>CNG</x:v>
      </x:c>
      <x:c r="F2331" s="7" t="str">
        <x:v>Manual</x:v>
      </x:c>
      <x:c r="G2331" s="7" t="str">
        <x:v>Micro SUV</x:v>
      </x:c>
      <x:c r="H2331" s="7" t="n">
        <x:v>1199</x:v>
      </x:c>
      <x:c r="I2331" s="7" t="n">
        <x:v>73</x:v>
      </x:c>
      <x:c r="J2331" s="9" t="n">
        <x:v>26.9</x:v>
      </x:c>
      <x:c r="K2331" s="9" t="n">
        <x:v>8.8</x:v>
      </x:c>
      <x:c r="L2331" s="7" t="n">
        <x:v>2025</x:v>
      </x:c>
      <x:c r="M2331" s="11" t="n">
        <x:v>16410</x:v>
      </x:c>
      <x:c r="N2331" s="7" t="n">
        <x:v>1</x:v>
      </x:c>
      <x:c r="O2331" s="7" t="n">
        <x:v>0</x:v>
      </x:c>
      <x:c r="P2331" s="9" t="n">
        <x:v>8.28</x:v>
      </x:c>
      <x:c r="Q2331" s="7" t="n">
        <x:f>'Guide'!$B$5-L2331</x:f>
        <x:v>1</x:v>
      </x:c>
      <x:c r="R2331" s="9" t="n">
        <x:f>K2331-P2331</x:f>
        <x:v>0.5200000000000014</x:v>
      </x:c>
      <x:c r="S2331" s="10" t="n">
        <x:f>IF(K2331&gt;0,R2331/K2331,"")</x:f>
        <x:v>0.05909090909090924</x:v>
      </x:c>
    </x:row>
    <x:row r="2332">
      <x:c r="A2332" s="7" t="n">
        <x:v>2328</x:v>
      </x:c>
      <x:c r="B2332" s="7" t="str">
        <x:v>Tata</x:v>
      </x:c>
      <x:c r="C2332" s="7" t="str">
        <x:v>Punch</x:v>
      </x:c>
      <x:c r="D2332" s="7" t="str">
        <x:v>Adventure CNG</x:v>
      </x:c>
      <x:c r="E2332" s="7" t="str">
        <x:v>CNG</x:v>
      </x:c>
      <x:c r="F2332" s="7" t="str">
        <x:v>Manual</x:v>
      </x:c>
      <x:c r="G2332" s="7" t="str">
        <x:v>Micro SUV</x:v>
      </x:c>
      <x:c r="H2332" s="7" t="n">
        <x:v>1199</x:v>
      </x:c>
      <x:c r="I2332" s="7" t="n">
        <x:v>73</x:v>
      </x:c>
      <x:c r="J2332" s="9" t="n">
        <x:v>26.9</x:v>
      </x:c>
      <x:c r="K2332" s="9" t="n">
        <x:v>8.8</x:v>
      </x:c>
      <x:c r="L2332" s="7" t="n">
        <x:v>2020</x:v>
      </x:c>
      <x:c r="M2332" s="11" t="n">
        <x:v>128012</x:v>
      </x:c>
      <x:c r="N2332" s="7" t="n">
        <x:v>1</x:v>
      </x:c>
      <x:c r="O2332" s="7" t="n">
        <x:v>0</x:v>
      </x:c>
      <x:c r="P2332" s="9" t="n">
        <x:v>3.62</x:v>
      </x:c>
      <x:c r="Q2332" s="7" t="n">
        <x:f>'Guide'!$B$5-L2332</x:f>
        <x:v>6</x:v>
      </x:c>
      <x:c r="R2332" s="9" t="n">
        <x:f>K2332-P2332</x:f>
        <x:v>5.180000000000001</x:v>
      </x:c>
      <x:c r="S2332" s="10" t="n">
        <x:f>IF(K2332&gt;0,R2332/K2332,"")</x:f>
        <x:v>0.5886363636363636</x:v>
      </x:c>
    </x:row>
    <x:row r="2333">
      <x:c r="A2333" s="7" t="n">
        <x:v>2329</x:v>
      </x:c>
      <x:c r="B2333" s="7" t="str">
        <x:v>Tata</x:v>
      </x:c>
      <x:c r="C2333" s="7" t="str">
        <x:v>Punch</x:v>
      </x:c>
      <x:c r="D2333" s="7" t="str">
        <x:v>Adventure CNG</x:v>
      </x:c>
      <x:c r="E2333" s="7" t="str">
        <x:v>CNG</x:v>
      </x:c>
      <x:c r="F2333" s="7" t="str">
        <x:v>Manual</x:v>
      </x:c>
      <x:c r="G2333" s="7" t="str">
        <x:v>Micro SUV</x:v>
      </x:c>
      <x:c r="H2333" s="7" t="n">
        <x:v>1199</x:v>
      </x:c>
      <x:c r="I2333" s="7" t="n">
        <x:v>73</x:v>
      </x:c>
      <x:c r="J2333" s="9" t="n">
        <x:v>26.9</x:v>
      </x:c>
      <x:c r="K2333" s="9" t="n">
        <x:v>8.8</x:v>
      </x:c>
      <x:c r="L2333" s="7" t="n">
        <x:v>2026</x:v>
      </x:c>
      <x:c r="M2333" s="11" t="n">
        <x:v>4473</x:v>
      </x:c>
      <x:c r="N2333" s="7" t="n">
        <x:v>1</x:v>
      </x:c>
      <x:c r="O2333" s="7" t="n">
        <x:v>0</x:v>
      </x:c>
      <x:c r="P2333" s="9" t="n">
        <x:v>8.88</x:v>
      </x:c>
      <x:c r="Q2333" s="7" t="n">
        <x:f>'Guide'!$B$5-L2333</x:f>
        <x:v>0</x:v>
      </x:c>
      <x:c r="R2333" s="9" t="n">
        <x:f>K2333-P2333</x:f>
        <x:v>-0.08000000000000007</x:v>
      </x:c>
      <x:c r="S2333" s="10" t="n">
        <x:f>IF(K2333&gt;0,R2333/K2333,"")</x:f>
        <x:v>-0.009090909090909097</x:v>
      </x:c>
    </x:row>
    <x:row r="2334">
      <x:c r="A2334" s="7" t="n">
        <x:v>2330</x:v>
      </x:c>
      <x:c r="B2334" s="7" t="str">
        <x:v>Tata</x:v>
      </x:c>
      <x:c r="C2334" s="7" t="str">
        <x:v>Punch</x:v>
      </x:c>
      <x:c r="D2334" s="7" t="str">
        <x:v>Adventure CNG</x:v>
      </x:c>
      <x:c r="E2334" s="7" t="str">
        <x:v>CNG</x:v>
      </x:c>
      <x:c r="F2334" s="7" t="str">
        <x:v>Manual</x:v>
      </x:c>
      <x:c r="G2334" s="7" t="str">
        <x:v>Micro SUV</x:v>
      </x:c>
      <x:c r="H2334" s="7" t="n">
        <x:v>1199</x:v>
      </x:c>
      <x:c r="I2334" s="7" t="n">
        <x:v>73</x:v>
      </x:c>
      <x:c r="J2334" s="9" t="n">
        <x:v>26.9</x:v>
      </x:c>
      <x:c r="K2334" s="9" t="n">
        <x:v>8.8</x:v>
      </x:c>
      <x:c r="L2334" s="7" t="n">
        <x:v>2023</x:v>
      </x:c>
      <x:c r="M2334" s="11" t="n">
        <x:v>30057</x:v>
      </x:c>
      <x:c r="N2334" s="7" t="n">
        <x:v>1</x:v>
      </x:c>
      <x:c r="O2334" s="7" t="n">
        <x:v>0</x:v>
      </x:c>
      <x:c r="P2334" s="9" t="n">
        <x:v>6.53</x:v>
      </x:c>
      <x:c r="Q2334" s="7" t="n">
        <x:f>'Guide'!$B$5-L2334</x:f>
        <x:v>3</x:v>
      </x:c>
      <x:c r="R2334" s="9" t="n">
        <x:f>K2334-P2334</x:f>
        <x:v>2.2700000000000005</x:v>
      </x:c>
      <x:c r="S2334" s="10" t="n">
        <x:f>IF(K2334&gt;0,R2334/K2334,"")</x:f>
        <x:v>0.2579545454545455</x:v>
      </x:c>
    </x:row>
    <x:row r="2335">
      <x:c r="A2335" s="7" t="n">
        <x:v>2331</x:v>
      </x:c>
      <x:c r="B2335" s="7" t="str">
        <x:v>Tata</x:v>
      </x:c>
      <x:c r="C2335" s="7" t="str">
        <x:v>Punch</x:v>
      </x:c>
      <x:c r="D2335" s="7" t="str">
        <x:v>Adventure CNG</x:v>
      </x:c>
      <x:c r="E2335" s="7" t="str">
        <x:v>CNG</x:v>
      </x:c>
      <x:c r="F2335" s="7" t="str">
        <x:v>Manual</x:v>
      </x:c>
      <x:c r="G2335" s="7" t="str">
        <x:v>Micro SUV</x:v>
      </x:c>
      <x:c r="H2335" s="7" t="n">
        <x:v>1199</x:v>
      </x:c>
      <x:c r="I2335" s="7" t="n">
        <x:v>73</x:v>
      </x:c>
      <x:c r="J2335" s="9" t="n">
        <x:v>26.9</x:v>
      </x:c>
      <x:c r="K2335" s="9" t="n">
        <x:v>8.8</x:v>
      </x:c>
      <x:c r="L2335" s="7" t="n">
        <x:v>2025</x:v>
      </x:c>
      <x:c r="M2335" s="11" t="n">
        <x:v>21564</x:v>
      </x:c>
      <x:c r="N2335" s="7" t="n">
        <x:v>1</x:v>
      </x:c>
      <x:c r="O2335" s="7" t="n">
        <x:v>0</x:v>
      </x:c>
      <x:c r="P2335" s="9" t="n">
        <x:v>7.57</x:v>
      </x:c>
      <x:c r="Q2335" s="7" t="n">
        <x:f>'Guide'!$B$5-L2335</x:f>
        <x:v>1</x:v>
      </x:c>
      <x:c r="R2335" s="9" t="n">
        <x:f>K2335-P2335</x:f>
        <x:v>1.2300000000000004</x:v>
      </x:c>
      <x:c r="S2335" s="10" t="n">
        <x:f>IF(K2335&gt;0,R2335/K2335,"")</x:f>
        <x:v>0.1397727272727273</x:v>
      </x:c>
    </x:row>
    <x:row r="2336">
      <x:c r="A2336" s="7" t="n">
        <x:v>2332</x:v>
      </x:c>
      <x:c r="B2336" s="7" t="str">
        <x:v>Tata</x:v>
      </x:c>
      <x:c r="C2336" s="7" t="str">
        <x:v>Punch</x:v>
      </x:c>
      <x:c r="D2336" s="7" t="str">
        <x:v>Adventure CNG</x:v>
      </x:c>
      <x:c r="E2336" s="7" t="str">
        <x:v>CNG</x:v>
      </x:c>
      <x:c r="F2336" s="7" t="str">
        <x:v>Manual</x:v>
      </x:c>
      <x:c r="G2336" s="7" t="str">
        <x:v>Micro SUV</x:v>
      </x:c>
      <x:c r="H2336" s="7" t="n">
        <x:v>1199</x:v>
      </x:c>
      <x:c r="I2336" s="7" t="n">
        <x:v>73</x:v>
      </x:c>
      <x:c r="J2336" s="9" t="n">
        <x:v>26.9</x:v>
      </x:c>
      <x:c r="K2336" s="9" t="n">
        <x:v>8.8</x:v>
      </x:c>
      <x:c r="L2336" s="7" t="n">
        <x:v>2022</x:v>
      </x:c>
      <x:c r="M2336" s="11" t="n">
        <x:v>40654</x:v>
      </x:c>
      <x:c r="N2336" s="7" t="n">
        <x:v>2</x:v>
      </x:c>
      <x:c r="O2336" s="7" t="n">
        <x:v>0</x:v>
      </x:c>
      <x:c r="P2336" s="9" t="n">
        <x:v>5.05</x:v>
      </x:c>
      <x:c r="Q2336" s="7" t="n">
        <x:f>'Guide'!$B$5-L2336</x:f>
        <x:v>4</x:v>
      </x:c>
      <x:c r="R2336" s="9" t="n">
        <x:f>K2336-P2336</x:f>
        <x:v>3.750000000000001</x:v>
      </x:c>
      <x:c r="S2336" s="10" t="n">
        <x:f>IF(K2336&gt;0,R2336/K2336,"")</x:f>
        <x:v>0.4261363636363637</x:v>
      </x:c>
    </x:row>
    <x:row r="2337">
      <x:c r="A2337" s="7" t="n">
        <x:v>2333</x:v>
      </x:c>
      <x:c r="B2337" s="7" t="str">
        <x:v>Tata</x:v>
      </x:c>
      <x:c r="C2337" s="7" t="str">
        <x:v>Punch</x:v>
      </x:c>
      <x:c r="D2337" s="7" t="str">
        <x:v>Adventure CNG</x:v>
      </x:c>
      <x:c r="E2337" s="7" t="str">
        <x:v>CNG</x:v>
      </x:c>
      <x:c r="F2337" s="7" t="str">
        <x:v>Manual</x:v>
      </x:c>
      <x:c r="G2337" s="7" t="str">
        <x:v>Micro SUV</x:v>
      </x:c>
      <x:c r="H2337" s="7" t="n">
        <x:v>1199</x:v>
      </x:c>
      <x:c r="I2337" s="7" t="n">
        <x:v>73</x:v>
      </x:c>
      <x:c r="J2337" s="9" t="n">
        <x:v>26.9</x:v>
      </x:c>
      <x:c r="K2337" s="9" t="n">
        <x:v>8.8</x:v>
      </x:c>
      <x:c r="L2337" s="7" t="n">
        <x:v>2026</x:v>
      </x:c>
      <x:c r="M2337" s="11" t="n">
        <x:v>9500</x:v>
      </x:c>
      <x:c r="N2337" s="7" t="n">
        <x:v>1</x:v>
      </x:c>
      <x:c r="O2337" s="7" t="n">
        <x:v>0</x:v>
      </x:c>
      <x:c r="P2337" s="9" t="n">
        <x:v>8.81</x:v>
      </x:c>
      <x:c r="Q2337" s="7" t="n">
        <x:f>'Guide'!$B$5-L2337</x:f>
        <x:v>0</x:v>
      </x:c>
      <x:c r="R2337" s="9" t="n">
        <x:f>K2337-P2337</x:f>
        <x:v>-0.009999999999999787</x:v>
      </x:c>
      <x:c r="S2337" s="10" t="n">
        <x:f>IF(K2337&gt;0,R2337/K2337,"")</x:f>
        <x:v>-0.001136363636363612</x:v>
      </x:c>
    </x:row>
    <x:row r="2338">
      <x:c r="A2338" s="7" t="n">
        <x:v>2334</x:v>
      </x:c>
      <x:c r="B2338" s="7" t="str">
        <x:v>Tata</x:v>
      </x:c>
      <x:c r="C2338" s="7" t="str">
        <x:v>Punch</x:v>
      </x:c>
      <x:c r="D2338" s="7" t="str">
        <x:v>Adventure CNG</x:v>
      </x:c>
      <x:c r="E2338" s="7" t="str">
        <x:v>CNG</x:v>
      </x:c>
      <x:c r="F2338" s="7" t="str">
        <x:v>Manual</x:v>
      </x:c>
      <x:c r="G2338" s="7" t="str">
        <x:v>Micro SUV</x:v>
      </x:c>
      <x:c r="H2338" s="7" t="n">
        <x:v>1199</x:v>
      </x:c>
      <x:c r="I2338" s="7" t="n">
        <x:v>73</x:v>
      </x:c>
      <x:c r="J2338" s="9" t="n">
        <x:v>26.9</x:v>
      </x:c>
      <x:c r="K2338" s="9" t="n">
        <x:v>8.8</x:v>
      </x:c>
      <x:c r="L2338" s="7" t="n">
        <x:v>2022</x:v>
      </x:c>
      <x:c r="M2338" s="11" t="n">
        <x:v>40875</x:v>
      </x:c>
      <x:c r="N2338" s="7" t="n">
        <x:v>1</x:v>
      </x:c>
      <x:c r="O2338" s="7" t="n">
        <x:v>0</x:v>
      </x:c>
      <x:c r="P2338" s="9" t="n">
        <x:v>5.53</x:v>
      </x:c>
      <x:c r="Q2338" s="7" t="n">
        <x:f>'Guide'!$B$5-L2338</x:f>
        <x:v>4</x:v>
      </x:c>
      <x:c r="R2338" s="9" t="n">
        <x:f>K2338-P2338</x:f>
        <x:v>3.2700000000000005</x:v>
      </x:c>
      <x:c r="S2338" s="10" t="n">
        <x:f>IF(K2338&gt;0,R2338/K2338,"")</x:f>
        <x:v>0.37159090909090914</x:v>
      </x:c>
    </x:row>
    <x:row r="2339">
      <x:c r="A2339" s="7" t="n">
        <x:v>2335</x:v>
      </x:c>
      <x:c r="B2339" s="7" t="str">
        <x:v>Tata</x:v>
      </x:c>
      <x:c r="C2339" s="7" t="str">
        <x:v>Punch</x:v>
      </x:c>
      <x:c r="D2339" s="7" t="str">
        <x:v>Adventure CNG</x:v>
      </x:c>
      <x:c r="E2339" s="7" t="str">
        <x:v>CNG</x:v>
      </x:c>
      <x:c r="F2339" s="7" t="str">
        <x:v>Manual</x:v>
      </x:c>
      <x:c r="G2339" s="7" t="str">
        <x:v>Micro SUV</x:v>
      </x:c>
      <x:c r="H2339" s="7" t="n">
        <x:v>1199</x:v>
      </x:c>
      <x:c r="I2339" s="7" t="n">
        <x:v>73</x:v>
      </x:c>
      <x:c r="J2339" s="9" t="n">
        <x:v>26.9</x:v>
      </x:c>
      <x:c r="K2339" s="9" t="n">
        <x:v>8.8</x:v>
      </x:c>
      <x:c r="L2339" s="7" t="n">
        <x:v>2026</x:v>
      </x:c>
      <x:c r="M2339" s="11" t="n">
        <x:v>9168</x:v>
      </x:c>
      <x:c r="N2339" s="7" t="n">
        <x:v>2</x:v>
      </x:c>
      <x:c r="O2339" s="7" t="n">
        <x:v>0</x:v>
      </x:c>
      <x:c r="P2339" s="9" t="n">
        <x:v>8.27</x:v>
      </x:c>
      <x:c r="Q2339" s="7" t="n">
        <x:f>'Guide'!$B$5-L2339</x:f>
        <x:v>0</x:v>
      </x:c>
      <x:c r="R2339" s="9" t="n">
        <x:f>K2339-P2339</x:f>
        <x:v>0.5300000000000011</x:v>
      </x:c>
      <x:c r="S2339" s="10" t="n">
        <x:f>IF(K2339&gt;0,R2339/K2339,"")</x:f>
        <x:v>0.06022727272727285</x:v>
      </x:c>
    </x:row>
    <x:row r="2340">
      <x:c r="A2340" s="7" t="n">
        <x:v>2336</x:v>
      </x:c>
      <x:c r="B2340" s="7" t="str">
        <x:v>Tata</x:v>
      </x:c>
      <x:c r="C2340" s="7" t="str">
        <x:v>Punch</x:v>
      </x:c>
      <x:c r="D2340" s="7" t="str">
        <x:v>Adventure CNG</x:v>
      </x:c>
      <x:c r="E2340" s="7" t="str">
        <x:v>CNG</x:v>
      </x:c>
      <x:c r="F2340" s="7" t="str">
        <x:v>Manual</x:v>
      </x:c>
      <x:c r="G2340" s="7" t="str">
        <x:v>Micro SUV</x:v>
      </x:c>
      <x:c r="H2340" s="7" t="n">
        <x:v>1199</x:v>
      </x:c>
      <x:c r="I2340" s="7" t="n">
        <x:v>73</x:v>
      </x:c>
      <x:c r="J2340" s="9" t="n">
        <x:v>26.9</x:v>
      </x:c>
      <x:c r="K2340" s="9" t="n">
        <x:v>8.8</x:v>
      </x:c>
      <x:c r="L2340" s="7" t="n">
        <x:v>2026</x:v>
      </x:c>
      <x:c r="M2340" s="11" t="n">
        <x:v>7434</x:v>
      </x:c>
      <x:c r="N2340" s="7" t="n">
        <x:v>1</x:v>
      </x:c>
      <x:c r="O2340" s="7" t="n">
        <x:v>0</x:v>
      </x:c>
      <x:c r="P2340" s="9" t="n">
        <x:v>8.89</x:v>
      </x:c>
      <x:c r="Q2340" s="7" t="n">
        <x:f>'Guide'!$B$5-L2340</x:f>
        <x:v>0</x:v>
      </x:c>
      <x:c r="R2340" s="9" t="n">
        <x:f>K2340-P2340</x:f>
        <x:v>-0.08999999999999986</x:v>
      </x:c>
      <x:c r="S2340" s="10" t="n">
        <x:f>IF(K2340&gt;0,R2340/K2340,"")</x:f>
        <x:v>-0.01022727272727271</x:v>
      </x:c>
    </x:row>
    <x:row r="2341">
      <x:c r="A2341" s="7" t="n">
        <x:v>2337</x:v>
      </x:c>
      <x:c r="B2341" s="7" t="str">
        <x:v>Tata</x:v>
      </x:c>
      <x:c r="C2341" s="7" t="str">
        <x:v>Punch</x:v>
      </x:c>
      <x:c r="D2341" s="7" t="str">
        <x:v>Adventure CNG</x:v>
      </x:c>
      <x:c r="E2341" s="7" t="str">
        <x:v>CNG</x:v>
      </x:c>
      <x:c r="F2341" s="7" t="str">
        <x:v>Manual</x:v>
      </x:c>
      <x:c r="G2341" s="7" t="str">
        <x:v>Micro SUV</x:v>
      </x:c>
      <x:c r="H2341" s="7" t="n">
        <x:v>1199</x:v>
      </x:c>
      <x:c r="I2341" s="7" t="n">
        <x:v>73</x:v>
      </x:c>
      <x:c r="J2341" s="9" t="n">
        <x:v>26.9</x:v>
      </x:c>
      <x:c r="K2341" s="9" t="n">
        <x:v>8.8</x:v>
      </x:c>
      <x:c r="L2341" s="7" t="n">
        <x:v>2024</x:v>
      </x:c>
      <x:c r="M2341" s="11" t="n">
        <x:v>35106</x:v>
      </x:c>
      <x:c r="N2341" s="7" t="n">
        <x:v>1</x:v>
      </x:c>
      <x:c r="O2341" s="7" t="n">
        <x:v>0</x:v>
      </x:c>
      <x:c r="P2341" s="9" t="n">
        <x:v>7.05</x:v>
      </x:c>
      <x:c r="Q2341" s="7" t="n">
        <x:f>'Guide'!$B$5-L2341</x:f>
        <x:v>2</x:v>
      </x:c>
      <x:c r="R2341" s="9" t="n">
        <x:f>K2341-P2341</x:f>
        <x:v>1.7500000000000009</x:v>
      </x:c>
      <x:c r="S2341" s="10" t="n">
        <x:f>IF(K2341&gt;0,R2341/K2341,"")</x:f>
        <x:v>0.19886363636363644</x:v>
      </x:c>
    </x:row>
    <x:row r="2342">
      <x:c r="A2342" s="7" t="n">
        <x:v>2338</x:v>
      </x:c>
      <x:c r="B2342" s="7" t="str">
        <x:v>Tata</x:v>
      </x:c>
      <x:c r="C2342" s="7" t="str">
        <x:v>Punch</x:v>
      </x:c>
      <x:c r="D2342" s="7" t="str">
        <x:v>Adventure CNG</x:v>
      </x:c>
      <x:c r="E2342" s="7" t="str">
        <x:v>CNG</x:v>
      </x:c>
      <x:c r="F2342" s="7" t="str">
        <x:v>Manual</x:v>
      </x:c>
      <x:c r="G2342" s="7" t="str">
        <x:v>Micro SUV</x:v>
      </x:c>
      <x:c r="H2342" s="7" t="n">
        <x:v>1199</x:v>
      </x:c>
      <x:c r="I2342" s="7" t="n">
        <x:v>73</x:v>
      </x:c>
      <x:c r="J2342" s="9" t="n">
        <x:v>26.9</x:v>
      </x:c>
      <x:c r="K2342" s="9" t="n">
        <x:v>8.8</x:v>
      </x:c>
      <x:c r="L2342" s="7" t="n">
        <x:v>2021</x:v>
      </x:c>
      <x:c r="M2342" s="11" t="n">
        <x:v>92366</x:v>
      </x:c>
      <x:c r="N2342" s="7" t="n">
        <x:v>1</x:v>
      </x:c>
      <x:c r="O2342" s="7" t="n">
        <x:v>0</x:v>
      </x:c>
      <x:c r="P2342" s="9" t="n">
        <x:v>4.56</x:v>
      </x:c>
      <x:c r="Q2342" s="7" t="n">
        <x:f>'Guide'!$B$5-L2342</x:f>
        <x:v>5</x:v>
      </x:c>
      <x:c r="R2342" s="9" t="n">
        <x:f>K2342-P2342</x:f>
        <x:v>4.240000000000001</x:v>
      </x:c>
      <x:c r="S2342" s="10" t="n">
        <x:f>IF(K2342&gt;0,R2342/K2342,"")</x:f>
        <x:v>0.4818181818181819</x:v>
      </x:c>
    </x:row>
    <x:row r="2343">
      <x:c r="A2343" s="7" t="n">
        <x:v>2339</x:v>
      </x:c>
      <x:c r="B2343" s="7" t="str">
        <x:v>Tata</x:v>
      </x:c>
      <x:c r="C2343" s="7" t="str">
        <x:v>Punch</x:v>
      </x:c>
      <x:c r="D2343" s="7" t="str">
        <x:v>Adventure CNG</x:v>
      </x:c>
      <x:c r="E2343" s="7" t="str">
        <x:v>CNG</x:v>
      </x:c>
      <x:c r="F2343" s="7" t="str">
        <x:v>Manual</x:v>
      </x:c>
      <x:c r="G2343" s="7" t="str">
        <x:v>Micro SUV</x:v>
      </x:c>
      <x:c r="H2343" s="7" t="n">
        <x:v>1199</x:v>
      </x:c>
      <x:c r="I2343" s="7" t="n">
        <x:v>73</x:v>
      </x:c>
      <x:c r="J2343" s="9" t="n">
        <x:v>26.9</x:v>
      </x:c>
      <x:c r="K2343" s="9" t="n">
        <x:v>8.8</x:v>
      </x:c>
      <x:c r="L2343" s="7" t="n">
        <x:v>2025</x:v>
      </x:c>
      <x:c r="M2343" s="11" t="n">
        <x:v>27259</x:v>
      </x:c>
      <x:c r="N2343" s="7" t="n">
        <x:v>1</x:v>
      </x:c>
      <x:c r="O2343" s="7" t="n">
        <x:v>0</x:v>
      </x:c>
      <x:c r="P2343" s="9" t="n">
        <x:v>7.81</x:v>
      </x:c>
      <x:c r="Q2343" s="7" t="n">
        <x:f>'Guide'!$B$5-L2343</x:f>
        <x:v>1</x:v>
      </x:c>
      <x:c r="R2343" s="9" t="n">
        <x:f>K2343-P2343</x:f>
        <x:v>0.9900000000000011</x:v>
      </x:c>
      <x:c r="S2343" s="10" t="n">
        <x:f>IF(K2343&gt;0,R2343/K2343,"")</x:f>
        <x:v>0.11250000000000011</x:v>
      </x:c>
    </x:row>
    <x:row r="2344">
      <x:c r="A2344" s="7" t="n">
        <x:v>2340</x:v>
      </x:c>
      <x:c r="B2344" s="7" t="str">
        <x:v>Tata</x:v>
      </x:c>
      <x:c r="C2344" s="7" t="str">
        <x:v>Punch</x:v>
      </x:c>
      <x:c r="D2344" s="7" t="str">
        <x:v>Adventure CNG</x:v>
      </x:c>
      <x:c r="E2344" s="7" t="str">
        <x:v>CNG</x:v>
      </x:c>
      <x:c r="F2344" s="7" t="str">
        <x:v>Manual</x:v>
      </x:c>
      <x:c r="G2344" s="7" t="str">
        <x:v>Micro SUV</x:v>
      </x:c>
      <x:c r="H2344" s="7" t="n">
        <x:v>1199</x:v>
      </x:c>
      <x:c r="I2344" s="7" t="n">
        <x:v>73</x:v>
      </x:c>
      <x:c r="J2344" s="9" t="n">
        <x:v>26.9</x:v>
      </x:c>
      <x:c r="K2344" s="9" t="n">
        <x:v>8.8</x:v>
      </x:c>
      <x:c r="L2344" s="7" t="n">
        <x:v>2026</x:v>
      </x:c>
      <x:c r="M2344" s="11" t="n">
        <x:v>8203</x:v>
      </x:c>
      <x:c r="N2344" s="7" t="n">
        <x:v>1</x:v>
      </x:c>
      <x:c r="O2344" s="7" t="n">
        <x:v>1</x:v>
      </x:c>
      <x:c r="P2344" s="9" t="n">
        <x:v>7.7</x:v>
      </x:c>
      <x:c r="Q2344" s="7" t="n">
        <x:f>'Guide'!$B$5-L2344</x:f>
        <x:v>0</x:v>
      </x:c>
      <x:c r="R2344" s="9" t="n">
        <x:f>K2344-P2344</x:f>
        <x:v>1.1000000000000005</x:v>
      </x:c>
      <x:c r="S2344" s="10" t="n">
        <x:f>IF(K2344&gt;0,R2344/K2344,"")</x:f>
        <x:v>0.12500000000000006</x:v>
      </x:c>
    </x:row>
    <x:row r="2345">
      <x:c r="A2345" s="7" t="n">
        <x:v>2341</x:v>
      </x:c>
      <x:c r="B2345" s="7" t="str">
        <x:v>Tata</x:v>
      </x:c>
      <x:c r="C2345" s="7" t="str">
        <x:v>Punch</x:v>
      </x:c>
      <x:c r="D2345" s="7" t="str">
        <x:v>Adventure CNG</x:v>
      </x:c>
      <x:c r="E2345" s="7" t="str">
        <x:v>CNG</x:v>
      </x:c>
      <x:c r="F2345" s="7" t="str">
        <x:v>Manual</x:v>
      </x:c>
      <x:c r="G2345" s="7" t="str">
        <x:v>Micro SUV</x:v>
      </x:c>
      <x:c r="H2345" s="7" t="n">
        <x:v>1199</x:v>
      </x:c>
      <x:c r="I2345" s="7" t="n">
        <x:v>73</x:v>
      </x:c>
      <x:c r="J2345" s="9" t="n">
        <x:v>26.9</x:v>
      </x:c>
      <x:c r="K2345" s="9" t="n">
        <x:v>8.8</x:v>
      </x:c>
      <x:c r="L2345" s="7" t="n">
        <x:v>2026</x:v>
      </x:c>
      <x:c r="M2345" s="11" t="n">
        <x:v>4841</x:v>
      </x:c>
      <x:c r="N2345" s="7" t="n">
        <x:v>2</x:v>
      </x:c>
      <x:c r="O2345" s="7" t="n">
        <x:v>0</x:v>
      </x:c>
      <x:c r="P2345" s="9" t="n">
        <x:v>8.56</x:v>
      </x:c>
      <x:c r="Q2345" s="7" t="n">
        <x:f>'Guide'!$B$5-L2345</x:f>
        <x:v>0</x:v>
      </x:c>
      <x:c r="R2345" s="9" t="n">
        <x:f>K2345-P2345</x:f>
        <x:v>0.2400000000000002</x:v>
      </x:c>
      <x:c r="S2345" s="10" t="n">
        <x:f>IF(K2345&gt;0,R2345/K2345,"")</x:f>
        <x:v>0.027272727272727296</x:v>
      </x:c>
    </x:row>
    <x:row r="2346">
      <x:c r="A2346" s="7" t="n">
        <x:v>2342</x:v>
      </x:c>
      <x:c r="B2346" s="7" t="str">
        <x:v>Tata</x:v>
      </x:c>
      <x:c r="C2346" s="7" t="str">
        <x:v>Punch</x:v>
      </x:c>
      <x:c r="D2346" s="7" t="str">
        <x:v>Adventure CNG</x:v>
      </x:c>
      <x:c r="E2346" s="7" t="str">
        <x:v>CNG</x:v>
      </x:c>
      <x:c r="F2346" s="7" t="str">
        <x:v>Manual</x:v>
      </x:c>
      <x:c r="G2346" s="7" t="str">
        <x:v>Micro SUV</x:v>
      </x:c>
      <x:c r="H2346" s="7" t="n">
        <x:v>1199</x:v>
      </x:c>
      <x:c r="I2346" s="7" t="n">
        <x:v>73</x:v>
      </x:c>
      <x:c r="J2346" s="9" t="n">
        <x:v>26.9</x:v>
      </x:c>
      <x:c r="K2346" s="9" t="n">
        <x:v>8.8</x:v>
      </x:c>
      <x:c r="L2346" s="7" t="n">
        <x:v>2021</x:v>
      </x:c>
      <x:c r="M2346" s="11" t="n">
        <x:v>99322</x:v>
      </x:c>
      <x:c r="N2346" s="7" t="n">
        <x:v>1</x:v>
      </x:c>
      <x:c r="O2346" s="7" t="n">
        <x:v>1</x:v>
      </x:c>
      <x:c r="P2346" s="9" t="n">
        <x:v>3.19</x:v>
      </x:c>
      <x:c r="Q2346" s="7" t="n">
        <x:f>'Guide'!$B$5-L2346</x:f>
        <x:v>5</x:v>
      </x:c>
      <x:c r="R2346" s="9" t="n">
        <x:f>K2346-P2346</x:f>
        <x:v>5.610000000000001</x:v>
      </x:c>
      <x:c r="S2346" s="10" t="n">
        <x:f>IF(K2346&gt;0,R2346/K2346,"")</x:f>
        <x:v>0.6375000000000001</x:v>
      </x:c>
    </x:row>
    <x:row r="2347">
      <x:c r="A2347" s="7" t="n">
        <x:v>2343</x:v>
      </x:c>
      <x:c r="B2347" s="7" t="str">
        <x:v>Tata</x:v>
      </x:c>
      <x:c r="C2347" s="7" t="str">
        <x:v>Punch</x:v>
      </x:c>
      <x:c r="D2347" s="7" t="str">
        <x:v>Adventure CNG</x:v>
      </x:c>
      <x:c r="E2347" s="7" t="str">
        <x:v>CNG</x:v>
      </x:c>
      <x:c r="F2347" s="7" t="str">
        <x:v>Manual</x:v>
      </x:c>
      <x:c r="G2347" s="7" t="str">
        <x:v>Micro SUV</x:v>
      </x:c>
      <x:c r="H2347" s="7" t="n">
        <x:v>1199</x:v>
      </x:c>
      <x:c r="I2347" s="7" t="n">
        <x:v>73</x:v>
      </x:c>
      <x:c r="J2347" s="9" t="n">
        <x:v>26.9</x:v>
      </x:c>
      <x:c r="K2347" s="9" t="n">
        <x:v>8.8</x:v>
      </x:c>
      <x:c r="L2347" s="7" t="n">
        <x:v>2021</x:v>
      </x:c>
      <x:c r="M2347" s="11" t="n">
        <x:v>51089</x:v>
      </x:c>
      <x:c r="N2347" s="7" t="n">
        <x:v>1</x:v>
      </x:c>
      <x:c r="O2347" s="7" t="n">
        <x:v>0</x:v>
      </x:c>
      <x:c r="P2347" s="9" t="n">
        <x:v>4.64</x:v>
      </x:c>
      <x:c r="Q2347" s="7" t="n">
        <x:f>'Guide'!$B$5-L2347</x:f>
        <x:v>5</x:v>
      </x:c>
      <x:c r="R2347" s="9" t="n">
        <x:f>K2347-P2347</x:f>
        <x:v>4.160000000000001</x:v>
      </x:c>
      <x:c r="S2347" s="10" t="n">
        <x:f>IF(K2347&gt;0,R2347/K2347,"")</x:f>
        <x:v>0.47272727272727283</x:v>
      </x:c>
    </x:row>
    <x:row r="2348">
      <x:c r="A2348" s="7" t="n">
        <x:v>2344</x:v>
      </x:c>
      <x:c r="B2348" s="7" t="str">
        <x:v>Tata</x:v>
      </x:c>
      <x:c r="C2348" s="7" t="str">
        <x:v>Punch</x:v>
      </x:c>
      <x:c r="D2348" s="7" t="str">
        <x:v>Adventure CNG</x:v>
      </x:c>
      <x:c r="E2348" s="7" t="str">
        <x:v>CNG</x:v>
      </x:c>
      <x:c r="F2348" s="7" t="str">
        <x:v>Manual</x:v>
      </x:c>
      <x:c r="G2348" s="7" t="str">
        <x:v>Micro SUV</x:v>
      </x:c>
      <x:c r="H2348" s="7" t="n">
        <x:v>1199</x:v>
      </x:c>
      <x:c r="I2348" s="7" t="n">
        <x:v>73</x:v>
      </x:c>
      <x:c r="J2348" s="9" t="n">
        <x:v>26.9</x:v>
      </x:c>
      <x:c r="K2348" s="9" t="n">
        <x:v>8.8</x:v>
      </x:c>
      <x:c r="L2348" s="7" t="n">
        <x:v>2026</x:v>
      </x:c>
      <x:c r="M2348" s="11" t="n">
        <x:v>6549</x:v>
      </x:c>
      <x:c r="N2348" s="7" t="n">
        <x:v>1</x:v>
      </x:c>
      <x:c r="O2348" s="7" t="n">
        <x:v>1</x:v>
      </x:c>
      <x:c r="P2348" s="9" t="n">
        <x:v>8.14</x:v>
      </x:c>
      <x:c r="Q2348" s="7" t="n">
        <x:f>'Guide'!$B$5-L2348</x:f>
        <x:v>0</x:v>
      </x:c>
      <x:c r="R2348" s="9" t="n">
        <x:f>K2348-P2348</x:f>
        <x:v>0.6600000000000001</x:v>
      </x:c>
      <x:c r="S2348" s="10" t="n">
        <x:f>IF(K2348&gt;0,R2348/K2348,"")</x:f>
        <x:v>0.07500000000000001</x:v>
      </x:c>
    </x:row>
    <x:row r="2349">
      <x:c r="A2349" s="7" t="n">
        <x:v>2345</x:v>
      </x:c>
      <x:c r="B2349" s="7" t="str">
        <x:v>Tata</x:v>
      </x:c>
      <x:c r="C2349" s="7" t="str">
        <x:v>Punch</x:v>
      </x:c>
      <x:c r="D2349" s="7" t="str">
        <x:v>Adventure CNG</x:v>
      </x:c>
      <x:c r="E2349" s="7" t="str">
        <x:v>CNG</x:v>
      </x:c>
      <x:c r="F2349" s="7" t="str">
        <x:v>Manual</x:v>
      </x:c>
      <x:c r="G2349" s="7" t="str">
        <x:v>Micro SUV</x:v>
      </x:c>
      <x:c r="H2349" s="7" t="n">
        <x:v>1199</x:v>
      </x:c>
      <x:c r="I2349" s="7" t="n">
        <x:v>73</x:v>
      </x:c>
      <x:c r="J2349" s="9" t="n">
        <x:v>26.9</x:v>
      </x:c>
      <x:c r="K2349" s="9" t="n">
        <x:v>8.8</x:v>
      </x:c>
      <x:c r="L2349" s="7" t="n">
        <x:v>2026</x:v>
      </x:c>
      <x:c r="M2349" s="11" t="n">
        <x:v>9278</x:v>
      </x:c>
      <x:c r="N2349" s="7" t="n">
        <x:v>3</x:v>
      </x:c>
      <x:c r="O2349" s="7" t="n">
        <x:v>0</x:v>
      </x:c>
      <x:c r="P2349" s="9" t="n">
        <x:v>7.9</x:v>
      </x:c>
      <x:c r="Q2349" s="7" t="n">
        <x:f>'Guide'!$B$5-L2349</x:f>
        <x:v>0</x:v>
      </x:c>
      <x:c r="R2349" s="9" t="n">
        <x:f>K2349-P2349</x:f>
        <x:v>0.9000000000000004</x:v>
      </x:c>
      <x:c r="S2349" s="10" t="n">
        <x:f>IF(K2349&gt;0,R2349/K2349,"")</x:f>
        <x:v>0.1022727272727273</x:v>
      </x:c>
    </x:row>
    <x:row r="2350">
      <x:c r="A2350" s="7" t="n">
        <x:v>2346</x:v>
      </x:c>
      <x:c r="B2350" s="7" t="str">
        <x:v>Tata</x:v>
      </x:c>
      <x:c r="C2350" s="7" t="str">
        <x:v>Punch</x:v>
      </x:c>
      <x:c r="D2350" s="7" t="str">
        <x:v>Adventure CNG</x:v>
      </x:c>
      <x:c r="E2350" s="7" t="str">
        <x:v>CNG</x:v>
      </x:c>
      <x:c r="F2350" s="7" t="str">
        <x:v>Manual</x:v>
      </x:c>
      <x:c r="G2350" s="7" t="str">
        <x:v>Micro SUV</x:v>
      </x:c>
      <x:c r="H2350" s="7" t="n">
        <x:v>1199</x:v>
      </x:c>
      <x:c r="I2350" s="7" t="n">
        <x:v>73</x:v>
      </x:c>
      <x:c r="J2350" s="9" t="n">
        <x:v>26.9</x:v>
      </x:c>
      <x:c r="K2350" s="9" t="n">
        <x:v>8.8</x:v>
      </x:c>
      <x:c r="L2350" s="7" t="n">
        <x:v>2021</x:v>
      </x:c>
      <x:c r="M2350" s="11" t="n">
        <x:v>50812</x:v>
      </x:c>
      <x:c r="N2350" s="7" t="n">
        <x:v>1</x:v>
      </x:c>
      <x:c r="O2350" s="7" t="n">
        <x:v>0</x:v>
      </x:c>
      <x:c r="P2350" s="9" t="n">
        <x:v>4.47</x:v>
      </x:c>
      <x:c r="Q2350" s="7" t="n">
        <x:f>'Guide'!$B$5-L2350</x:f>
        <x:v>5</x:v>
      </x:c>
      <x:c r="R2350" s="9" t="n">
        <x:f>K2350-P2350</x:f>
        <x:v>4.330000000000001</x:v>
      </x:c>
      <x:c r="S2350" s="10" t="n">
        <x:f>IF(K2350&gt;0,R2350/K2350,"")</x:f>
        <x:v>0.4920454545454546</x:v>
      </x:c>
    </x:row>
    <x:row r="2351">
      <x:c r="A2351" s="7" t="n">
        <x:v>2347</x:v>
      </x:c>
      <x:c r="B2351" s="7" t="str">
        <x:v>Tata</x:v>
      </x:c>
      <x:c r="C2351" s="7" t="str">
        <x:v>Punch</x:v>
      </x:c>
      <x:c r="D2351" s="7" t="str">
        <x:v>Adventure CNG</x:v>
      </x:c>
      <x:c r="E2351" s="7" t="str">
        <x:v>CNG</x:v>
      </x:c>
      <x:c r="F2351" s="7" t="str">
        <x:v>Manual</x:v>
      </x:c>
      <x:c r="G2351" s="7" t="str">
        <x:v>Micro SUV</x:v>
      </x:c>
      <x:c r="H2351" s="7" t="n">
        <x:v>1199</x:v>
      </x:c>
      <x:c r="I2351" s="7" t="n">
        <x:v>73</x:v>
      </x:c>
      <x:c r="J2351" s="9" t="n">
        <x:v>26.9</x:v>
      </x:c>
      <x:c r="K2351" s="9" t="n">
        <x:v>8.8</x:v>
      </x:c>
      <x:c r="L2351" s="7" t="n">
        <x:v>2020</x:v>
      </x:c>
      <x:c r="M2351" s="11" t="n">
        <x:v>106272</x:v>
      </x:c>
      <x:c r="N2351" s="7" t="n">
        <x:v>1</x:v>
      </x:c>
      <x:c r="O2351" s="7" t="n">
        <x:v>1</x:v>
      </x:c>
      <x:c r="P2351" s="9" t="n">
        <x:v>2.47</x:v>
      </x:c>
      <x:c r="Q2351" s="7" t="n">
        <x:f>'Guide'!$B$5-L2351</x:f>
        <x:v>6</x:v>
      </x:c>
      <x:c r="R2351" s="9" t="n">
        <x:f>K2351-P2351</x:f>
        <x:v>6.33</x:v>
      </x:c>
      <x:c r="S2351" s="10" t="n">
        <x:f>IF(K2351&gt;0,R2351/K2351,"")</x:f>
        <x:v>0.7193181818181817</x:v>
      </x:c>
    </x:row>
    <x:row r="2352">
      <x:c r="A2352" s="7" t="n">
        <x:v>2348</x:v>
      </x:c>
      <x:c r="B2352" s="7" t="str">
        <x:v>Tata</x:v>
      </x:c>
      <x:c r="C2352" s="7" t="str">
        <x:v>Punch</x:v>
      </x:c>
      <x:c r="D2352" s="7" t="str">
        <x:v>Adventure CNG</x:v>
      </x:c>
      <x:c r="E2352" s="7" t="str">
        <x:v>CNG</x:v>
      </x:c>
      <x:c r="F2352" s="7" t="str">
        <x:v>Manual</x:v>
      </x:c>
      <x:c r="G2352" s="7" t="str">
        <x:v>Micro SUV</x:v>
      </x:c>
      <x:c r="H2352" s="7" t="n">
        <x:v>1199</x:v>
      </x:c>
      <x:c r="I2352" s="7" t="n">
        <x:v>73</x:v>
      </x:c>
      <x:c r="J2352" s="9" t="n">
        <x:v>26.9</x:v>
      </x:c>
      <x:c r="K2352" s="9" t="n">
        <x:v>8.8</x:v>
      </x:c>
      <x:c r="L2352" s="7" t="n">
        <x:v>2025</x:v>
      </x:c>
      <x:c r="M2352" s="11" t="n">
        <x:v>21947</x:v>
      </x:c>
      <x:c r="N2352" s="7" t="n">
        <x:v>1</x:v>
      </x:c>
      <x:c r="O2352" s="7" t="n">
        <x:v>0</x:v>
      </x:c>
      <x:c r="P2352" s="9" t="n">
        <x:v>7.8</x:v>
      </x:c>
      <x:c r="Q2352" s="7" t="n">
        <x:f>'Guide'!$B$5-L2352</x:f>
        <x:v>1</x:v>
      </x:c>
      <x:c r="R2352" s="9" t="n">
        <x:f>K2352-P2352</x:f>
        <x:v>1.0000000000000009</x:v>
      </x:c>
      <x:c r="S2352" s="10" t="n">
        <x:f>IF(K2352&gt;0,R2352/K2352,"")</x:f>
        <x:v>0.11363636363636373</x:v>
      </x:c>
    </x:row>
    <x:row r="2353">
      <x:c r="A2353" s="7" t="n">
        <x:v>2349</x:v>
      </x:c>
      <x:c r="B2353" s="7" t="str">
        <x:v>Tata</x:v>
      </x:c>
      <x:c r="C2353" s="7" t="str">
        <x:v>Punch</x:v>
      </x:c>
      <x:c r="D2353" s="7" t="str">
        <x:v>Adventure CNG</x:v>
      </x:c>
      <x:c r="E2353" s="7" t="str">
        <x:v>CNG</x:v>
      </x:c>
      <x:c r="F2353" s="7" t="str">
        <x:v>Manual</x:v>
      </x:c>
      <x:c r="G2353" s="7" t="str">
        <x:v>Micro SUV</x:v>
      </x:c>
      <x:c r="H2353" s="7" t="n">
        <x:v>1199</x:v>
      </x:c>
      <x:c r="I2353" s="7" t="n">
        <x:v>73</x:v>
      </x:c>
      <x:c r="J2353" s="9" t="n">
        <x:v>26.9</x:v>
      </x:c>
      <x:c r="K2353" s="9" t="n">
        <x:v>8.8</x:v>
      </x:c>
      <x:c r="L2353" s="7" t="n">
        <x:v>2026</x:v>
      </x:c>
      <x:c r="M2353" s="11" t="n">
        <x:v>7770</x:v>
      </x:c>
      <x:c r="N2353" s="7" t="n">
        <x:v>2</x:v>
      </x:c>
      <x:c r="O2353" s="7" t="n">
        <x:v>0</x:v>
      </x:c>
      <x:c r="P2353" s="9" t="n">
        <x:v>7.93</x:v>
      </x:c>
      <x:c r="Q2353" s="7" t="n">
        <x:f>'Guide'!$B$5-L2353</x:f>
        <x:v>0</x:v>
      </x:c>
      <x:c r="R2353" s="9" t="n">
        <x:f>K2353-P2353</x:f>
        <x:v>0.870000000000001</x:v>
      </x:c>
      <x:c r="S2353" s="10" t="n">
        <x:f>IF(K2353&gt;0,R2353/K2353,"")</x:f>
        <x:v>0.09886363636363647</x:v>
      </x:c>
    </x:row>
    <x:row r="2354">
      <x:c r="A2354" s="7" t="n">
        <x:v>2350</x:v>
      </x:c>
      <x:c r="B2354" s="7" t="str">
        <x:v>Tata</x:v>
      </x:c>
      <x:c r="C2354" s="7" t="str">
        <x:v>Punch</x:v>
      </x:c>
      <x:c r="D2354" s="7" t="str">
        <x:v>Adventure CNG</x:v>
      </x:c>
      <x:c r="E2354" s="7" t="str">
        <x:v>CNG</x:v>
      </x:c>
      <x:c r="F2354" s="7" t="str">
        <x:v>Manual</x:v>
      </x:c>
      <x:c r="G2354" s="7" t="str">
        <x:v>Micro SUV</x:v>
      </x:c>
      <x:c r="H2354" s="7" t="n">
        <x:v>1199</x:v>
      </x:c>
      <x:c r="I2354" s="7" t="n">
        <x:v>73</x:v>
      </x:c>
      <x:c r="J2354" s="9" t="n">
        <x:v>26.9</x:v>
      </x:c>
      <x:c r="K2354" s="9" t="n">
        <x:v>8.8</x:v>
      </x:c>
      <x:c r="L2354" s="7" t="n">
        <x:v>2021</x:v>
      </x:c>
      <x:c r="M2354" s="11" t="n">
        <x:v>60401</x:v>
      </x:c>
      <x:c r="N2354" s="7" t="n">
        <x:v>1</x:v>
      </x:c>
      <x:c r="O2354" s="7" t="n">
        <x:v>0</x:v>
      </x:c>
      <x:c r="P2354" s="9" t="n">
        <x:v>4.83</x:v>
      </x:c>
      <x:c r="Q2354" s="7" t="n">
        <x:f>'Guide'!$B$5-L2354</x:f>
        <x:v>5</x:v>
      </x:c>
      <x:c r="R2354" s="9" t="n">
        <x:f>K2354-P2354</x:f>
        <x:v>3.9700000000000006</x:v>
      </x:c>
      <x:c r="S2354" s="10" t="n">
        <x:f>IF(K2354&gt;0,R2354/K2354,"")</x:f>
        <x:v>0.45113636363636367</x:v>
      </x:c>
    </x:row>
    <x:row r="2355">
      <x:c r="A2355" s="7" t="n">
        <x:v>2351</x:v>
      </x:c>
      <x:c r="B2355" s="7" t="str">
        <x:v>Tata</x:v>
      </x:c>
      <x:c r="C2355" s="7" t="str">
        <x:v>Punch</x:v>
      </x:c>
      <x:c r="D2355" s="7" t="str">
        <x:v>Adventure CNG</x:v>
      </x:c>
      <x:c r="E2355" s="7" t="str">
        <x:v>CNG</x:v>
      </x:c>
      <x:c r="F2355" s="7" t="str">
        <x:v>Manual</x:v>
      </x:c>
      <x:c r="G2355" s="7" t="str">
        <x:v>Micro SUV</x:v>
      </x:c>
      <x:c r="H2355" s="7" t="n">
        <x:v>1199</x:v>
      </x:c>
      <x:c r="I2355" s="7" t="n">
        <x:v>73</x:v>
      </x:c>
      <x:c r="J2355" s="9" t="n">
        <x:v>26.9</x:v>
      </x:c>
      <x:c r="K2355" s="9" t="n">
        <x:v>8.8</x:v>
      </x:c>
      <x:c r="L2355" s="7" t="n">
        <x:v>2024</x:v>
      </x:c>
      <x:c r="M2355" s="11" t="n">
        <x:v>26647</x:v>
      </x:c>
      <x:c r="N2355" s="7" t="n">
        <x:v>1</x:v>
      </x:c>
      <x:c r="O2355" s="7" t="n">
        <x:v>0</x:v>
      </x:c>
      <x:c r="P2355" s="9" t="n">
        <x:v>6.94</x:v>
      </x:c>
      <x:c r="Q2355" s="7" t="n">
        <x:f>'Guide'!$B$5-L2355</x:f>
        <x:v>2</x:v>
      </x:c>
      <x:c r="R2355" s="9" t="n">
        <x:f>K2355-P2355</x:f>
        <x:v>1.8600000000000003</x:v>
      </x:c>
      <x:c r="S2355" s="10" t="n">
        <x:f>IF(K2355&gt;0,R2355/K2355,"")</x:f>
        <x:v>0.2113636363636364</x:v>
      </x:c>
    </x:row>
    <x:row r="2356">
      <x:c r="A2356" s="7" t="n">
        <x:v>2352</x:v>
      </x:c>
      <x:c r="B2356" s="7" t="str">
        <x:v>Tata</x:v>
      </x:c>
      <x:c r="C2356" s="7" t="str">
        <x:v>Punch</x:v>
      </x:c>
      <x:c r="D2356" s="7" t="str">
        <x:v>Adventure CNG</x:v>
      </x:c>
      <x:c r="E2356" s="7" t="str">
        <x:v>CNG</x:v>
      </x:c>
      <x:c r="F2356" s="7" t="str">
        <x:v>Manual</x:v>
      </x:c>
      <x:c r="G2356" s="7" t="str">
        <x:v>Micro SUV</x:v>
      </x:c>
      <x:c r="H2356" s="7" t="n">
        <x:v>1199</x:v>
      </x:c>
      <x:c r="I2356" s="7" t="n">
        <x:v>73</x:v>
      </x:c>
      <x:c r="J2356" s="9" t="n">
        <x:v>26.9</x:v>
      </x:c>
      <x:c r="K2356" s="9" t="n">
        <x:v>8.8</x:v>
      </x:c>
      <x:c r="L2356" s="7" t="n">
        <x:v>2023</x:v>
      </x:c>
      <x:c r="M2356" s="11" t="n">
        <x:v>59176</x:v>
      </x:c>
      <x:c r="N2356" s="7" t="n">
        <x:v>2</x:v>
      </x:c>
      <x:c r="O2356" s="7" t="n">
        <x:v>0</x:v>
      </x:c>
      <x:c r="P2356" s="9" t="n">
        <x:v>6.03</x:v>
      </x:c>
      <x:c r="Q2356" s="7" t="n">
        <x:f>'Guide'!$B$5-L2356</x:f>
        <x:v>3</x:v>
      </x:c>
      <x:c r="R2356" s="9" t="n">
        <x:f>K2356-P2356</x:f>
        <x:v>2.7700000000000005</x:v>
      </x:c>
      <x:c r="S2356" s="10" t="n">
        <x:f>IF(K2356&gt;0,R2356/K2356,"")</x:f>
        <x:v>0.3147727272727273</x:v>
      </x:c>
    </x:row>
    <x:row r="2357">
      <x:c r="A2357" s="7" t="n">
        <x:v>2353</x:v>
      </x:c>
      <x:c r="B2357" s="7" t="str">
        <x:v>Tata</x:v>
      </x:c>
      <x:c r="C2357" s="7" t="str">
        <x:v>Punch</x:v>
      </x:c>
      <x:c r="D2357" s="7" t="str">
        <x:v>Adventure CNG</x:v>
      </x:c>
      <x:c r="E2357" s="7" t="str">
        <x:v>CNG</x:v>
      </x:c>
      <x:c r="F2357" s="7" t="str">
        <x:v>Manual</x:v>
      </x:c>
      <x:c r="G2357" s="7" t="str">
        <x:v>Micro SUV</x:v>
      </x:c>
      <x:c r="H2357" s="7" t="n">
        <x:v>1199</x:v>
      </x:c>
      <x:c r="I2357" s="7" t="n">
        <x:v>73</x:v>
      </x:c>
      <x:c r="J2357" s="9" t="n">
        <x:v>26.9</x:v>
      </x:c>
      <x:c r="K2357" s="9" t="n">
        <x:v>8.8</x:v>
      </x:c>
      <x:c r="L2357" s="7" t="n">
        <x:v>2021</x:v>
      </x:c>
      <x:c r="M2357" s="11" t="n">
        <x:v>53148</x:v>
      </x:c>
      <x:c r="N2357" s="7" t="n">
        <x:v>1</x:v>
      </x:c>
      <x:c r="O2357" s="7" t="n">
        <x:v>0</x:v>
      </x:c>
      <x:c r="P2357" s="9" t="n">
        <x:v>4.99</x:v>
      </x:c>
      <x:c r="Q2357" s="7" t="n">
        <x:f>'Guide'!$B$5-L2357</x:f>
        <x:v>5</x:v>
      </x:c>
      <x:c r="R2357" s="9" t="n">
        <x:f>K2357-P2357</x:f>
        <x:v>3.8100000000000005</x:v>
      </x:c>
      <x:c r="S2357" s="10" t="n">
        <x:f>IF(K2357&gt;0,R2357/K2357,"")</x:f>
        <x:v>0.4329545454545455</x:v>
      </x:c>
    </x:row>
    <x:row r="2358">
      <x:c r="A2358" s="7" t="n">
        <x:v>2354</x:v>
      </x:c>
      <x:c r="B2358" s="7" t="str">
        <x:v>Tata</x:v>
      </x:c>
      <x:c r="C2358" s="7" t="str">
        <x:v>Punch</x:v>
      </x:c>
      <x:c r="D2358" s="7" t="str">
        <x:v>Adventure CNG</x:v>
      </x:c>
      <x:c r="E2358" s="7" t="str">
        <x:v>CNG</x:v>
      </x:c>
      <x:c r="F2358" s="7" t="str">
        <x:v>Manual</x:v>
      </x:c>
      <x:c r="G2358" s="7" t="str">
        <x:v>Micro SUV</x:v>
      </x:c>
      <x:c r="H2358" s="7" t="n">
        <x:v>1199</x:v>
      </x:c>
      <x:c r="I2358" s="7" t="n">
        <x:v>73</x:v>
      </x:c>
      <x:c r="J2358" s="9" t="n">
        <x:v>26.9</x:v>
      </x:c>
      <x:c r="K2358" s="9" t="n">
        <x:v>8.8</x:v>
      </x:c>
      <x:c r="L2358" s="7" t="n">
        <x:v>2026</x:v>
      </x:c>
      <x:c r="M2358" s="11" t="n">
        <x:v>6986</x:v>
      </x:c>
      <x:c r="N2358" s="7" t="n">
        <x:v>2</x:v>
      </x:c>
      <x:c r="O2358" s="7" t="n">
        <x:v>0</x:v>
      </x:c>
      <x:c r="P2358" s="9" t="n">
        <x:v>8.67</x:v>
      </x:c>
      <x:c r="Q2358" s="7" t="n">
        <x:f>'Guide'!$B$5-L2358</x:f>
        <x:v>0</x:v>
      </x:c>
      <x:c r="R2358" s="9" t="n">
        <x:f>K2358-P2358</x:f>
        <x:v>0.13000000000000078</x:v>
      </x:c>
      <x:c r="S2358" s="10" t="n">
        <x:f>IF(K2358&gt;0,R2358/K2358,"")</x:f>
        <x:v>0.014772727272727361</x:v>
      </x:c>
    </x:row>
    <x:row r="2359">
      <x:c r="A2359" s="7" t="n">
        <x:v>2355</x:v>
      </x:c>
      <x:c r="B2359" s="7" t="str">
        <x:v>Tata</x:v>
      </x:c>
      <x:c r="C2359" s="7" t="str">
        <x:v>Punch</x:v>
      </x:c>
      <x:c r="D2359" s="7" t="str">
        <x:v>Adventure CNG</x:v>
      </x:c>
      <x:c r="E2359" s="7" t="str">
        <x:v>CNG</x:v>
      </x:c>
      <x:c r="F2359" s="7" t="str">
        <x:v>Manual</x:v>
      </x:c>
      <x:c r="G2359" s="7" t="str">
        <x:v>Micro SUV</x:v>
      </x:c>
      <x:c r="H2359" s="7" t="n">
        <x:v>1199</x:v>
      </x:c>
      <x:c r="I2359" s="7" t="n">
        <x:v>73</x:v>
      </x:c>
      <x:c r="J2359" s="9" t="n">
        <x:v>26.9</x:v>
      </x:c>
      <x:c r="K2359" s="9" t="n">
        <x:v>8.8</x:v>
      </x:c>
      <x:c r="L2359" s="7" t="n">
        <x:v>2021</x:v>
      </x:c>
      <x:c r="M2359" s="11" t="n">
        <x:v>61384</x:v>
      </x:c>
      <x:c r="N2359" s="7" t="n">
        <x:v>1</x:v>
      </x:c>
      <x:c r="O2359" s="7" t="n">
        <x:v>1</x:v>
      </x:c>
      <x:c r="P2359" s="9" t="n">
        <x:v>4.11</x:v>
      </x:c>
      <x:c r="Q2359" s="7" t="n">
        <x:f>'Guide'!$B$5-L2359</x:f>
        <x:v>5</x:v>
      </x:c>
      <x:c r="R2359" s="9" t="n">
        <x:f>K2359-P2359</x:f>
        <x:v>4.69</x:v>
      </x:c>
      <x:c r="S2359" s="10" t="n">
        <x:f>IF(K2359&gt;0,R2359/K2359,"")</x:f>
        <x:v>0.5329545454545455</x:v>
      </x:c>
    </x:row>
    <x:row r="2360">
      <x:c r="A2360" s="7" t="n">
        <x:v>2356</x:v>
      </x:c>
      <x:c r="B2360" s="7" t="str">
        <x:v>Tata</x:v>
      </x:c>
      <x:c r="C2360" s="7" t="str">
        <x:v>Punch</x:v>
      </x:c>
      <x:c r="D2360" s="7" t="str">
        <x:v>Adventure CNG</x:v>
      </x:c>
      <x:c r="E2360" s="7" t="str">
        <x:v>CNG</x:v>
      </x:c>
      <x:c r="F2360" s="7" t="str">
        <x:v>Manual</x:v>
      </x:c>
      <x:c r="G2360" s="7" t="str">
        <x:v>Micro SUV</x:v>
      </x:c>
      <x:c r="H2360" s="7" t="n">
        <x:v>1199</x:v>
      </x:c>
      <x:c r="I2360" s="7" t="n">
        <x:v>73</x:v>
      </x:c>
      <x:c r="J2360" s="9" t="n">
        <x:v>26.9</x:v>
      </x:c>
      <x:c r="K2360" s="9" t="n">
        <x:v>8.8</x:v>
      </x:c>
      <x:c r="L2360" s="7" t="n">
        <x:v>2020</x:v>
      </x:c>
      <x:c r="M2360" s="11" t="n">
        <x:v>53499</x:v>
      </x:c>
      <x:c r="N2360" s="7" t="n">
        <x:v>1</x:v>
      </x:c>
      <x:c r="O2360" s="7" t="n">
        <x:v>0</x:v>
      </x:c>
      <x:c r="P2360" s="9" t="n">
        <x:v>4.32</x:v>
      </x:c>
      <x:c r="Q2360" s="7" t="n">
        <x:f>'Guide'!$B$5-L2360</x:f>
        <x:v>6</x:v>
      </x:c>
      <x:c r="R2360" s="9" t="n">
        <x:f>K2360-P2360</x:f>
        <x:v>4.48</x:v>
      </x:c>
      <x:c r="S2360" s="10" t="n">
        <x:f>IF(K2360&gt;0,R2360/K2360,"")</x:f>
        <x:v>0.5090909090909091</x:v>
      </x:c>
    </x:row>
    <x:row r="2361">
      <x:c r="A2361" s="7" t="n">
        <x:v>2357</x:v>
      </x:c>
      <x:c r="B2361" s="7" t="str">
        <x:v>Tata</x:v>
      </x:c>
      <x:c r="C2361" s="7" t="str">
        <x:v>Punch</x:v>
      </x:c>
      <x:c r="D2361" s="7" t="str">
        <x:v>Adventure CNG</x:v>
      </x:c>
      <x:c r="E2361" s="7" t="str">
        <x:v>CNG</x:v>
      </x:c>
      <x:c r="F2361" s="7" t="str">
        <x:v>Manual</x:v>
      </x:c>
      <x:c r="G2361" s="7" t="str">
        <x:v>Micro SUV</x:v>
      </x:c>
      <x:c r="H2361" s="7" t="n">
        <x:v>1199</x:v>
      </x:c>
      <x:c r="I2361" s="7" t="n">
        <x:v>73</x:v>
      </x:c>
      <x:c r="J2361" s="9" t="n">
        <x:v>26.9</x:v>
      </x:c>
      <x:c r="K2361" s="9" t="n">
        <x:v>8.8</x:v>
      </x:c>
      <x:c r="L2361" s="7" t="n">
        <x:v>2025</x:v>
      </x:c>
      <x:c r="M2361" s="11" t="n">
        <x:v>21473</x:v>
      </x:c>
      <x:c r="N2361" s="7" t="n">
        <x:v>2</x:v>
      </x:c>
      <x:c r="O2361" s="7" t="n">
        <x:v>0</x:v>
      </x:c>
      <x:c r="P2361" s="9" t="n">
        <x:v>7.52</x:v>
      </x:c>
      <x:c r="Q2361" s="7" t="n">
        <x:f>'Guide'!$B$5-L2361</x:f>
        <x:v>1</x:v>
      </x:c>
      <x:c r="R2361" s="9" t="n">
        <x:f>K2361-P2361</x:f>
        <x:v>1.2800000000000011</x:v>
      </x:c>
      <x:c r="S2361" s="10" t="n">
        <x:f>IF(K2361&gt;0,R2361/K2361,"")</x:f>
        <x:v>0.14545454545454556</x:v>
      </x:c>
    </x:row>
    <x:row r="2362">
      <x:c r="A2362" s="7" t="n">
        <x:v>2358</x:v>
      </x:c>
      <x:c r="B2362" s="7" t="str">
        <x:v>Tata</x:v>
      </x:c>
      <x:c r="C2362" s="7" t="str">
        <x:v>Punch</x:v>
      </x:c>
      <x:c r="D2362" s="7" t="str">
        <x:v>Adventure CNG</x:v>
      </x:c>
      <x:c r="E2362" s="7" t="str">
        <x:v>CNG</x:v>
      </x:c>
      <x:c r="F2362" s="7" t="str">
        <x:v>Manual</x:v>
      </x:c>
      <x:c r="G2362" s="7" t="str">
        <x:v>Micro SUV</x:v>
      </x:c>
      <x:c r="H2362" s="7" t="n">
        <x:v>1199</x:v>
      </x:c>
      <x:c r="I2362" s="7" t="n">
        <x:v>73</x:v>
      </x:c>
      <x:c r="J2362" s="9" t="n">
        <x:v>26.9</x:v>
      </x:c>
      <x:c r="K2362" s="9" t="n">
        <x:v>8.8</x:v>
      </x:c>
      <x:c r="L2362" s="7" t="n">
        <x:v>2025</x:v>
      </x:c>
      <x:c r="M2362" s="11" t="n">
        <x:v>16434</x:v>
      </x:c>
      <x:c r="N2362" s="7" t="n">
        <x:v>1</x:v>
      </x:c>
      <x:c r="O2362" s="7" t="n">
        <x:v>0</x:v>
      </x:c>
      <x:c r="P2362" s="9" t="n">
        <x:v>8</x:v>
      </x:c>
      <x:c r="Q2362" s="7" t="n">
        <x:f>'Guide'!$B$5-L2362</x:f>
        <x:v>1</x:v>
      </x:c>
      <x:c r="R2362" s="9" t="n">
        <x:f>K2362-P2362</x:f>
        <x:v>0.8000000000000007</x:v>
      </x:c>
      <x:c r="S2362" s="10" t="n">
        <x:f>IF(K2362&gt;0,R2362/K2362,"")</x:f>
        <x:v>0.09090909090909098</x:v>
      </x:c>
    </x:row>
    <x:row r="2363">
      <x:c r="A2363" s="7" t="n">
        <x:v>2359</x:v>
      </x:c>
      <x:c r="B2363" s="7" t="str">
        <x:v>Tata</x:v>
      </x:c>
      <x:c r="C2363" s="7" t="str">
        <x:v>Punch</x:v>
      </x:c>
      <x:c r="D2363" s="7" t="str">
        <x:v>Adventure CNG</x:v>
      </x:c>
      <x:c r="E2363" s="7" t="str">
        <x:v>CNG</x:v>
      </x:c>
      <x:c r="F2363" s="7" t="str">
        <x:v>Manual</x:v>
      </x:c>
      <x:c r="G2363" s="7" t="str">
        <x:v>Micro SUV</x:v>
      </x:c>
      <x:c r="H2363" s="7" t="n">
        <x:v>1199</x:v>
      </x:c>
      <x:c r="I2363" s="7" t="n">
        <x:v>73</x:v>
      </x:c>
      <x:c r="J2363" s="9" t="n">
        <x:v>26.9</x:v>
      </x:c>
      <x:c r="K2363" s="9" t="n">
        <x:v>8.8</x:v>
      </x:c>
      <x:c r="L2363" s="7" t="n">
        <x:v>2024</x:v>
      </x:c>
      <x:c r="M2363" s="11" t="n">
        <x:v>27434</x:v>
      </x:c>
      <x:c r="N2363" s="7" t="n">
        <x:v>2</x:v>
      </x:c>
      <x:c r="O2363" s="7" t="n">
        <x:v>0</x:v>
      </x:c>
      <x:c r="P2363" s="9" t="n">
        <x:v>6.73</x:v>
      </x:c>
      <x:c r="Q2363" s="7" t="n">
        <x:f>'Guide'!$B$5-L2363</x:f>
        <x:v>2</x:v>
      </x:c>
      <x:c r="R2363" s="9" t="n">
        <x:f>K2363-P2363</x:f>
        <x:v>2.0700000000000003</x:v>
      </x:c>
      <x:c r="S2363" s="10" t="n">
        <x:f>IF(K2363&gt;0,R2363/K2363,"")</x:f>
        <x:v>0.23522727272727273</x:v>
      </x:c>
    </x:row>
    <x:row r="2364">
      <x:c r="A2364" s="7" t="n">
        <x:v>2360</x:v>
      </x:c>
      <x:c r="B2364" s="7" t="str">
        <x:v>Tata</x:v>
      </x:c>
      <x:c r="C2364" s="7" t="str">
        <x:v>Punch</x:v>
      </x:c>
      <x:c r="D2364" s="7" t="str">
        <x:v>Adventure CNG</x:v>
      </x:c>
      <x:c r="E2364" s="7" t="str">
        <x:v>CNG</x:v>
      </x:c>
      <x:c r="F2364" s="7" t="str">
        <x:v>Manual</x:v>
      </x:c>
      <x:c r="G2364" s="7" t="str">
        <x:v>Micro SUV</x:v>
      </x:c>
      <x:c r="H2364" s="7" t="n">
        <x:v>1199</x:v>
      </x:c>
      <x:c r="I2364" s="7" t="n">
        <x:v>73</x:v>
      </x:c>
      <x:c r="J2364" s="9" t="n">
        <x:v>26.9</x:v>
      </x:c>
      <x:c r="K2364" s="9" t="n">
        <x:v>8.8</x:v>
      </x:c>
      <x:c r="L2364" s="7" t="n">
        <x:v>2026</x:v>
      </x:c>
      <x:c r="M2364" s="11" t="n">
        <x:v>8921</x:v>
      </x:c>
      <x:c r="N2364" s="7" t="n">
        <x:v>1</x:v>
      </x:c>
      <x:c r="O2364" s="7" t="n">
        <x:v>0</x:v>
      </x:c>
      <x:c r="P2364" s="9" t="n">
        <x:v>8.64</x:v>
      </x:c>
      <x:c r="Q2364" s="7" t="n">
        <x:f>'Guide'!$B$5-L2364</x:f>
        <x:v>0</x:v>
      </x:c>
      <x:c r="R2364" s="9" t="n">
        <x:f>K2364-P2364</x:f>
        <x:v>0.16000000000000014</x:v>
      </x:c>
      <x:c r="S2364" s="10" t="n">
        <x:f>IF(K2364&gt;0,R2364/K2364,"")</x:f>
        <x:v>0.018181818181818195</x:v>
      </x:c>
    </x:row>
    <x:row r="2365">
      <x:c r="A2365" s="7" t="n">
        <x:v>2361</x:v>
      </x:c>
      <x:c r="B2365" s="7" t="str">
        <x:v>Tata</x:v>
      </x:c>
      <x:c r="C2365" s="7" t="str">
        <x:v>Punch</x:v>
      </x:c>
      <x:c r="D2365" s="7" t="str">
        <x:v>Adventure CNG</x:v>
      </x:c>
      <x:c r="E2365" s="7" t="str">
        <x:v>CNG</x:v>
      </x:c>
      <x:c r="F2365" s="7" t="str">
        <x:v>Manual</x:v>
      </x:c>
      <x:c r="G2365" s="7" t="str">
        <x:v>Micro SUV</x:v>
      </x:c>
      <x:c r="H2365" s="7" t="n">
        <x:v>1199</x:v>
      </x:c>
      <x:c r="I2365" s="7" t="n">
        <x:v>73</x:v>
      </x:c>
      <x:c r="J2365" s="9" t="n">
        <x:v>26.9</x:v>
      </x:c>
      <x:c r="K2365" s="9" t="n">
        <x:v>8.8</x:v>
      </x:c>
      <x:c r="L2365" s="7" t="n">
        <x:v>2024</x:v>
      </x:c>
      <x:c r="M2365" s="11" t="n">
        <x:v>49838</x:v>
      </x:c>
      <x:c r="N2365" s="7" t="n">
        <x:v>1</x:v>
      </x:c>
      <x:c r="O2365" s="7" t="n">
        <x:v>0</x:v>
      </x:c>
      <x:c r="P2365" s="9" t="n">
        <x:v>6.82</x:v>
      </x:c>
      <x:c r="Q2365" s="7" t="n">
        <x:f>'Guide'!$B$5-L2365</x:f>
        <x:v>2</x:v>
      </x:c>
      <x:c r="R2365" s="9" t="n">
        <x:f>K2365-P2365</x:f>
        <x:v>1.9800000000000004</x:v>
      </x:c>
      <x:c r="S2365" s="10" t="n">
        <x:f>IF(K2365&gt;0,R2365/K2365,"")</x:f>
        <x:v>0.22500000000000003</x:v>
      </x:c>
    </x:row>
    <x:row r="2366">
      <x:c r="A2366" s="7" t="n">
        <x:v>2362</x:v>
      </x:c>
      <x:c r="B2366" s="7" t="str">
        <x:v>Tata</x:v>
      </x:c>
      <x:c r="C2366" s="7" t="str">
        <x:v>Punch</x:v>
      </x:c>
      <x:c r="D2366" s="7" t="str">
        <x:v>Adventure CNG</x:v>
      </x:c>
      <x:c r="E2366" s="7" t="str">
        <x:v>CNG</x:v>
      </x:c>
      <x:c r="F2366" s="7" t="str">
        <x:v>Manual</x:v>
      </x:c>
      <x:c r="G2366" s="7" t="str">
        <x:v>Micro SUV</x:v>
      </x:c>
      <x:c r="H2366" s="7" t="n">
        <x:v>1199</x:v>
      </x:c>
      <x:c r="I2366" s="7" t="n">
        <x:v>73</x:v>
      </x:c>
      <x:c r="J2366" s="9" t="n">
        <x:v>26.9</x:v>
      </x:c>
      <x:c r="K2366" s="9" t="n">
        <x:v>8.8</x:v>
      </x:c>
      <x:c r="L2366" s="7" t="n">
        <x:v>2021</x:v>
      </x:c>
      <x:c r="M2366" s="11" t="n">
        <x:v>70529</x:v>
      </x:c>
      <x:c r="N2366" s="7" t="n">
        <x:v>1</x:v>
      </x:c>
      <x:c r="O2366" s="7" t="n">
        <x:v>0</x:v>
      </x:c>
      <x:c r="P2366" s="9" t="n">
        <x:v>4.35</x:v>
      </x:c>
      <x:c r="Q2366" s="7" t="n">
        <x:f>'Guide'!$B$5-L2366</x:f>
        <x:v>5</x:v>
      </x:c>
      <x:c r="R2366" s="9" t="n">
        <x:f>K2366-P2366</x:f>
        <x:v>4.450000000000001</x:v>
      </x:c>
      <x:c r="S2366" s="10" t="n">
        <x:f>IF(K2366&gt;0,R2366/K2366,"")</x:f>
        <x:v>0.5056818181818182</x:v>
      </x:c>
    </x:row>
    <x:row r="2367">
      <x:c r="A2367" s="7" t="n">
        <x:v>2363</x:v>
      </x:c>
      <x:c r="B2367" s="7" t="str">
        <x:v>Tata</x:v>
      </x:c>
      <x:c r="C2367" s="7" t="str">
        <x:v>Punch</x:v>
      </x:c>
      <x:c r="D2367" s="7" t="str">
        <x:v>Adventure CNG</x:v>
      </x:c>
      <x:c r="E2367" s="7" t="str">
        <x:v>CNG</x:v>
      </x:c>
      <x:c r="F2367" s="7" t="str">
        <x:v>Manual</x:v>
      </x:c>
      <x:c r="G2367" s="7" t="str">
        <x:v>Micro SUV</x:v>
      </x:c>
      <x:c r="H2367" s="7" t="n">
        <x:v>1199</x:v>
      </x:c>
      <x:c r="I2367" s="7" t="n">
        <x:v>73</x:v>
      </x:c>
      <x:c r="J2367" s="9" t="n">
        <x:v>26.9</x:v>
      </x:c>
      <x:c r="K2367" s="9" t="n">
        <x:v>8.8</x:v>
      </x:c>
      <x:c r="L2367" s="7" t="n">
        <x:v>2022</x:v>
      </x:c>
      <x:c r="M2367" s="11" t="n">
        <x:v>68812</x:v>
      </x:c>
      <x:c r="N2367" s="7" t="n">
        <x:v>2</x:v>
      </x:c>
      <x:c r="O2367" s="7" t="n">
        <x:v>0</x:v>
      </x:c>
      <x:c r="P2367" s="9" t="n">
        <x:v>4.8</x:v>
      </x:c>
      <x:c r="Q2367" s="7" t="n">
        <x:f>'Guide'!$B$5-L2367</x:f>
        <x:v>4</x:v>
      </x:c>
      <x:c r="R2367" s="9" t="n">
        <x:f>K2367-P2367</x:f>
        <x:v>4.000000000000001</x:v>
      </x:c>
      <x:c r="S2367" s="10" t="n">
        <x:f>IF(K2367&gt;0,R2367/K2367,"")</x:f>
        <x:v>0.4545454545454546</x:v>
      </x:c>
    </x:row>
    <x:row r="2368">
      <x:c r="A2368" s="7" t="n">
        <x:v>2364</x:v>
      </x:c>
      <x:c r="B2368" s="7" t="str">
        <x:v>Tata</x:v>
      </x:c>
      <x:c r="C2368" s="7" t="str">
        <x:v>Punch</x:v>
      </x:c>
      <x:c r="D2368" s="7" t="str">
        <x:v>Adventure CNG</x:v>
      </x:c>
      <x:c r="E2368" s="7" t="str">
        <x:v>CNG</x:v>
      </x:c>
      <x:c r="F2368" s="7" t="str">
        <x:v>Manual</x:v>
      </x:c>
      <x:c r="G2368" s="7" t="str">
        <x:v>Micro SUV</x:v>
      </x:c>
      <x:c r="H2368" s="7" t="n">
        <x:v>1199</x:v>
      </x:c>
      <x:c r="I2368" s="7" t="n">
        <x:v>73</x:v>
      </x:c>
      <x:c r="J2368" s="9" t="n">
        <x:v>26.9</x:v>
      </x:c>
      <x:c r="K2368" s="9" t="n">
        <x:v>8.8</x:v>
      </x:c>
      <x:c r="L2368" s="7" t="n">
        <x:v>2021</x:v>
      </x:c>
      <x:c r="M2368" s="11" t="n">
        <x:v>76245</x:v>
      </x:c>
      <x:c r="N2368" s="7" t="n">
        <x:v>1</x:v>
      </x:c>
      <x:c r="O2368" s="7" t="n">
        <x:v>0</x:v>
      </x:c>
      <x:c r="P2368" s="9" t="n">
        <x:v>4.62</x:v>
      </x:c>
      <x:c r="Q2368" s="7" t="n">
        <x:f>'Guide'!$B$5-L2368</x:f>
        <x:v>5</x:v>
      </x:c>
      <x:c r="R2368" s="9" t="n">
        <x:f>K2368-P2368</x:f>
        <x:v>4.180000000000001</x:v>
      </x:c>
      <x:c r="S2368" s="10" t="n">
        <x:f>IF(K2368&gt;0,R2368/K2368,"")</x:f>
        <x:v>0.47500000000000003</x:v>
      </x:c>
    </x:row>
    <x:row r="2369">
      <x:c r="A2369" s="7" t="n">
        <x:v>2365</x:v>
      </x:c>
      <x:c r="B2369" s="7" t="str">
        <x:v>Tata</x:v>
      </x:c>
      <x:c r="C2369" s="7" t="str">
        <x:v>Punch</x:v>
      </x:c>
      <x:c r="D2369" s="7" t="str">
        <x:v>Adventure CNG</x:v>
      </x:c>
      <x:c r="E2369" s="7" t="str">
        <x:v>CNG</x:v>
      </x:c>
      <x:c r="F2369" s="7" t="str">
        <x:v>Manual</x:v>
      </x:c>
      <x:c r="G2369" s="7" t="str">
        <x:v>Micro SUV</x:v>
      </x:c>
      <x:c r="H2369" s="7" t="n">
        <x:v>1199</x:v>
      </x:c>
      <x:c r="I2369" s="7" t="n">
        <x:v>73</x:v>
      </x:c>
      <x:c r="J2369" s="9" t="n">
        <x:v>26.9</x:v>
      </x:c>
      <x:c r="K2369" s="9" t="n">
        <x:v>8.8</x:v>
      </x:c>
      <x:c r="L2369" s="7" t="n">
        <x:v>2020</x:v>
      </x:c>
      <x:c r="M2369" s="11" t="n">
        <x:v>75684</x:v>
      </x:c>
      <x:c r="N2369" s="7" t="n">
        <x:v>1</x:v>
      </x:c>
      <x:c r="O2369" s="7" t="n">
        <x:v>0</x:v>
      </x:c>
      <x:c r="P2369" s="9" t="n">
        <x:v>4.01</x:v>
      </x:c>
      <x:c r="Q2369" s="7" t="n">
        <x:f>'Guide'!$B$5-L2369</x:f>
        <x:v>6</x:v>
      </x:c>
      <x:c r="R2369" s="9" t="n">
        <x:f>K2369-P2369</x:f>
        <x:v>4.790000000000001</x:v>
      </x:c>
      <x:c r="S2369" s="10" t="n">
        <x:f>IF(K2369&gt;0,R2369/K2369,"")</x:f>
        <x:v>0.5443181818181819</x:v>
      </x:c>
    </x:row>
    <x:row r="2370">
      <x:c r="A2370" s="7" t="n">
        <x:v>2366</x:v>
      </x:c>
      <x:c r="B2370" s="7" t="str">
        <x:v>Tata</x:v>
      </x:c>
      <x:c r="C2370" s="7" t="str">
        <x:v>Punch</x:v>
      </x:c>
      <x:c r="D2370" s="7" t="str">
        <x:v>Adventure CNG</x:v>
      </x:c>
      <x:c r="E2370" s="7" t="str">
        <x:v>CNG</x:v>
      </x:c>
      <x:c r="F2370" s="7" t="str">
        <x:v>Manual</x:v>
      </x:c>
      <x:c r="G2370" s="7" t="str">
        <x:v>Micro SUV</x:v>
      </x:c>
      <x:c r="H2370" s="7" t="n">
        <x:v>1199</x:v>
      </x:c>
      <x:c r="I2370" s="7" t="n">
        <x:v>73</x:v>
      </x:c>
      <x:c r="J2370" s="9" t="n">
        <x:v>26.9</x:v>
      </x:c>
      <x:c r="K2370" s="9" t="n">
        <x:v>8.8</x:v>
      </x:c>
      <x:c r="L2370" s="7" t="n">
        <x:v>2024</x:v>
      </x:c>
      <x:c r="M2370" s="11" t="n">
        <x:v>27453</x:v>
      </x:c>
      <x:c r="N2370" s="7" t="n">
        <x:v>1</x:v>
      </x:c>
      <x:c r="O2370" s="7" t="n">
        <x:v>0</x:v>
      </x:c>
      <x:c r="P2370" s="9" t="n">
        <x:v>7.32</x:v>
      </x:c>
      <x:c r="Q2370" s="7" t="n">
        <x:f>'Guide'!$B$5-L2370</x:f>
        <x:v>2</x:v>
      </x:c>
      <x:c r="R2370" s="9" t="n">
        <x:f>K2370-P2370</x:f>
        <x:v>1.4800000000000004</x:v>
      </x:c>
      <x:c r="S2370" s="10" t="n">
        <x:f>IF(K2370&gt;0,R2370/K2370,"")</x:f>
        <x:v>0.1681818181818182</x:v>
      </x:c>
    </x:row>
    <x:row r="2371">
      <x:c r="A2371" s="7" t="n">
        <x:v>2367</x:v>
      </x:c>
      <x:c r="B2371" s="7" t="str">
        <x:v>Tata</x:v>
      </x:c>
      <x:c r="C2371" s="7" t="str">
        <x:v>Punch</x:v>
      </x:c>
      <x:c r="D2371" s="7" t="str">
        <x:v>Adventure CNG</x:v>
      </x:c>
      <x:c r="E2371" s="7" t="str">
        <x:v>CNG</x:v>
      </x:c>
      <x:c r="F2371" s="7" t="str">
        <x:v>Manual</x:v>
      </x:c>
      <x:c r="G2371" s="7" t="str">
        <x:v>Micro SUV</x:v>
      </x:c>
      <x:c r="H2371" s="7" t="n">
        <x:v>1199</x:v>
      </x:c>
      <x:c r="I2371" s="7" t="n">
        <x:v>73</x:v>
      </x:c>
      <x:c r="J2371" s="9" t="n">
        <x:v>26.9</x:v>
      </x:c>
      <x:c r="K2371" s="9" t="n">
        <x:v>8.8</x:v>
      </x:c>
      <x:c r="L2371" s="7" t="n">
        <x:v>2022</x:v>
      </x:c>
      <x:c r="M2371" s="11" t="n">
        <x:v>86636</x:v>
      </x:c>
      <x:c r="N2371" s="7" t="n">
        <x:v>1</x:v>
      </x:c>
      <x:c r="O2371" s="7" t="n">
        <x:v>0</x:v>
      </x:c>
      <x:c r="P2371" s="9" t="n">
        <x:v>4.92</x:v>
      </x:c>
      <x:c r="Q2371" s="7" t="n">
        <x:f>'Guide'!$B$5-L2371</x:f>
        <x:v>4</x:v>
      </x:c>
      <x:c r="R2371" s="9" t="n">
        <x:f>K2371-P2371</x:f>
        <x:v>3.880000000000001</x:v>
      </x:c>
      <x:c r="S2371" s="10" t="n">
        <x:f>IF(K2371&gt;0,R2371/K2371,"")</x:f>
        <x:v>0.440909090909091</x:v>
      </x:c>
    </x:row>
    <x:row r="2372">
      <x:c r="A2372" s="7" t="n">
        <x:v>2368</x:v>
      </x:c>
      <x:c r="B2372" s="7" t="str">
        <x:v>Tata</x:v>
      </x:c>
      <x:c r="C2372" s="7" t="str">
        <x:v>Punch</x:v>
      </x:c>
      <x:c r="D2372" s="7" t="str">
        <x:v>Adventure CNG</x:v>
      </x:c>
      <x:c r="E2372" s="7" t="str">
        <x:v>CNG</x:v>
      </x:c>
      <x:c r="F2372" s="7" t="str">
        <x:v>Manual</x:v>
      </x:c>
      <x:c r="G2372" s="7" t="str">
        <x:v>Micro SUV</x:v>
      </x:c>
      <x:c r="H2372" s="7" t="n">
        <x:v>1199</x:v>
      </x:c>
      <x:c r="I2372" s="7" t="n">
        <x:v>73</x:v>
      </x:c>
      <x:c r="J2372" s="9" t="n">
        <x:v>26.9</x:v>
      </x:c>
      <x:c r="K2372" s="9" t="n">
        <x:v>8.8</x:v>
      </x:c>
      <x:c r="L2372" s="7" t="n">
        <x:v>2020</x:v>
      </x:c>
      <x:c r="M2372" s="11" t="n">
        <x:v>123482</x:v>
      </x:c>
      <x:c r="N2372" s="7" t="n">
        <x:v>1</x:v>
      </x:c>
      <x:c r="O2372" s="7" t="n">
        <x:v>0</x:v>
      </x:c>
      <x:c r="P2372" s="9" t="n">
        <x:v>2.91</x:v>
      </x:c>
      <x:c r="Q2372" s="7" t="n">
        <x:f>'Guide'!$B$5-L2372</x:f>
        <x:v>6</x:v>
      </x:c>
      <x:c r="R2372" s="9" t="n">
        <x:f>K2372-P2372</x:f>
        <x:v>5.890000000000001</x:v>
      </x:c>
      <x:c r="S2372" s="10" t="n">
        <x:f>IF(K2372&gt;0,R2372/K2372,"")</x:f>
        <x:v>0.6693181818181818</x:v>
      </x:c>
    </x:row>
    <x:row r="2373">
      <x:c r="A2373" s="7" t="n">
        <x:v>2369</x:v>
      </x:c>
      <x:c r="B2373" s="7" t="str">
        <x:v>Tata</x:v>
      </x:c>
      <x:c r="C2373" s="7" t="str">
        <x:v>Punch</x:v>
      </x:c>
      <x:c r="D2373" s="7" t="str">
        <x:v>Adventure CNG</x:v>
      </x:c>
      <x:c r="E2373" s="7" t="str">
        <x:v>CNG</x:v>
      </x:c>
      <x:c r="F2373" s="7" t="str">
        <x:v>Manual</x:v>
      </x:c>
      <x:c r="G2373" s="7" t="str">
        <x:v>Micro SUV</x:v>
      </x:c>
      <x:c r="H2373" s="7" t="n">
        <x:v>1199</x:v>
      </x:c>
      <x:c r="I2373" s="7" t="n">
        <x:v>73</x:v>
      </x:c>
      <x:c r="J2373" s="9" t="n">
        <x:v>26.9</x:v>
      </x:c>
      <x:c r="K2373" s="9" t="n">
        <x:v>8.8</x:v>
      </x:c>
      <x:c r="L2373" s="7" t="n">
        <x:v>2021</x:v>
      </x:c>
      <x:c r="M2373" s="11" t="n">
        <x:v>78139</x:v>
      </x:c>
      <x:c r="N2373" s="7" t="n">
        <x:v>3</x:v>
      </x:c>
      <x:c r="O2373" s="7" t="n">
        <x:v>0</x:v>
      </x:c>
      <x:c r="P2373" s="9" t="n">
        <x:v>3.63</x:v>
      </x:c>
      <x:c r="Q2373" s="7" t="n">
        <x:f>'Guide'!$B$5-L2373</x:f>
        <x:v>5</x:v>
      </x:c>
      <x:c r="R2373" s="9" t="n">
        <x:f>K2373-P2373</x:f>
        <x:v>5.170000000000001</x:v>
      </x:c>
      <x:c r="S2373" s="10" t="n">
        <x:f>IF(K2373&gt;0,R2373/K2373,"")</x:f>
        <x:v>0.5875</x:v>
      </x:c>
    </x:row>
    <x:row r="2374">
      <x:c r="A2374" s="7" t="n">
        <x:v>2370</x:v>
      </x:c>
      <x:c r="B2374" s="7" t="str">
        <x:v>Tata</x:v>
      </x:c>
      <x:c r="C2374" s="7" t="str">
        <x:v>Punch</x:v>
      </x:c>
      <x:c r="D2374" s="7" t="str">
        <x:v>Adventure CNG</x:v>
      </x:c>
      <x:c r="E2374" s="7" t="str">
        <x:v>CNG</x:v>
      </x:c>
      <x:c r="F2374" s="7" t="str">
        <x:v>Manual</x:v>
      </x:c>
      <x:c r="G2374" s="7" t="str">
        <x:v>Micro SUV</x:v>
      </x:c>
      <x:c r="H2374" s="7" t="n">
        <x:v>1199</x:v>
      </x:c>
      <x:c r="I2374" s="7" t="n">
        <x:v>73</x:v>
      </x:c>
      <x:c r="J2374" s="9" t="n">
        <x:v>26.9</x:v>
      </x:c>
      <x:c r="K2374" s="9" t="n">
        <x:v>8.8</x:v>
      </x:c>
      <x:c r="L2374" s="7" t="n">
        <x:v>2025</x:v>
      </x:c>
      <x:c r="M2374" s="11" t="n">
        <x:v>26205</x:v>
      </x:c>
      <x:c r="N2374" s="7" t="n">
        <x:v>1</x:v>
      </x:c>
      <x:c r="O2374" s="7" t="n">
        <x:v>0</x:v>
      </x:c>
      <x:c r="P2374" s="9" t="n">
        <x:v>7.76</x:v>
      </x:c>
      <x:c r="Q2374" s="7" t="n">
        <x:f>'Guide'!$B$5-L2374</x:f>
        <x:v>1</x:v>
      </x:c>
      <x:c r="R2374" s="9" t="n">
        <x:f>K2374-P2374</x:f>
        <x:v>1.040000000000001</x:v>
      </x:c>
      <x:c r="S2374" s="10" t="n">
        <x:f>IF(K2374&gt;0,R2374/K2374,"")</x:f>
        <x:v>0.11818181818181828</x:v>
      </x:c>
    </x:row>
    <x:row r="2375">
      <x:c r="A2375" s="7" t="n">
        <x:v>2371</x:v>
      </x:c>
      <x:c r="B2375" s="7" t="str">
        <x:v>Tata</x:v>
      </x:c>
      <x:c r="C2375" s="7" t="str">
        <x:v>Punch</x:v>
      </x:c>
      <x:c r="D2375" s="7" t="str">
        <x:v>Adventure CNG</x:v>
      </x:c>
      <x:c r="E2375" s="7" t="str">
        <x:v>CNG</x:v>
      </x:c>
      <x:c r="F2375" s="7" t="str">
        <x:v>Manual</x:v>
      </x:c>
      <x:c r="G2375" s="7" t="str">
        <x:v>Micro SUV</x:v>
      </x:c>
      <x:c r="H2375" s="7" t="n">
        <x:v>1199</x:v>
      </x:c>
      <x:c r="I2375" s="7" t="n">
        <x:v>73</x:v>
      </x:c>
      <x:c r="J2375" s="9" t="n">
        <x:v>26.9</x:v>
      </x:c>
      <x:c r="K2375" s="9" t="n">
        <x:v>8.8</x:v>
      </x:c>
      <x:c r="L2375" s="7" t="n">
        <x:v>2024</x:v>
      </x:c>
      <x:c r="M2375" s="11" t="n">
        <x:v>37136</x:v>
      </x:c>
      <x:c r="N2375" s="7" t="n">
        <x:v>2</x:v>
      </x:c>
      <x:c r="O2375" s="7" t="n">
        <x:v>0</x:v>
      </x:c>
      <x:c r="P2375" s="9" t="n">
        <x:v>6.74</x:v>
      </x:c>
      <x:c r="Q2375" s="7" t="n">
        <x:f>'Guide'!$B$5-L2375</x:f>
        <x:v>2</x:v>
      </x:c>
      <x:c r="R2375" s="9" t="n">
        <x:f>K2375-P2375</x:f>
        <x:v>2.0600000000000005</x:v>
      </x:c>
      <x:c r="S2375" s="10" t="n">
        <x:f>IF(K2375&gt;0,R2375/K2375,"")</x:f>
        <x:v>0.23409090909090913</x:v>
      </x:c>
    </x:row>
    <x:row r="2376">
      <x:c r="A2376" s="7" t="n">
        <x:v>2372</x:v>
      </x:c>
      <x:c r="B2376" s="7" t="str">
        <x:v>Tata</x:v>
      </x:c>
      <x:c r="C2376" s="7" t="str">
        <x:v>Punch</x:v>
      </x:c>
      <x:c r="D2376" s="7" t="str">
        <x:v>Adventure CNG</x:v>
      </x:c>
      <x:c r="E2376" s="7" t="str">
        <x:v>CNG</x:v>
      </x:c>
      <x:c r="F2376" s="7" t="str">
        <x:v>Manual</x:v>
      </x:c>
      <x:c r="G2376" s="7" t="str">
        <x:v>Micro SUV</x:v>
      </x:c>
      <x:c r="H2376" s="7" t="n">
        <x:v>1199</x:v>
      </x:c>
      <x:c r="I2376" s="7" t="n">
        <x:v>73</x:v>
      </x:c>
      <x:c r="J2376" s="9" t="n">
        <x:v>26.9</x:v>
      </x:c>
      <x:c r="K2376" s="9" t="n">
        <x:v>8.8</x:v>
      </x:c>
      <x:c r="L2376" s="7" t="n">
        <x:v>2025</x:v>
      </x:c>
      <x:c r="M2376" s="11" t="n">
        <x:v>18685</x:v>
      </x:c>
      <x:c r="N2376" s="7" t="n">
        <x:v>1</x:v>
      </x:c>
      <x:c r="O2376" s="7" t="n">
        <x:v>1</x:v>
      </x:c>
      <x:c r="P2376" s="9" t="n">
        <x:v>7.38</x:v>
      </x:c>
      <x:c r="Q2376" s="7" t="n">
        <x:f>'Guide'!$B$5-L2376</x:f>
        <x:v>1</x:v>
      </x:c>
      <x:c r="R2376" s="9" t="n">
        <x:f>K2376-P2376</x:f>
        <x:v>1.4200000000000008</x:v>
      </x:c>
      <x:c r="S2376" s="10" t="n">
        <x:f>IF(K2376&gt;0,R2376/K2376,"")</x:f>
        <x:v>0.16136363636363643</x:v>
      </x:c>
    </x:row>
    <x:row r="2377">
      <x:c r="A2377" s="7" t="n">
        <x:v>2373</x:v>
      </x:c>
      <x:c r="B2377" s="7" t="str">
        <x:v>Tata</x:v>
      </x:c>
      <x:c r="C2377" s="7" t="str">
        <x:v>Punch</x:v>
      </x:c>
      <x:c r="D2377" s="7" t="str">
        <x:v>Adventure CNG</x:v>
      </x:c>
      <x:c r="E2377" s="7" t="str">
        <x:v>CNG</x:v>
      </x:c>
      <x:c r="F2377" s="7" t="str">
        <x:v>Manual</x:v>
      </x:c>
      <x:c r="G2377" s="7" t="str">
        <x:v>Micro SUV</x:v>
      </x:c>
      <x:c r="H2377" s="7" t="n">
        <x:v>1199</x:v>
      </x:c>
      <x:c r="I2377" s="7" t="n">
        <x:v>73</x:v>
      </x:c>
      <x:c r="J2377" s="9" t="n">
        <x:v>26.9</x:v>
      </x:c>
      <x:c r="K2377" s="9" t="n">
        <x:v>8.8</x:v>
      </x:c>
      <x:c r="L2377" s="7" t="n">
        <x:v>2021</x:v>
      </x:c>
      <x:c r="M2377" s="11" t="n">
        <x:v>67985</x:v>
      </x:c>
      <x:c r="N2377" s="7" t="n">
        <x:v>1</x:v>
      </x:c>
      <x:c r="O2377" s="7" t="n">
        <x:v>0</x:v>
      </x:c>
      <x:c r="P2377" s="9" t="n">
        <x:v>4.4</x:v>
      </x:c>
      <x:c r="Q2377" s="7" t="n">
        <x:f>'Guide'!$B$5-L2377</x:f>
        <x:v>5</x:v>
      </x:c>
      <x:c r="R2377" s="9" t="n">
        <x:f>K2377-P2377</x:f>
        <x:v>4.4</x:v>
      </x:c>
      <x:c r="S2377" s="10" t="n">
        <x:f>IF(K2377&gt;0,R2377/K2377,"")</x:f>
        <x:v>0.5</x:v>
      </x:c>
    </x:row>
    <x:row r="2378">
      <x:c r="A2378" s="7" t="n">
        <x:v>2374</x:v>
      </x:c>
      <x:c r="B2378" s="7" t="str">
        <x:v>Tata</x:v>
      </x:c>
      <x:c r="C2378" s="7" t="str">
        <x:v>Punch</x:v>
      </x:c>
      <x:c r="D2378" s="7" t="str">
        <x:v>Adventure CNG</x:v>
      </x:c>
      <x:c r="E2378" s="7" t="str">
        <x:v>CNG</x:v>
      </x:c>
      <x:c r="F2378" s="7" t="str">
        <x:v>Manual</x:v>
      </x:c>
      <x:c r="G2378" s="7" t="str">
        <x:v>Micro SUV</x:v>
      </x:c>
      <x:c r="H2378" s="7" t="n">
        <x:v>1199</x:v>
      </x:c>
      <x:c r="I2378" s="7" t="n">
        <x:v>73</x:v>
      </x:c>
      <x:c r="J2378" s="9" t="n">
        <x:v>26.9</x:v>
      </x:c>
      <x:c r="K2378" s="9" t="n">
        <x:v>8.8</x:v>
      </x:c>
      <x:c r="L2378" s="7" t="n">
        <x:v>2023</x:v>
      </x:c>
      <x:c r="M2378" s="11" t="n">
        <x:v>33824</x:v>
      </x:c>
      <x:c r="N2378" s="7" t="n">
        <x:v>1</x:v>
      </x:c>
      <x:c r="O2378" s="7" t="n">
        <x:v>0</x:v>
      </x:c>
      <x:c r="P2378" s="9" t="n">
        <x:v>6.19</x:v>
      </x:c>
      <x:c r="Q2378" s="7" t="n">
        <x:f>'Guide'!$B$5-L2378</x:f>
        <x:v>3</x:v>
      </x:c>
      <x:c r="R2378" s="9" t="n">
        <x:f>K2378-P2378</x:f>
        <x:v>2.6100000000000003</x:v>
      </x:c>
      <x:c r="S2378" s="10" t="n">
        <x:f>IF(K2378&gt;0,R2378/K2378,"")</x:f>
        <x:v>0.2965909090909091</x:v>
      </x:c>
    </x:row>
    <x:row r="2379">
      <x:c r="A2379" s="7" t="n">
        <x:v>2375</x:v>
      </x:c>
      <x:c r="B2379" s="7" t="str">
        <x:v>Tata</x:v>
      </x:c>
      <x:c r="C2379" s="7" t="str">
        <x:v>Punch</x:v>
      </x:c>
      <x:c r="D2379" s="7" t="str">
        <x:v>Adventure CNG</x:v>
      </x:c>
      <x:c r="E2379" s="7" t="str">
        <x:v>CNG</x:v>
      </x:c>
      <x:c r="F2379" s="7" t="str">
        <x:v>Manual</x:v>
      </x:c>
      <x:c r="G2379" s="7" t="str">
        <x:v>Micro SUV</x:v>
      </x:c>
      <x:c r="H2379" s="7" t="n">
        <x:v>1199</x:v>
      </x:c>
      <x:c r="I2379" s="7" t="n">
        <x:v>73</x:v>
      </x:c>
      <x:c r="J2379" s="9" t="n">
        <x:v>26.9</x:v>
      </x:c>
      <x:c r="K2379" s="9" t="n">
        <x:v>8.8</x:v>
      </x:c>
      <x:c r="L2379" s="7" t="n">
        <x:v>2023</x:v>
      </x:c>
      <x:c r="M2379" s="11" t="n">
        <x:v>34301</x:v>
      </x:c>
      <x:c r="N2379" s="7" t="n">
        <x:v>2</x:v>
      </x:c>
      <x:c r="O2379" s="7" t="n">
        <x:v>1</x:v>
      </x:c>
      <x:c r="P2379" s="9" t="n">
        <x:v>5.51</x:v>
      </x:c>
      <x:c r="Q2379" s="7" t="n">
        <x:f>'Guide'!$B$5-L2379</x:f>
        <x:v>3</x:v>
      </x:c>
      <x:c r="R2379" s="9" t="n">
        <x:f>K2379-P2379</x:f>
        <x:v>3.290000000000001</x:v>
      </x:c>
      <x:c r="S2379" s="10" t="n">
        <x:f>IF(K2379&gt;0,R2379/K2379,"")</x:f>
        <x:v>0.37386363636363645</x:v>
      </x:c>
    </x:row>
    <x:row r="2380">
      <x:c r="A2380" s="7" t="n">
        <x:v>2376</x:v>
      </x:c>
      <x:c r="B2380" s="7" t="str">
        <x:v>Tata</x:v>
      </x:c>
      <x:c r="C2380" s="7" t="str">
        <x:v>Punch</x:v>
      </x:c>
      <x:c r="D2380" s="7" t="str">
        <x:v>Adventure CNG</x:v>
      </x:c>
      <x:c r="E2380" s="7" t="str">
        <x:v>CNG</x:v>
      </x:c>
      <x:c r="F2380" s="7" t="str">
        <x:v>Manual</x:v>
      </x:c>
      <x:c r="G2380" s="7" t="str">
        <x:v>Micro SUV</x:v>
      </x:c>
      <x:c r="H2380" s="7" t="n">
        <x:v>1199</x:v>
      </x:c>
      <x:c r="I2380" s="7" t="n">
        <x:v>73</x:v>
      </x:c>
      <x:c r="J2380" s="9" t="n">
        <x:v>26.9</x:v>
      </x:c>
      <x:c r="K2380" s="9" t="n">
        <x:v>8.8</x:v>
      </x:c>
      <x:c r="L2380" s="7" t="n">
        <x:v>2026</x:v>
      </x:c>
      <x:c r="M2380" s="11" t="n">
        <x:v>5774</x:v>
      </x:c>
      <x:c r="N2380" s="7" t="n">
        <x:v>2</x:v>
      </x:c>
      <x:c r="O2380" s="7" t="n">
        <x:v>0</x:v>
      </x:c>
      <x:c r="P2380" s="9" t="n">
        <x:v>8.63</x:v>
      </x:c>
      <x:c r="Q2380" s="7" t="n">
        <x:f>'Guide'!$B$5-L2380</x:f>
        <x:v>0</x:v>
      </x:c>
      <x:c r="R2380" s="9" t="n">
        <x:f>K2380-P2380</x:f>
        <x:v>0.16999999999999993</x:v>
      </x:c>
      <x:c r="S2380" s="10" t="n">
        <x:f>IF(K2380&gt;0,R2380/K2380,"")</x:f>
        <x:v>0.019318181818181807</x:v>
      </x:c>
    </x:row>
    <x:row r="2381">
      <x:c r="A2381" s="7" t="n">
        <x:v>2377</x:v>
      </x:c>
      <x:c r="B2381" s="7" t="str">
        <x:v>Tata</x:v>
      </x:c>
      <x:c r="C2381" s="7" t="str">
        <x:v>Punch</x:v>
      </x:c>
      <x:c r="D2381" s="7" t="str">
        <x:v>Adventure CNG</x:v>
      </x:c>
      <x:c r="E2381" s="7" t="str">
        <x:v>CNG</x:v>
      </x:c>
      <x:c r="F2381" s="7" t="str">
        <x:v>Manual</x:v>
      </x:c>
      <x:c r="G2381" s="7" t="str">
        <x:v>Micro SUV</x:v>
      </x:c>
      <x:c r="H2381" s="7" t="n">
        <x:v>1199</x:v>
      </x:c>
      <x:c r="I2381" s="7" t="n">
        <x:v>73</x:v>
      </x:c>
      <x:c r="J2381" s="9" t="n">
        <x:v>26.9</x:v>
      </x:c>
      <x:c r="K2381" s="9" t="n">
        <x:v>8.8</x:v>
      </x:c>
      <x:c r="L2381" s="7" t="n">
        <x:v>2020</x:v>
      </x:c>
      <x:c r="M2381" s="11" t="n">
        <x:v>72142</x:v>
      </x:c>
      <x:c r="N2381" s="7" t="n">
        <x:v>1</x:v>
      </x:c>
      <x:c r="O2381" s="7" t="n">
        <x:v>0</x:v>
      </x:c>
      <x:c r="P2381" s="9" t="n">
        <x:v>3.61</x:v>
      </x:c>
      <x:c r="Q2381" s="7" t="n">
        <x:f>'Guide'!$B$5-L2381</x:f>
        <x:v>6</x:v>
      </x:c>
      <x:c r="R2381" s="9" t="n">
        <x:f>K2381-P2381</x:f>
        <x:v>5.190000000000001</x:v>
      </x:c>
      <x:c r="S2381" s="10" t="n">
        <x:f>IF(K2381&gt;0,R2381/K2381,"")</x:f>
        <x:v>0.5897727272727273</x:v>
      </x:c>
    </x:row>
    <x:row r="2382">
      <x:c r="A2382" s="7" t="n">
        <x:v>2378</x:v>
      </x:c>
      <x:c r="B2382" s="7" t="str">
        <x:v>Tata</x:v>
      </x:c>
      <x:c r="C2382" s="7" t="str">
        <x:v>Punch</x:v>
      </x:c>
      <x:c r="D2382" s="7" t="str">
        <x:v>Adventure CNG</x:v>
      </x:c>
      <x:c r="E2382" s="7" t="str">
        <x:v>CNG</x:v>
      </x:c>
      <x:c r="F2382" s="7" t="str">
        <x:v>Manual</x:v>
      </x:c>
      <x:c r="G2382" s="7" t="str">
        <x:v>Micro SUV</x:v>
      </x:c>
      <x:c r="H2382" s="7" t="n">
        <x:v>1199</x:v>
      </x:c>
      <x:c r="I2382" s="7" t="n">
        <x:v>73</x:v>
      </x:c>
      <x:c r="J2382" s="9" t="n">
        <x:v>26.9</x:v>
      </x:c>
      <x:c r="K2382" s="9" t="n">
        <x:v>8.8</x:v>
      </x:c>
      <x:c r="L2382" s="7" t="n">
        <x:v>2024</x:v>
      </x:c>
      <x:c r="M2382" s="11" t="n">
        <x:v>31668</x:v>
      </x:c>
      <x:c r="N2382" s="7" t="n">
        <x:v>1</x:v>
      </x:c>
      <x:c r="O2382" s="7" t="n">
        <x:v>0</x:v>
      </x:c>
      <x:c r="P2382" s="9" t="n">
        <x:v>6.93</x:v>
      </x:c>
      <x:c r="Q2382" s="7" t="n">
        <x:f>'Guide'!$B$5-L2382</x:f>
        <x:v>2</x:v>
      </x:c>
      <x:c r="R2382" s="9" t="n">
        <x:f>K2382-P2382</x:f>
        <x:v>1.870000000000001</x:v>
      </x:c>
      <x:c r="S2382" s="10" t="n">
        <x:f>IF(K2382&gt;0,R2382/K2382,"")</x:f>
        <x:v>0.2125000000000001</x:v>
      </x:c>
    </x:row>
    <x:row r="2383">
      <x:c r="A2383" s="7" t="n">
        <x:v>2379</x:v>
      </x:c>
      <x:c r="B2383" s="7" t="str">
        <x:v>Tata</x:v>
      </x:c>
      <x:c r="C2383" s="7" t="str">
        <x:v>Punch</x:v>
      </x:c>
      <x:c r="D2383" s="7" t="str">
        <x:v>Adventure CNG</x:v>
      </x:c>
      <x:c r="E2383" s="7" t="str">
        <x:v>CNG</x:v>
      </x:c>
      <x:c r="F2383" s="7" t="str">
        <x:v>Manual</x:v>
      </x:c>
      <x:c r="G2383" s="7" t="str">
        <x:v>Micro SUV</x:v>
      </x:c>
      <x:c r="H2383" s="7" t="n">
        <x:v>1199</x:v>
      </x:c>
      <x:c r="I2383" s="7" t="n">
        <x:v>73</x:v>
      </x:c>
      <x:c r="J2383" s="9" t="n">
        <x:v>26.9</x:v>
      </x:c>
      <x:c r="K2383" s="9" t="n">
        <x:v>8.8</x:v>
      </x:c>
      <x:c r="L2383" s="7" t="n">
        <x:v>2021</x:v>
      </x:c>
      <x:c r="M2383" s="11" t="n">
        <x:v>46825</x:v>
      </x:c>
      <x:c r="N2383" s="7" t="n">
        <x:v>1</x:v>
      </x:c>
      <x:c r="O2383" s="7" t="n">
        <x:v>1</x:v>
      </x:c>
      <x:c r="P2383" s="9" t="n">
        <x:v>4.1</x:v>
      </x:c>
      <x:c r="Q2383" s="7" t="n">
        <x:f>'Guide'!$B$5-L2383</x:f>
        <x:v>5</x:v>
      </x:c>
      <x:c r="R2383" s="9" t="n">
        <x:f>K2383-P2383</x:f>
        <x:v>4.700000000000001</x:v>
      </x:c>
      <x:c r="S2383" s="10" t="n">
        <x:f>IF(K2383&gt;0,R2383/K2383,"")</x:f>
        <x:v>0.5340909090909092</x:v>
      </x:c>
    </x:row>
    <x:row r="2384">
      <x:c r="A2384" s="7" t="n">
        <x:v>2380</x:v>
      </x:c>
      <x:c r="B2384" s="7" t="str">
        <x:v>Tata</x:v>
      </x:c>
      <x:c r="C2384" s="7" t="str">
        <x:v>Punch</x:v>
      </x:c>
      <x:c r="D2384" s="7" t="str">
        <x:v>Adventure CNG</x:v>
      </x:c>
      <x:c r="E2384" s="7" t="str">
        <x:v>CNG</x:v>
      </x:c>
      <x:c r="F2384" s="7" t="str">
        <x:v>Manual</x:v>
      </x:c>
      <x:c r="G2384" s="7" t="str">
        <x:v>Micro SUV</x:v>
      </x:c>
      <x:c r="H2384" s="7" t="n">
        <x:v>1199</x:v>
      </x:c>
      <x:c r="I2384" s="7" t="n">
        <x:v>73</x:v>
      </x:c>
      <x:c r="J2384" s="9" t="n">
        <x:v>26.9</x:v>
      </x:c>
      <x:c r="K2384" s="9" t="n">
        <x:v>8.8</x:v>
      </x:c>
      <x:c r="L2384" s="7" t="n">
        <x:v>2026</x:v>
      </x:c>
      <x:c r="M2384" s="11" t="n">
        <x:v>5279</x:v>
      </x:c>
      <x:c r="N2384" s="7" t="n">
        <x:v>1</x:v>
      </x:c>
      <x:c r="O2384" s="7" t="n">
        <x:v>0</x:v>
      </x:c>
      <x:c r="P2384" s="9" t="n">
        <x:v>8.38</x:v>
      </x:c>
      <x:c r="Q2384" s="7" t="n">
        <x:f>'Guide'!$B$5-L2384</x:f>
        <x:v>0</x:v>
      </x:c>
      <x:c r="R2384" s="9" t="n">
        <x:f>K2384-P2384</x:f>
        <x:v>0.41999999999999993</x:v>
      </x:c>
      <x:c r="S2384" s="10" t="n">
        <x:f>IF(K2384&gt;0,R2384/K2384,"")</x:f>
        <x:v>0.047727272727272715</x:v>
      </x:c>
    </x:row>
    <x:row r="2385">
      <x:c r="A2385" s="7" t="n">
        <x:v>2381</x:v>
      </x:c>
      <x:c r="B2385" s="7" t="str">
        <x:v>Tata</x:v>
      </x:c>
      <x:c r="C2385" s="7" t="str">
        <x:v>Punch</x:v>
      </x:c>
      <x:c r="D2385" s="7" t="str">
        <x:v>Adventure CNG</x:v>
      </x:c>
      <x:c r="E2385" s="7" t="str">
        <x:v>CNG</x:v>
      </x:c>
      <x:c r="F2385" s="7" t="str">
        <x:v>Manual</x:v>
      </x:c>
      <x:c r="G2385" s="7" t="str">
        <x:v>Micro SUV</x:v>
      </x:c>
      <x:c r="H2385" s="7" t="n">
        <x:v>1199</x:v>
      </x:c>
      <x:c r="I2385" s="7" t="n">
        <x:v>73</x:v>
      </x:c>
      <x:c r="J2385" s="9" t="n">
        <x:v>26.9</x:v>
      </x:c>
      <x:c r="K2385" s="9" t="n">
        <x:v>8.8</x:v>
      </x:c>
      <x:c r="L2385" s="7" t="n">
        <x:v>2023</x:v>
      </x:c>
      <x:c r="M2385" s="11" t="n">
        <x:v>67912</x:v>
      </x:c>
      <x:c r="N2385" s="7" t="n">
        <x:v>1</x:v>
      </x:c>
      <x:c r="O2385" s="7" t="n">
        <x:v>0</x:v>
      </x:c>
      <x:c r="P2385" s="9" t="n">
        <x:v>5.75</x:v>
      </x:c>
      <x:c r="Q2385" s="7" t="n">
        <x:f>'Guide'!$B$5-L2385</x:f>
        <x:v>3</x:v>
      </x:c>
      <x:c r="R2385" s="9" t="n">
        <x:f>K2385-P2385</x:f>
        <x:v>3.0500000000000007</x:v>
      </x:c>
      <x:c r="S2385" s="10" t="n">
        <x:f>IF(K2385&gt;0,R2385/K2385,"")</x:f>
        <x:v>0.3465909090909091</x:v>
      </x:c>
    </x:row>
    <x:row r="2386">
      <x:c r="A2386" s="7" t="n">
        <x:v>2382</x:v>
      </x:c>
      <x:c r="B2386" s="7" t="str">
        <x:v>Tata</x:v>
      </x:c>
      <x:c r="C2386" s="7" t="str">
        <x:v>Punch</x:v>
      </x:c>
      <x:c r="D2386" s="7" t="str">
        <x:v>Adventure CNG</x:v>
      </x:c>
      <x:c r="E2386" s="7" t="str">
        <x:v>CNG</x:v>
      </x:c>
      <x:c r="F2386" s="7" t="str">
        <x:v>Manual</x:v>
      </x:c>
      <x:c r="G2386" s="7" t="str">
        <x:v>Micro SUV</x:v>
      </x:c>
      <x:c r="H2386" s="7" t="n">
        <x:v>1199</x:v>
      </x:c>
      <x:c r="I2386" s="7" t="n">
        <x:v>73</x:v>
      </x:c>
      <x:c r="J2386" s="9" t="n">
        <x:v>26.9</x:v>
      </x:c>
      <x:c r="K2386" s="9" t="n">
        <x:v>8.8</x:v>
      </x:c>
      <x:c r="L2386" s="7" t="n">
        <x:v>2026</x:v>
      </x:c>
      <x:c r="M2386" s="11" t="n">
        <x:v>6196</x:v>
      </x:c>
      <x:c r="N2386" s="7" t="n">
        <x:v>1</x:v>
      </x:c>
      <x:c r="O2386" s="7" t="n">
        <x:v>0</x:v>
      </x:c>
      <x:c r="P2386" s="9" t="n">
        <x:v>8.68</x:v>
      </x:c>
      <x:c r="Q2386" s="7" t="n">
        <x:f>'Guide'!$B$5-L2386</x:f>
        <x:v>0</x:v>
      </x:c>
      <x:c r="R2386" s="9" t="n">
        <x:f>K2386-P2386</x:f>
        <x:v>0.120000000000001</x:v>
      </x:c>
      <x:c r="S2386" s="10" t="n">
        <x:f>IF(K2386&gt;0,R2386/K2386,"")</x:f>
        <x:v>0.013636363636363748</x:v>
      </x:c>
    </x:row>
    <x:row r="2387">
      <x:c r="A2387" s="7" t="n">
        <x:v>2383</x:v>
      </x:c>
      <x:c r="B2387" s="7" t="str">
        <x:v>Tata</x:v>
      </x:c>
      <x:c r="C2387" s="7" t="str">
        <x:v>Punch</x:v>
      </x:c>
      <x:c r="D2387" s="7" t="str">
        <x:v>Adventure CNG</x:v>
      </x:c>
      <x:c r="E2387" s="7" t="str">
        <x:v>CNG</x:v>
      </x:c>
      <x:c r="F2387" s="7" t="str">
        <x:v>Manual</x:v>
      </x:c>
      <x:c r="G2387" s="7" t="str">
        <x:v>Micro SUV</x:v>
      </x:c>
      <x:c r="H2387" s="7" t="n">
        <x:v>1199</x:v>
      </x:c>
      <x:c r="I2387" s="7" t="n">
        <x:v>73</x:v>
      </x:c>
      <x:c r="J2387" s="9" t="n">
        <x:v>26.9</x:v>
      </x:c>
      <x:c r="K2387" s="9" t="n">
        <x:v>8.8</x:v>
      </x:c>
      <x:c r="L2387" s="7" t="n">
        <x:v>2024</x:v>
      </x:c>
      <x:c r="M2387" s="11" t="n">
        <x:v>46129</x:v>
      </x:c>
      <x:c r="N2387" s="7" t="n">
        <x:v>1</x:v>
      </x:c>
      <x:c r="O2387" s="7" t="n">
        <x:v>0</x:v>
      </x:c>
      <x:c r="P2387" s="9" t="n">
        <x:v>7.27</x:v>
      </x:c>
      <x:c r="Q2387" s="7" t="n">
        <x:f>'Guide'!$B$5-L2387</x:f>
        <x:v>2</x:v>
      </x:c>
      <x:c r="R2387" s="9" t="n">
        <x:f>K2387-P2387</x:f>
        <x:v>1.5300000000000011</x:v>
      </x:c>
      <x:c r="S2387" s="10" t="n">
        <x:f>IF(K2387&gt;0,R2387/K2387,"")</x:f>
        <x:v>0.17386363636363647</x:v>
      </x:c>
    </x:row>
    <x:row r="2388">
      <x:c r="A2388" s="7" t="n">
        <x:v>2384</x:v>
      </x:c>
      <x:c r="B2388" s="7" t="str">
        <x:v>Tata</x:v>
      </x:c>
      <x:c r="C2388" s="7" t="str">
        <x:v>Punch</x:v>
      </x:c>
      <x:c r="D2388" s="7" t="str">
        <x:v>Adventure CNG</x:v>
      </x:c>
      <x:c r="E2388" s="7" t="str">
        <x:v>CNG</x:v>
      </x:c>
      <x:c r="F2388" s="7" t="str">
        <x:v>Manual</x:v>
      </x:c>
      <x:c r="G2388" s="7" t="str">
        <x:v>Micro SUV</x:v>
      </x:c>
      <x:c r="H2388" s="7" t="n">
        <x:v>1199</x:v>
      </x:c>
      <x:c r="I2388" s="7" t="n">
        <x:v>73</x:v>
      </x:c>
      <x:c r="J2388" s="9" t="n">
        <x:v>26.9</x:v>
      </x:c>
      <x:c r="K2388" s="9" t="n">
        <x:v>8.8</x:v>
      </x:c>
      <x:c r="L2388" s="7" t="n">
        <x:v>2021</x:v>
      </x:c>
      <x:c r="M2388" s="11" t="n">
        <x:v>67375</x:v>
      </x:c>
      <x:c r="N2388" s="7" t="n">
        <x:v>1</x:v>
      </x:c>
      <x:c r="O2388" s="7" t="n">
        <x:v>0</x:v>
      </x:c>
      <x:c r="P2388" s="9" t="n">
        <x:v>4.86</x:v>
      </x:c>
      <x:c r="Q2388" s="7" t="n">
        <x:f>'Guide'!$B$5-L2388</x:f>
        <x:v>5</x:v>
      </x:c>
      <x:c r="R2388" s="9" t="n">
        <x:f>K2388-P2388</x:f>
        <x:v>3.9400000000000004</x:v>
      </x:c>
      <x:c r="S2388" s="10" t="n">
        <x:f>IF(K2388&gt;0,R2388/K2388,"")</x:f>
        <x:v>0.44772727272727275</x:v>
      </x:c>
    </x:row>
    <x:row r="2389">
      <x:c r="A2389" s="7" t="n">
        <x:v>2385</x:v>
      </x:c>
      <x:c r="B2389" s="7" t="str">
        <x:v>Tata</x:v>
      </x:c>
      <x:c r="C2389" s="7" t="str">
        <x:v>Punch</x:v>
      </x:c>
      <x:c r="D2389" s="7" t="str">
        <x:v>Adventure CNG</x:v>
      </x:c>
      <x:c r="E2389" s="7" t="str">
        <x:v>CNG</x:v>
      </x:c>
      <x:c r="F2389" s="7" t="str">
        <x:v>Manual</x:v>
      </x:c>
      <x:c r="G2389" s="7" t="str">
        <x:v>Micro SUV</x:v>
      </x:c>
      <x:c r="H2389" s="7" t="n">
        <x:v>1199</x:v>
      </x:c>
      <x:c r="I2389" s="7" t="n">
        <x:v>73</x:v>
      </x:c>
      <x:c r="J2389" s="9" t="n">
        <x:v>26.9</x:v>
      </x:c>
      <x:c r="K2389" s="9" t="n">
        <x:v>8.8</x:v>
      </x:c>
      <x:c r="L2389" s="7" t="n">
        <x:v>2024</x:v>
      </x:c>
      <x:c r="M2389" s="11" t="n">
        <x:v>23336</x:v>
      </x:c>
      <x:c r="N2389" s="7" t="n">
        <x:v>1</x:v>
      </x:c>
      <x:c r="O2389" s="7" t="n">
        <x:v>0</x:v>
      </x:c>
      <x:c r="P2389" s="9" t="n">
        <x:v>7.08</x:v>
      </x:c>
      <x:c r="Q2389" s="7" t="n">
        <x:f>'Guide'!$B$5-L2389</x:f>
        <x:v>2</x:v>
      </x:c>
      <x:c r="R2389" s="9" t="n">
        <x:f>K2389-P2389</x:f>
        <x:v>1.7200000000000006</x:v>
      </x:c>
      <x:c r="S2389" s="10" t="n">
        <x:f>IF(K2389&gt;0,R2389/K2389,"")</x:f>
        <x:v>0.19545454545454552</x:v>
      </x:c>
    </x:row>
    <x:row r="2390">
      <x:c r="A2390" s="7" t="n">
        <x:v>2386</x:v>
      </x:c>
      <x:c r="B2390" s="7" t="str">
        <x:v>Tata</x:v>
      </x:c>
      <x:c r="C2390" s="7" t="str">
        <x:v>Punch</x:v>
      </x:c>
      <x:c r="D2390" s="7" t="str">
        <x:v>Adventure CNG</x:v>
      </x:c>
      <x:c r="E2390" s="7" t="str">
        <x:v>CNG</x:v>
      </x:c>
      <x:c r="F2390" s="7" t="str">
        <x:v>Manual</x:v>
      </x:c>
      <x:c r="G2390" s="7" t="str">
        <x:v>Micro SUV</x:v>
      </x:c>
      <x:c r="H2390" s="7" t="n">
        <x:v>1199</x:v>
      </x:c>
      <x:c r="I2390" s="7" t="n">
        <x:v>73</x:v>
      </x:c>
      <x:c r="J2390" s="9" t="n">
        <x:v>26.9</x:v>
      </x:c>
      <x:c r="K2390" s="9" t="n">
        <x:v>8.8</x:v>
      </x:c>
      <x:c r="L2390" s="7" t="n">
        <x:v>2022</x:v>
      </x:c>
      <x:c r="M2390" s="11" t="n">
        <x:v>62508</x:v>
      </x:c>
      <x:c r="N2390" s="7" t="n">
        <x:v>1</x:v>
      </x:c>
      <x:c r="O2390" s="7" t="n">
        <x:v>1</x:v>
      </x:c>
      <x:c r="P2390" s="9" t="n">
        <x:v>4.12</x:v>
      </x:c>
      <x:c r="Q2390" s="7" t="n">
        <x:f>'Guide'!$B$5-L2390</x:f>
        <x:v>4</x:v>
      </x:c>
      <x:c r="R2390" s="9" t="n">
        <x:f>K2390-P2390</x:f>
        <x:v>4.680000000000001</x:v>
      </x:c>
      <x:c r="S2390" s="10" t="n">
        <x:f>IF(K2390&gt;0,R2390/K2390,"")</x:f>
        <x:v>0.5318181818181819</x:v>
      </x:c>
    </x:row>
    <x:row r="2391">
      <x:c r="A2391" s="7" t="n">
        <x:v>2387</x:v>
      </x:c>
      <x:c r="B2391" s="7" t="str">
        <x:v>Tata</x:v>
      </x:c>
      <x:c r="C2391" s="7" t="str">
        <x:v>Punch</x:v>
      </x:c>
      <x:c r="D2391" s="7" t="str">
        <x:v>Adventure CNG</x:v>
      </x:c>
      <x:c r="E2391" s="7" t="str">
        <x:v>CNG</x:v>
      </x:c>
      <x:c r="F2391" s="7" t="str">
        <x:v>Manual</x:v>
      </x:c>
      <x:c r="G2391" s="7" t="str">
        <x:v>Micro SUV</x:v>
      </x:c>
      <x:c r="H2391" s="7" t="n">
        <x:v>1199</x:v>
      </x:c>
      <x:c r="I2391" s="7" t="n">
        <x:v>73</x:v>
      </x:c>
      <x:c r="J2391" s="9" t="n">
        <x:v>26.9</x:v>
      </x:c>
      <x:c r="K2391" s="9" t="n">
        <x:v>8.8</x:v>
      </x:c>
      <x:c r="L2391" s="7" t="n">
        <x:v>2024</x:v>
      </x:c>
      <x:c r="M2391" s="11" t="n">
        <x:v>26313</x:v>
      </x:c>
      <x:c r="N2391" s="7" t="n">
        <x:v>1</x:v>
      </x:c>
      <x:c r="O2391" s="7" t="n">
        <x:v>0</x:v>
      </x:c>
      <x:c r="P2391" s="9" t="n">
        <x:v>6.78</x:v>
      </x:c>
      <x:c r="Q2391" s="7" t="n">
        <x:f>'Guide'!$B$5-L2391</x:f>
        <x:v>2</x:v>
      </x:c>
      <x:c r="R2391" s="9" t="n">
        <x:f>K2391-P2391</x:f>
        <x:v>2.0200000000000005</x:v>
      </x:c>
      <x:c r="S2391" s="10" t="n">
        <x:f>IF(K2391&gt;0,R2391/K2391,"")</x:f>
        <x:v>0.22954545454545458</x:v>
      </x:c>
    </x:row>
    <x:row r="2392">
      <x:c r="A2392" s="7" t="n">
        <x:v>2388</x:v>
      </x:c>
      <x:c r="B2392" s="7" t="str">
        <x:v>Tata</x:v>
      </x:c>
      <x:c r="C2392" s="7" t="str">
        <x:v>Punch</x:v>
      </x:c>
      <x:c r="D2392" s="7" t="str">
        <x:v>Adventure CNG</x:v>
      </x:c>
      <x:c r="E2392" s="7" t="str">
        <x:v>CNG</x:v>
      </x:c>
      <x:c r="F2392" s="7" t="str">
        <x:v>Manual</x:v>
      </x:c>
      <x:c r="G2392" s="7" t="str">
        <x:v>Micro SUV</x:v>
      </x:c>
      <x:c r="H2392" s="7" t="n">
        <x:v>1199</x:v>
      </x:c>
      <x:c r="I2392" s="7" t="n">
        <x:v>73</x:v>
      </x:c>
      <x:c r="J2392" s="9" t="n">
        <x:v>26.9</x:v>
      </x:c>
      <x:c r="K2392" s="9" t="n">
        <x:v>8.8</x:v>
      </x:c>
      <x:c r="L2392" s="7" t="n">
        <x:v>2021</x:v>
      </x:c>
      <x:c r="M2392" s="11" t="n">
        <x:v>49441</x:v>
      </x:c>
      <x:c r="N2392" s="7" t="n">
        <x:v>2</x:v>
      </x:c>
      <x:c r="O2392" s="7" t="n">
        <x:v>0</x:v>
      </x:c>
      <x:c r="P2392" s="9" t="n">
        <x:v>4.26</x:v>
      </x:c>
      <x:c r="Q2392" s="7" t="n">
        <x:f>'Guide'!$B$5-L2392</x:f>
        <x:v>5</x:v>
      </x:c>
      <x:c r="R2392" s="9" t="n">
        <x:f>K2392-P2392</x:f>
        <x:v>4.540000000000001</x:v>
      </x:c>
      <x:c r="S2392" s="10" t="n">
        <x:f>IF(K2392&gt;0,R2392/K2392,"")</x:f>
        <x:v>0.515909090909091</x:v>
      </x:c>
    </x:row>
    <x:row r="2393">
      <x:c r="A2393" s="7" t="n">
        <x:v>2389</x:v>
      </x:c>
      <x:c r="B2393" s="7" t="str">
        <x:v>Tata</x:v>
      </x:c>
      <x:c r="C2393" s="7" t="str">
        <x:v>Punch</x:v>
      </x:c>
      <x:c r="D2393" s="7" t="str">
        <x:v>Adventure CNG</x:v>
      </x:c>
      <x:c r="E2393" s="7" t="str">
        <x:v>CNG</x:v>
      </x:c>
      <x:c r="F2393" s="7" t="str">
        <x:v>Manual</x:v>
      </x:c>
      <x:c r="G2393" s="7" t="str">
        <x:v>Micro SUV</x:v>
      </x:c>
      <x:c r="H2393" s="7" t="n">
        <x:v>1199</x:v>
      </x:c>
      <x:c r="I2393" s="7" t="n">
        <x:v>73</x:v>
      </x:c>
      <x:c r="J2393" s="9" t="n">
        <x:v>26.9</x:v>
      </x:c>
      <x:c r="K2393" s="9" t="n">
        <x:v>8.8</x:v>
      </x:c>
      <x:c r="L2393" s="7" t="n">
        <x:v>2024</x:v>
      </x:c>
      <x:c r="M2393" s="11" t="n">
        <x:v>35965</x:v>
      </x:c>
      <x:c r="N2393" s="7" t="n">
        <x:v>3</x:v>
      </x:c>
      <x:c r="O2393" s="7" t="n">
        <x:v>0</x:v>
      </x:c>
      <x:c r="P2393" s="9" t="n">
        <x:v>5.96</x:v>
      </x:c>
      <x:c r="Q2393" s="7" t="n">
        <x:f>'Guide'!$B$5-L2393</x:f>
        <x:v>2</x:v>
      </x:c>
      <x:c r="R2393" s="9" t="n">
        <x:f>K2393-P2393</x:f>
        <x:v>2.8400000000000007</x:v>
      </x:c>
      <x:c r="S2393" s="10" t="n">
        <x:f>IF(K2393&gt;0,R2393/K2393,"")</x:f>
        <x:v>0.3227272727272728</x:v>
      </x:c>
    </x:row>
    <x:row r="2394">
      <x:c r="A2394" s="7" t="n">
        <x:v>2390</x:v>
      </x:c>
      <x:c r="B2394" s="7" t="str">
        <x:v>Tata</x:v>
      </x:c>
      <x:c r="C2394" s="7" t="str">
        <x:v>Punch</x:v>
      </x:c>
      <x:c r="D2394" s="7" t="str">
        <x:v>Adventure CNG</x:v>
      </x:c>
      <x:c r="E2394" s="7" t="str">
        <x:v>CNG</x:v>
      </x:c>
      <x:c r="F2394" s="7" t="str">
        <x:v>Manual</x:v>
      </x:c>
      <x:c r="G2394" s="7" t="str">
        <x:v>Micro SUV</x:v>
      </x:c>
      <x:c r="H2394" s="7" t="n">
        <x:v>1199</x:v>
      </x:c>
      <x:c r="I2394" s="7" t="n">
        <x:v>73</x:v>
      </x:c>
      <x:c r="J2394" s="9" t="n">
        <x:v>26.9</x:v>
      </x:c>
      <x:c r="K2394" s="9" t="n">
        <x:v>8.8</x:v>
      </x:c>
      <x:c r="L2394" s="7" t="n">
        <x:v>2022</x:v>
      </x:c>
      <x:c r="M2394" s="11" t="n">
        <x:v>73263</x:v>
      </x:c>
      <x:c r="N2394" s="7" t="n">
        <x:v>2</x:v>
      </x:c>
      <x:c r="O2394" s="7" t="n">
        <x:v>0</x:v>
      </x:c>
      <x:c r="P2394" s="9" t="n">
        <x:v>5.11</x:v>
      </x:c>
      <x:c r="Q2394" s="7" t="n">
        <x:f>'Guide'!$B$5-L2394</x:f>
        <x:v>4</x:v>
      </x:c>
      <x:c r="R2394" s="9" t="n">
        <x:f>K2394-P2394</x:f>
        <x:v>3.6900000000000004</x:v>
      </x:c>
      <x:c r="S2394" s="10" t="n">
        <x:f>IF(K2394&gt;0,R2394/K2394,"")</x:f>
        <x:v>0.4193181818181818</x:v>
      </x:c>
    </x:row>
    <x:row r="2395">
      <x:c r="A2395" s="7" t="n">
        <x:v>2391</x:v>
      </x:c>
      <x:c r="B2395" s="7" t="str">
        <x:v>Tata</x:v>
      </x:c>
      <x:c r="C2395" s="7" t="str">
        <x:v>Punch</x:v>
      </x:c>
      <x:c r="D2395" s="7" t="str">
        <x:v>Adventure CNG</x:v>
      </x:c>
      <x:c r="E2395" s="7" t="str">
        <x:v>CNG</x:v>
      </x:c>
      <x:c r="F2395" s="7" t="str">
        <x:v>Manual</x:v>
      </x:c>
      <x:c r="G2395" s="7" t="str">
        <x:v>Micro SUV</x:v>
      </x:c>
      <x:c r="H2395" s="7" t="n">
        <x:v>1199</x:v>
      </x:c>
      <x:c r="I2395" s="7" t="n">
        <x:v>73</x:v>
      </x:c>
      <x:c r="J2395" s="9" t="n">
        <x:v>26.9</x:v>
      </x:c>
      <x:c r="K2395" s="9" t="n">
        <x:v>8.8</x:v>
      </x:c>
      <x:c r="L2395" s="7" t="n">
        <x:v>2026</x:v>
      </x:c>
      <x:c r="M2395" s="11" t="n">
        <x:v>8018</x:v>
      </x:c>
      <x:c r="N2395" s="7" t="n">
        <x:v>3</x:v>
      </x:c>
      <x:c r="O2395" s="7" t="n">
        <x:v>0</x:v>
      </x:c>
      <x:c r="P2395" s="9" t="n">
        <x:v>7.52</x:v>
      </x:c>
      <x:c r="Q2395" s="7" t="n">
        <x:f>'Guide'!$B$5-L2395</x:f>
        <x:v>0</x:v>
      </x:c>
      <x:c r="R2395" s="9" t="n">
        <x:f>K2395-P2395</x:f>
        <x:v>1.2800000000000011</x:v>
      </x:c>
      <x:c r="S2395" s="10" t="n">
        <x:f>IF(K2395&gt;0,R2395/K2395,"")</x:f>
        <x:v>0.14545454545454556</x:v>
      </x:c>
    </x:row>
    <x:row r="2396">
      <x:c r="A2396" s="7" t="n">
        <x:v>2392</x:v>
      </x:c>
      <x:c r="B2396" s="7" t="str">
        <x:v>Tata</x:v>
      </x:c>
      <x:c r="C2396" s="7" t="str">
        <x:v>Punch</x:v>
      </x:c>
      <x:c r="D2396" s="7" t="str">
        <x:v>Adventure CNG</x:v>
      </x:c>
      <x:c r="E2396" s="7" t="str">
        <x:v>CNG</x:v>
      </x:c>
      <x:c r="F2396" s="7" t="str">
        <x:v>Manual</x:v>
      </x:c>
      <x:c r="G2396" s="7" t="str">
        <x:v>Micro SUV</x:v>
      </x:c>
      <x:c r="H2396" s="7" t="n">
        <x:v>1199</x:v>
      </x:c>
      <x:c r="I2396" s="7" t="n">
        <x:v>73</x:v>
      </x:c>
      <x:c r="J2396" s="9" t="n">
        <x:v>26.9</x:v>
      </x:c>
      <x:c r="K2396" s="9" t="n">
        <x:v>8.8</x:v>
      </x:c>
      <x:c r="L2396" s="7" t="n">
        <x:v>2026</x:v>
      </x:c>
      <x:c r="M2396" s="11" t="n">
        <x:v>8745</x:v>
      </x:c>
      <x:c r="N2396" s="7" t="n">
        <x:v>1</x:v>
      </x:c>
      <x:c r="O2396" s="7" t="n">
        <x:v>0</x:v>
      </x:c>
      <x:c r="P2396" s="9" t="n">
        <x:v>8.46</x:v>
      </x:c>
      <x:c r="Q2396" s="7" t="n">
        <x:f>'Guide'!$B$5-L2396</x:f>
        <x:v>0</x:v>
      </x:c>
      <x:c r="R2396" s="9" t="n">
        <x:f>K2396-P2396</x:f>
        <x:v>0.33999999999999986</x:v>
      </x:c>
      <x:c r="S2396" s="10" t="n">
        <x:f>IF(K2396&gt;0,R2396/K2396,"")</x:f>
        <x:v>0.038636363636363615</x:v>
      </x:c>
    </x:row>
    <x:row r="2397">
      <x:c r="A2397" s="7" t="n">
        <x:v>2393</x:v>
      </x:c>
      <x:c r="B2397" s="7" t="str">
        <x:v>Tata</x:v>
      </x:c>
      <x:c r="C2397" s="7" t="str">
        <x:v>Punch</x:v>
      </x:c>
      <x:c r="D2397" s="7" t="str">
        <x:v>Adventure CNG</x:v>
      </x:c>
      <x:c r="E2397" s="7" t="str">
        <x:v>CNG</x:v>
      </x:c>
      <x:c r="F2397" s="7" t="str">
        <x:v>Manual</x:v>
      </x:c>
      <x:c r="G2397" s="7" t="str">
        <x:v>Micro SUV</x:v>
      </x:c>
      <x:c r="H2397" s="7" t="n">
        <x:v>1199</x:v>
      </x:c>
      <x:c r="I2397" s="7" t="n">
        <x:v>73</x:v>
      </x:c>
      <x:c r="J2397" s="9" t="n">
        <x:v>26.9</x:v>
      </x:c>
      <x:c r="K2397" s="9" t="n">
        <x:v>8.8</x:v>
      </x:c>
      <x:c r="L2397" s="7" t="n">
        <x:v>2022</x:v>
      </x:c>
      <x:c r="M2397" s="11" t="n">
        <x:v>80641</x:v>
      </x:c>
      <x:c r="N2397" s="7" t="n">
        <x:v>1</x:v>
      </x:c>
      <x:c r="O2397" s="7" t="n">
        <x:v>0</x:v>
      </x:c>
      <x:c r="P2397" s="9" t="n">
        <x:v>5.44</x:v>
      </x:c>
      <x:c r="Q2397" s="7" t="n">
        <x:f>'Guide'!$B$5-L2397</x:f>
        <x:v>4</x:v>
      </x:c>
      <x:c r="R2397" s="9" t="n">
        <x:f>K2397-P2397</x:f>
        <x:v>3.3600000000000003</x:v>
      </x:c>
      <x:c r="S2397" s="10" t="n">
        <x:f>IF(K2397&gt;0,R2397/K2397,"")</x:f>
        <x:v>0.38181818181818183</x:v>
      </x:c>
    </x:row>
    <x:row r="2398">
      <x:c r="A2398" s="7" t="n">
        <x:v>2394</x:v>
      </x:c>
      <x:c r="B2398" s="7" t="str">
        <x:v>Tata</x:v>
      </x:c>
      <x:c r="C2398" s="7" t="str">
        <x:v>Punch</x:v>
      </x:c>
      <x:c r="D2398" s="7" t="str">
        <x:v>Adventure CNG</x:v>
      </x:c>
      <x:c r="E2398" s="7" t="str">
        <x:v>CNG</x:v>
      </x:c>
      <x:c r="F2398" s="7" t="str">
        <x:v>Manual</x:v>
      </x:c>
      <x:c r="G2398" s="7" t="str">
        <x:v>Micro SUV</x:v>
      </x:c>
      <x:c r="H2398" s="7" t="n">
        <x:v>1199</x:v>
      </x:c>
      <x:c r="I2398" s="7" t="n">
        <x:v>73</x:v>
      </x:c>
      <x:c r="J2398" s="9" t="n">
        <x:v>26.9</x:v>
      </x:c>
      <x:c r="K2398" s="9" t="n">
        <x:v>8.8</x:v>
      </x:c>
      <x:c r="L2398" s="7" t="n">
        <x:v>2024</x:v>
      </x:c>
      <x:c r="M2398" s="11" t="n">
        <x:v>37412</x:v>
      </x:c>
      <x:c r="N2398" s="7" t="n">
        <x:v>1</x:v>
      </x:c>
      <x:c r="O2398" s="7" t="n">
        <x:v>0</x:v>
      </x:c>
      <x:c r="P2398" s="9" t="n">
        <x:v>6.62</x:v>
      </x:c>
      <x:c r="Q2398" s="7" t="n">
        <x:f>'Guide'!$B$5-L2398</x:f>
        <x:v>2</x:v>
      </x:c>
      <x:c r="R2398" s="9" t="n">
        <x:f>K2398-P2398</x:f>
        <x:v>2.1800000000000006</x:v>
      </x:c>
      <x:c r="S2398" s="10" t="n">
        <x:f>IF(K2398&gt;0,R2398/K2398,"")</x:f>
        <x:v>0.24772727272727277</x:v>
      </x:c>
    </x:row>
    <x:row r="2399">
      <x:c r="A2399" s="7" t="n">
        <x:v>2395</x:v>
      </x:c>
      <x:c r="B2399" s="7" t="str">
        <x:v>Tata</x:v>
      </x:c>
      <x:c r="C2399" s="7" t="str">
        <x:v>Punch</x:v>
      </x:c>
      <x:c r="D2399" s="7" t="str">
        <x:v>Adventure CNG</x:v>
      </x:c>
      <x:c r="E2399" s="7" t="str">
        <x:v>CNG</x:v>
      </x:c>
      <x:c r="F2399" s="7" t="str">
        <x:v>Manual</x:v>
      </x:c>
      <x:c r="G2399" s="7" t="str">
        <x:v>Micro SUV</x:v>
      </x:c>
      <x:c r="H2399" s="7" t="n">
        <x:v>1199</x:v>
      </x:c>
      <x:c r="I2399" s="7" t="n">
        <x:v>73</x:v>
      </x:c>
      <x:c r="J2399" s="9" t="n">
        <x:v>26.9</x:v>
      </x:c>
      <x:c r="K2399" s="9" t="n">
        <x:v>8.8</x:v>
      </x:c>
      <x:c r="L2399" s="7" t="n">
        <x:v>2026</x:v>
      </x:c>
      <x:c r="M2399" s="11" t="n">
        <x:v>9543</x:v>
      </x:c>
      <x:c r="N2399" s="7" t="n">
        <x:v>1</x:v>
      </x:c>
      <x:c r="O2399" s="7" t="n">
        <x:v>0</x:v>
      </x:c>
      <x:c r="P2399" s="9" t="n">
        <x:v>8.59</x:v>
      </x:c>
      <x:c r="Q2399" s="7" t="n">
        <x:f>'Guide'!$B$5-L2399</x:f>
        <x:v>0</x:v>
      </x:c>
      <x:c r="R2399" s="9" t="n">
        <x:f>K2399-P2399</x:f>
        <x:v>0.21000000000000085</x:v>
      </x:c>
      <x:c r="S2399" s="10" t="n">
        <x:f>IF(K2399&gt;0,R2399/K2399,"")</x:f>
        <x:v>0.02386363636363646</x:v>
      </x:c>
    </x:row>
    <x:row r="2400">
      <x:c r="A2400" s="7" t="n">
        <x:v>2396</x:v>
      </x:c>
      <x:c r="B2400" s="7" t="str">
        <x:v>Tata</x:v>
      </x:c>
      <x:c r="C2400" s="7" t="str">
        <x:v>Punch</x:v>
      </x:c>
      <x:c r="D2400" s="7" t="str">
        <x:v>Adventure CNG</x:v>
      </x:c>
      <x:c r="E2400" s="7" t="str">
        <x:v>CNG</x:v>
      </x:c>
      <x:c r="F2400" s="7" t="str">
        <x:v>Manual</x:v>
      </x:c>
      <x:c r="G2400" s="7" t="str">
        <x:v>Micro SUV</x:v>
      </x:c>
      <x:c r="H2400" s="7" t="n">
        <x:v>1199</x:v>
      </x:c>
      <x:c r="I2400" s="7" t="n">
        <x:v>73</x:v>
      </x:c>
      <x:c r="J2400" s="9" t="n">
        <x:v>26.9</x:v>
      </x:c>
      <x:c r="K2400" s="9" t="n">
        <x:v>8.8</x:v>
      </x:c>
      <x:c r="L2400" s="7" t="n">
        <x:v>2026</x:v>
      </x:c>
      <x:c r="M2400" s="11" t="n">
        <x:v>6474</x:v>
      </x:c>
      <x:c r="N2400" s="7" t="n">
        <x:v>2</x:v>
      </x:c>
      <x:c r="O2400" s="7" t="n">
        <x:v>0</x:v>
      </x:c>
      <x:c r="P2400" s="9" t="n">
        <x:v>8.69</x:v>
      </x:c>
      <x:c r="Q2400" s="7" t="n">
        <x:f>'Guide'!$B$5-L2400</x:f>
        <x:v>0</x:v>
      </x:c>
      <x:c r="R2400" s="9" t="n">
        <x:f>K2400-P2400</x:f>
        <x:v>0.11000000000000121</x:v>
      </x:c>
      <x:c r="S2400" s="10" t="n">
        <x:f>IF(K2400&gt;0,R2400/K2400,"")</x:f>
        <x:v>0.012500000000000136</x:v>
      </x:c>
    </x:row>
    <x:row r="2401">
      <x:c r="A2401" s="7" t="n">
        <x:v>2397</x:v>
      </x:c>
      <x:c r="B2401" s="7" t="str">
        <x:v>Tata</x:v>
      </x:c>
      <x:c r="C2401" s="7" t="str">
        <x:v>Punch</x:v>
      </x:c>
      <x:c r="D2401" s="7" t="str">
        <x:v>Adventure CNG</x:v>
      </x:c>
      <x:c r="E2401" s="7" t="str">
        <x:v>CNG</x:v>
      </x:c>
      <x:c r="F2401" s="7" t="str">
        <x:v>Manual</x:v>
      </x:c>
      <x:c r="G2401" s="7" t="str">
        <x:v>Micro SUV</x:v>
      </x:c>
      <x:c r="H2401" s="7" t="n">
        <x:v>1199</x:v>
      </x:c>
      <x:c r="I2401" s="7" t="n">
        <x:v>73</x:v>
      </x:c>
      <x:c r="J2401" s="9" t="n">
        <x:v>26.9</x:v>
      </x:c>
      <x:c r="K2401" s="9" t="n">
        <x:v>8.8</x:v>
      </x:c>
      <x:c r="L2401" s="7" t="n">
        <x:v>2025</x:v>
      </x:c>
      <x:c r="M2401" s="11" t="n">
        <x:v>23704</x:v>
      </x:c>
      <x:c r="N2401" s="7" t="n">
        <x:v>2</x:v>
      </x:c>
      <x:c r="O2401" s="7" t="n">
        <x:v>0</x:v>
      </x:c>
      <x:c r="P2401" s="9" t="n">
        <x:v>7.82</x:v>
      </x:c>
      <x:c r="Q2401" s="7" t="n">
        <x:f>'Guide'!$B$5-L2401</x:f>
        <x:v>1</x:v>
      </x:c>
      <x:c r="R2401" s="9" t="n">
        <x:f>K2401-P2401</x:f>
        <x:v>0.9800000000000004</x:v>
      </x:c>
      <x:c r="S2401" s="10" t="n">
        <x:f>IF(K2401&gt;0,R2401/K2401,"")</x:f>
        <x:v>0.1113636363636364</x:v>
      </x:c>
    </x:row>
    <x:row r="2402">
      <x:c r="A2402" s="7" t="n">
        <x:v>2398</x:v>
      </x:c>
      <x:c r="B2402" s="7" t="str">
        <x:v>Tata</x:v>
      </x:c>
      <x:c r="C2402" s="7" t="str">
        <x:v>Punch</x:v>
      </x:c>
      <x:c r="D2402" s="7" t="str">
        <x:v>Adventure CNG</x:v>
      </x:c>
      <x:c r="E2402" s="7" t="str">
        <x:v>CNG</x:v>
      </x:c>
      <x:c r="F2402" s="7" t="str">
        <x:v>Manual</x:v>
      </x:c>
      <x:c r="G2402" s="7" t="str">
        <x:v>Micro SUV</x:v>
      </x:c>
      <x:c r="H2402" s="7" t="n">
        <x:v>1199</x:v>
      </x:c>
      <x:c r="I2402" s="7" t="n">
        <x:v>73</x:v>
      </x:c>
      <x:c r="J2402" s="9" t="n">
        <x:v>26.9</x:v>
      </x:c>
      <x:c r="K2402" s="9" t="n">
        <x:v>8.8</x:v>
      </x:c>
      <x:c r="L2402" s="7" t="n">
        <x:v>2023</x:v>
      </x:c>
      <x:c r="M2402" s="11" t="n">
        <x:v>54693</x:v>
      </x:c>
      <x:c r="N2402" s="7" t="n">
        <x:v>1</x:v>
      </x:c>
      <x:c r="O2402" s="7" t="n">
        <x:v>0</x:v>
      </x:c>
      <x:c r="P2402" s="9" t="n">
        <x:v>6.47</x:v>
      </x:c>
      <x:c r="Q2402" s="7" t="n">
        <x:f>'Guide'!$B$5-L2402</x:f>
        <x:v>3</x:v>
      </x:c>
      <x:c r="R2402" s="9" t="n">
        <x:f>K2402-P2402</x:f>
        <x:v>2.330000000000001</x:v>
      </x:c>
      <x:c r="S2402" s="10" t="n">
        <x:f>IF(K2402&gt;0,R2402/K2402,"")</x:f>
        <x:v>0.2647727272727274</x:v>
      </x:c>
    </x:row>
    <x:row r="2403">
      <x:c r="A2403" s="7" t="n">
        <x:v>2399</x:v>
      </x:c>
      <x:c r="B2403" s="7" t="str">
        <x:v>Tata</x:v>
      </x:c>
      <x:c r="C2403" s="7" t="str">
        <x:v>Punch</x:v>
      </x:c>
      <x:c r="D2403" s="7" t="str">
        <x:v>Adventure CNG</x:v>
      </x:c>
      <x:c r="E2403" s="7" t="str">
        <x:v>CNG</x:v>
      </x:c>
      <x:c r="F2403" s="7" t="str">
        <x:v>Manual</x:v>
      </x:c>
      <x:c r="G2403" s="7" t="str">
        <x:v>Micro SUV</x:v>
      </x:c>
      <x:c r="H2403" s="7" t="n">
        <x:v>1199</x:v>
      </x:c>
      <x:c r="I2403" s="7" t="n">
        <x:v>73</x:v>
      </x:c>
      <x:c r="J2403" s="9" t="n">
        <x:v>26.9</x:v>
      </x:c>
      <x:c r="K2403" s="9" t="n">
        <x:v>8.8</x:v>
      </x:c>
      <x:c r="L2403" s="7" t="n">
        <x:v>2022</x:v>
      </x:c>
      <x:c r="M2403" s="11" t="n">
        <x:v>74374</x:v>
      </x:c>
      <x:c r="N2403" s="7" t="n">
        <x:v>1</x:v>
      </x:c>
      <x:c r="O2403" s="7" t="n">
        <x:v>0</x:v>
      </x:c>
      <x:c r="P2403" s="9" t="n">
        <x:v>5.1</x:v>
      </x:c>
      <x:c r="Q2403" s="7" t="n">
        <x:f>'Guide'!$B$5-L2403</x:f>
        <x:v>4</x:v>
      </x:c>
      <x:c r="R2403" s="9" t="n">
        <x:f>K2403-P2403</x:f>
        <x:v>3.700000000000001</x:v>
      </x:c>
      <x:c r="S2403" s="10" t="n">
        <x:f>IF(K2403&gt;0,R2403/K2403,"")</x:f>
        <x:v>0.4204545454545455</x:v>
      </x:c>
    </x:row>
    <x:row r="2404">
      <x:c r="A2404" s="7" t="n">
        <x:v>2400</x:v>
      </x:c>
      <x:c r="B2404" s="7" t="str">
        <x:v>Tata</x:v>
      </x:c>
      <x:c r="C2404" s="7" t="str">
        <x:v>Punch</x:v>
      </x:c>
      <x:c r="D2404" s="7" t="str">
        <x:v>Adventure CNG</x:v>
      </x:c>
      <x:c r="E2404" s="7" t="str">
        <x:v>CNG</x:v>
      </x:c>
      <x:c r="F2404" s="7" t="str">
        <x:v>Manual</x:v>
      </x:c>
      <x:c r="G2404" s="7" t="str">
        <x:v>Micro SUV</x:v>
      </x:c>
      <x:c r="H2404" s="7" t="n">
        <x:v>1199</x:v>
      </x:c>
      <x:c r="I2404" s="7" t="n">
        <x:v>73</x:v>
      </x:c>
      <x:c r="J2404" s="9" t="n">
        <x:v>26.9</x:v>
      </x:c>
      <x:c r="K2404" s="9" t="n">
        <x:v>8.8</x:v>
      </x:c>
      <x:c r="L2404" s="7" t="n">
        <x:v>2023</x:v>
      </x:c>
      <x:c r="M2404" s="11" t="n">
        <x:v>58412</x:v>
      </x:c>
      <x:c r="N2404" s="7" t="n">
        <x:v>2</x:v>
      </x:c>
      <x:c r="O2404" s="7" t="n">
        <x:v>0</x:v>
      </x:c>
      <x:c r="P2404" s="9" t="n">
        <x:v>5.61</x:v>
      </x:c>
      <x:c r="Q2404" s="7" t="n">
        <x:f>'Guide'!$B$5-L2404</x:f>
        <x:v>3</x:v>
      </x:c>
      <x:c r="R2404" s="9" t="n">
        <x:f>K2404-P2404</x:f>
        <x:v>3.1900000000000004</x:v>
      </x:c>
      <x:c r="S2404" s="10" t="n">
        <x:f>IF(K2404&gt;0,R2404/K2404,"")</x:f>
        <x:v>0.3625</x:v>
      </x:c>
    </x:row>
    <x:row r="2405">
      <x:c r="A2405" s="7" t="n">
        <x:v>2401</x:v>
      </x:c>
      <x:c r="B2405" s="7" t="str">
        <x:v>Tata</x:v>
      </x:c>
      <x:c r="C2405" s="7" t="str">
        <x:v>Nexon</x:v>
      </x:c>
      <x:c r="D2405" s="7" t="str">
        <x:v>Smart</x:v>
      </x:c>
      <x:c r="E2405" s="7" t="str">
        <x:v>Petrol</x:v>
      </x:c>
      <x:c r="F2405" s="7" t="str">
        <x:v>Manual</x:v>
      </x:c>
      <x:c r="G2405" s="7" t="str">
        <x:v>Compact SUV</x:v>
      </x:c>
      <x:c r="H2405" s="7" t="n">
        <x:v>1199</x:v>
      </x:c>
      <x:c r="I2405" s="7" t="n">
        <x:v>118</x:v>
      </x:c>
      <x:c r="J2405" s="9" t="n">
        <x:v>17.4</x:v>
      </x:c>
      <x:c r="K2405" s="9" t="n">
        <x:v>9.5</x:v>
      </x:c>
      <x:c r="L2405" s="7" t="n">
        <x:v>2023</x:v>
      </x:c>
      <x:c r="M2405" s="11" t="n">
        <x:v>33194</x:v>
      </x:c>
      <x:c r="N2405" s="7" t="n">
        <x:v>2</x:v>
      </x:c>
      <x:c r="O2405" s="7" t="n">
        <x:v>0</x:v>
      </x:c>
      <x:c r="P2405" s="9" t="n">
        <x:v>6.05</x:v>
      </x:c>
      <x:c r="Q2405" s="7" t="n">
        <x:f>'Guide'!$B$5-L2405</x:f>
        <x:v>3</x:v>
      </x:c>
      <x:c r="R2405" s="9" t="n">
        <x:f>K2405-P2405</x:f>
        <x:v>3.45</x:v>
      </x:c>
      <x:c r="S2405" s="10" t="n">
        <x:f>IF(K2405&gt;0,R2405/K2405,"")</x:f>
        <x:v>0.3631578947368421</x:v>
      </x:c>
    </x:row>
    <x:row r="2406">
      <x:c r="A2406" s="7" t="n">
        <x:v>2402</x:v>
      </x:c>
      <x:c r="B2406" s="7" t="str">
        <x:v>Tata</x:v>
      </x:c>
      <x:c r="C2406" s="7" t="str">
        <x:v>Nexon</x:v>
      </x:c>
      <x:c r="D2406" s="7" t="str">
        <x:v>Smart</x:v>
      </x:c>
      <x:c r="E2406" s="7" t="str">
        <x:v>Petrol</x:v>
      </x:c>
      <x:c r="F2406" s="7" t="str">
        <x:v>Manual</x:v>
      </x:c>
      <x:c r="G2406" s="7" t="str">
        <x:v>Compact SUV</x:v>
      </x:c>
      <x:c r="H2406" s="7" t="n">
        <x:v>1199</x:v>
      </x:c>
      <x:c r="I2406" s="7" t="n">
        <x:v>118</x:v>
      </x:c>
      <x:c r="J2406" s="9" t="n">
        <x:v>17.4</x:v>
      </x:c>
      <x:c r="K2406" s="9" t="n">
        <x:v>9.5</x:v>
      </x:c>
      <x:c r="L2406" s="7" t="n">
        <x:v>2020</x:v>
      </x:c>
      <x:c r="M2406" s="11" t="n">
        <x:v>84132</x:v>
      </x:c>
      <x:c r="N2406" s="7" t="n">
        <x:v>1</x:v>
      </x:c>
      <x:c r="O2406" s="7" t="n">
        <x:v>1</x:v>
      </x:c>
      <x:c r="P2406" s="9" t="n">
        <x:v>3.5</x:v>
      </x:c>
      <x:c r="Q2406" s="7" t="n">
        <x:f>'Guide'!$B$5-L2406</x:f>
        <x:v>6</x:v>
      </x:c>
      <x:c r="R2406" s="9" t="n">
        <x:f>K2406-P2406</x:f>
        <x:v>6</x:v>
      </x:c>
      <x:c r="S2406" s="10" t="n">
        <x:f>IF(K2406&gt;0,R2406/K2406,"")</x:f>
        <x:v>0.631578947368421</x:v>
      </x:c>
    </x:row>
    <x:row r="2407">
      <x:c r="A2407" s="7" t="n">
        <x:v>2403</x:v>
      </x:c>
      <x:c r="B2407" s="7" t="str">
        <x:v>Tata</x:v>
      </x:c>
      <x:c r="C2407" s="7" t="str">
        <x:v>Nexon</x:v>
      </x:c>
      <x:c r="D2407" s="7" t="str">
        <x:v>Smart</x:v>
      </x:c>
      <x:c r="E2407" s="7" t="str">
        <x:v>Petrol</x:v>
      </x:c>
      <x:c r="F2407" s="7" t="str">
        <x:v>Manual</x:v>
      </x:c>
      <x:c r="G2407" s="7" t="str">
        <x:v>Compact SUV</x:v>
      </x:c>
      <x:c r="H2407" s="7" t="n">
        <x:v>1199</x:v>
      </x:c>
      <x:c r="I2407" s="7" t="n">
        <x:v>118</x:v>
      </x:c>
      <x:c r="J2407" s="9" t="n">
        <x:v>17.4</x:v>
      </x:c>
      <x:c r="K2407" s="9" t="n">
        <x:v>9.5</x:v>
      </x:c>
      <x:c r="L2407" s="7" t="n">
        <x:v>2025</x:v>
      </x:c>
      <x:c r="M2407" s="11" t="n">
        <x:v>15497</x:v>
      </x:c>
      <x:c r="N2407" s="7" t="n">
        <x:v>1</x:v>
      </x:c>
      <x:c r="O2407" s="7" t="n">
        <x:v>0</x:v>
      </x:c>
      <x:c r="P2407" s="9" t="n">
        <x:v>8.56</x:v>
      </x:c>
      <x:c r="Q2407" s="7" t="n">
        <x:f>'Guide'!$B$5-L2407</x:f>
        <x:v>1</x:v>
      </x:c>
      <x:c r="R2407" s="9" t="n">
        <x:f>K2407-P2407</x:f>
        <x:v>0.9399999999999995</x:v>
      </x:c>
      <x:c r="S2407" s="10" t="n">
        <x:f>IF(K2407&gt;0,R2407/K2407,"")</x:f>
        <x:v>0.09894736842105258</x:v>
      </x:c>
    </x:row>
    <x:row r="2408">
      <x:c r="A2408" s="7" t="n">
        <x:v>2404</x:v>
      </x:c>
      <x:c r="B2408" s="7" t="str">
        <x:v>Tata</x:v>
      </x:c>
      <x:c r="C2408" s="7" t="str">
        <x:v>Nexon</x:v>
      </x:c>
      <x:c r="D2408" s="7" t="str">
        <x:v>Smart</x:v>
      </x:c>
      <x:c r="E2408" s="7" t="str">
        <x:v>Petrol</x:v>
      </x:c>
      <x:c r="F2408" s="7" t="str">
        <x:v>Manual</x:v>
      </x:c>
      <x:c r="G2408" s="7" t="str">
        <x:v>Compact SUV</x:v>
      </x:c>
      <x:c r="H2408" s="7" t="n">
        <x:v>1199</x:v>
      </x:c>
      <x:c r="I2408" s="7" t="n">
        <x:v>118</x:v>
      </x:c>
      <x:c r="J2408" s="9" t="n">
        <x:v>17.4</x:v>
      </x:c>
      <x:c r="K2408" s="9" t="n">
        <x:v>9.5</x:v>
      </x:c>
      <x:c r="L2408" s="7" t="n">
        <x:v>2021</x:v>
      </x:c>
      <x:c r="M2408" s="11" t="n">
        <x:v>91985</x:v>
      </x:c>
      <x:c r="N2408" s="7" t="n">
        <x:v>2</x:v>
      </x:c>
      <x:c r="O2408" s="7" t="n">
        <x:v>0</x:v>
      </x:c>
      <x:c r="P2408" s="9" t="n">
        <x:v>4.57</x:v>
      </x:c>
      <x:c r="Q2408" s="7" t="n">
        <x:f>'Guide'!$B$5-L2408</x:f>
        <x:v>5</x:v>
      </x:c>
      <x:c r="R2408" s="9" t="n">
        <x:f>K2408-P2408</x:f>
        <x:v>4.93</x:v>
      </x:c>
      <x:c r="S2408" s="10" t="n">
        <x:f>IF(K2408&gt;0,R2408/K2408,"")</x:f>
        <x:v>0.5189473684210526</x:v>
      </x:c>
    </x:row>
    <x:row r="2409">
      <x:c r="A2409" s="7" t="n">
        <x:v>2405</x:v>
      </x:c>
      <x:c r="B2409" s="7" t="str">
        <x:v>Tata</x:v>
      </x:c>
      <x:c r="C2409" s="7" t="str">
        <x:v>Nexon</x:v>
      </x:c>
      <x:c r="D2409" s="7" t="str">
        <x:v>Smart</x:v>
      </x:c>
      <x:c r="E2409" s="7" t="str">
        <x:v>Petrol</x:v>
      </x:c>
      <x:c r="F2409" s="7" t="str">
        <x:v>Manual</x:v>
      </x:c>
      <x:c r="G2409" s="7" t="str">
        <x:v>Compact SUV</x:v>
      </x:c>
      <x:c r="H2409" s="7" t="n">
        <x:v>1199</x:v>
      </x:c>
      <x:c r="I2409" s="7" t="n">
        <x:v>118</x:v>
      </x:c>
      <x:c r="J2409" s="9" t="n">
        <x:v>17.4</x:v>
      </x:c>
      <x:c r="K2409" s="9" t="n">
        <x:v>9.5</x:v>
      </x:c>
      <x:c r="L2409" s="7" t="n">
        <x:v>2022</x:v>
      </x:c>
      <x:c r="M2409" s="11" t="n">
        <x:v>56379</x:v>
      </x:c>
      <x:c r="N2409" s="7" t="n">
        <x:v>1</x:v>
      </x:c>
      <x:c r="O2409" s="7" t="n">
        <x:v>1</x:v>
      </x:c>
      <x:c r="P2409" s="9" t="n">
        <x:v>5.2</x:v>
      </x:c>
      <x:c r="Q2409" s="7" t="n">
        <x:f>'Guide'!$B$5-L2409</x:f>
        <x:v>4</x:v>
      </x:c>
      <x:c r="R2409" s="9" t="n">
        <x:f>K2409-P2409</x:f>
        <x:v>4.3</x:v>
      </x:c>
      <x:c r="S2409" s="10" t="n">
        <x:f>IF(K2409&gt;0,R2409/K2409,"")</x:f>
        <x:v>0.4526315789473684</x:v>
      </x:c>
    </x:row>
    <x:row r="2410">
      <x:c r="A2410" s="7" t="n">
        <x:v>2406</x:v>
      </x:c>
      <x:c r="B2410" s="7" t="str">
        <x:v>Tata</x:v>
      </x:c>
      <x:c r="C2410" s="7" t="str">
        <x:v>Nexon</x:v>
      </x:c>
      <x:c r="D2410" s="7" t="str">
        <x:v>Smart</x:v>
      </x:c>
      <x:c r="E2410" s="7" t="str">
        <x:v>Petrol</x:v>
      </x:c>
      <x:c r="F2410" s="7" t="str">
        <x:v>Manual</x:v>
      </x:c>
      <x:c r="G2410" s="7" t="str">
        <x:v>Compact SUV</x:v>
      </x:c>
      <x:c r="H2410" s="7" t="n">
        <x:v>1199</x:v>
      </x:c>
      <x:c r="I2410" s="7" t="n">
        <x:v>118</x:v>
      </x:c>
      <x:c r="J2410" s="9" t="n">
        <x:v>17.4</x:v>
      </x:c>
      <x:c r="K2410" s="9" t="n">
        <x:v>9.5</x:v>
      </x:c>
      <x:c r="L2410" s="7" t="n">
        <x:v>2022</x:v>
      </x:c>
      <x:c r="M2410" s="11" t="n">
        <x:v>79528</x:v>
      </x:c>
      <x:c r="N2410" s="7" t="n">
        <x:v>1</x:v>
      </x:c>
      <x:c r="O2410" s="7" t="n">
        <x:v>0</x:v>
      </x:c>
      <x:c r="P2410" s="9" t="n">
        <x:v>5.94</x:v>
      </x:c>
      <x:c r="Q2410" s="7" t="n">
        <x:f>'Guide'!$B$5-L2410</x:f>
        <x:v>4</x:v>
      </x:c>
      <x:c r="R2410" s="9" t="n">
        <x:f>K2410-P2410</x:f>
        <x:v>3.5599999999999996</x:v>
      </x:c>
      <x:c r="S2410" s="10" t="n">
        <x:f>IF(K2410&gt;0,R2410/K2410,"")</x:f>
        <x:v>0.3747368421052631</x:v>
      </x:c>
    </x:row>
    <x:row r="2411">
      <x:c r="A2411" s="7" t="n">
        <x:v>2407</x:v>
      </x:c>
      <x:c r="B2411" s="7" t="str">
        <x:v>Tata</x:v>
      </x:c>
      <x:c r="C2411" s="7" t="str">
        <x:v>Nexon</x:v>
      </x:c>
      <x:c r="D2411" s="7" t="str">
        <x:v>Smart</x:v>
      </x:c>
      <x:c r="E2411" s="7" t="str">
        <x:v>Petrol</x:v>
      </x:c>
      <x:c r="F2411" s="7" t="str">
        <x:v>Manual</x:v>
      </x:c>
      <x:c r="G2411" s="7" t="str">
        <x:v>Compact SUV</x:v>
      </x:c>
      <x:c r="H2411" s="7" t="n">
        <x:v>1199</x:v>
      </x:c>
      <x:c r="I2411" s="7" t="n">
        <x:v>118</x:v>
      </x:c>
      <x:c r="J2411" s="9" t="n">
        <x:v>17.4</x:v>
      </x:c>
      <x:c r="K2411" s="9" t="n">
        <x:v>9.5</x:v>
      </x:c>
      <x:c r="L2411" s="7" t="n">
        <x:v>2025</x:v>
      </x:c>
      <x:c r="M2411" s="11" t="n">
        <x:v>26099</x:v>
      </x:c>
      <x:c r="N2411" s="7" t="n">
        <x:v>2</x:v>
      </x:c>
      <x:c r="O2411" s="7" t="n">
        <x:v>0</x:v>
      </x:c>
      <x:c r="P2411" s="9" t="n">
        <x:v>7.82</x:v>
      </x:c>
      <x:c r="Q2411" s="7" t="n">
        <x:f>'Guide'!$B$5-L2411</x:f>
        <x:v>1</x:v>
      </x:c>
      <x:c r="R2411" s="9" t="n">
        <x:f>K2411-P2411</x:f>
        <x:v>1.6799999999999997</x:v>
      </x:c>
      <x:c r="S2411" s="10" t="n">
        <x:f>IF(K2411&gt;0,R2411/K2411,"")</x:f>
        <x:v>0.17684210526315786</x:v>
      </x:c>
    </x:row>
    <x:row r="2412">
      <x:c r="A2412" s="7" t="n">
        <x:v>2408</x:v>
      </x:c>
      <x:c r="B2412" s="7" t="str">
        <x:v>Tata</x:v>
      </x:c>
      <x:c r="C2412" s="7" t="str">
        <x:v>Nexon</x:v>
      </x:c>
      <x:c r="D2412" s="7" t="str">
        <x:v>Smart</x:v>
      </x:c>
      <x:c r="E2412" s="7" t="str">
        <x:v>Petrol</x:v>
      </x:c>
      <x:c r="F2412" s="7" t="str">
        <x:v>Manual</x:v>
      </x:c>
      <x:c r="G2412" s="7" t="str">
        <x:v>Compact SUV</x:v>
      </x:c>
      <x:c r="H2412" s="7" t="n">
        <x:v>1199</x:v>
      </x:c>
      <x:c r="I2412" s="7" t="n">
        <x:v>118</x:v>
      </x:c>
      <x:c r="J2412" s="9" t="n">
        <x:v>17.4</x:v>
      </x:c>
      <x:c r="K2412" s="9" t="n">
        <x:v>9.5</x:v>
      </x:c>
      <x:c r="L2412" s="7" t="n">
        <x:v>2025</x:v>
      </x:c>
      <x:c r="M2412" s="11" t="n">
        <x:v>18372</x:v>
      </x:c>
      <x:c r="N2412" s="7" t="n">
        <x:v>1</x:v>
      </x:c>
      <x:c r="O2412" s="7" t="n">
        <x:v>0</x:v>
      </x:c>
      <x:c r="P2412" s="9" t="n">
        <x:v>8.54</x:v>
      </x:c>
      <x:c r="Q2412" s="7" t="n">
        <x:f>'Guide'!$B$5-L2412</x:f>
        <x:v>1</x:v>
      </x:c>
      <x:c r="R2412" s="9" t="n">
        <x:f>K2412-P2412</x:f>
        <x:v>0.9600000000000009</x:v>
      </x:c>
      <x:c r="S2412" s="10" t="n">
        <x:f>IF(K2412&gt;0,R2412/K2412,"")</x:f>
        <x:v>0.10105263157894746</x:v>
      </x:c>
    </x:row>
    <x:row r="2413">
      <x:c r="A2413" s="7" t="n">
        <x:v>2409</x:v>
      </x:c>
      <x:c r="B2413" s="7" t="str">
        <x:v>Tata</x:v>
      </x:c>
      <x:c r="C2413" s="7" t="str">
        <x:v>Nexon</x:v>
      </x:c>
      <x:c r="D2413" s="7" t="str">
        <x:v>Smart</x:v>
      </x:c>
      <x:c r="E2413" s="7" t="str">
        <x:v>Petrol</x:v>
      </x:c>
      <x:c r="F2413" s="7" t="str">
        <x:v>Manual</x:v>
      </x:c>
      <x:c r="G2413" s="7" t="str">
        <x:v>Compact SUV</x:v>
      </x:c>
      <x:c r="H2413" s="7" t="n">
        <x:v>1199</x:v>
      </x:c>
      <x:c r="I2413" s="7" t="n">
        <x:v>118</x:v>
      </x:c>
      <x:c r="J2413" s="9" t="n">
        <x:v>17.4</x:v>
      </x:c>
      <x:c r="K2413" s="9" t="n">
        <x:v>9.5</x:v>
      </x:c>
      <x:c r="L2413" s="7" t="n">
        <x:v>2025</x:v>
      </x:c>
      <x:c r="M2413" s="11" t="n">
        <x:v>12014</x:v>
      </x:c>
      <x:c r="N2413" s="7" t="n">
        <x:v>3</x:v>
      </x:c>
      <x:c r="O2413" s="7" t="n">
        <x:v>0</x:v>
      </x:c>
      <x:c r="P2413" s="9" t="n">
        <x:v>7.67</x:v>
      </x:c>
      <x:c r="Q2413" s="7" t="n">
        <x:f>'Guide'!$B$5-L2413</x:f>
        <x:v>1</x:v>
      </x:c>
      <x:c r="R2413" s="9" t="n">
        <x:f>K2413-P2413</x:f>
        <x:v>1.83</x:v>
      </x:c>
      <x:c r="S2413" s="10" t="n">
        <x:f>IF(K2413&gt;0,R2413/K2413,"")</x:f>
        <x:v>0.19263157894736843</x:v>
      </x:c>
    </x:row>
    <x:row r="2414">
      <x:c r="A2414" s="7" t="n">
        <x:v>2410</x:v>
      </x:c>
      <x:c r="B2414" s="7" t="str">
        <x:v>Tata</x:v>
      </x:c>
      <x:c r="C2414" s="7" t="str">
        <x:v>Nexon</x:v>
      </x:c>
      <x:c r="D2414" s="7" t="str">
        <x:v>Smart</x:v>
      </x:c>
      <x:c r="E2414" s="7" t="str">
        <x:v>Petrol</x:v>
      </x:c>
      <x:c r="F2414" s="7" t="str">
        <x:v>Manual</x:v>
      </x:c>
      <x:c r="G2414" s="7" t="str">
        <x:v>Compact SUV</x:v>
      </x:c>
      <x:c r="H2414" s="7" t="n">
        <x:v>1199</x:v>
      </x:c>
      <x:c r="I2414" s="7" t="n">
        <x:v>118</x:v>
      </x:c>
      <x:c r="J2414" s="9" t="n">
        <x:v>17.4</x:v>
      </x:c>
      <x:c r="K2414" s="9" t="n">
        <x:v>9.5</x:v>
      </x:c>
      <x:c r="L2414" s="7" t="n">
        <x:v>2023</x:v>
      </x:c>
      <x:c r="M2414" s="11" t="n">
        <x:v>29668</x:v>
      </x:c>
      <x:c r="N2414" s="7" t="n">
        <x:v>1</x:v>
      </x:c>
      <x:c r="O2414" s="7" t="n">
        <x:v>0</x:v>
      </x:c>
      <x:c r="P2414" s="9" t="n">
        <x:v>6.61</x:v>
      </x:c>
      <x:c r="Q2414" s="7" t="n">
        <x:f>'Guide'!$B$5-L2414</x:f>
        <x:v>3</x:v>
      </x:c>
      <x:c r="R2414" s="9" t="n">
        <x:f>K2414-P2414</x:f>
        <x:v>2.8899999999999997</x:v>
      </x:c>
      <x:c r="S2414" s="10" t="n">
        <x:f>IF(K2414&gt;0,R2414/K2414,"")</x:f>
        <x:v>0.30421052631578943</x:v>
      </x:c>
    </x:row>
    <x:row r="2415">
      <x:c r="A2415" s="7" t="n">
        <x:v>2411</x:v>
      </x:c>
      <x:c r="B2415" s="7" t="str">
        <x:v>Tata</x:v>
      </x:c>
      <x:c r="C2415" s="7" t="str">
        <x:v>Nexon</x:v>
      </x:c>
      <x:c r="D2415" s="7" t="str">
        <x:v>Smart</x:v>
      </x:c>
      <x:c r="E2415" s="7" t="str">
        <x:v>Petrol</x:v>
      </x:c>
      <x:c r="F2415" s="7" t="str">
        <x:v>Manual</x:v>
      </x:c>
      <x:c r="G2415" s="7" t="str">
        <x:v>Compact SUV</x:v>
      </x:c>
      <x:c r="H2415" s="7" t="n">
        <x:v>1199</x:v>
      </x:c>
      <x:c r="I2415" s="7" t="n">
        <x:v>118</x:v>
      </x:c>
      <x:c r="J2415" s="9" t="n">
        <x:v>17.4</x:v>
      </x:c>
      <x:c r="K2415" s="9" t="n">
        <x:v>9.5</x:v>
      </x:c>
      <x:c r="L2415" s="7" t="n">
        <x:v>2026</x:v>
      </x:c>
      <x:c r="M2415" s="11" t="n">
        <x:v>9733</x:v>
      </x:c>
      <x:c r="N2415" s="7" t="n">
        <x:v>1</x:v>
      </x:c>
      <x:c r="O2415" s="7" t="n">
        <x:v>0</x:v>
      </x:c>
      <x:c r="P2415" s="9" t="n">
        <x:v>9.16</x:v>
      </x:c>
      <x:c r="Q2415" s="7" t="n">
        <x:f>'Guide'!$B$5-L2415</x:f>
        <x:v>0</x:v>
      </x:c>
      <x:c r="R2415" s="9" t="n">
        <x:f>K2415-P2415</x:f>
        <x:v>0.33999999999999986</x:v>
      </x:c>
      <x:c r="S2415" s="10" t="n">
        <x:f>IF(K2415&gt;0,R2415/K2415,"")</x:f>
        <x:v>0.03578947368421051</x:v>
      </x:c>
    </x:row>
    <x:row r="2416">
      <x:c r="A2416" s="7" t="n">
        <x:v>2412</x:v>
      </x:c>
      <x:c r="B2416" s="7" t="str">
        <x:v>Tata</x:v>
      </x:c>
      <x:c r="C2416" s="7" t="str">
        <x:v>Nexon</x:v>
      </x:c>
      <x:c r="D2416" s="7" t="str">
        <x:v>Smart</x:v>
      </x:c>
      <x:c r="E2416" s="7" t="str">
        <x:v>Petrol</x:v>
      </x:c>
      <x:c r="F2416" s="7" t="str">
        <x:v>Manual</x:v>
      </x:c>
      <x:c r="G2416" s="7" t="str">
        <x:v>Compact SUV</x:v>
      </x:c>
      <x:c r="H2416" s="7" t="n">
        <x:v>1199</x:v>
      </x:c>
      <x:c r="I2416" s="7" t="n">
        <x:v>118</x:v>
      </x:c>
      <x:c r="J2416" s="9" t="n">
        <x:v>17.4</x:v>
      </x:c>
      <x:c r="K2416" s="9" t="n">
        <x:v>9.5</x:v>
      </x:c>
      <x:c r="L2416" s="7" t="n">
        <x:v>2020</x:v>
      </x:c>
      <x:c r="M2416" s="11" t="n">
        <x:v>92457</x:v>
      </x:c>
      <x:c r="N2416" s="7" t="n">
        <x:v>1</x:v>
      </x:c>
      <x:c r="O2416" s="7" t="n">
        <x:v>0</x:v>
      </x:c>
      <x:c r="P2416" s="9" t="n">
        <x:v>4.24</x:v>
      </x:c>
      <x:c r="Q2416" s="7" t="n">
        <x:f>'Guide'!$B$5-L2416</x:f>
        <x:v>6</x:v>
      </x:c>
      <x:c r="R2416" s="9" t="n">
        <x:f>K2416-P2416</x:f>
        <x:v>5.26</x:v>
      </x:c>
      <x:c r="S2416" s="10" t="n">
        <x:f>IF(K2416&gt;0,R2416/K2416,"")</x:f>
        <x:v>0.5536842105263158</x:v>
      </x:c>
    </x:row>
    <x:row r="2417">
      <x:c r="A2417" s="7" t="n">
        <x:v>2413</x:v>
      </x:c>
      <x:c r="B2417" s="7" t="str">
        <x:v>Tata</x:v>
      </x:c>
      <x:c r="C2417" s="7" t="str">
        <x:v>Nexon</x:v>
      </x:c>
      <x:c r="D2417" s="7" t="str">
        <x:v>Smart</x:v>
      </x:c>
      <x:c r="E2417" s="7" t="str">
        <x:v>Petrol</x:v>
      </x:c>
      <x:c r="F2417" s="7" t="str">
        <x:v>Manual</x:v>
      </x:c>
      <x:c r="G2417" s="7" t="str">
        <x:v>Compact SUV</x:v>
      </x:c>
      <x:c r="H2417" s="7" t="n">
        <x:v>1199</x:v>
      </x:c>
      <x:c r="I2417" s="7" t="n">
        <x:v>118</x:v>
      </x:c>
      <x:c r="J2417" s="9" t="n">
        <x:v>17.4</x:v>
      </x:c>
      <x:c r="K2417" s="9" t="n">
        <x:v>9.5</x:v>
      </x:c>
      <x:c r="L2417" s="7" t="n">
        <x:v>2020</x:v>
      </x:c>
      <x:c r="M2417" s="11" t="n">
        <x:v>79799</x:v>
      </x:c>
      <x:c r="N2417" s="7" t="n">
        <x:v>2</x:v>
      </x:c>
      <x:c r="O2417" s="7" t="n">
        <x:v>0</x:v>
      </x:c>
      <x:c r="P2417" s="9" t="n">
        <x:v>3.55</x:v>
      </x:c>
      <x:c r="Q2417" s="7" t="n">
        <x:f>'Guide'!$B$5-L2417</x:f>
        <x:v>6</x:v>
      </x:c>
      <x:c r="R2417" s="9" t="n">
        <x:f>K2417-P2417</x:f>
        <x:v>5.95</x:v>
      </x:c>
      <x:c r="S2417" s="10" t="n">
        <x:f>IF(K2417&gt;0,R2417/K2417,"")</x:f>
        <x:v>0.6263157894736843</x:v>
      </x:c>
    </x:row>
    <x:row r="2418">
      <x:c r="A2418" s="7" t="n">
        <x:v>2414</x:v>
      </x:c>
      <x:c r="B2418" s="7" t="str">
        <x:v>Tata</x:v>
      </x:c>
      <x:c r="C2418" s="7" t="str">
        <x:v>Nexon</x:v>
      </x:c>
      <x:c r="D2418" s="7" t="str">
        <x:v>Smart</x:v>
      </x:c>
      <x:c r="E2418" s="7" t="str">
        <x:v>Petrol</x:v>
      </x:c>
      <x:c r="F2418" s="7" t="str">
        <x:v>Manual</x:v>
      </x:c>
      <x:c r="G2418" s="7" t="str">
        <x:v>Compact SUV</x:v>
      </x:c>
      <x:c r="H2418" s="7" t="n">
        <x:v>1199</x:v>
      </x:c>
      <x:c r="I2418" s="7" t="n">
        <x:v>118</x:v>
      </x:c>
      <x:c r="J2418" s="9" t="n">
        <x:v>17.4</x:v>
      </x:c>
      <x:c r="K2418" s="9" t="n">
        <x:v>9.5</x:v>
      </x:c>
      <x:c r="L2418" s="7" t="n">
        <x:v>2021</x:v>
      </x:c>
      <x:c r="M2418" s="11" t="n">
        <x:v>103632</x:v>
      </x:c>
      <x:c r="N2418" s="7" t="n">
        <x:v>1</x:v>
      </x:c>
      <x:c r="O2418" s="7" t="n">
        <x:v>0</x:v>
      </x:c>
      <x:c r="P2418" s="9" t="n">
        <x:v>4.74</x:v>
      </x:c>
      <x:c r="Q2418" s="7" t="n">
        <x:f>'Guide'!$B$5-L2418</x:f>
        <x:v>5</x:v>
      </x:c>
      <x:c r="R2418" s="9" t="n">
        <x:f>K2418-P2418</x:f>
        <x:v>4.76</x:v>
      </x:c>
      <x:c r="S2418" s="10" t="n">
        <x:f>IF(K2418&gt;0,R2418/K2418,"")</x:f>
        <x:v>0.5010526315789473</x:v>
      </x:c>
    </x:row>
    <x:row r="2419">
      <x:c r="A2419" s="7" t="n">
        <x:v>2415</x:v>
      </x:c>
      <x:c r="B2419" s="7" t="str">
        <x:v>Tata</x:v>
      </x:c>
      <x:c r="C2419" s="7" t="str">
        <x:v>Nexon</x:v>
      </x:c>
      <x:c r="D2419" s="7" t="str">
        <x:v>Smart</x:v>
      </x:c>
      <x:c r="E2419" s="7" t="str">
        <x:v>Petrol</x:v>
      </x:c>
      <x:c r="F2419" s="7" t="str">
        <x:v>Manual</x:v>
      </x:c>
      <x:c r="G2419" s="7" t="str">
        <x:v>Compact SUV</x:v>
      </x:c>
      <x:c r="H2419" s="7" t="n">
        <x:v>1199</x:v>
      </x:c>
      <x:c r="I2419" s="7" t="n">
        <x:v>118</x:v>
      </x:c>
      <x:c r="J2419" s="9" t="n">
        <x:v>17.4</x:v>
      </x:c>
      <x:c r="K2419" s="9" t="n">
        <x:v>9.5</x:v>
      </x:c>
      <x:c r="L2419" s="7" t="n">
        <x:v>2021</x:v>
      </x:c>
      <x:c r="M2419" s="11" t="n">
        <x:v>70332</x:v>
      </x:c>
      <x:c r="N2419" s="7" t="n">
        <x:v>1</x:v>
      </x:c>
      <x:c r="O2419" s="7" t="n">
        <x:v>1</x:v>
      </x:c>
      <x:c r="P2419" s="9" t="n">
        <x:v>4.08</x:v>
      </x:c>
      <x:c r="Q2419" s="7" t="n">
        <x:f>'Guide'!$B$5-L2419</x:f>
        <x:v>5</x:v>
      </x:c>
      <x:c r="R2419" s="9" t="n">
        <x:f>K2419-P2419</x:f>
        <x:v>5.42</x:v>
      </x:c>
      <x:c r="S2419" s="10" t="n">
        <x:f>IF(K2419&gt;0,R2419/K2419,"")</x:f>
        <x:v>0.5705263157894737</x:v>
      </x:c>
    </x:row>
    <x:row r="2420">
      <x:c r="A2420" s="7" t="n">
        <x:v>2416</x:v>
      </x:c>
      <x:c r="B2420" s="7" t="str">
        <x:v>Tata</x:v>
      </x:c>
      <x:c r="C2420" s="7" t="str">
        <x:v>Nexon</x:v>
      </x:c>
      <x:c r="D2420" s="7" t="str">
        <x:v>Smart</x:v>
      </x:c>
      <x:c r="E2420" s="7" t="str">
        <x:v>Petrol</x:v>
      </x:c>
      <x:c r="F2420" s="7" t="str">
        <x:v>Manual</x:v>
      </x:c>
      <x:c r="G2420" s="7" t="str">
        <x:v>Compact SUV</x:v>
      </x:c>
      <x:c r="H2420" s="7" t="n">
        <x:v>1199</x:v>
      </x:c>
      <x:c r="I2420" s="7" t="n">
        <x:v>118</x:v>
      </x:c>
      <x:c r="J2420" s="9" t="n">
        <x:v>17.4</x:v>
      </x:c>
      <x:c r="K2420" s="9" t="n">
        <x:v>9.5</x:v>
      </x:c>
      <x:c r="L2420" s="7" t="n">
        <x:v>2023</x:v>
      </x:c>
      <x:c r="M2420" s="11" t="n">
        <x:v>63573</x:v>
      </x:c>
      <x:c r="N2420" s="7" t="n">
        <x:v>1</x:v>
      </x:c>
      <x:c r="O2420" s="7" t="n">
        <x:v>0</x:v>
      </x:c>
      <x:c r="P2420" s="9" t="n">
        <x:v>6.63</x:v>
      </x:c>
      <x:c r="Q2420" s="7" t="n">
        <x:f>'Guide'!$B$5-L2420</x:f>
        <x:v>3</x:v>
      </x:c>
      <x:c r="R2420" s="9" t="n">
        <x:f>K2420-P2420</x:f>
        <x:v>2.87</x:v>
      </x:c>
      <x:c r="S2420" s="10" t="n">
        <x:f>IF(K2420&gt;0,R2420/K2420,"")</x:f>
        <x:v>0.30210526315789477</x:v>
      </x:c>
    </x:row>
    <x:row r="2421">
      <x:c r="A2421" s="7" t="n">
        <x:v>2417</x:v>
      </x:c>
      <x:c r="B2421" s="7" t="str">
        <x:v>Tata</x:v>
      </x:c>
      <x:c r="C2421" s="7" t="str">
        <x:v>Nexon</x:v>
      </x:c>
      <x:c r="D2421" s="7" t="str">
        <x:v>Smart</x:v>
      </x:c>
      <x:c r="E2421" s="7" t="str">
        <x:v>Petrol</x:v>
      </x:c>
      <x:c r="F2421" s="7" t="str">
        <x:v>Manual</x:v>
      </x:c>
      <x:c r="G2421" s="7" t="str">
        <x:v>Compact SUV</x:v>
      </x:c>
      <x:c r="H2421" s="7" t="n">
        <x:v>1199</x:v>
      </x:c>
      <x:c r="I2421" s="7" t="n">
        <x:v>118</x:v>
      </x:c>
      <x:c r="J2421" s="9" t="n">
        <x:v>17.4</x:v>
      </x:c>
      <x:c r="K2421" s="9" t="n">
        <x:v>9.5</x:v>
      </x:c>
      <x:c r="L2421" s="7" t="n">
        <x:v>2024</x:v>
      </x:c>
      <x:c r="M2421" s="11" t="n">
        <x:v>30434</x:v>
      </x:c>
      <x:c r="N2421" s="7" t="n">
        <x:v>2</x:v>
      </x:c>
      <x:c r="O2421" s="7" t="n">
        <x:v>0</x:v>
      </x:c>
      <x:c r="P2421" s="9" t="n">
        <x:v>6.93</x:v>
      </x:c>
      <x:c r="Q2421" s="7" t="n">
        <x:f>'Guide'!$B$5-L2421</x:f>
        <x:v>2</x:v>
      </x:c>
      <x:c r="R2421" s="9" t="n">
        <x:f>K2421-P2421</x:f>
        <x:v>2.5700000000000003</x:v>
      </x:c>
      <x:c r="S2421" s="10" t="n">
        <x:f>IF(K2421&gt;0,R2421/K2421,"")</x:f>
        <x:v>0.2705263157894737</x:v>
      </x:c>
    </x:row>
    <x:row r="2422">
      <x:c r="A2422" s="7" t="n">
        <x:v>2418</x:v>
      </x:c>
      <x:c r="B2422" s="7" t="str">
        <x:v>Tata</x:v>
      </x:c>
      <x:c r="C2422" s="7" t="str">
        <x:v>Nexon</x:v>
      </x:c>
      <x:c r="D2422" s="7" t="str">
        <x:v>Smart</x:v>
      </x:c>
      <x:c r="E2422" s="7" t="str">
        <x:v>Petrol</x:v>
      </x:c>
      <x:c r="F2422" s="7" t="str">
        <x:v>Manual</x:v>
      </x:c>
      <x:c r="G2422" s="7" t="str">
        <x:v>Compact SUV</x:v>
      </x:c>
      <x:c r="H2422" s="7" t="n">
        <x:v>1199</x:v>
      </x:c>
      <x:c r="I2422" s="7" t="n">
        <x:v>118</x:v>
      </x:c>
      <x:c r="J2422" s="9" t="n">
        <x:v>17.4</x:v>
      </x:c>
      <x:c r="K2422" s="9" t="n">
        <x:v>9.5</x:v>
      </x:c>
      <x:c r="L2422" s="7" t="n">
        <x:v>2025</x:v>
      </x:c>
      <x:c r="M2422" s="11" t="n">
        <x:v>19586</x:v>
      </x:c>
      <x:c r="N2422" s="7" t="n">
        <x:v>1</x:v>
      </x:c>
      <x:c r="O2422" s="7" t="n">
        <x:v>0</x:v>
      </x:c>
      <x:c r="P2422" s="9" t="n">
        <x:v>8.7</x:v>
      </x:c>
      <x:c r="Q2422" s="7" t="n">
        <x:f>'Guide'!$B$5-L2422</x:f>
        <x:v>1</x:v>
      </x:c>
      <x:c r="R2422" s="9" t="n">
        <x:f>K2422-P2422</x:f>
        <x:v>0.8000000000000007</x:v>
      </x:c>
      <x:c r="S2422" s="10" t="n">
        <x:f>IF(K2422&gt;0,R2422/K2422,"")</x:f>
        <x:v>0.08421052631578956</x:v>
      </x:c>
    </x:row>
    <x:row r="2423">
      <x:c r="A2423" s="7" t="n">
        <x:v>2419</x:v>
      </x:c>
      <x:c r="B2423" s="7" t="str">
        <x:v>Tata</x:v>
      </x:c>
      <x:c r="C2423" s="7" t="str">
        <x:v>Nexon</x:v>
      </x:c>
      <x:c r="D2423" s="7" t="str">
        <x:v>Smart</x:v>
      </x:c>
      <x:c r="E2423" s="7" t="str">
        <x:v>Petrol</x:v>
      </x:c>
      <x:c r="F2423" s="7" t="str">
        <x:v>Manual</x:v>
      </x:c>
      <x:c r="G2423" s="7" t="str">
        <x:v>Compact SUV</x:v>
      </x:c>
      <x:c r="H2423" s="7" t="n">
        <x:v>1199</x:v>
      </x:c>
      <x:c r="I2423" s="7" t="n">
        <x:v>118</x:v>
      </x:c>
      <x:c r="J2423" s="9" t="n">
        <x:v>17.4</x:v>
      </x:c>
      <x:c r="K2423" s="9" t="n">
        <x:v>9.5</x:v>
      </x:c>
      <x:c r="L2423" s="7" t="n">
        <x:v>2024</x:v>
      </x:c>
      <x:c r="M2423" s="11" t="n">
        <x:v>49216</x:v>
      </x:c>
      <x:c r="N2423" s="7" t="n">
        <x:v>1</x:v>
      </x:c>
      <x:c r="O2423" s="7" t="n">
        <x:v>0</x:v>
      </x:c>
      <x:c r="P2423" s="9" t="n">
        <x:v>7.42</x:v>
      </x:c>
      <x:c r="Q2423" s="7" t="n">
        <x:f>'Guide'!$B$5-L2423</x:f>
        <x:v>2</x:v>
      </x:c>
      <x:c r="R2423" s="9" t="n">
        <x:f>K2423-P2423</x:f>
        <x:v>2.08</x:v>
      </x:c>
      <x:c r="S2423" s="10" t="n">
        <x:f>IF(K2423&gt;0,R2423/K2423,"")</x:f>
        <x:v>0.21894736842105264</x:v>
      </x:c>
    </x:row>
    <x:row r="2424">
      <x:c r="A2424" s="7" t="n">
        <x:v>2420</x:v>
      </x:c>
      <x:c r="B2424" s="7" t="str">
        <x:v>Tata</x:v>
      </x:c>
      <x:c r="C2424" s="7" t="str">
        <x:v>Nexon</x:v>
      </x:c>
      <x:c r="D2424" s="7" t="str">
        <x:v>Smart</x:v>
      </x:c>
      <x:c r="E2424" s="7" t="str">
        <x:v>Petrol</x:v>
      </x:c>
      <x:c r="F2424" s="7" t="str">
        <x:v>Manual</x:v>
      </x:c>
      <x:c r="G2424" s="7" t="str">
        <x:v>Compact SUV</x:v>
      </x:c>
      <x:c r="H2424" s="7" t="n">
        <x:v>1199</x:v>
      </x:c>
      <x:c r="I2424" s="7" t="n">
        <x:v>118</x:v>
      </x:c>
      <x:c r="J2424" s="9" t="n">
        <x:v>17.4</x:v>
      </x:c>
      <x:c r="K2424" s="9" t="n">
        <x:v>9.5</x:v>
      </x:c>
      <x:c r="L2424" s="7" t="n">
        <x:v>2024</x:v>
      </x:c>
      <x:c r="M2424" s="11" t="n">
        <x:v>24750</x:v>
      </x:c>
      <x:c r="N2424" s="7" t="n">
        <x:v>2</x:v>
      </x:c>
      <x:c r="O2424" s="7" t="n">
        <x:v>0</x:v>
      </x:c>
      <x:c r="P2424" s="9" t="n">
        <x:v>7.5</x:v>
      </x:c>
      <x:c r="Q2424" s="7" t="n">
        <x:f>'Guide'!$B$5-L2424</x:f>
        <x:v>2</x:v>
      </x:c>
      <x:c r="R2424" s="9" t="n">
        <x:f>K2424-P2424</x:f>
        <x:v>2</x:v>
      </x:c>
      <x:c r="S2424" s="10" t="n">
        <x:f>IF(K2424&gt;0,R2424/K2424,"")</x:f>
        <x:v>0.21052631578947367</x:v>
      </x:c>
    </x:row>
    <x:row r="2425">
      <x:c r="A2425" s="7" t="n">
        <x:v>2421</x:v>
      </x:c>
      <x:c r="B2425" s="7" t="str">
        <x:v>Tata</x:v>
      </x:c>
      <x:c r="C2425" s="7" t="str">
        <x:v>Nexon</x:v>
      </x:c>
      <x:c r="D2425" s="7" t="str">
        <x:v>Smart</x:v>
      </x:c>
      <x:c r="E2425" s="7" t="str">
        <x:v>Petrol</x:v>
      </x:c>
      <x:c r="F2425" s="7" t="str">
        <x:v>Manual</x:v>
      </x:c>
      <x:c r="G2425" s="7" t="str">
        <x:v>Compact SUV</x:v>
      </x:c>
      <x:c r="H2425" s="7" t="n">
        <x:v>1199</x:v>
      </x:c>
      <x:c r="I2425" s="7" t="n">
        <x:v>118</x:v>
      </x:c>
      <x:c r="J2425" s="9" t="n">
        <x:v>17.4</x:v>
      </x:c>
      <x:c r="K2425" s="9" t="n">
        <x:v>9.5</x:v>
      </x:c>
      <x:c r="L2425" s="7" t="n">
        <x:v>2020</x:v>
      </x:c>
      <x:c r="M2425" s="11" t="n">
        <x:v>100792</x:v>
      </x:c>
      <x:c r="N2425" s="7" t="n">
        <x:v>1</x:v>
      </x:c>
      <x:c r="O2425" s="7" t="n">
        <x:v>0</x:v>
      </x:c>
      <x:c r="P2425" s="9" t="n">
        <x:v>4.09</x:v>
      </x:c>
      <x:c r="Q2425" s="7" t="n">
        <x:f>'Guide'!$B$5-L2425</x:f>
        <x:v>6</x:v>
      </x:c>
      <x:c r="R2425" s="9" t="n">
        <x:f>K2425-P2425</x:f>
        <x:v>5.41</x:v>
      </x:c>
      <x:c r="S2425" s="10" t="n">
        <x:f>IF(K2425&gt;0,R2425/K2425,"")</x:f>
        <x:v>0.5694736842105264</x:v>
      </x:c>
    </x:row>
    <x:row r="2426">
      <x:c r="A2426" s="7" t="n">
        <x:v>2422</x:v>
      </x:c>
      <x:c r="B2426" s="7" t="str">
        <x:v>Tata</x:v>
      </x:c>
      <x:c r="C2426" s="7" t="str">
        <x:v>Nexon</x:v>
      </x:c>
      <x:c r="D2426" s="7" t="str">
        <x:v>Smart</x:v>
      </x:c>
      <x:c r="E2426" s="7" t="str">
        <x:v>Petrol</x:v>
      </x:c>
      <x:c r="F2426" s="7" t="str">
        <x:v>Manual</x:v>
      </x:c>
      <x:c r="G2426" s="7" t="str">
        <x:v>Compact SUV</x:v>
      </x:c>
      <x:c r="H2426" s="7" t="n">
        <x:v>1199</x:v>
      </x:c>
      <x:c r="I2426" s="7" t="n">
        <x:v>118</x:v>
      </x:c>
      <x:c r="J2426" s="9" t="n">
        <x:v>17.4</x:v>
      </x:c>
      <x:c r="K2426" s="9" t="n">
        <x:v>9.5</x:v>
      </x:c>
      <x:c r="L2426" s="7" t="n">
        <x:v>2025</x:v>
      </x:c>
      <x:c r="M2426" s="11" t="n">
        <x:v>18483</x:v>
      </x:c>
      <x:c r="N2426" s="7" t="n">
        <x:v>1</x:v>
      </x:c>
      <x:c r="O2426" s="7" t="n">
        <x:v>0</x:v>
      </x:c>
      <x:c r="P2426" s="9" t="n">
        <x:v>8.34</x:v>
      </x:c>
      <x:c r="Q2426" s="7" t="n">
        <x:f>'Guide'!$B$5-L2426</x:f>
        <x:v>1</x:v>
      </x:c>
      <x:c r="R2426" s="9" t="n">
        <x:f>K2426-P2426</x:f>
        <x:v>1.1600000000000001</x:v>
      </x:c>
      <x:c r="S2426" s="10" t="n">
        <x:f>IF(K2426&gt;0,R2426/K2426,"")</x:f>
        <x:v>0.12210526315789476</x:v>
      </x:c>
    </x:row>
    <x:row r="2427">
      <x:c r="A2427" s="7" t="n">
        <x:v>2423</x:v>
      </x:c>
      <x:c r="B2427" s="7" t="str">
        <x:v>Tata</x:v>
      </x:c>
      <x:c r="C2427" s="7" t="str">
        <x:v>Nexon</x:v>
      </x:c>
      <x:c r="D2427" s="7" t="str">
        <x:v>Smart</x:v>
      </x:c>
      <x:c r="E2427" s="7" t="str">
        <x:v>Petrol</x:v>
      </x:c>
      <x:c r="F2427" s="7" t="str">
        <x:v>Manual</x:v>
      </x:c>
      <x:c r="G2427" s="7" t="str">
        <x:v>Compact SUV</x:v>
      </x:c>
      <x:c r="H2427" s="7" t="n">
        <x:v>1199</x:v>
      </x:c>
      <x:c r="I2427" s="7" t="n">
        <x:v>118</x:v>
      </x:c>
      <x:c r="J2427" s="9" t="n">
        <x:v>17.4</x:v>
      </x:c>
      <x:c r="K2427" s="9" t="n">
        <x:v>9.5</x:v>
      </x:c>
      <x:c r="L2427" s="7" t="n">
        <x:v>2024</x:v>
      </x:c>
      <x:c r="M2427" s="11" t="n">
        <x:v>47885</x:v>
      </x:c>
      <x:c r="N2427" s="7" t="n">
        <x:v>2</x:v>
      </x:c>
      <x:c r="O2427" s="7" t="n">
        <x:v>0</x:v>
      </x:c>
      <x:c r="P2427" s="9" t="n">
        <x:v>7.21</x:v>
      </x:c>
      <x:c r="Q2427" s="7" t="n">
        <x:f>'Guide'!$B$5-L2427</x:f>
        <x:v>2</x:v>
      </x:c>
      <x:c r="R2427" s="9" t="n">
        <x:f>K2427-P2427</x:f>
        <x:v>2.29</x:v>
      </x:c>
      <x:c r="S2427" s="10" t="n">
        <x:f>IF(K2427&gt;0,R2427/K2427,"")</x:f>
        <x:v>0.24105263157894738</x:v>
      </x:c>
    </x:row>
    <x:row r="2428">
      <x:c r="A2428" s="7" t="n">
        <x:v>2424</x:v>
      </x:c>
      <x:c r="B2428" s="7" t="str">
        <x:v>Tata</x:v>
      </x:c>
      <x:c r="C2428" s="7" t="str">
        <x:v>Nexon</x:v>
      </x:c>
      <x:c r="D2428" s="7" t="str">
        <x:v>Smart</x:v>
      </x:c>
      <x:c r="E2428" s="7" t="str">
        <x:v>Petrol</x:v>
      </x:c>
      <x:c r="F2428" s="7" t="str">
        <x:v>Manual</x:v>
      </x:c>
      <x:c r="G2428" s="7" t="str">
        <x:v>Compact SUV</x:v>
      </x:c>
      <x:c r="H2428" s="7" t="n">
        <x:v>1199</x:v>
      </x:c>
      <x:c r="I2428" s="7" t="n">
        <x:v>118</x:v>
      </x:c>
      <x:c r="J2428" s="9" t="n">
        <x:v>17.4</x:v>
      </x:c>
      <x:c r="K2428" s="9" t="n">
        <x:v>9.5</x:v>
      </x:c>
      <x:c r="L2428" s="7" t="n">
        <x:v>2026</x:v>
      </x:c>
      <x:c r="M2428" s="11" t="n">
        <x:v>4276</x:v>
      </x:c>
      <x:c r="N2428" s="7" t="n">
        <x:v>1</x:v>
      </x:c>
      <x:c r="O2428" s="7" t="n">
        <x:v>0</x:v>
      </x:c>
      <x:c r="P2428" s="9" t="n">
        <x:v>9.81</x:v>
      </x:c>
      <x:c r="Q2428" s="7" t="n">
        <x:f>'Guide'!$B$5-L2428</x:f>
        <x:v>0</x:v>
      </x:c>
      <x:c r="R2428" s="9" t="n">
        <x:f>K2428-P2428</x:f>
        <x:v>-0.3100000000000005</x:v>
      </x:c>
      <x:c r="S2428" s="10" t="n">
        <x:f>IF(K2428&gt;0,R2428/K2428,"")</x:f>
        <x:v>-0.03263157894736848</x:v>
      </x:c>
    </x:row>
    <x:row r="2429">
      <x:c r="A2429" s="7" t="n">
        <x:v>2425</x:v>
      </x:c>
      <x:c r="B2429" s="7" t="str">
        <x:v>Tata</x:v>
      </x:c>
      <x:c r="C2429" s="7" t="str">
        <x:v>Nexon</x:v>
      </x:c>
      <x:c r="D2429" s="7" t="str">
        <x:v>Smart</x:v>
      </x:c>
      <x:c r="E2429" s="7" t="str">
        <x:v>Petrol</x:v>
      </x:c>
      <x:c r="F2429" s="7" t="str">
        <x:v>Manual</x:v>
      </x:c>
      <x:c r="G2429" s="7" t="str">
        <x:v>Compact SUV</x:v>
      </x:c>
      <x:c r="H2429" s="7" t="n">
        <x:v>1199</x:v>
      </x:c>
      <x:c r="I2429" s="7" t="n">
        <x:v>118</x:v>
      </x:c>
      <x:c r="J2429" s="9" t="n">
        <x:v>17.4</x:v>
      </x:c>
      <x:c r="K2429" s="9" t="n">
        <x:v>9.5</x:v>
      </x:c>
      <x:c r="L2429" s="7" t="n">
        <x:v>2021</x:v>
      </x:c>
      <x:c r="M2429" s="11" t="n">
        <x:v>87344</x:v>
      </x:c>
      <x:c r="N2429" s="7" t="n">
        <x:v>2</x:v>
      </x:c>
      <x:c r="O2429" s="7" t="n">
        <x:v>0</x:v>
      </x:c>
      <x:c r="P2429" s="9" t="n">
        <x:v>4.38</x:v>
      </x:c>
      <x:c r="Q2429" s="7" t="n">
        <x:f>'Guide'!$B$5-L2429</x:f>
        <x:v>5</x:v>
      </x:c>
      <x:c r="R2429" s="9" t="n">
        <x:f>K2429-P2429</x:f>
        <x:v>5.12</x:v>
      </x:c>
      <x:c r="S2429" s="10" t="n">
        <x:f>IF(K2429&gt;0,R2429/K2429,"")</x:f>
        <x:v>0.5389473684210526</x:v>
      </x:c>
    </x:row>
    <x:row r="2430">
      <x:c r="A2430" s="7" t="n">
        <x:v>2426</x:v>
      </x:c>
      <x:c r="B2430" s="7" t="str">
        <x:v>Tata</x:v>
      </x:c>
      <x:c r="C2430" s="7" t="str">
        <x:v>Nexon</x:v>
      </x:c>
      <x:c r="D2430" s="7" t="str">
        <x:v>Smart</x:v>
      </x:c>
      <x:c r="E2430" s="7" t="str">
        <x:v>Petrol</x:v>
      </x:c>
      <x:c r="F2430" s="7" t="str">
        <x:v>Manual</x:v>
      </x:c>
      <x:c r="G2430" s="7" t="str">
        <x:v>Compact SUV</x:v>
      </x:c>
      <x:c r="H2430" s="7" t="n">
        <x:v>1199</x:v>
      </x:c>
      <x:c r="I2430" s="7" t="n">
        <x:v>118</x:v>
      </x:c>
      <x:c r="J2430" s="9" t="n">
        <x:v>17.4</x:v>
      </x:c>
      <x:c r="K2430" s="9" t="n">
        <x:v>9.5</x:v>
      </x:c>
      <x:c r="L2430" s="7" t="n">
        <x:v>2022</x:v>
      </x:c>
      <x:c r="M2430" s="11" t="n">
        <x:v>81959</x:v>
      </x:c>
      <x:c r="N2430" s="7" t="n">
        <x:v>2</x:v>
      </x:c>
      <x:c r="O2430" s="7" t="n">
        <x:v>0</x:v>
      </x:c>
      <x:c r="P2430" s="9" t="n">
        <x:v>4.94</x:v>
      </x:c>
      <x:c r="Q2430" s="7" t="n">
        <x:f>'Guide'!$B$5-L2430</x:f>
        <x:v>4</x:v>
      </x:c>
      <x:c r="R2430" s="9" t="n">
        <x:f>K2430-P2430</x:f>
        <x:v>4.56</x:v>
      </x:c>
      <x:c r="S2430" s="10" t="n">
        <x:f>IF(K2430&gt;0,R2430/K2430,"")</x:f>
        <x:v>0.48</x:v>
      </x:c>
    </x:row>
    <x:row r="2431">
      <x:c r="A2431" s="7" t="n">
        <x:v>2427</x:v>
      </x:c>
      <x:c r="B2431" s="7" t="str">
        <x:v>Tata</x:v>
      </x:c>
      <x:c r="C2431" s="7" t="str">
        <x:v>Nexon</x:v>
      </x:c>
      <x:c r="D2431" s="7" t="str">
        <x:v>Smart</x:v>
      </x:c>
      <x:c r="E2431" s="7" t="str">
        <x:v>Petrol</x:v>
      </x:c>
      <x:c r="F2431" s="7" t="str">
        <x:v>Manual</x:v>
      </x:c>
      <x:c r="G2431" s="7" t="str">
        <x:v>Compact SUV</x:v>
      </x:c>
      <x:c r="H2431" s="7" t="n">
        <x:v>1199</x:v>
      </x:c>
      <x:c r="I2431" s="7" t="n">
        <x:v>118</x:v>
      </x:c>
      <x:c r="J2431" s="9" t="n">
        <x:v>17.4</x:v>
      </x:c>
      <x:c r="K2431" s="9" t="n">
        <x:v>9.5</x:v>
      </x:c>
      <x:c r="L2431" s="7" t="n">
        <x:v>2024</x:v>
      </x:c>
      <x:c r="M2431" s="11" t="n">
        <x:v>46974</x:v>
      </x:c>
      <x:c r="N2431" s="7" t="n">
        <x:v>3</x:v>
      </x:c>
      <x:c r="O2431" s="7" t="n">
        <x:v>0</x:v>
      </x:c>
      <x:c r="P2431" s="9" t="n">
        <x:v>6.67</x:v>
      </x:c>
      <x:c r="Q2431" s="7" t="n">
        <x:f>'Guide'!$B$5-L2431</x:f>
        <x:v>2</x:v>
      </x:c>
      <x:c r="R2431" s="9" t="n">
        <x:f>K2431-P2431</x:f>
        <x:v>2.83</x:v>
      </x:c>
      <x:c r="S2431" s="10" t="n">
        <x:f>IF(K2431&gt;0,R2431/K2431,"")</x:f>
        <x:v>0.29789473684210527</x:v>
      </x:c>
    </x:row>
    <x:row r="2432">
      <x:c r="A2432" s="7" t="n">
        <x:v>2428</x:v>
      </x:c>
      <x:c r="B2432" s="7" t="str">
        <x:v>Tata</x:v>
      </x:c>
      <x:c r="C2432" s="7" t="str">
        <x:v>Nexon</x:v>
      </x:c>
      <x:c r="D2432" s="7" t="str">
        <x:v>Smart</x:v>
      </x:c>
      <x:c r="E2432" s="7" t="str">
        <x:v>Petrol</x:v>
      </x:c>
      <x:c r="F2432" s="7" t="str">
        <x:v>Manual</x:v>
      </x:c>
      <x:c r="G2432" s="7" t="str">
        <x:v>Compact SUV</x:v>
      </x:c>
      <x:c r="H2432" s="7" t="n">
        <x:v>1199</x:v>
      </x:c>
      <x:c r="I2432" s="7" t="n">
        <x:v>118</x:v>
      </x:c>
      <x:c r="J2432" s="9" t="n">
        <x:v>17.4</x:v>
      </x:c>
      <x:c r="K2432" s="9" t="n">
        <x:v>9.5</x:v>
      </x:c>
      <x:c r="L2432" s="7" t="n">
        <x:v>2023</x:v>
      </x:c>
      <x:c r="M2432" s="11" t="n">
        <x:v>63697</x:v>
      </x:c>
      <x:c r="N2432" s="7" t="n">
        <x:v>3</x:v>
      </x:c>
      <x:c r="O2432" s="7" t="n">
        <x:v>0</x:v>
      </x:c>
      <x:c r="P2432" s="9" t="n">
        <x:v>5.86</x:v>
      </x:c>
      <x:c r="Q2432" s="7" t="n">
        <x:f>'Guide'!$B$5-L2432</x:f>
        <x:v>3</x:v>
      </x:c>
      <x:c r="R2432" s="9" t="n">
        <x:f>K2432-P2432</x:f>
        <x:v>3.6399999999999997</x:v>
      </x:c>
      <x:c r="S2432" s="10" t="n">
        <x:f>IF(K2432&gt;0,R2432/K2432,"")</x:f>
        <x:v>0.3831578947368421</x:v>
      </x:c>
    </x:row>
    <x:row r="2433">
      <x:c r="A2433" s="7" t="n">
        <x:v>2429</x:v>
      </x:c>
      <x:c r="B2433" s="7" t="str">
        <x:v>Tata</x:v>
      </x:c>
      <x:c r="C2433" s="7" t="str">
        <x:v>Nexon</x:v>
      </x:c>
      <x:c r="D2433" s="7" t="str">
        <x:v>Smart</x:v>
      </x:c>
      <x:c r="E2433" s="7" t="str">
        <x:v>Petrol</x:v>
      </x:c>
      <x:c r="F2433" s="7" t="str">
        <x:v>Manual</x:v>
      </x:c>
      <x:c r="G2433" s="7" t="str">
        <x:v>Compact SUV</x:v>
      </x:c>
      <x:c r="H2433" s="7" t="n">
        <x:v>1199</x:v>
      </x:c>
      <x:c r="I2433" s="7" t="n">
        <x:v>118</x:v>
      </x:c>
      <x:c r="J2433" s="9" t="n">
        <x:v>17.4</x:v>
      </x:c>
      <x:c r="K2433" s="9" t="n">
        <x:v>9.5</x:v>
      </x:c>
      <x:c r="L2433" s="7" t="n">
        <x:v>2025</x:v>
      </x:c>
      <x:c r="M2433" s="11" t="n">
        <x:v>29654</x:v>
      </x:c>
      <x:c r="N2433" s="7" t="n">
        <x:v>1</x:v>
      </x:c>
      <x:c r="O2433" s="7" t="n">
        <x:v>0</x:v>
      </x:c>
      <x:c r="P2433" s="9" t="n">
        <x:v>8.16</x:v>
      </x:c>
      <x:c r="Q2433" s="7" t="n">
        <x:f>'Guide'!$B$5-L2433</x:f>
        <x:v>1</x:v>
      </x:c>
      <x:c r="R2433" s="9" t="n">
        <x:f>K2433-P2433</x:f>
        <x:v>1.3399999999999999</x:v>
      </x:c>
      <x:c r="S2433" s="10" t="n">
        <x:f>IF(K2433&gt;0,R2433/K2433,"")</x:f>
        <x:v>0.14105263157894735</x:v>
      </x:c>
    </x:row>
    <x:row r="2434">
      <x:c r="A2434" s="7" t="n">
        <x:v>2430</x:v>
      </x:c>
      <x:c r="B2434" s="7" t="str">
        <x:v>Tata</x:v>
      </x:c>
      <x:c r="C2434" s="7" t="str">
        <x:v>Nexon</x:v>
      </x:c>
      <x:c r="D2434" s="7" t="str">
        <x:v>Smart</x:v>
      </x:c>
      <x:c r="E2434" s="7" t="str">
        <x:v>Petrol</x:v>
      </x:c>
      <x:c r="F2434" s="7" t="str">
        <x:v>Manual</x:v>
      </x:c>
      <x:c r="G2434" s="7" t="str">
        <x:v>Compact SUV</x:v>
      </x:c>
      <x:c r="H2434" s="7" t="n">
        <x:v>1199</x:v>
      </x:c>
      <x:c r="I2434" s="7" t="n">
        <x:v>118</x:v>
      </x:c>
      <x:c r="J2434" s="9" t="n">
        <x:v>17.4</x:v>
      </x:c>
      <x:c r="K2434" s="9" t="n">
        <x:v>9.5</x:v>
      </x:c>
      <x:c r="L2434" s="7" t="n">
        <x:v>2024</x:v>
      </x:c>
      <x:c r="M2434" s="11" t="n">
        <x:v>26539</x:v>
      </x:c>
      <x:c r="N2434" s="7" t="n">
        <x:v>1</x:v>
      </x:c>
      <x:c r="O2434" s="7" t="n">
        <x:v>0</x:v>
      </x:c>
      <x:c r="P2434" s="9" t="n">
        <x:v>7.91</x:v>
      </x:c>
      <x:c r="Q2434" s="7" t="n">
        <x:f>'Guide'!$B$5-L2434</x:f>
        <x:v>2</x:v>
      </x:c>
      <x:c r="R2434" s="9" t="n">
        <x:f>K2434-P2434</x:f>
        <x:v>1.5899999999999999</x:v>
      </x:c>
      <x:c r="S2434" s="10" t="n">
        <x:f>IF(K2434&gt;0,R2434/K2434,"")</x:f>
        <x:v>0.16736842105263156</x:v>
      </x:c>
    </x:row>
    <x:row r="2435">
      <x:c r="A2435" s="7" t="n">
        <x:v>2431</x:v>
      </x:c>
      <x:c r="B2435" s="7" t="str">
        <x:v>Tata</x:v>
      </x:c>
      <x:c r="C2435" s="7" t="str">
        <x:v>Nexon</x:v>
      </x:c>
      <x:c r="D2435" s="7" t="str">
        <x:v>Smart</x:v>
      </x:c>
      <x:c r="E2435" s="7" t="str">
        <x:v>Petrol</x:v>
      </x:c>
      <x:c r="F2435" s="7" t="str">
        <x:v>Manual</x:v>
      </x:c>
      <x:c r="G2435" s="7" t="str">
        <x:v>Compact SUV</x:v>
      </x:c>
      <x:c r="H2435" s="7" t="n">
        <x:v>1199</x:v>
      </x:c>
      <x:c r="I2435" s="7" t="n">
        <x:v>118</x:v>
      </x:c>
      <x:c r="J2435" s="9" t="n">
        <x:v>17.4</x:v>
      </x:c>
      <x:c r="K2435" s="9" t="n">
        <x:v>9.5</x:v>
      </x:c>
      <x:c r="L2435" s="7" t="n">
        <x:v>2024</x:v>
      </x:c>
      <x:c r="M2435" s="11" t="n">
        <x:v>25715</x:v>
      </x:c>
      <x:c r="N2435" s="7" t="n">
        <x:v>1</x:v>
      </x:c>
      <x:c r="O2435" s="7" t="n">
        <x:v>0</x:v>
      </x:c>
      <x:c r="P2435" s="9" t="n">
        <x:v>7.61</x:v>
      </x:c>
      <x:c r="Q2435" s="7" t="n">
        <x:f>'Guide'!$B$5-L2435</x:f>
        <x:v>2</x:v>
      </x:c>
      <x:c r="R2435" s="9" t="n">
        <x:f>K2435-P2435</x:f>
        <x:v>1.8899999999999997</x:v>
      </x:c>
      <x:c r="S2435" s="10" t="n">
        <x:f>IF(K2435&gt;0,R2435/K2435,"")</x:f>
        <x:v>0.1989473684210526</x:v>
      </x:c>
    </x:row>
    <x:row r="2436">
      <x:c r="A2436" s="7" t="n">
        <x:v>2432</x:v>
      </x:c>
      <x:c r="B2436" s="7" t="str">
        <x:v>Tata</x:v>
      </x:c>
      <x:c r="C2436" s="7" t="str">
        <x:v>Nexon</x:v>
      </x:c>
      <x:c r="D2436" s="7" t="str">
        <x:v>Smart</x:v>
      </x:c>
      <x:c r="E2436" s="7" t="str">
        <x:v>Petrol</x:v>
      </x:c>
      <x:c r="F2436" s="7" t="str">
        <x:v>Manual</x:v>
      </x:c>
      <x:c r="G2436" s="7" t="str">
        <x:v>Compact SUV</x:v>
      </x:c>
      <x:c r="H2436" s="7" t="n">
        <x:v>1199</x:v>
      </x:c>
      <x:c r="I2436" s="7" t="n">
        <x:v>118</x:v>
      </x:c>
      <x:c r="J2436" s="9" t="n">
        <x:v>17.4</x:v>
      </x:c>
      <x:c r="K2436" s="9" t="n">
        <x:v>9.5</x:v>
      </x:c>
      <x:c r="L2436" s="7" t="n">
        <x:v>2024</x:v>
      </x:c>
      <x:c r="M2436" s="11" t="n">
        <x:v>20758</x:v>
      </x:c>
      <x:c r="N2436" s="7" t="n">
        <x:v>1</x:v>
      </x:c>
      <x:c r="O2436" s="7" t="n">
        <x:v>0</x:v>
      </x:c>
      <x:c r="P2436" s="9" t="n">
        <x:v>7.55</x:v>
      </x:c>
      <x:c r="Q2436" s="7" t="n">
        <x:f>'Guide'!$B$5-L2436</x:f>
        <x:v>2</x:v>
      </x:c>
      <x:c r="R2436" s="9" t="n">
        <x:f>K2436-P2436</x:f>
        <x:v>1.9500000000000002</x:v>
      </x:c>
      <x:c r="S2436" s="10" t="n">
        <x:f>IF(K2436&gt;0,R2436/K2436,"")</x:f>
        <x:v>0.20526315789473687</x:v>
      </x:c>
    </x:row>
    <x:row r="2437">
      <x:c r="A2437" s="7" t="n">
        <x:v>2433</x:v>
      </x:c>
      <x:c r="B2437" s="7" t="str">
        <x:v>Tata</x:v>
      </x:c>
      <x:c r="C2437" s="7" t="str">
        <x:v>Nexon</x:v>
      </x:c>
      <x:c r="D2437" s="7" t="str">
        <x:v>Smart</x:v>
      </x:c>
      <x:c r="E2437" s="7" t="str">
        <x:v>Petrol</x:v>
      </x:c>
      <x:c r="F2437" s="7" t="str">
        <x:v>Manual</x:v>
      </x:c>
      <x:c r="G2437" s="7" t="str">
        <x:v>Compact SUV</x:v>
      </x:c>
      <x:c r="H2437" s="7" t="n">
        <x:v>1199</x:v>
      </x:c>
      <x:c r="I2437" s="7" t="n">
        <x:v>118</x:v>
      </x:c>
      <x:c r="J2437" s="9" t="n">
        <x:v>17.4</x:v>
      </x:c>
      <x:c r="K2437" s="9" t="n">
        <x:v>9.5</x:v>
      </x:c>
      <x:c r="L2437" s="7" t="n">
        <x:v>2026</x:v>
      </x:c>
      <x:c r="M2437" s="11" t="n">
        <x:v>8392</x:v>
      </x:c>
      <x:c r="N2437" s="7" t="n">
        <x:v>1</x:v>
      </x:c>
      <x:c r="O2437" s="7" t="n">
        <x:v>0</x:v>
      </x:c>
      <x:c r="P2437" s="9" t="n">
        <x:v>9.33</x:v>
      </x:c>
      <x:c r="Q2437" s="7" t="n">
        <x:f>'Guide'!$B$5-L2437</x:f>
        <x:v>0</x:v>
      </x:c>
      <x:c r="R2437" s="9" t="n">
        <x:f>K2437-P2437</x:f>
        <x:v>0.16999999999999993</x:v>
      </x:c>
      <x:c r="S2437" s="10" t="n">
        <x:f>IF(K2437&gt;0,R2437/K2437,"")</x:f>
        <x:v>0.017894736842105255</x:v>
      </x:c>
    </x:row>
    <x:row r="2438">
      <x:c r="A2438" s="7" t="n">
        <x:v>2434</x:v>
      </x:c>
      <x:c r="B2438" s="7" t="str">
        <x:v>Tata</x:v>
      </x:c>
      <x:c r="C2438" s="7" t="str">
        <x:v>Nexon</x:v>
      </x:c>
      <x:c r="D2438" s="7" t="str">
        <x:v>Smart</x:v>
      </x:c>
      <x:c r="E2438" s="7" t="str">
        <x:v>Petrol</x:v>
      </x:c>
      <x:c r="F2438" s="7" t="str">
        <x:v>Manual</x:v>
      </x:c>
      <x:c r="G2438" s="7" t="str">
        <x:v>Compact SUV</x:v>
      </x:c>
      <x:c r="H2438" s="7" t="n">
        <x:v>1199</x:v>
      </x:c>
      <x:c r="I2438" s="7" t="n">
        <x:v>118</x:v>
      </x:c>
      <x:c r="J2438" s="9" t="n">
        <x:v>17.4</x:v>
      </x:c>
      <x:c r="K2438" s="9" t="n">
        <x:v>9.5</x:v>
      </x:c>
      <x:c r="L2438" s="7" t="n">
        <x:v>2023</x:v>
      </x:c>
      <x:c r="M2438" s="11" t="n">
        <x:v>37244</x:v>
      </x:c>
      <x:c r="N2438" s="7" t="n">
        <x:v>2</x:v>
      </x:c>
      <x:c r="O2438" s="7" t="n">
        <x:v>0</x:v>
      </x:c>
      <x:c r="P2438" s="9" t="n">
        <x:v>6.74</x:v>
      </x:c>
      <x:c r="Q2438" s="7" t="n">
        <x:f>'Guide'!$B$5-L2438</x:f>
        <x:v>3</x:v>
      </x:c>
      <x:c r="R2438" s="9" t="n">
        <x:f>K2438-P2438</x:f>
        <x:v>2.76</x:v>
      </x:c>
      <x:c r="S2438" s="10" t="n">
        <x:f>IF(K2438&gt;0,R2438/K2438,"")</x:f>
        <x:v>0.2905263157894737</x:v>
      </x:c>
    </x:row>
    <x:row r="2439">
      <x:c r="A2439" s="7" t="n">
        <x:v>2435</x:v>
      </x:c>
      <x:c r="B2439" s="7" t="str">
        <x:v>Tata</x:v>
      </x:c>
      <x:c r="C2439" s="7" t="str">
        <x:v>Nexon</x:v>
      </x:c>
      <x:c r="D2439" s="7" t="str">
        <x:v>Smart</x:v>
      </x:c>
      <x:c r="E2439" s="7" t="str">
        <x:v>Petrol</x:v>
      </x:c>
      <x:c r="F2439" s="7" t="str">
        <x:v>Manual</x:v>
      </x:c>
      <x:c r="G2439" s="7" t="str">
        <x:v>Compact SUV</x:v>
      </x:c>
      <x:c r="H2439" s="7" t="n">
        <x:v>1199</x:v>
      </x:c>
      <x:c r="I2439" s="7" t="n">
        <x:v>118</x:v>
      </x:c>
      <x:c r="J2439" s="9" t="n">
        <x:v>17.4</x:v>
      </x:c>
      <x:c r="K2439" s="9" t="n">
        <x:v>9.5</x:v>
      </x:c>
      <x:c r="L2439" s="7" t="n">
        <x:v>2026</x:v>
      </x:c>
      <x:c r="M2439" s="11" t="n">
        <x:v>6598</x:v>
      </x:c>
      <x:c r="N2439" s="7" t="n">
        <x:v>2</x:v>
      </x:c>
      <x:c r="O2439" s="7" t="n">
        <x:v>1</x:v>
      </x:c>
      <x:c r="P2439" s="9" t="n">
        <x:v>8.06</x:v>
      </x:c>
      <x:c r="Q2439" s="7" t="n">
        <x:f>'Guide'!$B$5-L2439</x:f>
        <x:v>0</x:v>
      </x:c>
      <x:c r="R2439" s="9" t="n">
        <x:f>K2439-P2439</x:f>
        <x:v>1.4399999999999995</x:v>
      </x:c>
      <x:c r="S2439" s="10" t="n">
        <x:f>IF(K2439&gt;0,R2439/K2439,"")</x:f>
        <x:v>0.151578947368421</x:v>
      </x:c>
    </x:row>
    <x:row r="2440">
      <x:c r="A2440" s="7" t="n">
        <x:v>2436</x:v>
      </x:c>
      <x:c r="B2440" s="7" t="str">
        <x:v>Tata</x:v>
      </x:c>
      <x:c r="C2440" s="7" t="str">
        <x:v>Nexon</x:v>
      </x:c>
      <x:c r="D2440" s="7" t="str">
        <x:v>Smart</x:v>
      </x:c>
      <x:c r="E2440" s="7" t="str">
        <x:v>Petrol</x:v>
      </x:c>
      <x:c r="F2440" s="7" t="str">
        <x:v>Manual</x:v>
      </x:c>
      <x:c r="G2440" s="7" t="str">
        <x:v>Compact SUV</x:v>
      </x:c>
      <x:c r="H2440" s="7" t="n">
        <x:v>1199</x:v>
      </x:c>
      <x:c r="I2440" s="7" t="n">
        <x:v>118</x:v>
      </x:c>
      <x:c r="J2440" s="9" t="n">
        <x:v>17.4</x:v>
      </x:c>
      <x:c r="K2440" s="9" t="n">
        <x:v>9.5</x:v>
      </x:c>
      <x:c r="L2440" s="7" t="n">
        <x:v>2021</x:v>
      </x:c>
      <x:c r="M2440" s="11" t="n">
        <x:v>73547</x:v>
      </x:c>
      <x:c r="N2440" s="7" t="n">
        <x:v>1</x:v>
      </x:c>
      <x:c r="O2440" s="7" t="n">
        <x:v>0</x:v>
      </x:c>
      <x:c r="P2440" s="9" t="n">
        <x:v>5.11</x:v>
      </x:c>
      <x:c r="Q2440" s="7" t="n">
        <x:f>'Guide'!$B$5-L2440</x:f>
        <x:v>5</x:v>
      </x:c>
      <x:c r="R2440" s="9" t="n">
        <x:f>K2440-P2440</x:f>
        <x:v>4.39</x:v>
      </x:c>
      <x:c r="S2440" s="10" t="n">
        <x:f>IF(K2440&gt;0,R2440/K2440,"")</x:f>
        <x:v>0.4621052631578947</x:v>
      </x:c>
    </x:row>
    <x:row r="2441">
      <x:c r="A2441" s="7" t="n">
        <x:v>2437</x:v>
      </x:c>
      <x:c r="B2441" s="7" t="str">
        <x:v>Tata</x:v>
      </x:c>
      <x:c r="C2441" s="7" t="str">
        <x:v>Nexon</x:v>
      </x:c>
      <x:c r="D2441" s="7" t="str">
        <x:v>Smart</x:v>
      </x:c>
      <x:c r="E2441" s="7" t="str">
        <x:v>Petrol</x:v>
      </x:c>
      <x:c r="F2441" s="7" t="str">
        <x:v>Manual</x:v>
      </x:c>
      <x:c r="G2441" s="7" t="str">
        <x:v>Compact SUV</x:v>
      </x:c>
      <x:c r="H2441" s="7" t="n">
        <x:v>1199</x:v>
      </x:c>
      <x:c r="I2441" s="7" t="n">
        <x:v>118</x:v>
      </x:c>
      <x:c r="J2441" s="9" t="n">
        <x:v>17.4</x:v>
      </x:c>
      <x:c r="K2441" s="9" t="n">
        <x:v>9.5</x:v>
      </x:c>
      <x:c r="L2441" s="7" t="n">
        <x:v>2021</x:v>
      </x:c>
      <x:c r="M2441" s="11" t="n">
        <x:v>55853</x:v>
      </x:c>
      <x:c r="N2441" s="7" t="n">
        <x:v>1</x:v>
      </x:c>
      <x:c r="O2441" s="7" t="n">
        <x:v>0</x:v>
      </x:c>
      <x:c r="P2441" s="9" t="n">
        <x:v>5.29</x:v>
      </x:c>
      <x:c r="Q2441" s="7" t="n">
        <x:f>'Guide'!$B$5-L2441</x:f>
        <x:v>5</x:v>
      </x:c>
      <x:c r="R2441" s="9" t="n">
        <x:f>K2441-P2441</x:f>
        <x:v>4.21</x:v>
      </x:c>
      <x:c r="S2441" s="10" t="n">
        <x:f>IF(K2441&gt;0,R2441/K2441,"")</x:f>
        <x:v>0.4431578947368421</x:v>
      </x:c>
    </x:row>
    <x:row r="2442">
      <x:c r="A2442" s="7" t="n">
        <x:v>2438</x:v>
      </x:c>
      <x:c r="B2442" s="7" t="str">
        <x:v>Tata</x:v>
      </x:c>
      <x:c r="C2442" s="7" t="str">
        <x:v>Nexon</x:v>
      </x:c>
      <x:c r="D2442" s="7" t="str">
        <x:v>Smart</x:v>
      </x:c>
      <x:c r="E2442" s="7" t="str">
        <x:v>Petrol</x:v>
      </x:c>
      <x:c r="F2442" s="7" t="str">
        <x:v>Manual</x:v>
      </x:c>
      <x:c r="G2442" s="7" t="str">
        <x:v>Compact SUV</x:v>
      </x:c>
      <x:c r="H2442" s="7" t="n">
        <x:v>1199</x:v>
      </x:c>
      <x:c r="I2442" s="7" t="n">
        <x:v>118</x:v>
      </x:c>
      <x:c r="J2442" s="9" t="n">
        <x:v>17.4</x:v>
      </x:c>
      <x:c r="K2442" s="9" t="n">
        <x:v>9.5</x:v>
      </x:c>
      <x:c r="L2442" s="7" t="n">
        <x:v>2021</x:v>
      </x:c>
      <x:c r="M2442" s="11" t="n">
        <x:v>106028</x:v>
      </x:c>
      <x:c r="N2442" s="7" t="n">
        <x:v>1</x:v>
      </x:c>
      <x:c r="O2442" s="7" t="n">
        <x:v>0</x:v>
      </x:c>
      <x:c r="P2442" s="9" t="n">
        <x:v>4.42</x:v>
      </x:c>
      <x:c r="Q2442" s="7" t="n">
        <x:f>'Guide'!$B$5-L2442</x:f>
        <x:v>5</x:v>
      </x:c>
      <x:c r="R2442" s="9" t="n">
        <x:f>K2442-P2442</x:f>
        <x:v>5.08</x:v>
      </x:c>
      <x:c r="S2442" s="10" t="n">
        <x:f>IF(K2442&gt;0,R2442/K2442,"")</x:f>
        <x:v>0.5347368421052632</x:v>
      </x:c>
    </x:row>
    <x:row r="2443">
      <x:c r="A2443" s="7" t="n">
        <x:v>2439</x:v>
      </x:c>
      <x:c r="B2443" s="7" t="str">
        <x:v>Tata</x:v>
      </x:c>
      <x:c r="C2443" s="7" t="str">
        <x:v>Nexon</x:v>
      </x:c>
      <x:c r="D2443" s="7" t="str">
        <x:v>Smart</x:v>
      </x:c>
      <x:c r="E2443" s="7" t="str">
        <x:v>Petrol</x:v>
      </x:c>
      <x:c r="F2443" s="7" t="str">
        <x:v>Manual</x:v>
      </x:c>
      <x:c r="G2443" s="7" t="str">
        <x:v>Compact SUV</x:v>
      </x:c>
      <x:c r="H2443" s="7" t="n">
        <x:v>1199</x:v>
      </x:c>
      <x:c r="I2443" s="7" t="n">
        <x:v>118</x:v>
      </x:c>
      <x:c r="J2443" s="9" t="n">
        <x:v>17.4</x:v>
      </x:c>
      <x:c r="K2443" s="9" t="n">
        <x:v>9.5</x:v>
      </x:c>
      <x:c r="L2443" s="7" t="n">
        <x:v>2021</x:v>
      </x:c>
      <x:c r="M2443" s="11" t="n">
        <x:v>89444</x:v>
      </x:c>
      <x:c r="N2443" s="7" t="n">
        <x:v>1</x:v>
      </x:c>
      <x:c r="O2443" s="7" t="n">
        <x:v>0</x:v>
      </x:c>
      <x:c r="P2443" s="9" t="n">
        <x:v>4.63</x:v>
      </x:c>
      <x:c r="Q2443" s="7" t="n">
        <x:f>'Guide'!$B$5-L2443</x:f>
        <x:v>5</x:v>
      </x:c>
      <x:c r="R2443" s="9" t="n">
        <x:f>K2443-P2443</x:f>
        <x:v>4.87</x:v>
      </x:c>
      <x:c r="S2443" s="10" t="n">
        <x:f>IF(K2443&gt;0,R2443/K2443,"")</x:f>
        <x:v>0.5126315789473684</x:v>
      </x:c>
    </x:row>
    <x:row r="2444">
      <x:c r="A2444" s="7" t="n">
        <x:v>2440</x:v>
      </x:c>
      <x:c r="B2444" s="7" t="str">
        <x:v>Tata</x:v>
      </x:c>
      <x:c r="C2444" s="7" t="str">
        <x:v>Nexon</x:v>
      </x:c>
      <x:c r="D2444" s="7" t="str">
        <x:v>Smart</x:v>
      </x:c>
      <x:c r="E2444" s="7" t="str">
        <x:v>Petrol</x:v>
      </x:c>
      <x:c r="F2444" s="7" t="str">
        <x:v>Manual</x:v>
      </x:c>
      <x:c r="G2444" s="7" t="str">
        <x:v>Compact SUV</x:v>
      </x:c>
      <x:c r="H2444" s="7" t="n">
        <x:v>1199</x:v>
      </x:c>
      <x:c r="I2444" s="7" t="n">
        <x:v>118</x:v>
      </x:c>
      <x:c r="J2444" s="9" t="n">
        <x:v>17.4</x:v>
      </x:c>
      <x:c r="K2444" s="9" t="n">
        <x:v>9.5</x:v>
      </x:c>
      <x:c r="L2444" s="7" t="n">
        <x:v>2021</x:v>
      </x:c>
      <x:c r="M2444" s="11" t="n">
        <x:v>90540</x:v>
      </x:c>
      <x:c r="N2444" s="7" t="n">
        <x:v>1</x:v>
      </x:c>
      <x:c r="O2444" s="7" t="n">
        <x:v>0</x:v>
      </x:c>
      <x:c r="P2444" s="9" t="n">
        <x:v>4.44</x:v>
      </x:c>
      <x:c r="Q2444" s="7" t="n">
        <x:f>'Guide'!$B$5-L2444</x:f>
        <x:v>5</x:v>
      </x:c>
      <x:c r="R2444" s="9" t="n">
        <x:f>K2444-P2444</x:f>
        <x:v>5.06</x:v>
      </x:c>
      <x:c r="S2444" s="10" t="n">
        <x:f>IF(K2444&gt;0,R2444/K2444,"")</x:f>
        <x:v>0.5326315789473683</x:v>
      </x:c>
    </x:row>
    <x:row r="2445">
      <x:c r="A2445" s="7" t="n">
        <x:v>2441</x:v>
      </x:c>
      <x:c r="B2445" s="7" t="str">
        <x:v>Tata</x:v>
      </x:c>
      <x:c r="C2445" s="7" t="str">
        <x:v>Nexon</x:v>
      </x:c>
      <x:c r="D2445" s="7" t="str">
        <x:v>Smart</x:v>
      </x:c>
      <x:c r="E2445" s="7" t="str">
        <x:v>Petrol</x:v>
      </x:c>
      <x:c r="F2445" s="7" t="str">
        <x:v>Manual</x:v>
      </x:c>
      <x:c r="G2445" s="7" t="str">
        <x:v>Compact SUV</x:v>
      </x:c>
      <x:c r="H2445" s="7" t="n">
        <x:v>1199</x:v>
      </x:c>
      <x:c r="I2445" s="7" t="n">
        <x:v>118</x:v>
      </x:c>
      <x:c r="J2445" s="9" t="n">
        <x:v>17.4</x:v>
      </x:c>
      <x:c r="K2445" s="9" t="n">
        <x:v>9.5</x:v>
      </x:c>
      <x:c r="L2445" s="7" t="n">
        <x:v>2020</x:v>
      </x:c>
      <x:c r="M2445" s="11" t="n">
        <x:v>125361</x:v>
      </x:c>
      <x:c r="N2445" s="7" t="n">
        <x:v>1</x:v>
      </x:c>
      <x:c r="O2445" s="7" t="n">
        <x:v>0</x:v>
      </x:c>
      <x:c r="P2445" s="9" t="n">
        <x:v>3.43</x:v>
      </x:c>
      <x:c r="Q2445" s="7" t="n">
        <x:f>'Guide'!$B$5-L2445</x:f>
        <x:v>6</x:v>
      </x:c>
      <x:c r="R2445" s="9" t="n">
        <x:f>K2445-P2445</x:f>
        <x:v>6.07</x:v>
      </x:c>
      <x:c r="S2445" s="10" t="n">
        <x:f>IF(K2445&gt;0,R2445/K2445,"")</x:f>
        <x:v>0.6389473684210527</x:v>
      </x:c>
    </x:row>
    <x:row r="2446">
      <x:c r="A2446" s="7" t="n">
        <x:v>2442</x:v>
      </x:c>
      <x:c r="B2446" s="7" t="str">
        <x:v>Tata</x:v>
      </x:c>
      <x:c r="C2446" s="7" t="str">
        <x:v>Nexon</x:v>
      </x:c>
      <x:c r="D2446" s="7" t="str">
        <x:v>Smart</x:v>
      </x:c>
      <x:c r="E2446" s="7" t="str">
        <x:v>Petrol</x:v>
      </x:c>
      <x:c r="F2446" s="7" t="str">
        <x:v>Manual</x:v>
      </x:c>
      <x:c r="G2446" s="7" t="str">
        <x:v>Compact SUV</x:v>
      </x:c>
      <x:c r="H2446" s="7" t="n">
        <x:v>1199</x:v>
      </x:c>
      <x:c r="I2446" s="7" t="n">
        <x:v>118</x:v>
      </x:c>
      <x:c r="J2446" s="9" t="n">
        <x:v>17.4</x:v>
      </x:c>
      <x:c r="K2446" s="9" t="n">
        <x:v>9.5</x:v>
      </x:c>
      <x:c r="L2446" s="7" t="n">
        <x:v>2026</x:v>
      </x:c>
      <x:c r="M2446" s="11" t="n">
        <x:v>9486</x:v>
      </x:c>
      <x:c r="N2446" s="7" t="n">
        <x:v>3</x:v>
      </x:c>
      <x:c r="O2446" s="7" t="n">
        <x:v>0</x:v>
      </x:c>
      <x:c r="P2446" s="9" t="n">
        <x:v>8.87</x:v>
      </x:c>
      <x:c r="Q2446" s="7" t="n">
        <x:f>'Guide'!$B$5-L2446</x:f>
        <x:v>0</x:v>
      </x:c>
      <x:c r="R2446" s="9" t="n">
        <x:f>K2446-P2446</x:f>
        <x:v>0.6300000000000008</x:v>
      </x:c>
      <x:c r="S2446" s="10" t="n">
        <x:f>IF(K2446&gt;0,R2446/K2446,"")</x:f>
        <x:v>0.06631578947368429</x:v>
      </x:c>
    </x:row>
    <x:row r="2447">
      <x:c r="A2447" s="7" t="n">
        <x:v>2443</x:v>
      </x:c>
      <x:c r="B2447" s="7" t="str">
        <x:v>Tata</x:v>
      </x:c>
      <x:c r="C2447" s="7" t="str">
        <x:v>Nexon</x:v>
      </x:c>
      <x:c r="D2447" s="7" t="str">
        <x:v>Smart</x:v>
      </x:c>
      <x:c r="E2447" s="7" t="str">
        <x:v>Petrol</x:v>
      </x:c>
      <x:c r="F2447" s="7" t="str">
        <x:v>Manual</x:v>
      </x:c>
      <x:c r="G2447" s="7" t="str">
        <x:v>Compact SUV</x:v>
      </x:c>
      <x:c r="H2447" s="7" t="n">
        <x:v>1199</x:v>
      </x:c>
      <x:c r="I2447" s="7" t="n">
        <x:v>118</x:v>
      </x:c>
      <x:c r="J2447" s="9" t="n">
        <x:v>17.4</x:v>
      </x:c>
      <x:c r="K2447" s="9" t="n">
        <x:v>9.5</x:v>
      </x:c>
      <x:c r="L2447" s="7" t="n">
        <x:v>2023</x:v>
      </x:c>
      <x:c r="M2447" s="11" t="n">
        <x:v>56523</x:v>
      </x:c>
      <x:c r="N2447" s="7" t="n">
        <x:v>1</x:v>
      </x:c>
      <x:c r="O2447" s="7" t="n">
        <x:v>0</x:v>
      </x:c>
      <x:c r="P2447" s="9" t="n">
        <x:v>6.2</x:v>
      </x:c>
      <x:c r="Q2447" s="7" t="n">
        <x:f>'Guide'!$B$5-L2447</x:f>
        <x:v>3</x:v>
      </x:c>
      <x:c r="R2447" s="9" t="n">
        <x:f>K2447-P2447</x:f>
        <x:v>3.3</x:v>
      </x:c>
      <x:c r="S2447" s="10" t="n">
        <x:f>IF(K2447&gt;0,R2447/K2447,"")</x:f>
        <x:v>0.34736842105263155</x:v>
      </x:c>
    </x:row>
    <x:row r="2448">
      <x:c r="A2448" s="7" t="n">
        <x:v>2444</x:v>
      </x:c>
      <x:c r="B2448" s="7" t="str">
        <x:v>Tata</x:v>
      </x:c>
      <x:c r="C2448" s="7" t="str">
        <x:v>Nexon</x:v>
      </x:c>
      <x:c r="D2448" s="7" t="str">
        <x:v>Smart</x:v>
      </x:c>
      <x:c r="E2448" s="7" t="str">
        <x:v>Petrol</x:v>
      </x:c>
      <x:c r="F2448" s="7" t="str">
        <x:v>Manual</x:v>
      </x:c>
      <x:c r="G2448" s="7" t="str">
        <x:v>Compact SUV</x:v>
      </x:c>
      <x:c r="H2448" s="7" t="n">
        <x:v>1199</x:v>
      </x:c>
      <x:c r="I2448" s="7" t="n">
        <x:v>118</x:v>
      </x:c>
      <x:c r="J2448" s="9" t="n">
        <x:v>17.4</x:v>
      </x:c>
      <x:c r="K2448" s="9" t="n">
        <x:v>9.5</x:v>
      </x:c>
      <x:c r="L2448" s="7" t="n">
        <x:v>2025</x:v>
      </x:c>
      <x:c r="M2448" s="11" t="n">
        <x:v>24016</x:v>
      </x:c>
      <x:c r="N2448" s="7" t="n">
        <x:v>1</x:v>
      </x:c>
      <x:c r="O2448" s="7" t="n">
        <x:v>0</x:v>
      </x:c>
      <x:c r="P2448" s="9" t="n">
        <x:v>8.41</x:v>
      </x:c>
      <x:c r="Q2448" s="7" t="n">
        <x:f>'Guide'!$B$5-L2448</x:f>
        <x:v>1</x:v>
      </x:c>
      <x:c r="R2448" s="9" t="n">
        <x:f>K2448-P2448</x:f>
        <x:v>1.0899999999999999</x:v>
      </x:c>
      <x:c r="S2448" s="10" t="n">
        <x:f>IF(K2448&gt;0,R2448/K2448,"")</x:f>
        <x:v>0.11473684210526314</x:v>
      </x:c>
    </x:row>
    <x:row r="2449">
      <x:c r="A2449" s="7" t="n">
        <x:v>2445</x:v>
      </x:c>
      <x:c r="B2449" s="7" t="str">
        <x:v>Tata</x:v>
      </x:c>
      <x:c r="C2449" s="7" t="str">
        <x:v>Nexon</x:v>
      </x:c>
      <x:c r="D2449" s="7" t="str">
        <x:v>Smart</x:v>
      </x:c>
      <x:c r="E2449" s="7" t="str">
        <x:v>Petrol</x:v>
      </x:c>
      <x:c r="F2449" s="7" t="str">
        <x:v>Manual</x:v>
      </x:c>
      <x:c r="G2449" s="7" t="str">
        <x:v>Compact SUV</x:v>
      </x:c>
      <x:c r="H2449" s="7" t="n">
        <x:v>1199</x:v>
      </x:c>
      <x:c r="I2449" s="7" t="n">
        <x:v>118</x:v>
      </x:c>
      <x:c r="J2449" s="9" t="n">
        <x:v>17.4</x:v>
      </x:c>
      <x:c r="K2449" s="9" t="n">
        <x:v>9.5</x:v>
      </x:c>
      <x:c r="L2449" s="7" t="n">
        <x:v>2021</x:v>
      </x:c>
      <x:c r="M2449" s="11" t="n">
        <x:v>67656</x:v>
      </x:c>
      <x:c r="N2449" s="7" t="n">
        <x:v>1</x:v>
      </x:c>
      <x:c r="O2449" s="7" t="n">
        <x:v>1</x:v>
      </x:c>
      <x:c r="P2449" s="9" t="n">
        <x:v>3.88</x:v>
      </x:c>
      <x:c r="Q2449" s="7" t="n">
        <x:f>'Guide'!$B$5-L2449</x:f>
        <x:v>5</x:v>
      </x:c>
      <x:c r="R2449" s="9" t="n">
        <x:f>K2449-P2449</x:f>
        <x:v>5.62</x:v>
      </x:c>
      <x:c r="S2449" s="10" t="n">
        <x:f>IF(K2449&gt;0,R2449/K2449,"")</x:f>
        <x:v>0.5915789473684211</x:v>
      </x:c>
    </x:row>
    <x:row r="2450">
      <x:c r="A2450" s="7" t="n">
        <x:v>2446</x:v>
      </x:c>
      <x:c r="B2450" s="7" t="str">
        <x:v>Tata</x:v>
      </x:c>
      <x:c r="C2450" s="7" t="str">
        <x:v>Nexon</x:v>
      </x:c>
      <x:c r="D2450" s="7" t="str">
        <x:v>Smart</x:v>
      </x:c>
      <x:c r="E2450" s="7" t="str">
        <x:v>Petrol</x:v>
      </x:c>
      <x:c r="F2450" s="7" t="str">
        <x:v>Manual</x:v>
      </x:c>
      <x:c r="G2450" s="7" t="str">
        <x:v>Compact SUV</x:v>
      </x:c>
      <x:c r="H2450" s="7" t="n">
        <x:v>1199</x:v>
      </x:c>
      <x:c r="I2450" s="7" t="n">
        <x:v>118</x:v>
      </x:c>
      <x:c r="J2450" s="9" t="n">
        <x:v>17.4</x:v>
      </x:c>
      <x:c r="K2450" s="9" t="n">
        <x:v>9.5</x:v>
      </x:c>
      <x:c r="L2450" s="7" t="n">
        <x:v>2026</x:v>
      </x:c>
      <x:c r="M2450" s="11" t="n">
        <x:v>6113</x:v>
      </x:c>
      <x:c r="N2450" s="7" t="n">
        <x:v>1</x:v>
      </x:c>
      <x:c r="O2450" s="7" t="n">
        <x:v>0</x:v>
      </x:c>
      <x:c r="P2450" s="9" t="n">
        <x:v>9.76</x:v>
      </x:c>
      <x:c r="Q2450" s="7" t="n">
        <x:f>'Guide'!$B$5-L2450</x:f>
        <x:v>0</x:v>
      </x:c>
      <x:c r="R2450" s="9" t="n">
        <x:f>K2450-P2450</x:f>
        <x:v>-0.2599999999999998</x:v>
      </x:c>
      <x:c r="S2450" s="10" t="n">
        <x:f>IF(K2450&gt;0,R2450/K2450,"")</x:f>
        <x:v>-0.027368421052631556</x:v>
      </x:c>
    </x:row>
    <x:row r="2451">
      <x:c r="A2451" s="7" t="n">
        <x:v>2447</x:v>
      </x:c>
      <x:c r="B2451" s="7" t="str">
        <x:v>Tata</x:v>
      </x:c>
      <x:c r="C2451" s="7" t="str">
        <x:v>Nexon</x:v>
      </x:c>
      <x:c r="D2451" s="7" t="str">
        <x:v>Smart</x:v>
      </x:c>
      <x:c r="E2451" s="7" t="str">
        <x:v>Petrol</x:v>
      </x:c>
      <x:c r="F2451" s="7" t="str">
        <x:v>Manual</x:v>
      </x:c>
      <x:c r="G2451" s="7" t="str">
        <x:v>Compact SUV</x:v>
      </x:c>
      <x:c r="H2451" s="7" t="n">
        <x:v>1199</x:v>
      </x:c>
      <x:c r="I2451" s="7" t="n">
        <x:v>118</x:v>
      </x:c>
      <x:c r="J2451" s="9" t="n">
        <x:v>17.4</x:v>
      </x:c>
      <x:c r="K2451" s="9" t="n">
        <x:v>9.5</x:v>
      </x:c>
      <x:c r="L2451" s="7" t="n">
        <x:v>2022</x:v>
      </x:c>
      <x:c r="M2451" s="11" t="n">
        <x:v>80463</x:v>
      </x:c>
      <x:c r="N2451" s="7" t="n">
        <x:v>1</x:v>
      </x:c>
      <x:c r="O2451" s="7" t="n">
        <x:v>1</x:v>
      </x:c>
      <x:c r="P2451" s="9" t="n">
        <x:v>5.01</x:v>
      </x:c>
      <x:c r="Q2451" s="7" t="n">
        <x:f>'Guide'!$B$5-L2451</x:f>
        <x:v>4</x:v>
      </x:c>
      <x:c r="R2451" s="9" t="n">
        <x:f>K2451-P2451</x:f>
        <x:v>4.49</x:v>
      </x:c>
      <x:c r="S2451" s="10" t="n">
        <x:f>IF(K2451&gt;0,R2451/K2451,"")</x:f>
        <x:v>0.47263157894736846</x:v>
      </x:c>
    </x:row>
    <x:row r="2452">
      <x:c r="A2452" s="7" t="n">
        <x:v>2448</x:v>
      </x:c>
      <x:c r="B2452" s="7" t="str">
        <x:v>Tata</x:v>
      </x:c>
      <x:c r="C2452" s="7" t="str">
        <x:v>Nexon</x:v>
      </x:c>
      <x:c r="D2452" s="7" t="str">
        <x:v>Smart</x:v>
      </x:c>
      <x:c r="E2452" s="7" t="str">
        <x:v>Petrol</x:v>
      </x:c>
      <x:c r="F2452" s="7" t="str">
        <x:v>Manual</x:v>
      </x:c>
      <x:c r="G2452" s="7" t="str">
        <x:v>Compact SUV</x:v>
      </x:c>
      <x:c r="H2452" s="7" t="n">
        <x:v>1199</x:v>
      </x:c>
      <x:c r="I2452" s="7" t="n">
        <x:v>118</x:v>
      </x:c>
      <x:c r="J2452" s="9" t="n">
        <x:v>17.4</x:v>
      </x:c>
      <x:c r="K2452" s="9" t="n">
        <x:v>9.5</x:v>
      </x:c>
      <x:c r="L2452" s="7" t="n">
        <x:v>2026</x:v>
      </x:c>
      <x:c r="M2452" s="11" t="n">
        <x:v>8574</x:v>
      </x:c>
      <x:c r="N2452" s="7" t="n">
        <x:v>1</x:v>
      </x:c>
      <x:c r="O2452" s="7" t="n">
        <x:v>0</x:v>
      </x:c>
      <x:c r="P2452" s="9" t="n">
        <x:v>9.73</x:v>
      </x:c>
      <x:c r="Q2452" s="7" t="n">
        <x:f>'Guide'!$B$5-L2452</x:f>
        <x:v>0</x:v>
      </x:c>
      <x:c r="R2452" s="9" t="n">
        <x:f>K2452-P2452</x:f>
        <x:v>-0.23000000000000043</x:v>
      </x:c>
      <x:c r="S2452" s="10" t="n">
        <x:f>IF(K2452&gt;0,R2452/K2452,"")</x:f>
        <x:v>-0.02421052631578952</x:v>
      </x:c>
    </x:row>
    <x:row r="2453">
      <x:c r="A2453" s="7" t="n">
        <x:v>2449</x:v>
      </x:c>
      <x:c r="B2453" s="7" t="str">
        <x:v>Tata</x:v>
      </x:c>
      <x:c r="C2453" s="7" t="str">
        <x:v>Nexon</x:v>
      </x:c>
      <x:c r="D2453" s="7" t="str">
        <x:v>Smart</x:v>
      </x:c>
      <x:c r="E2453" s="7" t="str">
        <x:v>Petrol</x:v>
      </x:c>
      <x:c r="F2453" s="7" t="str">
        <x:v>Manual</x:v>
      </x:c>
      <x:c r="G2453" s="7" t="str">
        <x:v>Compact SUV</x:v>
      </x:c>
      <x:c r="H2453" s="7" t="n">
        <x:v>1199</x:v>
      </x:c>
      <x:c r="I2453" s="7" t="n">
        <x:v>118</x:v>
      </x:c>
      <x:c r="J2453" s="9" t="n">
        <x:v>17.4</x:v>
      </x:c>
      <x:c r="K2453" s="9" t="n">
        <x:v>9.5</x:v>
      </x:c>
      <x:c r="L2453" s="7" t="n">
        <x:v>2020</x:v>
      </x:c>
      <x:c r="M2453" s="11" t="n">
        <x:v>65730</x:v>
      </x:c>
      <x:c r="N2453" s="7" t="n">
        <x:v>1</x:v>
      </x:c>
      <x:c r="O2453" s="7" t="n">
        <x:v>0</x:v>
      </x:c>
      <x:c r="P2453" s="9" t="n">
        <x:v>4.54</x:v>
      </x:c>
      <x:c r="Q2453" s="7" t="n">
        <x:f>'Guide'!$B$5-L2453</x:f>
        <x:v>6</x:v>
      </x:c>
      <x:c r="R2453" s="9" t="n">
        <x:f>K2453-P2453</x:f>
        <x:v>4.96</x:v>
      </x:c>
      <x:c r="S2453" s="10" t="n">
        <x:f>IF(K2453&gt;0,R2453/K2453,"")</x:f>
        <x:v>0.5221052631578947</x:v>
      </x:c>
    </x:row>
    <x:row r="2454">
      <x:c r="A2454" s="7" t="n">
        <x:v>2450</x:v>
      </x:c>
      <x:c r="B2454" s="7" t="str">
        <x:v>Tata</x:v>
      </x:c>
      <x:c r="C2454" s="7" t="str">
        <x:v>Nexon</x:v>
      </x:c>
      <x:c r="D2454" s="7" t="str">
        <x:v>Smart</x:v>
      </x:c>
      <x:c r="E2454" s="7" t="str">
        <x:v>Petrol</x:v>
      </x:c>
      <x:c r="F2454" s="7" t="str">
        <x:v>Manual</x:v>
      </x:c>
      <x:c r="G2454" s="7" t="str">
        <x:v>Compact SUV</x:v>
      </x:c>
      <x:c r="H2454" s="7" t="n">
        <x:v>1199</x:v>
      </x:c>
      <x:c r="I2454" s="7" t="n">
        <x:v>118</x:v>
      </x:c>
      <x:c r="J2454" s="9" t="n">
        <x:v>17.4</x:v>
      </x:c>
      <x:c r="K2454" s="9" t="n">
        <x:v>9.5</x:v>
      </x:c>
      <x:c r="L2454" s="7" t="n">
        <x:v>2026</x:v>
      </x:c>
      <x:c r="M2454" s="11" t="n">
        <x:v>7976</x:v>
      </x:c>
      <x:c r="N2454" s="7" t="n">
        <x:v>3</x:v>
      </x:c>
      <x:c r="O2454" s="7" t="n">
        <x:v>1</x:v>
      </x:c>
      <x:c r="P2454" s="9" t="n">
        <x:v>7.87</x:v>
      </x:c>
      <x:c r="Q2454" s="7" t="n">
        <x:f>'Guide'!$B$5-L2454</x:f>
        <x:v>0</x:v>
      </x:c>
      <x:c r="R2454" s="9" t="n">
        <x:f>K2454-P2454</x:f>
        <x:v>1.63</x:v>
      </x:c>
      <x:c r="S2454" s="10" t="n">
        <x:f>IF(K2454&gt;0,R2454/K2454,"")</x:f>
        <x:v>0.17157894736842105</x:v>
      </x:c>
    </x:row>
    <x:row r="2455">
      <x:c r="A2455" s="7" t="n">
        <x:v>2451</x:v>
      </x:c>
      <x:c r="B2455" s="7" t="str">
        <x:v>Tata</x:v>
      </x:c>
      <x:c r="C2455" s="7" t="str">
        <x:v>Nexon</x:v>
      </x:c>
      <x:c r="D2455" s="7" t="str">
        <x:v>Smart</x:v>
      </x:c>
      <x:c r="E2455" s="7" t="str">
        <x:v>Petrol</x:v>
      </x:c>
      <x:c r="F2455" s="7" t="str">
        <x:v>Manual</x:v>
      </x:c>
      <x:c r="G2455" s="7" t="str">
        <x:v>Compact SUV</x:v>
      </x:c>
      <x:c r="H2455" s="7" t="n">
        <x:v>1199</x:v>
      </x:c>
      <x:c r="I2455" s="7" t="n">
        <x:v>118</x:v>
      </x:c>
      <x:c r="J2455" s="9" t="n">
        <x:v>17.4</x:v>
      </x:c>
      <x:c r="K2455" s="9" t="n">
        <x:v>9.5</x:v>
      </x:c>
      <x:c r="L2455" s="7" t="n">
        <x:v>2023</x:v>
      </x:c>
      <x:c r="M2455" s="11" t="n">
        <x:v>33560</x:v>
      </x:c>
      <x:c r="N2455" s="7" t="n">
        <x:v>3</x:v>
      </x:c>
      <x:c r="O2455" s="7" t="n">
        <x:v>0</x:v>
      </x:c>
      <x:c r="P2455" s="9" t="n">
        <x:v>5.88</x:v>
      </x:c>
      <x:c r="Q2455" s="7" t="n">
        <x:f>'Guide'!$B$5-L2455</x:f>
        <x:v>3</x:v>
      </x:c>
      <x:c r="R2455" s="9" t="n">
        <x:f>K2455-P2455</x:f>
        <x:v>3.62</x:v>
      </x:c>
      <x:c r="S2455" s="10" t="n">
        <x:f>IF(K2455&gt;0,R2455/K2455,"")</x:f>
        <x:v>0.38105263157894737</x:v>
      </x:c>
    </x:row>
    <x:row r="2456">
      <x:c r="A2456" s="7" t="n">
        <x:v>2452</x:v>
      </x:c>
      <x:c r="B2456" s="7" t="str">
        <x:v>Tata</x:v>
      </x:c>
      <x:c r="C2456" s="7" t="str">
        <x:v>Nexon</x:v>
      </x:c>
      <x:c r="D2456" s="7" t="str">
        <x:v>Smart</x:v>
      </x:c>
      <x:c r="E2456" s="7" t="str">
        <x:v>Petrol</x:v>
      </x:c>
      <x:c r="F2456" s="7" t="str">
        <x:v>Manual</x:v>
      </x:c>
      <x:c r="G2456" s="7" t="str">
        <x:v>Compact SUV</x:v>
      </x:c>
      <x:c r="H2456" s="7" t="n">
        <x:v>1199</x:v>
      </x:c>
      <x:c r="I2456" s="7" t="n">
        <x:v>118</x:v>
      </x:c>
      <x:c r="J2456" s="9" t="n">
        <x:v>17.4</x:v>
      </x:c>
      <x:c r="K2456" s="9" t="n">
        <x:v>9.5</x:v>
      </x:c>
      <x:c r="L2456" s="7" t="n">
        <x:v>2020</x:v>
      </x:c>
      <x:c r="M2456" s="11" t="n">
        <x:v>69524</x:v>
      </x:c>
      <x:c r="N2456" s="7" t="n">
        <x:v>2</x:v>
      </x:c>
      <x:c r="O2456" s="7" t="n">
        <x:v>0</x:v>
      </x:c>
      <x:c r="P2456" s="9" t="n">
        <x:v>3.47</x:v>
      </x:c>
      <x:c r="Q2456" s="7" t="n">
        <x:f>'Guide'!$B$5-L2456</x:f>
        <x:v>6</x:v>
      </x:c>
      <x:c r="R2456" s="9" t="n">
        <x:f>K2456-P2456</x:f>
        <x:v>6.029999999999999</x:v>
      </x:c>
      <x:c r="S2456" s="10" t="n">
        <x:f>IF(K2456&gt;0,R2456/K2456,"")</x:f>
        <x:v>0.634736842105263</x:v>
      </x:c>
    </x:row>
    <x:row r="2457">
      <x:c r="A2457" s="7" t="n">
        <x:v>2453</x:v>
      </x:c>
      <x:c r="B2457" s="7" t="str">
        <x:v>Tata</x:v>
      </x:c>
      <x:c r="C2457" s="7" t="str">
        <x:v>Nexon</x:v>
      </x:c>
      <x:c r="D2457" s="7" t="str">
        <x:v>Smart</x:v>
      </x:c>
      <x:c r="E2457" s="7" t="str">
        <x:v>Petrol</x:v>
      </x:c>
      <x:c r="F2457" s="7" t="str">
        <x:v>Manual</x:v>
      </x:c>
      <x:c r="G2457" s="7" t="str">
        <x:v>Compact SUV</x:v>
      </x:c>
      <x:c r="H2457" s="7" t="n">
        <x:v>1199</x:v>
      </x:c>
      <x:c r="I2457" s="7" t="n">
        <x:v>118</x:v>
      </x:c>
      <x:c r="J2457" s="9" t="n">
        <x:v>17.4</x:v>
      </x:c>
      <x:c r="K2457" s="9" t="n">
        <x:v>9.5</x:v>
      </x:c>
      <x:c r="L2457" s="7" t="n">
        <x:v>2023</x:v>
      </x:c>
      <x:c r="M2457" s="11" t="n">
        <x:v>33179</x:v>
      </x:c>
      <x:c r="N2457" s="7" t="n">
        <x:v>1</x:v>
      </x:c>
      <x:c r="O2457" s="7" t="n">
        <x:v>0</x:v>
      </x:c>
      <x:c r="P2457" s="9" t="n">
        <x:v>7.08</x:v>
      </x:c>
      <x:c r="Q2457" s="7" t="n">
        <x:f>'Guide'!$B$5-L2457</x:f>
        <x:v>3</x:v>
      </x:c>
      <x:c r="R2457" s="9" t="n">
        <x:f>K2457-P2457</x:f>
        <x:v>2.42</x:v>
      </x:c>
      <x:c r="S2457" s="10" t="n">
        <x:f>IF(K2457&gt;0,R2457/K2457,"")</x:f>
        <x:v>0.25473684210526315</x:v>
      </x:c>
    </x:row>
    <x:row r="2458">
      <x:c r="A2458" s="7" t="n">
        <x:v>2454</x:v>
      </x:c>
      <x:c r="B2458" s="7" t="str">
        <x:v>Tata</x:v>
      </x:c>
      <x:c r="C2458" s="7" t="str">
        <x:v>Nexon</x:v>
      </x:c>
      <x:c r="D2458" s="7" t="str">
        <x:v>Smart</x:v>
      </x:c>
      <x:c r="E2458" s="7" t="str">
        <x:v>Petrol</x:v>
      </x:c>
      <x:c r="F2458" s="7" t="str">
        <x:v>Manual</x:v>
      </x:c>
      <x:c r="G2458" s="7" t="str">
        <x:v>Compact SUV</x:v>
      </x:c>
      <x:c r="H2458" s="7" t="n">
        <x:v>1199</x:v>
      </x:c>
      <x:c r="I2458" s="7" t="n">
        <x:v>118</x:v>
      </x:c>
      <x:c r="J2458" s="9" t="n">
        <x:v>17.4</x:v>
      </x:c>
      <x:c r="K2458" s="9" t="n">
        <x:v>9.5</x:v>
      </x:c>
      <x:c r="L2458" s="7" t="n">
        <x:v>2025</x:v>
      </x:c>
      <x:c r="M2458" s="11" t="n">
        <x:v>26166</x:v>
      </x:c>
      <x:c r="N2458" s="7" t="n">
        <x:v>1</x:v>
      </x:c>
      <x:c r="O2458" s="7" t="n">
        <x:v>0</x:v>
      </x:c>
      <x:c r="P2458" s="9" t="n">
        <x:v>8.07</x:v>
      </x:c>
      <x:c r="Q2458" s="7" t="n">
        <x:f>'Guide'!$B$5-L2458</x:f>
        <x:v>1</x:v>
      </x:c>
      <x:c r="R2458" s="9" t="n">
        <x:f>K2458-P2458</x:f>
        <x:v>1.4299999999999997</x:v>
      </x:c>
      <x:c r="S2458" s="10" t="n">
        <x:f>IF(K2458&gt;0,R2458/K2458,"")</x:f>
        <x:v>0.15052631578947365</x:v>
      </x:c>
    </x:row>
    <x:row r="2459">
      <x:c r="A2459" s="7" t="n">
        <x:v>2455</x:v>
      </x:c>
      <x:c r="B2459" s="7" t="str">
        <x:v>Tata</x:v>
      </x:c>
      <x:c r="C2459" s="7" t="str">
        <x:v>Nexon</x:v>
      </x:c>
      <x:c r="D2459" s="7" t="str">
        <x:v>Smart</x:v>
      </x:c>
      <x:c r="E2459" s="7" t="str">
        <x:v>Petrol</x:v>
      </x:c>
      <x:c r="F2459" s="7" t="str">
        <x:v>Manual</x:v>
      </x:c>
      <x:c r="G2459" s="7" t="str">
        <x:v>Compact SUV</x:v>
      </x:c>
      <x:c r="H2459" s="7" t="n">
        <x:v>1199</x:v>
      </x:c>
      <x:c r="I2459" s="7" t="n">
        <x:v>118</x:v>
      </x:c>
      <x:c r="J2459" s="9" t="n">
        <x:v>17.4</x:v>
      </x:c>
      <x:c r="K2459" s="9" t="n">
        <x:v>9.5</x:v>
      </x:c>
      <x:c r="L2459" s="7" t="n">
        <x:v>2021</x:v>
      </x:c>
      <x:c r="M2459" s="11" t="n">
        <x:v>63621</x:v>
      </x:c>
      <x:c r="N2459" s="7" t="n">
        <x:v>1</x:v>
      </x:c>
      <x:c r="O2459" s="7" t="n">
        <x:v>0</x:v>
      </x:c>
      <x:c r="P2459" s="9" t="n">
        <x:v>5.15</x:v>
      </x:c>
      <x:c r="Q2459" s="7" t="n">
        <x:f>'Guide'!$B$5-L2459</x:f>
        <x:v>5</x:v>
      </x:c>
      <x:c r="R2459" s="9" t="n">
        <x:f>K2459-P2459</x:f>
        <x:v>4.35</x:v>
      </x:c>
      <x:c r="S2459" s="10" t="n">
        <x:f>IF(K2459&gt;0,R2459/K2459,"")</x:f>
        <x:v>0.45789473684210524</x:v>
      </x:c>
    </x:row>
    <x:row r="2460">
      <x:c r="A2460" s="7" t="n">
        <x:v>2456</x:v>
      </x:c>
      <x:c r="B2460" s="7" t="str">
        <x:v>Tata</x:v>
      </x:c>
      <x:c r="C2460" s="7" t="str">
        <x:v>Nexon</x:v>
      </x:c>
      <x:c r="D2460" s="7" t="str">
        <x:v>Smart</x:v>
      </x:c>
      <x:c r="E2460" s="7" t="str">
        <x:v>Petrol</x:v>
      </x:c>
      <x:c r="F2460" s="7" t="str">
        <x:v>Manual</x:v>
      </x:c>
      <x:c r="G2460" s="7" t="str">
        <x:v>Compact SUV</x:v>
      </x:c>
      <x:c r="H2460" s="7" t="n">
        <x:v>1199</x:v>
      </x:c>
      <x:c r="I2460" s="7" t="n">
        <x:v>118</x:v>
      </x:c>
      <x:c r="J2460" s="9" t="n">
        <x:v>17.4</x:v>
      </x:c>
      <x:c r="K2460" s="9" t="n">
        <x:v>9.5</x:v>
      </x:c>
      <x:c r="L2460" s="7" t="n">
        <x:v>2021</x:v>
      </x:c>
      <x:c r="M2460" s="11" t="n">
        <x:v>67173</x:v>
      </x:c>
      <x:c r="N2460" s="7" t="n">
        <x:v>1</x:v>
      </x:c>
      <x:c r="O2460" s="7" t="n">
        <x:v>0</x:v>
      </x:c>
      <x:c r="P2460" s="9" t="n">
        <x:v>5.25</x:v>
      </x:c>
      <x:c r="Q2460" s="7" t="n">
        <x:f>'Guide'!$B$5-L2460</x:f>
        <x:v>5</x:v>
      </x:c>
      <x:c r="R2460" s="9" t="n">
        <x:f>K2460-P2460</x:f>
        <x:v>4.25</x:v>
      </x:c>
      <x:c r="S2460" s="10" t="n">
        <x:f>IF(K2460&gt;0,R2460/K2460,"")</x:f>
        <x:v>0.4473684210526316</x:v>
      </x:c>
    </x:row>
    <x:row r="2461">
      <x:c r="A2461" s="7" t="n">
        <x:v>2457</x:v>
      </x:c>
      <x:c r="B2461" s="7" t="str">
        <x:v>Tata</x:v>
      </x:c>
      <x:c r="C2461" s="7" t="str">
        <x:v>Nexon</x:v>
      </x:c>
      <x:c r="D2461" s="7" t="str">
        <x:v>Smart</x:v>
      </x:c>
      <x:c r="E2461" s="7" t="str">
        <x:v>Petrol</x:v>
      </x:c>
      <x:c r="F2461" s="7" t="str">
        <x:v>Manual</x:v>
      </x:c>
      <x:c r="G2461" s="7" t="str">
        <x:v>Compact SUV</x:v>
      </x:c>
      <x:c r="H2461" s="7" t="n">
        <x:v>1199</x:v>
      </x:c>
      <x:c r="I2461" s="7" t="n">
        <x:v>118</x:v>
      </x:c>
      <x:c r="J2461" s="9" t="n">
        <x:v>17.4</x:v>
      </x:c>
      <x:c r="K2461" s="9" t="n">
        <x:v>9.5</x:v>
      </x:c>
      <x:c r="L2461" s="7" t="n">
        <x:v>2023</x:v>
      </x:c>
      <x:c r="M2461" s="11" t="n">
        <x:v>54747</x:v>
      </x:c>
      <x:c r="N2461" s="7" t="n">
        <x:v>1</x:v>
      </x:c>
      <x:c r="O2461" s="7" t="n">
        <x:v>0</x:v>
      </x:c>
      <x:c r="P2461" s="9" t="n">
        <x:v>6.64</x:v>
      </x:c>
      <x:c r="Q2461" s="7" t="n">
        <x:f>'Guide'!$B$5-L2461</x:f>
        <x:v>3</x:v>
      </x:c>
      <x:c r="R2461" s="9" t="n">
        <x:f>K2461-P2461</x:f>
        <x:v>2.8600000000000003</x:v>
      </x:c>
      <x:c r="S2461" s="10" t="n">
        <x:f>IF(K2461&gt;0,R2461/K2461,"")</x:f>
        <x:v>0.3010526315789474</x:v>
      </x:c>
    </x:row>
    <x:row r="2462">
      <x:c r="A2462" s="7" t="n">
        <x:v>2458</x:v>
      </x:c>
      <x:c r="B2462" s="7" t="str">
        <x:v>Tata</x:v>
      </x:c>
      <x:c r="C2462" s="7" t="str">
        <x:v>Nexon</x:v>
      </x:c>
      <x:c r="D2462" s="7" t="str">
        <x:v>Smart</x:v>
      </x:c>
      <x:c r="E2462" s="7" t="str">
        <x:v>Petrol</x:v>
      </x:c>
      <x:c r="F2462" s="7" t="str">
        <x:v>Manual</x:v>
      </x:c>
      <x:c r="G2462" s="7" t="str">
        <x:v>Compact SUV</x:v>
      </x:c>
      <x:c r="H2462" s="7" t="n">
        <x:v>1199</x:v>
      </x:c>
      <x:c r="I2462" s="7" t="n">
        <x:v>118</x:v>
      </x:c>
      <x:c r="J2462" s="9" t="n">
        <x:v>17.4</x:v>
      </x:c>
      <x:c r="K2462" s="9" t="n">
        <x:v>9.5</x:v>
      </x:c>
      <x:c r="L2462" s="7" t="n">
        <x:v>2023</x:v>
      </x:c>
      <x:c r="M2462" s="11" t="n">
        <x:v>64357</x:v>
      </x:c>
      <x:c r="N2462" s="7" t="n">
        <x:v>1</x:v>
      </x:c>
      <x:c r="O2462" s="7" t="n">
        <x:v>0</x:v>
      </x:c>
      <x:c r="P2462" s="9" t="n">
        <x:v>6.36</x:v>
      </x:c>
      <x:c r="Q2462" s="7" t="n">
        <x:f>'Guide'!$B$5-L2462</x:f>
        <x:v>3</x:v>
      </x:c>
      <x:c r="R2462" s="9" t="n">
        <x:f>K2462-P2462</x:f>
        <x:v>3.1399999999999997</x:v>
      </x:c>
      <x:c r="S2462" s="10" t="n">
        <x:f>IF(K2462&gt;0,R2462/K2462,"")</x:f>
        <x:v>0.33052631578947367</x:v>
      </x:c>
    </x:row>
    <x:row r="2463">
      <x:c r="A2463" s="7" t="n">
        <x:v>2459</x:v>
      </x:c>
      <x:c r="B2463" s="7" t="str">
        <x:v>Tata</x:v>
      </x:c>
      <x:c r="C2463" s="7" t="str">
        <x:v>Nexon</x:v>
      </x:c>
      <x:c r="D2463" s="7" t="str">
        <x:v>Smart</x:v>
      </x:c>
      <x:c r="E2463" s="7" t="str">
        <x:v>Petrol</x:v>
      </x:c>
      <x:c r="F2463" s="7" t="str">
        <x:v>Manual</x:v>
      </x:c>
      <x:c r="G2463" s="7" t="str">
        <x:v>Compact SUV</x:v>
      </x:c>
      <x:c r="H2463" s="7" t="n">
        <x:v>1199</x:v>
      </x:c>
      <x:c r="I2463" s="7" t="n">
        <x:v>118</x:v>
      </x:c>
      <x:c r="J2463" s="9" t="n">
        <x:v>17.4</x:v>
      </x:c>
      <x:c r="K2463" s="9" t="n">
        <x:v>9.5</x:v>
      </x:c>
      <x:c r="L2463" s="7" t="n">
        <x:v>2023</x:v>
      </x:c>
      <x:c r="M2463" s="11" t="n">
        <x:v>60540</x:v>
      </x:c>
      <x:c r="N2463" s="7" t="n">
        <x:v>2</x:v>
      </x:c>
      <x:c r="O2463" s="7" t="n">
        <x:v>1</x:v>
      </x:c>
      <x:c r="P2463" s="9" t="n">
        <x:v>5.15</x:v>
      </x:c>
      <x:c r="Q2463" s="7" t="n">
        <x:f>'Guide'!$B$5-L2463</x:f>
        <x:v>3</x:v>
      </x:c>
      <x:c r="R2463" s="9" t="n">
        <x:f>K2463-P2463</x:f>
        <x:v>4.35</x:v>
      </x:c>
      <x:c r="S2463" s="10" t="n">
        <x:f>IF(K2463&gt;0,R2463/K2463,"")</x:f>
        <x:v>0.45789473684210524</x:v>
      </x:c>
    </x:row>
    <x:row r="2464">
      <x:c r="A2464" s="7" t="n">
        <x:v>2460</x:v>
      </x:c>
      <x:c r="B2464" s="7" t="str">
        <x:v>Tata</x:v>
      </x:c>
      <x:c r="C2464" s="7" t="str">
        <x:v>Nexon</x:v>
      </x:c>
      <x:c r="D2464" s="7" t="str">
        <x:v>Smart</x:v>
      </x:c>
      <x:c r="E2464" s="7" t="str">
        <x:v>Petrol</x:v>
      </x:c>
      <x:c r="F2464" s="7" t="str">
        <x:v>Manual</x:v>
      </x:c>
      <x:c r="G2464" s="7" t="str">
        <x:v>Compact SUV</x:v>
      </x:c>
      <x:c r="H2464" s="7" t="n">
        <x:v>1199</x:v>
      </x:c>
      <x:c r="I2464" s="7" t="n">
        <x:v>118</x:v>
      </x:c>
      <x:c r="J2464" s="9" t="n">
        <x:v>17.4</x:v>
      </x:c>
      <x:c r="K2464" s="9" t="n">
        <x:v>9.5</x:v>
      </x:c>
      <x:c r="L2464" s="7" t="n">
        <x:v>2025</x:v>
      </x:c>
      <x:c r="M2464" s="11" t="n">
        <x:v>13774</x:v>
      </x:c>
      <x:c r="N2464" s="7" t="n">
        <x:v>1</x:v>
      </x:c>
      <x:c r="O2464" s="7" t="n">
        <x:v>0</x:v>
      </x:c>
      <x:c r="P2464" s="9" t="n">
        <x:v>8.47</x:v>
      </x:c>
      <x:c r="Q2464" s="7" t="n">
        <x:f>'Guide'!$B$5-L2464</x:f>
        <x:v>1</x:v>
      </x:c>
      <x:c r="R2464" s="9" t="n">
        <x:f>K2464-P2464</x:f>
        <x:v>1.0299999999999994</x:v>
      </x:c>
      <x:c r="S2464" s="10" t="n">
        <x:f>IF(K2464&gt;0,R2464/K2464,"")</x:f>
        <x:v>0.10842105263157888</x:v>
      </x:c>
    </x:row>
    <x:row r="2465">
      <x:c r="A2465" s="7" t="n">
        <x:v>2461</x:v>
      </x:c>
      <x:c r="B2465" s="7" t="str">
        <x:v>Tata</x:v>
      </x:c>
      <x:c r="C2465" s="7" t="str">
        <x:v>Nexon</x:v>
      </x:c>
      <x:c r="D2465" s="7" t="str">
        <x:v>Smart</x:v>
      </x:c>
      <x:c r="E2465" s="7" t="str">
        <x:v>Petrol</x:v>
      </x:c>
      <x:c r="F2465" s="7" t="str">
        <x:v>Manual</x:v>
      </x:c>
      <x:c r="G2465" s="7" t="str">
        <x:v>Compact SUV</x:v>
      </x:c>
      <x:c r="H2465" s="7" t="n">
        <x:v>1199</x:v>
      </x:c>
      <x:c r="I2465" s="7" t="n">
        <x:v>118</x:v>
      </x:c>
      <x:c r="J2465" s="9" t="n">
        <x:v>17.4</x:v>
      </x:c>
      <x:c r="K2465" s="9" t="n">
        <x:v>9.5</x:v>
      </x:c>
      <x:c r="L2465" s="7" t="n">
        <x:v>2022</x:v>
      </x:c>
      <x:c r="M2465" s="11" t="n">
        <x:v>87460</x:v>
      </x:c>
      <x:c r="N2465" s="7" t="n">
        <x:v>1</x:v>
      </x:c>
      <x:c r="O2465" s="7" t="n">
        <x:v>0</x:v>
      </x:c>
      <x:c r="P2465" s="9" t="n">
        <x:v>5.32</x:v>
      </x:c>
      <x:c r="Q2465" s="7" t="n">
        <x:f>'Guide'!$B$5-L2465</x:f>
        <x:v>4</x:v>
      </x:c>
      <x:c r="R2465" s="9" t="n">
        <x:f>K2465-P2465</x:f>
        <x:v>4.18</x:v>
      </x:c>
      <x:c r="S2465" s="10" t="n">
        <x:f>IF(K2465&gt;0,R2465/K2465,"")</x:f>
        <x:v>0.43999999999999995</x:v>
      </x:c>
    </x:row>
    <x:row r="2466">
      <x:c r="A2466" s="7" t="n">
        <x:v>2462</x:v>
      </x:c>
      <x:c r="B2466" s="7" t="str">
        <x:v>Tata</x:v>
      </x:c>
      <x:c r="C2466" s="7" t="str">
        <x:v>Nexon</x:v>
      </x:c>
      <x:c r="D2466" s="7" t="str">
        <x:v>Smart</x:v>
      </x:c>
      <x:c r="E2466" s="7" t="str">
        <x:v>Petrol</x:v>
      </x:c>
      <x:c r="F2466" s="7" t="str">
        <x:v>Manual</x:v>
      </x:c>
      <x:c r="G2466" s="7" t="str">
        <x:v>Compact SUV</x:v>
      </x:c>
      <x:c r="H2466" s="7" t="n">
        <x:v>1199</x:v>
      </x:c>
      <x:c r="I2466" s="7" t="n">
        <x:v>118</x:v>
      </x:c>
      <x:c r="J2466" s="9" t="n">
        <x:v>17.4</x:v>
      </x:c>
      <x:c r="K2466" s="9" t="n">
        <x:v>9.5</x:v>
      </x:c>
      <x:c r="L2466" s="7" t="n">
        <x:v>2020</x:v>
      </x:c>
      <x:c r="M2466" s="11" t="n">
        <x:v>80846</x:v>
      </x:c>
      <x:c r="N2466" s="7" t="n">
        <x:v>1</x:v>
      </x:c>
      <x:c r="O2466" s="7" t="n">
        <x:v>1</x:v>
      </x:c>
      <x:c r="P2466" s="9" t="n">
        <x:v>2.91</x:v>
      </x:c>
      <x:c r="Q2466" s="7" t="n">
        <x:f>'Guide'!$B$5-L2466</x:f>
        <x:v>6</x:v>
      </x:c>
      <x:c r="R2466" s="9" t="n">
        <x:f>K2466-P2466</x:f>
        <x:v>6.59</x:v>
      </x:c>
      <x:c r="S2466" s="10" t="n">
        <x:f>IF(K2466&gt;0,R2466/K2466,"")</x:f>
        <x:v>0.6936842105263158</x:v>
      </x:c>
    </x:row>
    <x:row r="2467">
      <x:c r="A2467" s="7" t="n">
        <x:v>2463</x:v>
      </x:c>
      <x:c r="B2467" s="7" t="str">
        <x:v>Tata</x:v>
      </x:c>
      <x:c r="C2467" s="7" t="str">
        <x:v>Nexon</x:v>
      </x:c>
      <x:c r="D2467" s="7" t="str">
        <x:v>Smart</x:v>
      </x:c>
      <x:c r="E2467" s="7" t="str">
        <x:v>Petrol</x:v>
      </x:c>
      <x:c r="F2467" s="7" t="str">
        <x:v>Manual</x:v>
      </x:c>
      <x:c r="G2467" s="7" t="str">
        <x:v>Compact SUV</x:v>
      </x:c>
      <x:c r="H2467" s="7" t="n">
        <x:v>1199</x:v>
      </x:c>
      <x:c r="I2467" s="7" t="n">
        <x:v>118</x:v>
      </x:c>
      <x:c r="J2467" s="9" t="n">
        <x:v>17.4</x:v>
      </x:c>
      <x:c r="K2467" s="9" t="n">
        <x:v>9.5</x:v>
      </x:c>
      <x:c r="L2467" s="7" t="n">
        <x:v>2021</x:v>
      </x:c>
      <x:c r="M2467" s="11" t="n">
        <x:v>81626</x:v>
      </x:c>
      <x:c r="N2467" s="7" t="n">
        <x:v>1</x:v>
      </x:c>
      <x:c r="O2467" s="7" t="n">
        <x:v>1</x:v>
      </x:c>
      <x:c r="P2467" s="9" t="n">
        <x:v>3.9</x:v>
      </x:c>
      <x:c r="Q2467" s="7" t="n">
        <x:f>'Guide'!$B$5-L2467</x:f>
        <x:v>5</x:v>
      </x:c>
      <x:c r="R2467" s="9" t="n">
        <x:f>K2467-P2467</x:f>
        <x:v>5.6</x:v>
      </x:c>
      <x:c r="S2467" s="10" t="n">
        <x:f>IF(K2467&gt;0,R2467/K2467,"")</x:f>
        <x:v>0.5894736842105263</x:v>
      </x:c>
    </x:row>
    <x:row r="2468">
      <x:c r="A2468" s="7" t="n">
        <x:v>2464</x:v>
      </x:c>
      <x:c r="B2468" s="7" t="str">
        <x:v>Tata</x:v>
      </x:c>
      <x:c r="C2468" s="7" t="str">
        <x:v>Nexon</x:v>
      </x:c>
      <x:c r="D2468" s="7" t="str">
        <x:v>Smart</x:v>
      </x:c>
      <x:c r="E2468" s="7" t="str">
        <x:v>Petrol</x:v>
      </x:c>
      <x:c r="F2468" s="7" t="str">
        <x:v>Manual</x:v>
      </x:c>
      <x:c r="G2468" s="7" t="str">
        <x:v>Compact SUV</x:v>
      </x:c>
      <x:c r="H2468" s="7" t="n">
        <x:v>1199</x:v>
      </x:c>
      <x:c r="I2468" s="7" t="n">
        <x:v>118</x:v>
      </x:c>
      <x:c r="J2468" s="9" t="n">
        <x:v>17.4</x:v>
      </x:c>
      <x:c r="K2468" s="9" t="n">
        <x:v>9.5</x:v>
      </x:c>
      <x:c r="L2468" s="7" t="n">
        <x:v>2022</x:v>
      </x:c>
      <x:c r="M2468" s="11" t="n">
        <x:v>40592</x:v>
      </x:c>
      <x:c r="N2468" s="7" t="n">
        <x:v>2</x:v>
      </x:c>
      <x:c r="O2468" s="7" t="n">
        <x:v>0</x:v>
      </x:c>
      <x:c r="P2468" s="9" t="n">
        <x:v>5.58</x:v>
      </x:c>
      <x:c r="Q2468" s="7" t="n">
        <x:f>'Guide'!$B$5-L2468</x:f>
        <x:v>4</x:v>
      </x:c>
      <x:c r="R2468" s="9" t="n">
        <x:f>K2468-P2468</x:f>
        <x:v>3.92</x:v>
      </x:c>
      <x:c r="S2468" s="10" t="n">
        <x:f>IF(K2468&gt;0,R2468/K2468,"")</x:f>
        <x:v>0.4126315789473684</x:v>
      </x:c>
    </x:row>
    <x:row r="2469">
      <x:c r="A2469" s="7" t="n">
        <x:v>2465</x:v>
      </x:c>
      <x:c r="B2469" s="7" t="str">
        <x:v>Tata</x:v>
      </x:c>
      <x:c r="C2469" s="7" t="str">
        <x:v>Nexon</x:v>
      </x:c>
      <x:c r="D2469" s="7" t="str">
        <x:v>Smart</x:v>
      </x:c>
      <x:c r="E2469" s="7" t="str">
        <x:v>Petrol</x:v>
      </x:c>
      <x:c r="F2469" s="7" t="str">
        <x:v>Manual</x:v>
      </x:c>
      <x:c r="G2469" s="7" t="str">
        <x:v>Compact SUV</x:v>
      </x:c>
      <x:c r="H2469" s="7" t="n">
        <x:v>1199</x:v>
      </x:c>
      <x:c r="I2469" s="7" t="n">
        <x:v>118</x:v>
      </x:c>
      <x:c r="J2469" s="9" t="n">
        <x:v>17.4</x:v>
      </x:c>
      <x:c r="K2469" s="9" t="n">
        <x:v>9.5</x:v>
      </x:c>
      <x:c r="L2469" s="7" t="n">
        <x:v>2023</x:v>
      </x:c>
      <x:c r="M2469" s="11" t="n">
        <x:v>31750</x:v>
      </x:c>
      <x:c r="N2469" s="7" t="n">
        <x:v>1</x:v>
      </x:c>
      <x:c r="O2469" s="7" t="n">
        <x:v>0</x:v>
      </x:c>
      <x:c r="P2469" s="9" t="n">
        <x:v>7.11</x:v>
      </x:c>
      <x:c r="Q2469" s="7" t="n">
        <x:f>'Guide'!$B$5-L2469</x:f>
        <x:v>3</x:v>
      </x:c>
      <x:c r="R2469" s="9" t="n">
        <x:f>K2469-P2469</x:f>
        <x:v>2.3899999999999997</x:v>
      </x:c>
      <x:c r="S2469" s="10" t="n">
        <x:f>IF(K2469&gt;0,R2469/K2469,"")</x:f>
        <x:v>0.251578947368421</x:v>
      </x:c>
    </x:row>
    <x:row r="2470">
      <x:c r="A2470" s="7" t="n">
        <x:v>2466</x:v>
      </x:c>
      <x:c r="B2470" s="7" t="str">
        <x:v>Tata</x:v>
      </x:c>
      <x:c r="C2470" s="7" t="str">
        <x:v>Nexon</x:v>
      </x:c>
      <x:c r="D2470" s="7" t="str">
        <x:v>Smart</x:v>
      </x:c>
      <x:c r="E2470" s="7" t="str">
        <x:v>Petrol</x:v>
      </x:c>
      <x:c r="F2470" s="7" t="str">
        <x:v>Manual</x:v>
      </x:c>
      <x:c r="G2470" s="7" t="str">
        <x:v>Compact SUV</x:v>
      </x:c>
      <x:c r="H2470" s="7" t="n">
        <x:v>1199</x:v>
      </x:c>
      <x:c r="I2470" s="7" t="n">
        <x:v>118</x:v>
      </x:c>
      <x:c r="J2470" s="9" t="n">
        <x:v>17.4</x:v>
      </x:c>
      <x:c r="K2470" s="9" t="n">
        <x:v>9.5</x:v>
      </x:c>
      <x:c r="L2470" s="7" t="n">
        <x:v>2022</x:v>
      </x:c>
      <x:c r="M2470" s="11" t="n">
        <x:v>52295</x:v>
      </x:c>
      <x:c r="N2470" s="7" t="n">
        <x:v>1</x:v>
      </x:c>
      <x:c r="O2470" s="7" t="n">
        <x:v>0</x:v>
      </x:c>
      <x:c r="P2470" s="9" t="n">
        <x:v>6.14</x:v>
      </x:c>
      <x:c r="Q2470" s="7" t="n">
        <x:f>'Guide'!$B$5-L2470</x:f>
        <x:v>4</x:v>
      </x:c>
      <x:c r="R2470" s="9" t="n">
        <x:f>K2470-P2470</x:f>
        <x:v>3.3600000000000003</x:v>
      </x:c>
      <x:c r="S2470" s="10" t="n">
        <x:f>IF(K2470&gt;0,R2470/K2470,"")</x:f>
        <x:v>0.3536842105263158</x:v>
      </x:c>
    </x:row>
    <x:row r="2471">
      <x:c r="A2471" s="7" t="n">
        <x:v>2467</x:v>
      </x:c>
      <x:c r="B2471" s="7" t="str">
        <x:v>Tata</x:v>
      </x:c>
      <x:c r="C2471" s="7" t="str">
        <x:v>Nexon</x:v>
      </x:c>
      <x:c r="D2471" s="7" t="str">
        <x:v>Smart</x:v>
      </x:c>
      <x:c r="E2471" s="7" t="str">
        <x:v>Petrol</x:v>
      </x:c>
      <x:c r="F2471" s="7" t="str">
        <x:v>Manual</x:v>
      </x:c>
      <x:c r="G2471" s="7" t="str">
        <x:v>Compact SUV</x:v>
      </x:c>
      <x:c r="H2471" s="7" t="n">
        <x:v>1199</x:v>
      </x:c>
      <x:c r="I2471" s="7" t="n">
        <x:v>118</x:v>
      </x:c>
      <x:c r="J2471" s="9" t="n">
        <x:v>17.4</x:v>
      </x:c>
      <x:c r="K2471" s="9" t="n">
        <x:v>9.5</x:v>
      </x:c>
      <x:c r="L2471" s="7" t="n">
        <x:v>2025</x:v>
      </x:c>
      <x:c r="M2471" s="11" t="n">
        <x:v>23190</x:v>
      </x:c>
      <x:c r="N2471" s="7" t="n">
        <x:v>1</x:v>
      </x:c>
      <x:c r="O2471" s="7" t="n">
        <x:v>0</x:v>
      </x:c>
      <x:c r="P2471" s="9" t="n">
        <x:v>8.38</x:v>
      </x:c>
      <x:c r="Q2471" s="7" t="n">
        <x:f>'Guide'!$B$5-L2471</x:f>
        <x:v>1</x:v>
      </x:c>
      <x:c r="R2471" s="9" t="n">
        <x:f>K2471-P2471</x:f>
        <x:v>1.1199999999999992</x:v>
      </x:c>
      <x:c r="S2471" s="10" t="n">
        <x:f>IF(K2471&gt;0,R2471/K2471,"")</x:f>
        <x:v>0.11789473684210518</x:v>
      </x:c>
    </x:row>
    <x:row r="2472">
      <x:c r="A2472" s="7" t="n">
        <x:v>2468</x:v>
      </x:c>
      <x:c r="B2472" s="7" t="str">
        <x:v>Tata</x:v>
      </x:c>
      <x:c r="C2472" s="7" t="str">
        <x:v>Nexon</x:v>
      </x:c>
      <x:c r="D2472" s="7" t="str">
        <x:v>Smart</x:v>
      </x:c>
      <x:c r="E2472" s="7" t="str">
        <x:v>Petrol</x:v>
      </x:c>
      <x:c r="F2472" s="7" t="str">
        <x:v>Manual</x:v>
      </x:c>
      <x:c r="G2472" s="7" t="str">
        <x:v>Compact SUV</x:v>
      </x:c>
      <x:c r="H2472" s="7" t="n">
        <x:v>1199</x:v>
      </x:c>
      <x:c r="I2472" s="7" t="n">
        <x:v>118</x:v>
      </x:c>
      <x:c r="J2472" s="9" t="n">
        <x:v>17.4</x:v>
      </x:c>
      <x:c r="K2472" s="9" t="n">
        <x:v>9.5</x:v>
      </x:c>
      <x:c r="L2472" s="7" t="n">
        <x:v>2020</x:v>
      </x:c>
      <x:c r="M2472" s="11" t="n">
        <x:v>61135</x:v>
      </x:c>
      <x:c r="N2472" s="7" t="n">
        <x:v>1</x:v>
      </x:c>
      <x:c r="O2472" s="7" t="n">
        <x:v>0</x:v>
      </x:c>
      <x:c r="P2472" s="9" t="n">
        <x:v>4.31</x:v>
      </x:c>
      <x:c r="Q2472" s="7" t="n">
        <x:f>'Guide'!$B$5-L2472</x:f>
        <x:v>6</x:v>
      </x:c>
      <x:c r="R2472" s="9" t="n">
        <x:f>K2472-P2472</x:f>
        <x:v>5.19</x:v>
      </x:c>
      <x:c r="S2472" s="10" t="n">
        <x:f>IF(K2472&gt;0,R2472/K2472,"")</x:f>
        <x:v>0.5463157894736842</x:v>
      </x:c>
    </x:row>
    <x:row r="2473">
      <x:c r="A2473" s="7" t="n">
        <x:v>2469</x:v>
      </x:c>
      <x:c r="B2473" s="7" t="str">
        <x:v>Tata</x:v>
      </x:c>
      <x:c r="C2473" s="7" t="str">
        <x:v>Nexon</x:v>
      </x:c>
      <x:c r="D2473" s="7" t="str">
        <x:v>Smart</x:v>
      </x:c>
      <x:c r="E2473" s="7" t="str">
        <x:v>Petrol</x:v>
      </x:c>
      <x:c r="F2473" s="7" t="str">
        <x:v>Manual</x:v>
      </x:c>
      <x:c r="G2473" s="7" t="str">
        <x:v>Compact SUV</x:v>
      </x:c>
      <x:c r="H2473" s="7" t="n">
        <x:v>1199</x:v>
      </x:c>
      <x:c r="I2473" s="7" t="n">
        <x:v>118</x:v>
      </x:c>
      <x:c r="J2473" s="9" t="n">
        <x:v>17.4</x:v>
      </x:c>
      <x:c r="K2473" s="9" t="n">
        <x:v>9.5</x:v>
      </x:c>
      <x:c r="L2473" s="7" t="n">
        <x:v>2026</x:v>
      </x:c>
      <x:c r="M2473" s="11" t="n">
        <x:v>7843</x:v>
      </x:c>
      <x:c r="N2473" s="7" t="n">
        <x:v>3</x:v>
      </x:c>
      <x:c r="O2473" s="7" t="n">
        <x:v>0</x:v>
      </x:c>
      <x:c r="P2473" s="9" t="n">
        <x:v>9</x:v>
      </x:c>
      <x:c r="Q2473" s="7" t="n">
        <x:f>'Guide'!$B$5-L2473</x:f>
        <x:v>0</x:v>
      </x:c>
      <x:c r="R2473" s="9" t="n">
        <x:f>K2473-P2473</x:f>
        <x:v>0.5</x:v>
      </x:c>
      <x:c r="S2473" s="10" t="n">
        <x:f>IF(K2473&gt;0,R2473/K2473,"")</x:f>
        <x:v>0.05263157894736842</x:v>
      </x:c>
    </x:row>
    <x:row r="2474">
      <x:c r="A2474" s="7" t="n">
        <x:v>2470</x:v>
      </x:c>
      <x:c r="B2474" s="7" t="str">
        <x:v>Tata</x:v>
      </x:c>
      <x:c r="C2474" s="7" t="str">
        <x:v>Nexon</x:v>
      </x:c>
      <x:c r="D2474" s="7" t="str">
        <x:v>Smart</x:v>
      </x:c>
      <x:c r="E2474" s="7" t="str">
        <x:v>Petrol</x:v>
      </x:c>
      <x:c r="F2474" s="7" t="str">
        <x:v>Manual</x:v>
      </x:c>
      <x:c r="G2474" s="7" t="str">
        <x:v>Compact SUV</x:v>
      </x:c>
      <x:c r="H2474" s="7" t="n">
        <x:v>1199</x:v>
      </x:c>
      <x:c r="I2474" s="7" t="n">
        <x:v>118</x:v>
      </x:c>
      <x:c r="J2474" s="9" t="n">
        <x:v>17.4</x:v>
      </x:c>
      <x:c r="K2474" s="9" t="n">
        <x:v>9.5</x:v>
      </x:c>
      <x:c r="L2474" s="7" t="n">
        <x:v>2021</x:v>
      </x:c>
      <x:c r="M2474" s="11" t="n">
        <x:v>48434</x:v>
      </x:c>
      <x:c r="N2474" s="7" t="n">
        <x:v>1</x:v>
      </x:c>
      <x:c r="O2474" s="7" t="n">
        <x:v>1</x:v>
      </x:c>
      <x:c r="P2474" s="9" t="n">
        <x:v>4.05</x:v>
      </x:c>
      <x:c r="Q2474" s="7" t="n">
        <x:f>'Guide'!$B$5-L2474</x:f>
        <x:v>5</x:v>
      </x:c>
      <x:c r="R2474" s="9" t="n">
        <x:f>K2474-P2474</x:f>
        <x:v>5.45</x:v>
      </x:c>
      <x:c r="S2474" s="10" t="n">
        <x:f>IF(K2474&gt;0,R2474/K2474,"")</x:f>
        <x:v>0.5736842105263158</x:v>
      </x:c>
    </x:row>
    <x:row r="2475">
      <x:c r="A2475" s="7" t="n">
        <x:v>2471</x:v>
      </x:c>
      <x:c r="B2475" s="7" t="str">
        <x:v>Tata</x:v>
      </x:c>
      <x:c r="C2475" s="7" t="str">
        <x:v>Nexon</x:v>
      </x:c>
      <x:c r="D2475" s="7" t="str">
        <x:v>Smart</x:v>
      </x:c>
      <x:c r="E2475" s="7" t="str">
        <x:v>Petrol</x:v>
      </x:c>
      <x:c r="F2475" s="7" t="str">
        <x:v>Manual</x:v>
      </x:c>
      <x:c r="G2475" s="7" t="str">
        <x:v>Compact SUV</x:v>
      </x:c>
      <x:c r="H2475" s="7" t="n">
        <x:v>1199</x:v>
      </x:c>
      <x:c r="I2475" s="7" t="n">
        <x:v>118</x:v>
      </x:c>
      <x:c r="J2475" s="9" t="n">
        <x:v>17.4</x:v>
      </x:c>
      <x:c r="K2475" s="9" t="n">
        <x:v>9.5</x:v>
      </x:c>
      <x:c r="L2475" s="7" t="n">
        <x:v>2022</x:v>
      </x:c>
      <x:c r="M2475" s="11" t="n">
        <x:v>56214</x:v>
      </x:c>
      <x:c r="N2475" s="7" t="n">
        <x:v>1</x:v>
      </x:c>
      <x:c r="O2475" s="7" t="n">
        <x:v>0</x:v>
      </x:c>
      <x:c r="P2475" s="9" t="n">
        <x:v>5.74</x:v>
      </x:c>
      <x:c r="Q2475" s="7" t="n">
        <x:f>'Guide'!$B$5-L2475</x:f>
        <x:v>4</x:v>
      </x:c>
      <x:c r="R2475" s="9" t="n">
        <x:f>K2475-P2475</x:f>
        <x:v>3.76</x:v>
      </x:c>
      <x:c r="S2475" s="10" t="n">
        <x:f>IF(K2475&gt;0,R2475/K2475,"")</x:f>
        <x:v>0.3957894736842105</x:v>
      </x:c>
    </x:row>
    <x:row r="2476">
      <x:c r="A2476" s="7" t="n">
        <x:v>2472</x:v>
      </x:c>
      <x:c r="B2476" s="7" t="str">
        <x:v>Tata</x:v>
      </x:c>
      <x:c r="C2476" s="7" t="str">
        <x:v>Nexon</x:v>
      </x:c>
      <x:c r="D2476" s="7" t="str">
        <x:v>Smart</x:v>
      </x:c>
      <x:c r="E2476" s="7" t="str">
        <x:v>Petrol</x:v>
      </x:c>
      <x:c r="F2476" s="7" t="str">
        <x:v>Manual</x:v>
      </x:c>
      <x:c r="G2476" s="7" t="str">
        <x:v>Compact SUV</x:v>
      </x:c>
      <x:c r="H2476" s="7" t="n">
        <x:v>1199</x:v>
      </x:c>
      <x:c r="I2476" s="7" t="n">
        <x:v>118</x:v>
      </x:c>
      <x:c r="J2476" s="9" t="n">
        <x:v>17.4</x:v>
      </x:c>
      <x:c r="K2476" s="9" t="n">
        <x:v>9.5</x:v>
      </x:c>
      <x:c r="L2476" s="7" t="n">
        <x:v>2021</x:v>
      </x:c>
      <x:c r="M2476" s="11" t="n">
        <x:v>91546</x:v>
      </x:c>
      <x:c r="N2476" s="7" t="n">
        <x:v>1</x:v>
      </x:c>
      <x:c r="O2476" s="7" t="n">
        <x:v>0</x:v>
      </x:c>
      <x:c r="P2476" s="9" t="n">
        <x:v>5.02</x:v>
      </x:c>
      <x:c r="Q2476" s="7" t="n">
        <x:f>'Guide'!$B$5-L2476</x:f>
        <x:v>5</x:v>
      </x:c>
      <x:c r="R2476" s="9" t="n">
        <x:f>K2476-P2476</x:f>
        <x:v>4.48</x:v>
      </x:c>
      <x:c r="S2476" s="10" t="n">
        <x:f>IF(K2476&gt;0,R2476/K2476,"")</x:f>
        <x:v>0.4715789473684211</x:v>
      </x:c>
    </x:row>
    <x:row r="2477">
      <x:c r="A2477" s="7" t="n">
        <x:v>2473</x:v>
      </x:c>
      <x:c r="B2477" s="7" t="str">
        <x:v>Tata</x:v>
      </x:c>
      <x:c r="C2477" s="7" t="str">
        <x:v>Nexon</x:v>
      </x:c>
      <x:c r="D2477" s="7" t="str">
        <x:v>Smart</x:v>
      </x:c>
      <x:c r="E2477" s="7" t="str">
        <x:v>Petrol</x:v>
      </x:c>
      <x:c r="F2477" s="7" t="str">
        <x:v>Manual</x:v>
      </x:c>
      <x:c r="G2477" s="7" t="str">
        <x:v>Compact SUV</x:v>
      </x:c>
      <x:c r="H2477" s="7" t="n">
        <x:v>1199</x:v>
      </x:c>
      <x:c r="I2477" s="7" t="n">
        <x:v>118</x:v>
      </x:c>
      <x:c r="J2477" s="9" t="n">
        <x:v>17.4</x:v>
      </x:c>
      <x:c r="K2477" s="9" t="n">
        <x:v>9.5</x:v>
      </x:c>
      <x:c r="L2477" s="7" t="n">
        <x:v>2020</x:v>
      </x:c>
      <x:c r="M2477" s="11" t="n">
        <x:v>77665</x:v>
      </x:c>
      <x:c r="N2477" s="7" t="n">
        <x:v>1</x:v>
      </x:c>
      <x:c r="O2477" s="7" t="n">
        <x:v>0</x:v>
      </x:c>
      <x:c r="P2477" s="9" t="n">
        <x:v>3.67</x:v>
      </x:c>
      <x:c r="Q2477" s="7" t="n">
        <x:f>'Guide'!$B$5-L2477</x:f>
        <x:v>6</x:v>
      </x:c>
      <x:c r="R2477" s="9" t="n">
        <x:f>K2477-P2477</x:f>
        <x:v>5.83</x:v>
      </x:c>
      <x:c r="S2477" s="10" t="n">
        <x:f>IF(K2477&gt;0,R2477/K2477,"")</x:f>
        <x:v>0.6136842105263158</x:v>
      </x:c>
    </x:row>
    <x:row r="2478">
      <x:c r="A2478" s="7" t="n">
        <x:v>2474</x:v>
      </x:c>
      <x:c r="B2478" s="7" t="str">
        <x:v>Tata</x:v>
      </x:c>
      <x:c r="C2478" s="7" t="str">
        <x:v>Nexon</x:v>
      </x:c>
      <x:c r="D2478" s="7" t="str">
        <x:v>Smart</x:v>
      </x:c>
      <x:c r="E2478" s="7" t="str">
        <x:v>Petrol</x:v>
      </x:c>
      <x:c r="F2478" s="7" t="str">
        <x:v>Manual</x:v>
      </x:c>
      <x:c r="G2478" s="7" t="str">
        <x:v>Compact SUV</x:v>
      </x:c>
      <x:c r="H2478" s="7" t="n">
        <x:v>1199</x:v>
      </x:c>
      <x:c r="I2478" s="7" t="n">
        <x:v>118</x:v>
      </x:c>
      <x:c r="J2478" s="9" t="n">
        <x:v>17.4</x:v>
      </x:c>
      <x:c r="K2478" s="9" t="n">
        <x:v>9.5</x:v>
      </x:c>
      <x:c r="L2478" s="7" t="n">
        <x:v>2023</x:v>
      </x:c>
      <x:c r="M2478" s="11" t="n">
        <x:v>49352</x:v>
      </x:c>
      <x:c r="N2478" s="7" t="n">
        <x:v>1</x:v>
      </x:c>
      <x:c r="O2478" s="7" t="n">
        <x:v>0</x:v>
      </x:c>
      <x:c r="P2478" s="9" t="n">
        <x:v>6.49</x:v>
      </x:c>
      <x:c r="Q2478" s="7" t="n">
        <x:f>'Guide'!$B$5-L2478</x:f>
        <x:v>3</x:v>
      </x:c>
      <x:c r="R2478" s="9" t="n">
        <x:f>K2478-P2478</x:f>
        <x:v>3.01</x:v>
      </x:c>
      <x:c r="S2478" s="10" t="n">
        <x:f>IF(K2478&gt;0,R2478/K2478,"")</x:f>
        <x:v>0.31684210526315787</x:v>
      </x:c>
    </x:row>
    <x:row r="2479">
      <x:c r="A2479" s="7" t="n">
        <x:v>2475</x:v>
      </x:c>
      <x:c r="B2479" s="7" t="str">
        <x:v>Tata</x:v>
      </x:c>
      <x:c r="C2479" s="7" t="str">
        <x:v>Nexon</x:v>
      </x:c>
      <x:c r="D2479" s="7" t="str">
        <x:v>Smart</x:v>
      </x:c>
      <x:c r="E2479" s="7" t="str">
        <x:v>Petrol</x:v>
      </x:c>
      <x:c r="F2479" s="7" t="str">
        <x:v>Manual</x:v>
      </x:c>
      <x:c r="G2479" s="7" t="str">
        <x:v>Compact SUV</x:v>
      </x:c>
      <x:c r="H2479" s="7" t="n">
        <x:v>1199</x:v>
      </x:c>
      <x:c r="I2479" s="7" t="n">
        <x:v>118</x:v>
      </x:c>
      <x:c r="J2479" s="9" t="n">
        <x:v>17.4</x:v>
      </x:c>
      <x:c r="K2479" s="9" t="n">
        <x:v>9.5</x:v>
      </x:c>
      <x:c r="L2479" s="7" t="n">
        <x:v>2022</x:v>
      </x:c>
      <x:c r="M2479" s="11" t="n">
        <x:v>50540</x:v>
      </x:c>
      <x:c r="N2479" s="7" t="n">
        <x:v>1</x:v>
      </x:c>
      <x:c r="O2479" s="7" t="n">
        <x:v>0</x:v>
      </x:c>
      <x:c r="P2479" s="9" t="n">
        <x:v>5.8</x:v>
      </x:c>
      <x:c r="Q2479" s="7" t="n">
        <x:f>'Guide'!$B$5-L2479</x:f>
        <x:v>4</x:v>
      </x:c>
      <x:c r="R2479" s="9" t="n">
        <x:f>K2479-P2479</x:f>
        <x:v>3.7</x:v>
      </x:c>
      <x:c r="S2479" s="10" t="n">
        <x:f>IF(K2479&gt;0,R2479/K2479,"")</x:f>
        <x:v>0.38947368421052636</x:v>
      </x:c>
    </x:row>
    <x:row r="2480">
      <x:c r="A2480" s="7" t="n">
        <x:v>2476</x:v>
      </x:c>
      <x:c r="B2480" s="7" t="str">
        <x:v>Tata</x:v>
      </x:c>
      <x:c r="C2480" s="7" t="str">
        <x:v>Nexon</x:v>
      </x:c>
      <x:c r="D2480" s="7" t="str">
        <x:v>Smart</x:v>
      </x:c>
      <x:c r="E2480" s="7" t="str">
        <x:v>Petrol</x:v>
      </x:c>
      <x:c r="F2480" s="7" t="str">
        <x:v>Manual</x:v>
      </x:c>
      <x:c r="G2480" s="7" t="str">
        <x:v>Compact SUV</x:v>
      </x:c>
      <x:c r="H2480" s="7" t="n">
        <x:v>1199</x:v>
      </x:c>
      <x:c r="I2480" s="7" t="n">
        <x:v>118</x:v>
      </x:c>
      <x:c r="J2480" s="9" t="n">
        <x:v>17.4</x:v>
      </x:c>
      <x:c r="K2480" s="9" t="n">
        <x:v>9.5</x:v>
      </x:c>
      <x:c r="L2480" s="7" t="n">
        <x:v>2025</x:v>
      </x:c>
      <x:c r="M2480" s="11" t="n">
        <x:v>13652</x:v>
      </x:c>
      <x:c r="N2480" s="7" t="n">
        <x:v>2</x:v>
      </x:c>
      <x:c r="O2480" s="7" t="n">
        <x:v>0</x:v>
      </x:c>
      <x:c r="P2480" s="9" t="n">
        <x:v>8.31</x:v>
      </x:c>
      <x:c r="Q2480" s="7" t="n">
        <x:f>'Guide'!$B$5-L2480</x:f>
        <x:v>1</x:v>
      </x:c>
      <x:c r="R2480" s="9" t="n">
        <x:f>K2480-P2480</x:f>
        <x:v>1.1899999999999995</x:v>
      </x:c>
      <x:c r="S2480" s="10" t="n">
        <x:f>IF(K2480&gt;0,R2480/K2480,"")</x:f>
        <x:v>0.1252631578947368</x:v>
      </x:c>
    </x:row>
    <x:row r="2481">
      <x:c r="A2481" s="7" t="n">
        <x:v>2477</x:v>
      </x:c>
      <x:c r="B2481" s="7" t="str">
        <x:v>Tata</x:v>
      </x:c>
      <x:c r="C2481" s="7" t="str">
        <x:v>Nexon</x:v>
      </x:c>
      <x:c r="D2481" s="7" t="str">
        <x:v>Smart</x:v>
      </x:c>
      <x:c r="E2481" s="7" t="str">
        <x:v>Petrol</x:v>
      </x:c>
      <x:c r="F2481" s="7" t="str">
        <x:v>Manual</x:v>
      </x:c>
      <x:c r="G2481" s="7" t="str">
        <x:v>Compact SUV</x:v>
      </x:c>
      <x:c r="H2481" s="7" t="n">
        <x:v>1199</x:v>
      </x:c>
      <x:c r="I2481" s="7" t="n">
        <x:v>118</x:v>
      </x:c>
      <x:c r="J2481" s="9" t="n">
        <x:v>17.4</x:v>
      </x:c>
      <x:c r="K2481" s="9" t="n">
        <x:v>9.5</x:v>
      </x:c>
      <x:c r="L2481" s="7" t="n">
        <x:v>2021</x:v>
      </x:c>
      <x:c r="M2481" s="11" t="n">
        <x:v>65037</x:v>
      </x:c>
      <x:c r="N2481" s="7" t="n">
        <x:v>1</x:v>
      </x:c>
      <x:c r="O2481" s="7" t="n">
        <x:v>1</x:v>
      </x:c>
      <x:c r="P2481" s="9" t="n">
        <x:v>4.05</x:v>
      </x:c>
      <x:c r="Q2481" s="7" t="n">
        <x:f>'Guide'!$B$5-L2481</x:f>
        <x:v>5</x:v>
      </x:c>
      <x:c r="R2481" s="9" t="n">
        <x:f>K2481-P2481</x:f>
        <x:v>5.45</x:v>
      </x:c>
      <x:c r="S2481" s="10" t="n">
        <x:f>IF(K2481&gt;0,R2481/K2481,"")</x:f>
        <x:v>0.5736842105263158</x:v>
      </x:c>
    </x:row>
    <x:row r="2482">
      <x:c r="A2482" s="7" t="n">
        <x:v>2478</x:v>
      </x:c>
      <x:c r="B2482" s="7" t="str">
        <x:v>Tata</x:v>
      </x:c>
      <x:c r="C2482" s="7" t="str">
        <x:v>Nexon</x:v>
      </x:c>
      <x:c r="D2482" s="7" t="str">
        <x:v>Smart</x:v>
      </x:c>
      <x:c r="E2482" s="7" t="str">
        <x:v>Petrol</x:v>
      </x:c>
      <x:c r="F2482" s="7" t="str">
        <x:v>Manual</x:v>
      </x:c>
      <x:c r="G2482" s="7" t="str">
        <x:v>Compact SUV</x:v>
      </x:c>
      <x:c r="H2482" s="7" t="n">
        <x:v>1199</x:v>
      </x:c>
      <x:c r="I2482" s="7" t="n">
        <x:v>118</x:v>
      </x:c>
      <x:c r="J2482" s="9" t="n">
        <x:v>17.4</x:v>
      </x:c>
      <x:c r="K2482" s="9" t="n">
        <x:v>9.5</x:v>
      </x:c>
      <x:c r="L2482" s="7" t="n">
        <x:v>2023</x:v>
      </x:c>
      <x:c r="M2482" s="11" t="n">
        <x:v>66603</x:v>
      </x:c>
      <x:c r="N2482" s="7" t="n">
        <x:v>1</x:v>
      </x:c>
      <x:c r="O2482" s="7" t="n">
        <x:v>0</x:v>
      </x:c>
      <x:c r="P2482" s="9" t="n">
        <x:v>6.27</x:v>
      </x:c>
      <x:c r="Q2482" s="7" t="n">
        <x:f>'Guide'!$B$5-L2482</x:f>
        <x:v>3</x:v>
      </x:c>
      <x:c r="R2482" s="9" t="n">
        <x:f>K2482-P2482</x:f>
        <x:v>3.2300000000000004</x:v>
      </x:c>
      <x:c r="S2482" s="10" t="n">
        <x:f>IF(K2482&gt;0,R2482/K2482,"")</x:f>
        <x:v>0.34</x:v>
      </x:c>
    </x:row>
    <x:row r="2483">
      <x:c r="A2483" s="7" t="n">
        <x:v>2479</x:v>
      </x:c>
      <x:c r="B2483" s="7" t="str">
        <x:v>Tata</x:v>
      </x:c>
      <x:c r="C2483" s="7" t="str">
        <x:v>Nexon</x:v>
      </x:c>
      <x:c r="D2483" s="7" t="str">
        <x:v>Smart</x:v>
      </x:c>
      <x:c r="E2483" s="7" t="str">
        <x:v>Petrol</x:v>
      </x:c>
      <x:c r="F2483" s="7" t="str">
        <x:v>Manual</x:v>
      </x:c>
      <x:c r="G2483" s="7" t="str">
        <x:v>Compact SUV</x:v>
      </x:c>
      <x:c r="H2483" s="7" t="n">
        <x:v>1199</x:v>
      </x:c>
      <x:c r="I2483" s="7" t="n">
        <x:v>118</x:v>
      </x:c>
      <x:c r="J2483" s="9" t="n">
        <x:v>17.4</x:v>
      </x:c>
      <x:c r="K2483" s="9" t="n">
        <x:v>9.5</x:v>
      </x:c>
      <x:c r="L2483" s="7" t="n">
        <x:v>2021</x:v>
      </x:c>
      <x:c r="M2483" s="11" t="n">
        <x:v>58616</x:v>
      </x:c>
      <x:c r="N2483" s="7" t="n">
        <x:v>2</x:v>
      </x:c>
      <x:c r="O2483" s="7" t="n">
        <x:v>0</x:v>
      </x:c>
      <x:c r="P2483" s="9" t="n">
        <x:v>4.87</x:v>
      </x:c>
      <x:c r="Q2483" s="7" t="n">
        <x:f>'Guide'!$B$5-L2483</x:f>
        <x:v>5</x:v>
      </x:c>
      <x:c r="R2483" s="9" t="n">
        <x:f>K2483-P2483</x:f>
        <x:v>4.63</x:v>
      </x:c>
      <x:c r="S2483" s="10" t="n">
        <x:f>IF(K2483&gt;0,R2483/K2483,"")</x:f>
        <x:v>0.48736842105263156</x:v>
      </x:c>
    </x:row>
    <x:row r="2484">
      <x:c r="A2484" s="7" t="n">
        <x:v>2480</x:v>
      </x:c>
      <x:c r="B2484" s="7" t="str">
        <x:v>Tata</x:v>
      </x:c>
      <x:c r="C2484" s="7" t="str">
        <x:v>Nexon</x:v>
      </x:c>
      <x:c r="D2484" s="7" t="str">
        <x:v>Smart</x:v>
      </x:c>
      <x:c r="E2484" s="7" t="str">
        <x:v>Petrol</x:v>
      </x:c>
      <x:c r="F2484" s="7" t="str">
        <x:v>Manual</x:v>
      </x:c>
      <x:c r="G2484" s="7" t="str">
        <x:v>Compact SUV</x:v>
      </x:c>
      <x:c r="H2484" s="7" t="n">
        <x:v>1199</x:v>
      </x:c>
      <x:c r="I2484" s="7" t="n">
        <x:v>118</x:v>
      </x:c>
      <x:c r="J2484" s="9" t="n">
        <x:v>17.4</x:v>
      </x:c>
      <x:c r="K2484" s="9" t="n">
        <x:v>9.5</x:v>
      </x:c>
      <x:c r="L2484" s="7" t="n">
        <x:v>2025</x:v>
      </x:c>
      <x:c r="M2484" s="11" t="n">
        <x:v>19904</x:v>
      </x:c>
      <x:c r="N2484" s="7" t="n">
        <x:v>1</x:v>
      </x:c>
      <x:c r="O2484" s="7" t="n">
        <x:v>0</x:v>
      </x:c>
      <x:c r="P2484" s="9" t="n">
        <x:v>8.67</x:v>
      </x:c>
      <x:c r="Q2484" s="7" t="n">
        <x:f>'Guide'!$B$5-L2484</x:f>
        <x:v>1</x:v>
      </x:c>
      <x:c r="R2484" s="9" t="n">
        <x:f>K2484-P2484</x:f>
        <x:v>0.8300000000000001</x:v>
      </x:c>
      <x:c r="S2484" s="10" t="n">
        <x:f>IF(K2484&gt;0,R2484/K2484,"")</x:f>
        <x:v>0.08736842105263158</x:v>
      </x:c>
    </x:row>
    <x:row r="2485">
      <x:c r="A2485" s="7" t="n">
        <x:v>2481</x:v>
      </x:c>
      <x:c r="B2485" s="7" t="str">
        <x:v>Tata</x:v>
      </x:c>
      <x:c r="C2485" s="7" t="str">
        <x:v>Nexon</x:v>
      </x:c>
      <x:c r="D2485" s="7" t="str">
        <x:v>Smart</x:v>
      </x:c>
      <x:c r="E2485" s="7" t="str">
        <x:v>Petrol</x:v>
      </x:c>
      <x:c r="F2485" s="7" t="str">
        <x:v>Manual</x:v>
      </x:c>
      <x:c r="G2485" s="7" t="str">
        <x:v>Compact SUV</x:v>
      </x:c>
      <x:c r="H2485" s="7" t="n">
        <x:v>1199</x:v>
      </x:c>
      <x:c r="I2485" s="7" t="n">
        <x:v>118</x:v>
      </x:c>
      <x:c r="J2485" s="9" t="n">
        <x:v>17.4</x:v>
      </x:c>
      <x:c r="K2485" s="9" t="n">
        <x:v>9.5</x:v>
      </x:c>
      <x:c r="L2485" s="7" t="n">
        <x:v>2023</x:v>
      </x:c>
      <x:c r="M2485" s="11" t="n">
        <x:v>42723</x:v>
      </x:c>
      <x:c r="N2485" s="7" t="n">
        <x:v>1</x:v>
      </x:c>
      <x:c r="O2485" s="7" t="n">
        <x:v>0</x:v>
      </x:c>
      <x:c r="P2485" s="9" t="n">
        <x:v>6.48</x:v>
      </x:c>
      <x:c r="Q2485" s="7" t="n">
        <x:f>'Guide'!$B$5-L2485</x:f>
        <x:v>3</x:v>
      </x:c>
      <x:c r="R2485" s="9" t="n">
        <x:f>K2485-P2485</x:f>
        <x:v>3.0199999999999996</x:v>
      </x:c>
      <x:c r="S2485" s="10" t="n">
        <x:f>IF(K2485&gt;0,R2485/K2485,"")</x:f>
        <x:v>0.31789473684210523</x:v>
      </x:c>
    </x:row>
    <x:row r="2486">
      <x:c r="A2486" s="7" t="n">
        <x:v>2482</x:v>
      </x:c>
      <x:c r="B2486" s="7" t="str">
        <x:v>Tata</x:v>
      </x:c>
      <x:c r="C2486" s="7" t="str">
        <x:v>Nexon</x:v>
      </x:c>
      <x:c r="D2486" s="7" t="str">
        <x:v>Smart</x:v>
      </x:c>
      <x:c r="E2486" s="7" t="str">
        <x:v>Petrol</x:v>
      </x:c>
      <x:c r="F2486" s="7" t="str">
        <x:v>Manual</x:v>
      </x:c>
      <x:c r="G2486" s="7" t="str">
        <x:v>Compact SUV</x:v>
      </x:c>
      <x:c r="H2486" s="7" t="n">
        <x:v>1199</x:v>
      </x:c>
      <x:c r="I2486" s="7" t="n">
        <x:v>118</x:v>
      </x:c>
      <x:c r="J2486" s="9" t="n">
        <x:v>17.4</x:v>
      </x:c>
      <x:c r="K2486" s="9" t="n">
        <x:v>9.5</x:v>
      </x:c>
      <x:c r="L2486" s="7" t="n">
        <x:v>2025</x:v>
      </x:c>
      <x:c r="M2486" s="11" t="n">
        <x:v>16468</x:v>
      </x:c>
      <x:c r="N2486" s="7" t="n">
        <x:v>1</x:v>
      </x:c>
      <x:c r="O2486" s="7" t="n">
        <x:v>0</x:v>
      </x:c>
      <x:c r="P2486" s="9" t="n">
        <x:v>8.55</x:v>
      </x:c>
      <x:c r="Q2486" s="7" t="n">
        <x:f>'Guide'!$B$5-L2486</x:f>
        <x:v>1</x:v>
      </x:c>
      <x:c r="R2486" s="9" t="n">
        <x:f>K2486-P2486</x:f>
        <x:v>0.9499999999999993</x:v>
      </x:c>
      <x:c r="S2486" s="10" t="n">
        <x:f>IF(K2486&gt;0,R2486/K2486,"")</x:f>
        <x:v>0.09999999999999992</x:v>
      </x:c>
    </x:row>
    <x:row r="2487">
      <x:c r="A2487" s="7" t="n">
        <x:v>2483</x:v>
      </x:c>
      <x:c r="B2487" s="7" t="str">
        <x:v>Tata</x:v>
      </x:c>
      <x:c r="C2487" s="7" t="str">
        <x:v>Nexon</x:v>
      </x:c>
      <x:c r="D2487" s="7" t="str">
        <x:v>Smart</x:v>
      </x:c>
      <x:c r="E2487" s="7" t="str">
        <x:v>Petrol</x:v>
      </x:c>
      <x:c r="F2487" s="7" t="str">
        <x:v>Manual</x:v>
      </x:c>
      <x:c r="G2487" s="7" t="str">
        <x:v>Compact SUV</x:v>
      </x:c>
      <x:c r="H2487" s="7" t="n">
        <x:v>1199</x:v>
      </x:c>
      <x:c r="I2487" s="7" t="n">
        <x:v>118</x:v>
      </x:c>
      <x:c r="J2487" s="9" t="n">
        <x:v>17.4</x:v>
      </x:c>
      <x:c r="K2487" s="9" t="n">
        <x:v>9.5</x:v>
      </x:c>
      <x:c r="L2487" s="7" t="n">
        <x:v>2026</x:v>
      </x:c>
      <x:c r="M2487" s="11" t="n">
        <x:v>6229</x:v>
      </x:c>
      <x:c r="N2487" s="7" t="n">
        <x:v>1</x:v>
      </x:c>
      <x:c r="O2487" s="7" t="n">
        <x:v>0</x:v>
      </x:c>
      <x:c r="P2487" s="9" t="n">
        <x:v>9.56</x:v>
      </x:c>
      <x:c r="Q2487" s="7" t="n">
        <x:f>'Guide'!$B$5-L2487</x:f>
        <x:v>0</x:v>
      </x:c>
      <x:c r="R2487" s="9" t="n">
        <x:f>K2487-P2487</x:f>
        <x:v>-0.0600000000000005</x:v>
      </x:c>
      <x:c r="S2487" s="10" t="n">
        <x:f>IF(K2487&gt;0,R2487/K2487,"")</x:f>
        <x:v>-0.006315789473684263</x:v>
      </x:c>
    </x:row>
    <x:row r="2488">
      <x:c r="A2488" s="7" t="n">
        <x:v>2484</x:v>
      </x:c>
      <x:c r="B2488" s="7" t="str">
        <x:v>Tata</x:v>
      </x:c>
      <x:c r="C2488" s="7" t="str">
        <x:v>Nexon</x:v>
      </x:c>
      <x:c r="D2488" s="7" t="str">
        <x:v>Smart</x:v>
      </x:c>
      <x:c r="E2488" s="7" t="str">
        <x:v>Petrol</x:v>
      </x:c>
      <x:c r="F2488" s="7" t="str">
        <x:v>Manual</x:v>
      </x:c>
      <x:c r="G2488" s="7" t="str">
        <x:v>Compact SUV</x:v>
      </x:c>
      <x:c r="H2488" s="7" t="n">
        <x:v>1199</x:v>
      </x:c>
      <x:c r="I2488" s="7" t="n">
        <x:v>118</x:v>
      </x:c>
      <x:c r="J2488" s="9" t="n">
        <x:v>17.4</x:v>
      </x:c>
      <x:c r="K2488" s="9" t="n">
        <x:v>9.5</x:v>
      </x:c>
      <x:c r="L2488" s="7" t="n">
        <x:v>2025</x:v>
      </x:c>
      <x:c r="M2488" s="11" t="n">
        <x:v>29120</x:v>
      </x:c>
      <x:c r="N2488" s="7" t="n">
        <x:v>2</x:v>
      </x:c>
      <x:c r="O2488" s="7" t="n">
        <x:v>1</x:v>
      </x:c>
      <x:c r="P2488" s="9" t="n">
        <x:v>7.5</x:v>
      </x:c>
      <x:c r="Q2488" s="7" t="n">
        <x:f>'Guide'!$B$5-L2488</x:f>
        <x:v>1</x:v>
      </x:c>
      <x:c r="R2488" s="9" t="n">
        <x:f>K2488-P2488</x:f>
        <x:v>2</x:v>
      </x:c>
      <x:c r="S2488" s="10" t="n">
        <x:f>IF(K2488&gt;0,R2488/K2488,"")</x:f>
        <x:v>0.21052631578947367</x:v>
      </x:c>
    </x:row>
    <x:row r="2489">
      <x:c r="A2489" s="7" t="n">
        <x:v>2485</x:v>
      </x:c>
      <x:c r="B2489" s="7" t="str">
        <x:v>Tata</x:v>
      </x:c>
      <x:c r="C2489" s="7" t="str">
        <x:v>Nexon</x:v>
      </x:c>
      <x:c r="D2489" s="7" t="str">
        <x:v>Smart</x:v>
      </x:c>
      <x:c r="E2489" s="7" t="str">
        <x:v>Petrol</x:v>
      </x:c>
      <x:c r="F2489" s="7" t="str">
        <x:v>Manual</x:v>
      </x:c>
      <x:c r="G2489" s="7" t="str">
        <x:v>Compact SUV</x:v>
      </x:c>
      <x:c r="H2489" s="7" t="n">
        <x:v>1199</x:v>
      </x:c>
      <x:c r="I2489" s="7" t="n">
        <x:v>118</x:v>
      </x:c>
      <x:c r="J2489" s="9" t="n">
        <x:v>17.4</x:v>
      </x:c>
      <x:c r="K2489" s="9" t="n">
        <x:v>9.5</x:v>
      </x:c>
      <x:c r="L2489" s="7" t="n">
        <x:v>2021</x:v>
      </x:c>
      <x:c r="M2489" s="11" t="n">
        <x:v>62994</x:v>
      </x:c>
      <x:c r="N2489" s="7" t="n">
        <x:v>2</x:v>
      </x:c>
      <x:c r="O2489" s="7" t="n">
        <x:v>1</x:v>
      </x:c>
      <x:c r="P2489" s="9" t="n">
        <x:v>3.82</x:v>
      </x:c>
      <x:c r="Q2489" s="7" t="n">
        <x:f>'Guide'!$B$5-L2489</x:f>
        <x:v>5</x:v>
      </x:c>
      <x:c r="R2489" s="9" t="n">
        <x:f>K2489-P2489</x:f>
        <x:v>5.68</x:v>
      </x:c>
      <x:c r="S2489" s="10" t="n">
        <x:f>IF(K2489&gt;0,R2489/K2489,"")</x:f>
        <x:v>0.5978947368421053</x:v>
      </x:c>
    </x:row>
    <x:row r="2490">
      <x:c r="A2490" s="7" t="n">
        <x:v>2486</x:v>
      </x:c>
      <x:c r="B2490" s="7" t="str">
        <x:v>Tata</x:v>
      </x:c>
      <x:c r="C2490" s="7" t="str">
        <x:v>Nexon</x:v>
      </x:c>
      <x:c r="D2490" s="7" t="str">
        <x:v>Smart</x:v>
      </x:c>
      <x:c r="E2490" s="7" t="str">
        <x:v>Petrol</x:v>
      </x:c>
      <x:c r="F2490" s="7" t="str">
        <x:v>Manual</x:v>
      </x:c>
      <x:c r="G2490" s="7" t="str">
        <x:v>Compact SUV</x:v>
      </x:c>
      <x:c r="H2490" s="7" t="n">
        <x:v>1199</x:v>
      </x:c>
      <x:c r="I2490" s="7" t="n">
        <x:v>118</x:v>
      </x:c>
      <x:c r="J2490" s="9" t="n">
        <x:v>17.4</x:v>
      </x:c>
      <x:c r="K2490" s="9" t="n">
        <x:v>9.5</x:v>
      </x:c>
      <x:c r="L2490" s="7" t="n">
        <x:v>2023</x:v>
      </x:c>
      <x:c r="M2490" s="11" t="n">
        <x:v>41139</x:v>
      </x:c>
      <x:c r="N2490" s="7" t="n">
        <x:v>2</x:v>
      </x:c>
      <x:c r="O2490" s="7" t="n">
        <x:v>0</x:v>
      </x:c>
      <x:c r="P2490" s="9" t="n">
        <x:v>6.14</x:v>
      </x:c>
      <x:c r="Q2490" s="7" t="n">
        <x:f>'Guide'!$B$5-L2490</x:f>
        <x:v>3</x:v>
      </x:c>
      <x:c r="R2490" s="9" t="n">
        <x:f>K2490-P2490</x:f>
        <x:v>3.3600000000000003</x:v>
      </x:c>
      <x:c r="S2490" s="10" t="n">
        <x:f>IF(K2490&gt;0,R2490/K2490,"")</x:f>
        <x:v>0.3536842105263158</x:v>
      </x:c>
    </x:row>
    <x:row r="2491">
      <x:c r="A2491" s="7" t="n">
        <x:v>2487</x:v>
      </x:c>
      <x:c r="B2491" s="7" t="str">
        <x:v>Tata</x:v>
      </x:c>
      <x:c r="C2491" s="7" t="str">
        <x:v>Nexon</x:v>
      </x:c>
      <x:c r="D2491" s="7" t="str">
        <x:v>Smart</x:v>
      </x:c>
      <x:c r="E2491" s="7" t="str">
        <x:v>Petrol</x:v>
      </x:c>
      <x:c r="F2491" s="7" t="str">
        <x:v>Manual</x:v>
      </x:c>
      <x:c r="G2491" s="7" t="str">
        <x:v>Compact SUV</x:v>
      </x:c>
      <x:c r="H2491" s="7" t="n">
        <x:v>1199</x:v>
      </x:c>
      <x:c r="I2491" s="7" t="n">
        <x:v>118</x:v>
      </x:c>
      <x:c r="J2491" s="9" t="n">
        <x:v>17.4</x:v>
      </x:c>
      <x:c r="K2491" s="9" t="n">
        <x:v>9.5</x:v>
      </x:c>
      <x:c r="L2491" s="7" t="n">
        <x:v>2021</x:v>
      </x:c>
      <x:c r="M2491" s="11" t="n">
        <x:v>90402</x:v>
      </x:c>
      <x:c r="N2491" s="7" t="n">
        <x:v>1</x:v>
      </x:c>
      <x:c r="O2491" s="7" t="n">
        <x:v>0</x:v>
      </x:c>
      <x:c r="P2491" s="9" t="n">
        <x:v>4.66</x:v>
      </x:c>
      <x:c r="Q2491" s="7" t="n">
        <x:f>'Guide'!$B$5-L2491</x:f>
        <x:v>5</x:v>
      </x:c>
      <x:c r="R2491" s="9" t="n">
        <x:f>K2491-P2491</x:f>
        <x:v>4.84</x:v>
      </x:c>
      <x:c r="S2491" s="10" t="n">
        <x:f>IF(K2491&gt;0,R2491/K2491,"")</x:f>
        <x:v>0.5094736842105263</x:v>
      </x:c>
    </x:row>
    <x:row r="2492">
      <x:c r="A2492" s="7" t="n">
        <x:v>2488</x:v>
      </x:c>
      <x:c r="B2492" s="7" t="str">
        <x:v>Tata</x:v>
      </x:c>
      <x:c r="C2492" s="7" t="str">
        <x:v>Nexon</x:v>
      </x:c>
      <x:c r="D2492" s="7" t="str">
        <x:v>Smart</x:v>
      </x:c>
      <x:c r="E2492" s="7" t="str">
        <x:v>Petrol</x:v>
      </x:c>
      <x:c r="F2492" s="7" t="str">
        <x:v>Manual</x:v>
      </x:c>
      <x:c r="G2492" s="7" t="str">
        <x:v>Compact SUV</x:v>
      </x:c>
      <x:c r="H2492" s="7" t="n">
        <x:v>1199</x:v>
      </x:c>
      <x:c r="I2492" s="7" t="n">
        <x:v>118</x:v>
      </x:c>
      <x:c r="J2492" s="9" t="n">
        <x:v>17.4</x:v>
      </x:c>
      <x:c r="K2492" s="9" t="n">
        <x:v>9.5</x:v>
      </x:c>
      <x:c r="L2492" s="7" t="n">
        <x:v>2024</x:v>
      </x:c>
      <x:c r="M2492" s="11" t="n">
        <x:v>22659</x:v>
      </x:c>
      <x:c r="N2492" s="7" t="n">
        <x:v>2</x:v>
      </x:c>
      <x:c r="O2492" s="7" t="n">
        <x:v>1</x:v>
      </x:c>
      <x:c r="P2492" s="9" t="n">
        <x:v>6.41</x:v>
      </x:c>
      <x:c r="Q2492" s="7" t="n">
        <x:f>'Guide'!$B$5-L2492</x:f>
        <x:v>2</x:v>
      </x:c>
      <x:c r="R2492" s="9" t="n">
        <x:f>K2492-P2492</x:f>
        <x:v>3.09</x:v>
      </x:c>
      <x:c r="S2492" s="10" t="n">
        <x:f>IF(K2492&gt;0,R2492/K2492,"")</x:f>
        <x:v>0.3252631578947368</x:v>
      </x:c>
    </x:row>
    <x:row r="2493">
      <x:c r="A2493" s="7" t="n">
        <x:v>2489</x:v>
      </x:c>
      <x:c r="B2493" s="7" t="str">
        <x:v>Tata</x:v>
      </x:c>
      <x:c r="C2493" s="7" t="str">
        <x:v>Nexon</x:v>
      </x:c>
      <x:c r="D2493" s="7" t="str">
        <x:v>Smart</x:v>
      </x:c>
      <x:c r="E2493" s="7" t="str">
        <x:v>Petrol</x:v>
      </x:c>
      <x:c r="F2493" s="7" t="str">
        <x:v>Manual</x:v>
      </x:c>
      <x:c r="G2493" s="7" t="str">
        <x:v>Compact SUV</x:v>
      </x:c>
      <x:c r="H2493" s="7" t="n">
        <x:v>1199</x:v>
      </x:c>
      <x:c r="I2493" s="7" t="n">
        <x:v>118</x:v>
      </x:c>
      <x:c r="J2493" s="9" t="n">
        <x:v>17.4</x:v>
      </x:c>
      <x:c r="K2493" s="9" t="n">
        <x:v>9.5</x:v>
      </x:c>
      <x:c r="L2493" s="7" t="n">
        <x:v>2021</x:v>
      </x:c>
      <x:c r="M2493" s="11" t="n">
        <x:v>75255</x:v>
      </x:c>
      <x:c r="N2493" s="7" t="n">
        <x:v>1</x:v>
      </x:c>
      <x:c r="O2493" s="7" t="n">
        <x:v>0</x:v>
      </x:c>
      <x:c r="P2493" s="9" t="n">
        <x:v>4.74</x:v>
      </x:c>
      <x:c r="Q2493" s="7" t="n">
        <x:f>'Guide'!$B$5-L2493</x:f>
        <x:v>5</x:v>
      </x:c>
      <x:c r="R2493" s="9" t="n">
        <x:f>K2493-P2493</x:f>
        <x:v>4.76</x:v>
      </x:c>
      <x:c r="S2493" s="10" t="n">
        <x:f>IF(K2493&gt;0,R2493/K2493,"")</x:f>
        <x:v>0.5010526315789473</x:v>
      </x:c>
    </x:row>
    <x:row r="2494">
      <x:c r="A2494" s="7" t="n">
        <x:v>2490</x:v>
      </x:c>
      <x:c r="B2494" s="7" t="str">
        <x:v>Tata</x:v>
      </x:c>
      <x:c r="C2494" s="7" t="str">
        <x:v>Nexon</x:v>
      </x:c>
      <x:c r="D2494" s="7" t="str">
        <x:v>Smart</x:v>
      </x:c>
      <x:c r="E2494" s="7" t="str">
        <x:v>Petrol</x:v>
      </x:c>
      <x:c r="F2494" s="7" t="str">
        <x:v>Manual</x:v>
      </x:c>
      <x:c r="G2494" s="7" t="str">
        <x:v>Compact SUV</x:v>
      </x:c>
      <x:c r="H2494" s="7" t="n">
        <x:v>1199</x:v>
      </x:c>
      <x:c r="I2494" s="7" t="n">
        <x:v>118</x:v>
      </x:c>
      <x:c r="J2494" s="9" t="n">
        <x:v>17.4</x:v>
      </x:c>
      <x:c r="K2494" s="9" t="n">
        <x:v>9.5</x:v>
      </x:c>
      <x:c r="L2494" s="7" t="n">
        <x:v>2025</x:v>
      </x:c>
      <x:c r="M2494" s="11" t="n">
        <x:v>28471</x:v>
      </x:c>
      <x:c r="N2494" s="7" t="n">
        <x:v>1</x:v>
      </x:c>
      <x:c r="O2494" s="7" t="n">
        <x:v>0</x:v>
      </x:c>
      <x:c r="P2494" s="9" t="n">
        <x:v>8.05</x:v>
      </x:c>
      <x:c r="Q2494" s="7" t="n">
        <x:f>'Guide'!$B$5-L2494</x:f>
        <x:v>1</x:v>
      </x:c>
      <x:c r="R2494" s="9" t="n">
        <x:f>K2494-P2494</x:f>
        <x:v>1.4499999999999993</x:v>
      </x:c>
      <x:c r="S2494" s="10" t="n">
        <x:f>IF(K2494&gt;0,R2494/K2494,"")</x:f>
        <x:v>0.15263157894736834</x:v>
      </x:c>
    </x:row>
    <x:row r="2495">
      <x:c r="A2495" s="7" t="n">
        <x:v>2491</x:v>
      </x:c>
      <x:c r="B2495" s="7" t="str">
        <x:v>Tata</x:v>
      </x:c>
      <x:c r="C2495" s="7" t="str">
        <x:v>Nexon</x:v>
      </x:c>
      <x:c r="D2495" s="7" t="str">
        <x:v>Smart</x:v>
      </x:c>
      <x:c r="E2495" s="7" t="str">
        <x:v>Petrol</x:v>
      </x:c>
      <x:c r="F2495" s="7" t="str">
        <x:v>Manual</x:v>
      </x:c>
      <x:c r="G2495" s="7" t="str">
        <x:v>Compact SUV</x:v>
      </x:c>
      <x:c r="H2495" s="7" t="n">
        <x:v>1199</x:v>
      </x:c>
      <x:c r="I2495" s="7" t="n">
        <x:v>118</x:v>
      </x:c>
      <x:c r="J2495" s="9" t="n">
        <x:v>17.4</x:v>
      </x:c>
      <x:c r="K2495" s="9" t="n">
        <x:v>9.5</x:v>
      </x:c>
      <x:c r="L2495" s="7" t="n">
        <x:v>2022</x:v>
      </x:c>
      <x:c r="M2495" s="11" t="n">
        <x:v>74472</x:v>
      </x:c>
      <x:c r="N2495" s="7" t="n">
        <x:v>3</x:v>
      </x:c>
      <x:c r="O2495" s="7" t="n">
        <x:v>1</x:v>
      </x:c>
      <x:c r="P2495" s="9" t="n">
        <x:v>3.71</x:v>
      </x:c>
      <x:c r="Q2495" s="7" t="n">
        <x:f>'Guide'!$B$5-L2495</x:f>
        <x:v>4</x:v>
      </x:c>
      <x:c r="R2495" s="9" t="n">
        <x:f>K2495-P2495</x:f>
        <x:v>5.79</x:v>
      </x:c>
      <x:c r="S2495" s="10" t="n">
        <x:f>IF(K2495&gt;0,R2495/K2495,"")</x:f>
        <x:v>0.6094736842105263</x:v>
      </x:c>
    </x:row>
    <x:row r="2496">
      <x:c r="A2496" s="7" t="n">
        <x:v>2492</x:v>
      </x:c>
      <x:c r="B2496" s="7" t="str">
        <x:v>Tata</x:v>
      </x:c>
      <x:c r="C2496" s="7" t="str">
        <x:v>Nexon</x:v>
      </x:c>
      <x:c r="D2496" s="7" t="str">
        <x:v>Smart</x:v>
      </x:c>
      <x:c r="E2496" s="7" t="str">
        <x:v>Petrol</x:v>
      </x:c>
      <x:c r="F2496" s="7" t="str">
        <x:v>Manual</x:v>
      </x:c>
      <x:c r="G2496" s="7" t="str">
        <x:v>Compact SUV</x:v>
      </x:c>
      <x:c r="H2496" s="7" t="n">
        <x:v>1199</x:v>
      </x:c>
      <x:c r="I2496" s="7" t="n">
        <x:v>118</x:v>
      </x:c>
      <x:c r="J2496" s="9" t="n">
        <x:v>17.4</x:v>
      </x:c>
      <x:c r="K2496" s="9" t="n">
        <x:v>9.5</x:v>
      </x:c>
      <x:c r="L2496" s="7" t="n">
        <x:v>2020</x:v>
      </x:c>
      <x:c r="M2496" s="11" t="n">
        <x:v>118284</x:v>
      </x:c>
      <x:c r="N2496" s="7" t="n">
        <x:v>2</x:v>
      </x:c>
      <x:c r="O2496" s="7" t="n">
        <x:v>1</x:v>
      </x:c>
      <x:c r="P2496" s="9" t="n">
        <x:v>2.61</x:v>
      </x:c>
      <x:c r="Q2496" s="7" t="n">
        <x:f>'Guide'!$B$5-L2496</x:f>
        <x:v>6</x:v>
      </x:c>
      <x:c r="R2496" s="9" t="n">
        <x:f>K2496-P2496</x:f>
        <x:v>6.890000000000001</x:v>
      </x:c>
      <x:c r="S2496" s="10" t="n">
        <x:f>IF(K2496&gt;0,R2496/K2496,"")</x:f>
        <x:v>0.7252631578947369</x:v>
      </x:c>
    </x:row>
    <x:row r="2497">
      <x:c r="A2497" s="7" t="n">
        <x:v>2493</x:v>
      </x:c>
      <x:c r="B2497" s="7" t="str">
        <x:v>Tata</x:v>
      </x:c>
      <x:c r="C2497" s="7" t="str">
        <x:v>Nexon</x:v>
      </x:c>
      <x:c r="D2497" s="7" t="str">
        <x:v>Smart</x:v>
      </x:c>
      <x:c r="E2497" s="7" t="str">
        <x:v>Petrol</x:v>
      </x:c>
      <x:c r="F2497" s="7" t="str">
        <x:v>Manual</x:v>
      </x:c>
      <x:c r="G2497" s="7" t="str">
        <x:v>Compact SUV</x:v>
      </x:c>
      <x:c r="H2497" s="7" t="n">
        <x:v>1199</x:v>
      </x:c>
      <x:c r="I2497" s="7" t="n">
        <x:v>118</x:v>
      </x:c>
      <x:c r="J2497" s="9" t="n">
        <x:v>17.4</x:v>
      </x:c>
      <x:c r="K2497" s="9" t="n">
        <x:v>9.5</x:v>
      </x:c>
      <x:c r="L2497" s="7" t="n">
        <x:v>2024</x:v>
      </x:c>
      <x:c r="M2497" s="11" t="n">
        <x:v>23307</x:v>
      </x:c>
      <x:c r="N2497" s="7" t="n">
        <x:v>1</x:v>
      </x:c>
      <x:c r="O2497" s="7" t="n">
        <x:v>0</x:v>
      </x:c>
      <x:c r="P2497" s="9" t="n">
        <x:v>7.57</x:v>
      </x:c>
      <x:c r="Q2497" s="7" t="n">
        <x:f>'Guide'!$B$5-L2497</x:f>
        <x:v>2</x:v>
      </x:c>
      <x:c r="R2497" s="9" t="n">
        <x:f>K2497-P2497</x:f>
        <x:v>1.9299999999999997</x:v>
      </x:c>
      <x:c r="S2497" s="10" t="n">
        <x:f>IF(K2497&gt;0,R2497/K2497,"")</x:f>
        <x:v>0.20315789473684207</x:v>
      </x:c>
    </x:row>
    <x:row r="2498">
      <x:c r="A2498" s="7" t="n">
        <x:v>2494</x:v>
      </x:c>
      <x:c r="B2498" s="7" t="str">
        <x:v>Tata</x:v>
      </x:c>
      <x:c r="C2498" s="7" t="str">
        <x:v>Nexon</x:v>
      </x:c>
      <x:c r="D2498" s="7" t="str">
        <x:v>Smart</x:v>
      </x:c>
      <x:c r="E2498" s="7" t="str">
        <x:v>Petrol</x:v>
      </x:c>
      <x:c r="F2498" s="7" t="str">
        <x:v>Manual</x:v>
      </x:c>
      <x:c r="G2498" s="7" t="str">
        <x:v>Compact SUV</x:v>
      </x:c>
      <x:c r="H2498" s="7" t="n">
        <x:v>1199</x:v>
      </x:c>
      <x:c r="I2498" s="7" t="n">
        <x:v>118</x:v>
      </x:c>
      <x:c r="J2498" s="9" t="n">
        <x:v>17.4</x:v>
      </x:c>
      <x:c r="K2498" s="9" t="n">
        <x:v>9.5</x:v>
      </x:c>
      <x:c r="L2498" s="7" t="n">
        <x:v>2021</x:v>
      </x:c>
      <x:c r="M2498" s="11" t="n">
        <x:v>53925</x:v>
      </x:c>
      <x:c r="N2498" s="7" t="n">
        <x:v>2</x:v>
      </x:c>
      <x:c r="O2498" s="7" t="n">
        <x:v>0</x:v>
      </x:c>
      <x:c r="P2498" s="9" t="n">
        <x:v>4.54</x:v>
      </x:c>
      <x:c r="Q2498" s="7" t="n">
        <x:f>'Guide'!$B$5-L2498</x:f>
        <x:v>5</x:v>
      </x:c>
      <x:c r="R2498" s="9" t="n">
        <x:f>K2498-P2498</x:f>
        <x:v>4.96</x:v>
      </x:c>
      <x:c r="S2498" s="10" t="n">
        <x:f>IF(K2498&gt;0,R2498/K2498,"")</x:f>
        <x:v>0.5221052631578947</x:v>
      </x:c>
    </x:row>
    <x:row r="2499">
      <x:c r="A2499" s="7" t="n">
        <x:v>2495</x:v>
      </x:c>
      <x:c r="B2499" s="7" t="str">
        <x:v>Tata</x:v>
      </x:c>
      <x:c r="C2499" s="7" t="str">
        <x:v>Nexon</x:v>
      </x:c>
      <x:c r="D2499" s="7" t="str">
        <x:v>Smart</x:v>
      </x:c>
      <x:c r="E2499" s="7" t="str">
        <x:v>Petrol</x:v>
      </x:c>
      <x:c r="F2499" s="7" t="str">
        <x:v>Manual</x:v>
      </x:c>
      <x:c r="G2499" s="7" t="str">
        <x:v>Compact SUV</x:v>
      </x:c>
      <x:c r="H2499" s="7" t="n">
        <x:v>1199</x:v>
      </x:c>
      <x:c r="I2499" s="7" t="n">
        <x:v>118</x:v>
      </x:c>
      <x:c r="J2499" s="9" t="n">
        <x:v>17.4</x:v>
      </x:c>
      <x:c r="K2499" s="9" t="n">
        <x:v>9.5</x:v>
      </x:c>
      <x:c r="L2499" s="7" t="n">
        <x:v>2020</x:v>
      </x:c>
      <x:c r="M2499" s="11" t="n">
        <x:v>124087</x:v>
      </x:c>
      <x:c r="N2499" s="7" t="n">
        <x:v>1</x:v>
      </x:c>
      <x:c r="O2499" s="7" t="n">
        <x:v>0</x:v>
      </x:c>
      <x:c r="P2499" s="9" t="n">
        <x:v>3.77</x:v>
      </x:c>
      <x:c r="Q2499" s="7" t="n">
        <x:f>'Guide'!$B$5-L2499</x:f>
        <x:v>6</x:v>
      </x:c>
      <x:c r="R2499" s="9" t="n">
        <x:f>K2499-P2499</x:f>
        <x:v>5.73</x:v>
      </x:c>
      <x:c r="S2499" s="10" t="n">
        <x:f>IF(K2499&gt;0,R2499/K2499,"")</x:f>
        <x:v>0.6031578947368421</x:v>
      </x:c>
    </x:row>
    <x:row r="2500">
      <x:c r="A2500" s="7" t="n">
        <x:v>2496</x:v>
      </x:c>
      <x:c r="B2500" s="7" t="str">
        <x:v>Tata</x:v>
      </x:c>
      <x:c r="C2500" s="7" t="str">
        <x:v>Nexon</x:v>
      </x:c>
      <x:c r="D2500" s="7" t="str">
        <x:v>Smart</x:v>
      </x:c>
      <x:c r="E2500" s="7" t="str">
        <x:v>Petrol</x:v>
      </x:c>
      <x:c r="F2500" s="7" t="str">
        <x:v>Manual</x:v>
      </x:c>
      <x:c r="G2500" s="7" t="str">
        <x:v>Compact SUV</x:v>
      </x:c>
      <x:c r="H2500" s="7" t="n">
        <x:v>1199</x:v>
      </x:c>
      <x:c r="I2500" s="7" t="n">
        <x:v>118</x:v>
      </x:c>
      <x:c r="J2500" s="9" t="n">
        <x:v>17.4</x:v>
      </x:c>
      <x:c r="K2500" s="9" t="n">
        <x:v>9.5</x:v>
      </x:c>
      <x:c r="L2500" s="7" t="n">
        <x:v>2020</x:v>
      </x:c>
      <x:c r="M2500" s="11" t="n">
        <x:v>95191</x:v>
      </x:c>
      <x:c r="N2500" s="7" t="n">
        <x:v>2</x:v>
      </x:c>
      <x:c r="O2500" s="7" t="n">
        <x:v>0</x:v>
      </x:c>
      <x:c r="P2500" s="9" t="n">
        <x:v>3.61</x:v>
      </x:c>
      <x:c r="Q2500" s="7" t="n">
        <x:f>'Guide'!$B$5-L2500</x:f>
        <x:v>6</x:v>
      </x:c>
      <x:c r="R2500" s="9" t="n">
        <x:f>K2500-P2500</x:f>
        <x:v>5.890000000000001</x:v>
      </x:c>
      <x:c r="S2500" s="10" t="n">
        <x:f>IF(K2500&gt;0,R2500/K2500,"")</x:f>
        <x:v>0.6200000000000001</x:v>
      </x:c>
    </x:row>
    <x:row r="2501">
      <x:c r="A2501" s="7" t="n">
        <x:v>2497</x:v>
      </x:c>
      <x:c r="B2501" s="7" t="str">
        <x:v>Tata</x:v>
      </x:c>
      <x:c r="C2501" s="7" t="str">
        <x:v>Nexon</x:v>
      </x:c>
      <x:c r="D2501" s="7" t="str">
        <x:v>Smart</x:v>
      </x:c>
      <x:c r="E2501" s="7" t="str">
        <x:v>Petrol</x:v>
      </x:c>
      <x:c r="F2501" s="7" t="str">
        <x:v>Manual</x:v>
      </x:c>
      <x:c r="G2501" s="7" t="str">
        <x:v>Compact SUV</x:v>
      </x:c>
      <x:c r="H2501" s="7" t="n">
        <x:v>1199</x:v>
      </x:c>
      <x:c r="I2501" s="7" t="n">
        <x:v>118</x:v>
      </x:c>
      <x:c r="J2501" s="9" t="n">
        <x:v>17.4</x:v>
      </x:c>
      <x:c r="K2501" s="9" t="n">
        <x:v>9.5</x:v>
      </x:c>
      <x:c r="L2501" s="7" t="n">
        <x:v>2021</x:v>
      </x:c>
      <x:c r="M2501" s="11" t="n">
        <x:v>48559</x:v>
      </x:c>
      <x:c r="N2501" s="7" t="n">
        <x:v>1</x:v>
      </x:c>
      <x:c r="O2501" s="7" t="n">
        <x:v>1</x:v>
      </x:c>
      <x:c r="P2501" s="9" t="n">
        <x:v>4.49</x:v>
      </x:c>
      <x:c r="Q2501" s="7" t="n">
        <x:f>'Guide'!$B$5-L2501</x:f>
        <x:v>5</x:v>
      </x:c>
      <x:c r="R2501" s="9" t="n">
        <x:f>K2501-P2501</x:f>
        <x:v>5.01</x:v>
      </x:c>
      <x:c r="S2501" s="10" t="n">
        <x:f>IF(K2501&gt;0,R2501/K2501,"")</x:f>
        <x:v>0.5273684210526316</x:v>
      </x:c>
    </x:row>
    <x:row r="2502">
      <x:c r="A2502" s="7" t="n">
        <x:v>2498</x:v>
      </x:c>
      <x:c r="B2502" s="7" t="str">
        <x:v>Tata</x:v>
      </x:c>
      <x:c r="C2502" s="7" t="str">
        <x:v>Nexon</x:v>
      </x:c>
      <x:c r="D2502" s="7" t="str">
        <x:v>Smart</x:v>
      </x:c>
      <x:c r="E2502" s="7" t="str">
        <x:v>Petrol</x:v>
      </x:c>
      <x:c r="F2502" s="7" t="str">
        <x:v>Manual</x:v>
      </x:c>
      <x:c r="G2502" s="7" t="str">
        <x:v>Compact SUV</x:v>
      </x:c>
      <x:c r="H2502" s="7" t="n">
        <x:v>1199</x:v>
      </x:c>
      <x:c r="I2502" s="7" t="n">
        <x:v>118</x:v>
      </x:c>
      <x:c r="J2502" s="9" t="n">
        <x:v>17.4</x:v>
      </x:c>
      <x:c r="K2502" s="9" t="n">
        <x:v>9.5</x:v>
      </x:c>
      <x:c r="L2502" s="7" t="n">
        <x:v>2025</x:v>
      </x:c>
      <x:c r="M2502" s="11" t="n">
        <x:v>28388</x:v>
      </x:c>
      <x:c r="N2502" s="7" t="n">
        <x:v>1</x:v>
      </x:c>
      <x:c r="O2502" s="7" t="n">
        <x:v>0</x:v>
      </x:c>
      <x:c r="P2502" s="9" t="n">
        <x:v>8.4</x:v>
      </x:c>
      <x:c r="Q2502" s="7" t="n">
        <x:f>'Guide'!$B$5-L2502</x:f>
        <x:v>1</x:v>
      </x:c>
      <x:c r="R2502" s="9" t="n">
        <x:f>K2502-P2502</x:f>
        <x:v>1.0999999999999996</x:v>
      </x:c>
      <x:c r="S2502" s="10" t="n">
        <x:f>IF(K2502&gt;0,R2502/K2502,"")</x:f>
        <x:v>0.11578947368421048</x:v>
      </x:c>
    </x:row>
    <x:row r="2503">
      <x:c r="A2503" s="7" t="n">
        <x:v>2499</x:v>
      </x:c>
      <x:c r="B2503" s="7" t="str">
        <x:v>Tata</x:v>
      </x:c>
      <x:c r="C2503" s="7" t="str">
        <x:v>Nexon</x:v>
      </x:c>
      <x:c r="D2503" s="7" t="str">
        <x:v>Smart</x:v>
      </x:c>
      <x:c r="E2503" s="7" t="str">
        <x:v>Petrol</x:v>
      </x:c>
      <x:c r="F2503" s="7" t="str">
        <x:v>Manual</x:v>
      </x:c>
      <x:c r="G2503" s="7" t="str">
        <x:v>Compact SUV</x:v>
      </x:c>
      <x:c r="H2503" s="7" t="n">
        <x:v>1199</x:v>
      </x:c>
      <x:c r="I2503" s="7" t="n">
        <x:v>118</x:v>
      </x:c>
      <x:c r="J2503" s="9" t="n">
        <x:v>17.4</x:v>
      </x:c>
      <x:c r="K2503" s="9" t="n">
        <x:v>9.5</x:v>
      </x:c>
      <x:c r="L2503" s="7" t="n">
        <x:v>2023</x:v>
      </x:c>
      <x:c r="M2503" s="11" t="n">
        <x:v>47978</x:v>
      </x:c>
      <x:c r="N2503" s="7" t="n">
        <x:v>1</x:v>
      </x:c>
      <x:c r="O2503" s="7" t="n">
        <x:v>0</x:v>
      </x:c>
      <x:c r="P2503" s="9" t="n">
        <x:v>6.91</x:v>
      </x:c>
      <x:c r="Q2503" s="7" t="n">
        <x:f>'Guide'!$B$5-L2503</x:f>
        <x:v>3</x:v>
      </x:c>
      <x:c r="R2503" s="9" t="n">
        <x:f>K2503-P2503</x:f>
        <x:v>2.59</x:v>
      </x:c>
      <x:c r="S2503" s="10" t="n">
        <x:f>IF(K2503&gt;0,R2503/K2503,"")</x:f>
        <x:v>0.2726315789473684</x:v>
      </x:c>
    </x:row>
    <x:row r="2504">
      <x:c r="A2504" s="7" t="n">
        <x:v>2500</x:v>
      </x:c>
      <x:c r="B2504" s="7" t="str">
        <x:v>Tata</x:v>
      </x:c>
      <x:c r="C2504" s="7" t="str">
        <x:v>Nexon</x:v>
      </x:c>
      <x:c r="D2504" s="7" t="str">
        <x:v>Smart</x:v>
      </x:c>
      <x:c r="E2504" s="7" t="str">
        <x:v>Petrol</x:v>
      </x:c>
      <x:c r="F2504" s="7" t="str">
        <x:v>Manual</x:v>
      </x:c>
      <x:c r="G2504" s="7" t="str">
        <x:v>Compact SUV</x:v>
      </x:c>
      <x:c r="H2504" s="7" t="n">
        <x:v>1199</x:v>
      </x:c>
      <x:c r="I2504" s="7" t="n">
        <x:v>118</x:v>
      </x:c>
      <x:c r="J2504" s="9" t="n">
        <x:v>17.4</x:v>
      </x:c>
      <x:c r="K2504" s="9" t="n">
        <x:v>9.5</x:v>
      </x:c>
      <x:c r="L2504" s="7" t="n">
        <x:v>2020</x:v>
      </x:c>
      <x:c r="M2504" s="11" t="n">
        <x:v>128904</x:v>
      </x:c>
      <x:c r="N2504" s="7" t="n">
        <x:v>1</x:v>
      </x:c>
      <x:c r="O2504" s="7" t="n">
        <x:v>1</x:v>
      </x:c>
      <x:c r="P2504" s="9" t="n">
        <x:v>2.51</x:v>
      </x:c>
      <x:c r="Q2504" s="7" t="n">
        <x:f>'Guide'!$B$5-L2504</x:f>
        <x:v>6</x:v>
      </x:c>
      <x:c r="R2504" s="9" t="n">
        <x:f>K2504-P2504</x:f>
        <x:v>6.99</x:v>
      </x:c>
      <x:c r="S2504" s="10" t="n">
        <x:f>IF(K2504&gt;0,R2504/K2504,"")</x:f>
        <x:v>0.7357894736842105</x:v>
      </x:c>
    </x:row>
    <x:row r="2505">
      <x:c r="A2505" s="7" t="n">
        <x:v>2501</x:v>
      </x:c>
      <x:c r="B2505" s="7" t="str">
        <x:v>Tata</x:v>
      </x:c>
      <x:c r="C2505" s="7" t="str">
        <x:v>Nexon</x:v>
      </x:c>
      <x:c r="D2505" s="7" t="str">
        <x:v>Smart</x:v>
      </x:c>
      <x:c r="E2505" s="7" t="str">
        <x:v>Petrol</x:v>
      </x:c>
      <x:c r="F2505" s="7" t="str">
        <x:v>Manual</x:v>
      </x:c>
      <x:c r="G2505" s="7" t="str">
        <x:v>Compact SUV</x:v>
      </x:c>
      <x:c r="H2505" s="7" t="n">
        <x:v>1199</x:v>
      </x:c>
      <x:c r="I2505" s="7" t="n">
        <x:v>118</x:v>
      </x:c>
      <x:c r="J2505" s="9" t="n">
        <x:v>17.4</x:v>
      </x:c>
      <x:c r="K2505" s="9" t="n">
        <x:v>9.5</x:v>
      </x:c>
      <x:c r="L2505" s="7" t="n">
        <x:v>2020</x:v>
      </x:c>
      <x:c r="M2505" s="11" t="n">
        <x:v>109551</x:v>
      </x:c>
      <x:c r="N2505" s="7" t="n">
        <x:v>2</x:v>
      </x:c>
      <x:c r="O2505" s="7" t="n">
        <x:v>0</x:v>
      </x:c>
      <x:c r="P2505" s="9" t="n">
        <x:v>3.52</x:v>
      </x:c>
      <x:c r="Q2505" s="7" t="n">
        <x:f>'Guide'!$B$5-L2505</x:f>
        <x:v>6</x:v>
      </x:c>
      <x:c r="R2505" s="9" t="n">
        <x:f>K2505-P2505</x:f>
        <x:v>5.98</x:v>
      </x:c>
      <x:c r="S2505" s="10" t="n">
        <x:f>IF(K2505&gt;0,R2505/K2505,"")</x:f>
        <x:v>0.6294736842105264</x:v>
      </x:c>
    </x:row>
    <x:row r="2506">
      <x:c r="A2506" s="7" t="n">
        <x:v>2502</x:v>
      </x:c>
      <x:c r="B2506" s="7" t="str">
        <x:v>Tata</x:v>
      </x:c>
      <x:c r="C2506" s="7" t="str">
        <x:v>Nexon</x:v>
      </x:c>
      <x:c r="D2506" s="7" t="str">
        <x:v>Smart</x:v>
      </x:c>
      <x:c r="E2506" s="7" t="str">
        <x:v>Petrol</x:v>
      </x:c>
      <x:c r="F2506" s="7" t="str">
        <x:v>Manual</x:v>
      </x:c>
      <x:c r="G2506" s="7" t="str">
        <x:v>Compact SUV</x:v>
      </x:c>
      <x:c r="H2506" s="7" t="n">
        <x:v>1199</x:v>
      </x:c>
      <x:c r="I2506" s="7" t="n">
        <x:v>118</x:v>
      </x:c>
      <x:c r="J2506" s="9" t="n">
        <x:v>17.4</x:v>
      </x:c>
      <x:c r="K2506" s="9" t="n">
        <x:v>9.5</x:v>
      </x:c>
      <x:c r="L2506" s="7" t="n">
        <x:v>2025</x:v>
      </x:c>
      <x:c r="M2506" s="11" t="n">
        <x:v>18288</x:v>
      </x:c>
      <x:c r="N2506" s="7" t="n">
        <x:v>1</x:v>
      </x:c>
      <x:c r="O2506" s="7" t="n">
        <x:v>0</x:v>
      </x:c>
      <x:c r="P2506" s="9" t="n">
        <x:v>8.28</x:v>
      </x:c>
      <x:c r="Q2506" s="7" t="n">
        <x:f>'Guide'!$B$5-L2506</x:f>
        <x:v>1</x:v>
      </x:c>
      <x:c r="R2506" s="9" t="n">
        <x:f>K2506-P2506</x:f>
        <x:v>1.2200000000000006</x:v>
      </x:c>
      <x:c r="S2506" s="10" t="n">
        <x:f>IF(K2506&gt;0,R2506/K2506,"")</x:f>
        <x:v>0.12842105263157902</x:v>
      </x:c>
    </x:row>
    <x:row r="2507">
      <x:c r="A2507" s="7" t="n">
        <x:v>2503</x:v>
      </x:c>
      <x:c r="B2507" s="7" t="str">
        <x:v>Tata</x:v>
      </x:c>
      <x:c r="C2507" s="7" t="str">
        <x:v>Nexon</x:v>
      </x:c>
      <x:c r="D2507" s="7" t="str">
        <x:v>Smart</x:v>
      </x:c>
      <x:c r="E2507" s="7" t="str">
        <x:v>Petrol</x:v>
      </x:c>
      <x:c r="F2507" s="7" t="str">
        <x:v>Manual</x:v>
      </x:c>
      <x:c r="G2507" s="7" t="str">
        <x:v>Compact SUV</x:v>
      </x:c>
      <x:c r="H2507" s="7" t="n">
        <x:v>1199</x:v>
      </x:c>
      <x:c r="I2507" s="7" t="n">
        <x:v>118</x:v>
      </x:c>
      <x:c r="J2507" s="9" t="n">
        <x:v>17.4</x:v>
      </x:c>
      <x:c r="K2507" s="9" t="n">
        <x:v>9.5</x:v>
      </x:c>
      <x:c r="L2507" s="7" t="n">
        <x:v>2025</x:v>
      </x:c>
      <x:c r="M2507" s="11" t="n">
        <x:v>27913</x:v>
      </x:c>
      <x:c r="N2507" s="7" t="n">
        <x:v>1</x:v>
      </x:c>
      <x:c r="O2507" s="7" t="n">
        <x:v>0</x:v>
      </x:c>
      <x:c r="P2507" s="9" t="n">
        <x:v>8.37</x:v>
      </x:c>
      <x:c r="Q2507" s="7" t="n">
        <x:f>'Guide'!$B$5-L2507</x:f>
        <x:v>1</x:v>
      </x:c>
      <x:c r="R2507" s="9" t="n">
        <x:f>K2507-P2507</x:f>
        <x:v>1.1300000000000008</x:v>
      </x:c>
      <x:c r="S2507" s="10" t="n">
        <x:f>IF(K2507&gt;0,R2507/K2507,"")</x:f>
        <x:v>0.11894736842105272</x:v>
      </x:c>
    </x:row>
    <x:row r="2508">
      <x:c r="A2508" s="7" t="n">
        <x:v>2504</x:v>
      </x:c>
      <x:c r="B2508" s="7" t="str">
        <x:v>Tata</x:v>
      </x:c>
      <x:c r="C2508" s="7" t="str">
        <x:v>Nexon</x:v>
      </x:c>
      <x:c r="D2508" s="7" t="str">
        <x:v>Smart</x:v>
      </x:c>
      <x:c r="E2508" s="7" t="str">
        <x:v>Petrol</x:v>
      </x:c>
      <x:c r="F2508" s="7" t="str">
        <x:v>Manual</x:v>
      </x:c>
      <x:c r="G2508" s="7" t="str">
        <x:v>Compact SUV</x:v>
      </x:c>
      <x:c r="H2508" s="7" t="n">
        <x:v>1199</x:v>
      </x:c>
      <x:c r="I2508" s="7" t="n">
        <x:v>118</x:v>
      </x:c>
      <x:c r="J2508" s="9" t="n">
        <x:v>17.4</x:v>
      </x:c>
      <x:c r="K2508" s="9" t="n">
        <x:v>9.5</x:v>
      </x:c>
      <x:c r="L2508" s="7" t="n">
        <x:v>2024</x:v>
      </x:c>
      <x:c r="M2508" s="11" t="n">
        <x:v>36916</x:v>
      </x:c>
      <x:c r="N2508" s="7" t="n">
        <x:v>2</x:v>
      </x:c>
      <x:c r="O2508" s="7" t="n">
        <x:v>0</x:v>
      </x:c>
      <x:c r="P2508" s="9" t="n">
        <x:v>6.91</x:v>
      </x:c>
      <x:c r="Q2508" s="7" t="n">
        <x:f>'Guide'!$B$5-L2508</x:f>
        <x:v>2</x:v>
      </x:c>
      <x:c r="R2508" s="9" t="n">
        <x:f>K2508-P2508</x:f>
        <x:v>2.59</x:v>
      </x:c>
      <x:c r="S2508" s="10" t="n">
        <x:f>IF(K2508&gt;0,R2508/K2508,"")</x:f>
        <x:v>0.2726315789473684</x:v>
      </x:c>
    </x:row>
    <x:row r="2509">
      <x:c r="A2509" s="7" t="n">
        <x:v>2505</x:v>
      </x:c>
      <x:c r="B2509" s="7" t="str">
        <x:v>Tata</x:v>
      </x:c>
      <x:c r="C2509" s="7" t="str">
        <x:v>Nexon</x:v>
      </x:c>
      <x:c r="D2509" s="7" t="str">
        <x:v>Smart</x:v>
      </x:c>
      <x:c r="E2509" s="7" t="str">
        <x:v>Petrol</x:v>
      </x:c>
      <x:c r="F2509" s="7" t="str">
        <x:v>Manual</x:v>
      </x:c>
      <x:c r="G2509" s="7" t="str">
        <x:v>Compact SUV</x:v>
      </x:c>
      <x:c r="H2509" s="7" t="n">
        <x:v>1199</x:v>
      </x:c>
      <x:c r="I2509" s="7" t="n">
        <x:v>118</x:v>
      </x:c>
      <x:c r="J2509" s="9" t="n">
        <x:v>17.4</x:v>
      </x:c>
      <x:c r="K2509" s="9" t="n">
        <x:v>9.5</x:v>
      </x:c>
      <x:c r="L2509" s="7" t="n">
        <x:v>2023</x:v>
      </x:c>
      <x:c r="M2509" s="11" t="n">
        <x:v>64802</x:v>
      </x:c>
      <x:c r="N2509" s="7" t="n">
        <x:v>1</x:v>
      </x:c>
      <x:c r="O2509" s="7" t="n">
        <x:v>1</x:v>
      </x:c>
      <x:c r="P2509" s="9" t="n">
        <x:v>5.71</x:v>
      </x:c>
      <x:c r="Q2509" s="7" t="n">
        <x:f>'Guide'!$B$5-L2509</x:f>
        <x:v>3</x:v>
      </x:c>
      <x:c r="R2509" s="9" t="n">
        <x:f>K2509-P2509</x:f>
        <x:v>3.79</x:v>
      </x:c>
      <x:c r="S2509" s="10" t="n">
        <x:f>IF(K2509&gt;0,R2509/K2509,"")</x:f>
        <x:v>0.39894736842105266</x:v>
      </x:c>
    </x:row>
    <x:row r="2510">
      <x:c r="A2510" s="7" t="n">
        <x:v>2506</x:v>
      </x:c>
      <x:c r="B2510" s="7" t="str">
        <x:v>Tata</x:v>
      </x:c>
      <x:c r="C2510" s="7" t="str">
        <x:v>Nexon</x:v>
      </x:c>
      <x:c r="D2510" s="7" t="str">
        <x:v>Smart</x:v>
      </x:c>
      <x:c r="E2510" s="7" t="str">
        <x:v>Petrol</x:v>
      </x:c>
      <x:c r="F2510" s="7" t="str">
        <x:v>Manual</x:v>
      </x:c>
      <x:c r="G2510" s="7" t="str">
        <x:v>Compact SUV</x:v>
      </x:c>
      <x:c r="H2510" s="7" t="n">
        <x:v>1199</x:v>
      </x:c>
      <x:c r="I2510" s="7" t="n">
        <x:v>118</x:v>
      </x:c>
      <x:c r="J2510" s="9" t="n">
        <x:v>17.4</x:v>
      </x:c>
      <x:c r="K2510" s="9" t="n">
        <x:v>9.5</x:v>
      </x:c>
      <x:c r="L2510" s="7" t="n">
        <x:v>2025</x:v>
      </x:c>
      <x:c r="M2510" s="11" t="n">
        <x:v>14060</x:v>
      </x:c>
      <x:c r="N2510" s="7" t="n">
        <x:v>2</x:v>
      </x:c>
      <x:c r="O2510" s="7" t="n">
        <x:v>0</x:v>
      </x:c>
      <x:c r="P2510" s="9" t="n">
        <x:v>8.06</x:v>
      </x:c>
      <x:c r="Q2510" s="7" t="n">
        <x:f>'Guide'!$B$5-L2510</x:f>
        <x:v>1</x:v>
      </x:c>
      <x:c r="R2510" s="9" t="n">
        <x:f>K2510-P2510</x:f>
        <x:v>1.4399999999999995</x:v>
      </x:c>
      <x:c r="S2510" s="10" t="n">
        <x:f>IF(K2510&gt;0,R2510/K2510,"")</x:f>
        <x:v>0.151578947368421</x:v>
      </x:c>
    </x:row>
    <x:row r="2511">
      <x:c r="A2511" s="7" t="n">
        <x:v>2507</x:v>
      </x:c>
      <x:c r="B2511" s="7" t="str">
        <x:v>Tata</x:v>
      </x:c>
      <x:c r="C2511" s="7" t="str">
        <x:v>Nexon</x:v>
      </x:c>
      <x:c r="D2511" s="7" t="str">
        <x:v>Smart</x:v>
      </x:c>
      <x:c r="E2511" s="7" t="str">
        <x:v>Petrol</x:v>
      </x:c>
      <x:c r="F2511" s="7" t="str">
        <x:v>Manual</x:v>
      </x:c>
      <x:c r="G2511" s="7" t="str">
        <x:v>Compact SUV</x:v>
      </x:c>
      <x:c r="H2511" s="7" t="n">
        <x:v>1199</x:v>
      </x:c>
      <x:c r="I2511" s="7" t="n">
        <x:v>118</x:v>
      </x:c>
      <x:c r="J2511" s="9" t="n">
        <x:v>17.4</x:v>
      </x:c>
      <x:c r="K2511" s="9" t="n">
        <x:v>9.5</x:v>
      </x:c>
      <x:c r="L2511" s="7" t="n">
        <x:v>2021</x:v>
      </x:c>
      <x:c r="M2511" s="11" t="n">
        <x:v>66600</x:v>
      </x:c>
      <x:c r="N2511" s="7" t="n">
        <x:v>2</x:v>
      </x:c>
      <x:c r="O2511" s="7" t="n">
        <x:v>0</x:v>
      </x:c>
      <x:c r="P2511" s="9" t="n">
        <x:v>4.81</x:v>
      </x:c>
      <x:c r="Q2511" s="7" t="n">
        <x:f>'Guide'!$B$5-L2511</x:f>
        <x:v>5</x:v>
      </x:c>
      <x:c r="R2511" s="9" t="n">
        <x:f>K2511-P2511</x:f>
        <x:v>4.69</x:v>
      </x:c>
      <x:c r="S2511" s="10" t="n">
        <x:f>IF(K2511&gt;0,R2511/K2511,"")</x:f>
        <x:v>0.49368421052631584</x:v>
      </x:c>
    </x:row>
    <x:row r="2512">
      <x:c r="A2512" s="7" t="n">
        <x:v>2508</x:v>
      </x:c>
      <x:c r="B2512" s="7" t="str">
        <x:v>Tata</x:v>
      </x:c>
      <x:c r="C2512" s="7" t="str">
        <x:v>Nexon</x:v>
      </x:c>
      <x:c r="D2512" s="7" t="str">
        <x:v>Smart</x:v>
      </x:c>
      <x:c r="E2512" s="7" t="str">
        <x:v>Petrol</x:v>
      </x:c>
      <x:c r="F2512" s="7" t="str">
        <x:v>Manual</x:v>
      </x:c>
      <x:c r="G2512" s="7" t="str">
        <x:v>Compact SUV</x:v>
      </x:c>
      <x:c r="H2512" s="7" t="n">
        <x:v>1199</x:v>
      </x:c>
      <x:c r="I2512" s="7" t="n">
        <x:v>118</x:v>
      </x:c>
      <x:c r="J2512" s="9" t="n">
        <x:v>17.4</x:v>
      </x:c>
      <x:c r="K2512" s="9" t="n">
        <x:v>9.5</x:v>
      </x:c>
      <x:c r="L2512" s="7" t="n">
        <x:v>2025</x:v>
      </x:c>
      <x:c r="M2512" s="11" t="n">
        <x:v>15104</x:v>
      </x:c>
      <x:c r="N2512" s="7" t="n">
        <x:v>1</x:v>
      </x:c>
      <x:c r="O2512" s="7" t="n">
        <x:v>0</x:v>
      </x:c>
      <x:c r="P2512" s="9" t="n">
        <x:v>8.53</x:v>
      </x:c>
      <x:c r="Q2512" s="7" t="n">
        <x:f>'Guide'!$B$5-L2512</x:f>
        <x:v>1</x:v>
      </x:c>
      <x:c r="R2512" s="9" t="n">
        <x:f>K2512-P2512</x:f>
        <x:v>0.9700000000000006</x:v>
      </x:c>
      <x:c r="S2512" s="10" t="n">
        <x:f>IF(K2512&gt;0,R2512/K2512,"")</x:f>
        <x:v>0.10210526315789481</x:v>
      </x:c>
    </x:row>
    <x:row r="2513">
      <x:c r="A2513" s="7" t="n">
        <x:v>2509</x:v>
      </x:c>
      <x:c r="B2513" s="7" t="str">
        <x:v>Tata</x:v>
      </x:c>
      <x:c r="C2513" s="7" t="str">
        <x:v>Nexon</x:v>
      </x:c>
      <x:c r="D2513" s="7" t="str">
        <x:v>Smart</x:v>
      </x:c>
      <x:c r="E2513" s="7" t="str">
        <x:v>Petrol</x:v>
      </x:c>
      <x:c r="F2513" s="7" t="str">
        <x:v>Manual</x:v>
      </x:c>
      <x:c r="G2513" s="7" t="str">
        <x:v>Compact SUV</x:v>
      </x:c>
      <x:c r="H2513" s="7" t="n">
        <x:v>1199</x:v>
      </x:c>
      <x:c r="I2513" s="7" t="n">
        <x:v>118</x:v>
      </x:c>
      <x:c r="J2513" s="9" t="n">
        <x:v>17.4</x:v>
      </x:c>
      <x:c r="K2513" s="9" t="n">
        <x:v>9.5</x:v>
      </x:c>
      <x:c r="L2513" s="7" t="n">
        <x:v>2020</x:v>
      </x:c>
      <x:c r="M2513" s="11" t="n">
        <x:v>62128</x:v>
      </x:c>
      <x:c r="N2513" s="7" t="n">
        <x:v>1</x:v>
      </x:c>
      <x:c r="O2513" s="7" t="n">
        <x:v>0</x:v>
      </x:c>
      <x:c r="P2513" s="9" t="n">
        <x:v>3.94</x:v>
      </x:c>
      <x:c r="Q2513" s="7" t="n">
        <x:f>'Guide'!$B$5-L2513</x:f>
        <x:v>6</x:v>
      </x:c>
      <x:c r="R2513" s="9" t="n">
        <x:f>K2513-P2513</x:f>
        <x:v>5.5600000000000005</x:v>
      </x:c>
      <x:c r="S2513" s="10" t="n">
        <x:f>IF(K2513&gt;0,R2513/K2513,"")</x:f>
        <x:v>0.5852631578947369</x:v>
      </x:c>
    </x:row>
    <x:row r="2514">
      <x:c r="A2514" s="7" t="n">
        <x:v>2510</x:v>
      </x:c>
      <x:c r="B2514" s="7" t="str">
        <x:v>Tata</x:v>
      </x:c>
      <x:c r="C2514" s="7" t="str">
        <x:v>Nexon</x:v>
      </x:c>
      <x:c r="D2514" s="7" t="str">
        <x:v>Smart</x:v>
      </x:c>
      <x:c r="E2514" s="7" t="str">
        <x:v>Petrol</x:v>
      </x:c>
      <x:c r="F2514" s="7" t="str">
        <x:v>Manual</x:v>
      </x:c>
      <x:c r="G2514" s="7" t="str">
        <x:v>Compact SUV</x:v>
      </x:c>
      <x:c r="H2514" s="7" t="n">
        <x:v>1199</x:v>
      </x:c>
      <x:c r="I2514" s="7" t="n">
        <x:v>118</x:v>
      </x:c>
      <x:c r="J2514" s="9" t="n">
        <x:v>17.4</x:v>
      </x:c>
      <x:c r="K2514" s="9" t="n">
        <x:v>9.5</x:v>
      </x:c>
      <x:c r="L2514" s="7" t="n">
        <x:v>2020</x:v>
      </x:c>
      <x:c r="M2514" s="11" t="n">
        <x:v>85902</x:v>
      </x:c>
      <x:c r="N2514" s="7" t="n">
        <x:v>1</x:v>
      </x:c>
      <x:c r="O2514" s="7" t="n">
        <x:v>0</x:v>
      </x:c>
      <x:c r="P2514" s="9" t="n">
        <x:v>3.81</x:v>
      </x:c>
      <x:c r="Q2514" s="7" t="n">
        <x:f>'Guide'!$B$5-L2514</x:f>
        <x:v>6</x:v>
      </x:c>
      <x:c r="R2514" s="9" t="n">
        <x:f>K2514-P2514</x:f>
        <x:v>5.6899999999999995</x:v>
      </x:c>
      <x:c r="S2514" s="10" t="n">
        <x:f>IF(K2514&gt;0,R2514/K2514,"")</x:f>
        <x:v>0.5989473684210526</x:v>
      </x:c>
    </x:row>
    <x:row r="2515">
      <x:c r="A2515" s="7" t="n">
        <x:v>2511</x:v>
      </x:c>
      <x:c r="B2515" s="7" t="str">
        <x:v>Tata</x:v>
      </x:c>
      <x:c r="C2515" s="7" t="str">
        <x:v>Nexon</x:v>
      </x:c>
      <x:c r="D2515" s="7" t="str">
        <x:v>Smart</x:v>
      </x:c>
      <x:c r="E2515" s="7" t="str">
        <x:v>Petrol</x:v>
      </x:c>
      <x:c r="F2515" s="7" t="str">
        <x:v>Manual</x:v>
      </x:c>
      <x:c r="G2515" s="7" t="str">
        <x:v>Compact SUV</x:v>
      </x:c>
      <x:c r="H2515" s="7" t="n">
        <x:v>1199</x:v>
      </x:c>
      <x:c r="I2515" s="7" t="n">
        <x:v>118</x:v>
      </x:c>
      <x:c r="J2515" s="9" t="n">
        <x:v>17.4</x:v>
      </x:c>
      <x:c r="K2515" s="9" t="n">
        <x:v>9.5</x:v>
      </x:c>
      <x:c r="L2515" s="7" t="n">
        <x:v>2025</x:v>
      </x:c>
      <x:c r="M2515" s="11" t="n">
        <x:v>26909</x:v>
      </x:c>
      <x:c r="N2515" s="7" t="n">
        <x:v>1</x:v>
      </x:c>
      <x:c r="O2515" s="7" t="n">
        <x:v>0</x:v>
      </x:c>
      <x:c r="P2515" s="9" t="n">
        <x:v>8.49</x:v>
      </x:c>
      <x:c r="Q2515" s="7" t="n">
        <x:f>'Guide'!$B$5-L2515</x:f>
        <x:v>1</x:v>
      </x:c>
      <x:c r="R2515" s="9" t="n">
        <x:f>K2515-P2515</x:f>
        <x:v>1.0099999999999998</x:v>
      </x:c>
      <x:c r="S2515" s="10" t="n">
        <x:f>IF(K2515&gt;0,R2515/K2515,"")</x:f>
        <x:v>0.10631578947368418</x:v>
      </x:c>
    </x:row>
    <x:row r="2516">
      <x:c r="A2516" s="7" t="n">
        <x:v>2512</x:v>
      </x:c>
      <x:c r="B2516" s="7" t="str">
        <x:v>Tata</x:v>
      </x:c>
      <x:c r="C2516" s="7" t="str">
        <x:v>Nexon</x:v>
      </x:c>
      <x:c r="D2516" s="7" t="str">
        <x:v>Smart</x:v>
      </x:c>
      <x:c r="E2516" s="7" t="str">
        <x:v>Petrol</x:v>
      </x:c>
      <x:c r="F2516" s="7" t="str">
        <x:v>Manual</x:v>
      </x:c>
      <x:c r="G2516" s="7" t="str">
        <x:v>Compact SUV</x:v>
      </x:c>
      <x:c r="H2516" s="7" t="n">
        <x:v>1199</x:v>
      </x:c>
      <x:c r="I2516" s="7" t="n">
        <x:v>118</x:v>
      </x:c>
      <x:c r="J2516" s="9" t="n">
        <x:v>17.4</x:v>
      </x:c>
      <x:c r="K2516" s="9" t="n">
        <x:v>9.5</x:v>
      </x:c>
      <x:c r="L2516" s="7" t="n">
        <x:v>2025</x:v>
      </x:c>
      <x:c r="M2516" s="11" t="n">
        <x:v>22933</x:v>
      </x:c>
      <x:c r="N2516" s="7" t="n">
        <x:v>1</x:v>
      </x:c>
      <x:c r="O2516" s="7" t="n">
        <x:v>1</x:v>
      </x:c>
      <x:c r="P2516" s="9" t="n">
        <x:v>7.49</x:v>
      </x:c>
      <x:c r="Q2516" s="7" t="n">
        <x:f>'Guide'!$B$5-L2516</x:f>
        <x:v>1</x:v>
      </x:c>
      <x:c r="R2516" s="9" t="n">
        <x:f>K2516-P2516</x:f>
        <x:v>2.01</x:v>
      </x:c>
      <x:c r="S2516" s="10" t="n">
        <x:f>IF(K2516&gt;0,R2516/K2516,"")</x:f>
        <x:v>0.21157894736842103</x:v>
      </x:c>
    </x:row>
    <x:row r="2517">
      <x:c r="A2517" s="7" t="n">
        <x:v>2513</x:v>
      </x:c>
      <x:c r="B2517" s="7" t="str">
        <x:v>Tata</x:v>
      </x:c>
      <x:c r="C2517" s="7" t="str">
        <x:v>Nexon</x:v>
      </x:c>
      <x:c r="D2517" s="7" t="str">
        <x:v>Smart</x:v>
      </x:c>
      <x:c r="E2517" s="7" t="str">
        <x:v>Petrol</x:v>
      </x:c>
      <x:c r="F2517" s="7" t="str">
        <x:v>Manual</x:v>
      </x:c>
      <x:c r="G2517" s="7" t="str">
        <x:v>Compact SUV</x:v>
      </x:c>
      <x:c r="H2517" s="7" t="n">
        <x:v>1199</x:v>
      </x:c>
      <x:c r="I2517" s="7" t="n">
        <x:v>118</x:v>
      </x:c>
      <x:c r="J2517" s="9" t="n">
        <x:v>17.4</x:v>
      </x:c>
      <x:c r="K2517" s="9" t="n">
        <x:v>9.5</x:v>
      </x:c>
      <x:c r="L2517" s="7" t="n">
        <x:v>2025</x:v>
      </x:c>
      <x:c r="M2517" s="11" t="n">
        <x:v>16990</x:v>
      </x:c>
      <x:c r="N2517" s="7" t="n">
        <x:v>2</x:v>
      </x:c>
      <x:c r="O2517" s="7" t="n">
        <x:v>0</x:v>
      </x:c>
      <x:c r="P2517" s="9" t="n">
        <x:v>8.03</x:v>
      </x:c>
      <x:c r="Q2517" s="7" t="n">
        <x:f>'Guide'!$B$5-L2517</x:f>
        <x:v>1</x:v>
      </x:c>
      <x:c r="R2517" s="9" t="n">
        <x:f>K2517-P2517</x:f>
        <x:v>1.4700000000000006</x:v>
      </x:c>
      <x:c r="S2517" s="10" t="n">
        <x:f>IF(K2517&gt;0,R2517/K2517,"")</x:f>
        <x:v>0.15473684210526323</x:v>
      </x:c>
    </x:row>
    <x:row r="2518">
      <x:c r="A2518" s="7" t="n">
        <x:v>2514</x:v>
      </x:c>
      <x:c r="B2518" s="7" t="str">
        <x:v>Tata</x:v>
      </x:c>
      <x:c r="C2518" s="7" t="str">
        <x:v>Nexon</x:v>
      </x:c>
      <x:c r="D2518" s="7" t="str">
        <x:v>Smart</x:v>
      </x:c>
      <x:c r="E2518" s="7" t="str">
        <x:v>Petrol</x:v>
      </x:c>
      <x:c r="F2518" s="7" t="str">
        <x:v>Manual</x:v>
      </x:c>
      <x:c r="G2518" s="7" t="str">
        <x:v>Compact SUV</x:v>
      </x:c>
      <x:c r="H2518" s="7" t="n">
        <x:v>1199</x:v>
      </x:c>
      <x:c r="I2518" s="7" t="n">
        <x:v>118</x:v>
      </x:c>
      <x:c r="J2518" s="9" t="n">
        <x:v>17.4</x:v>
      </x:c>
      <x:c r="K2518" s="9" t="n">
        <x:v>9.5</x:v>
      </x:c>
      <x:c r="L2518" s="7" t="n">
        <x:v>2025</x:v>
      </x:c>
      <x:c r="M2518" s="11" t="n">
        <x:v>20593</x:v>
      </x:c>
      <x:c r="N2518" s="7" t="n">
        <x:v>1</x:v>
      </x:c>
      <x:c r="O2518" s="7" t="n">
        <x:v>0</x:v>
      </x:c>
      <x:c r="P2518" s="9" t="n">
        <x:v>8.66</x:v>
      </x:c>
      <x:c r="Q2518" s="7" t="n">
        <x:f>'Guide'!$B$5-L2518</x:f>
        <x:v>1</x:v>
      </x:c>
      <x:c r="R2518" s="9" t="n">
        <x:f>K2518-P2518</x:f>
        <x:v>0.8399999999999999</x:v>
      </x:c>
      <x:c r="S2518" s="10" t="n">
        <x:f>IF(K2518&gt;0,R2518/K2518,"")</x:f>
        <x:v>0.08842105263157893</x:v>
      </x:c>
    </x:row>
    <x:row r="2519">
      <x:c r="A2519" s="7" t="n">
        <x:v>2515</x:v>
      </x:c>
      <x:c r="B2519" s="7" t="str">
        <x:v>Tata</x:v>
      </x:c>
      <x:c r="C2519" s="7" t="str">
        <x:v>Nexon</x:v>
      </x:c>
      <x:c r="D2519" s="7" t="str">
        <x:v>Smart</x:v>
      </x:c>
      <x:c r="E2519" s="7" t="str">
        <x:v>Petrol</x:v>
      </x:c>
      <x:c r="F2519" s="7" t="str">
        <x:v>Manual</x:v>
      </x:c>
      <x:c r="G2519" s="7" t="str">
        <x:v>Compact SUV</x:v>
      </x:c>
      <x:c r="H2519" s="7" t="n">
        <x:v>1199</x:v>
      </x:c>
      <x:c r="I2519" s="7" t="n">
        <x:v>118</x:v>
      </x:c>
      <x:c r="J2519" s="9" t="n">
        <x:v>17.4</x:v>
      </x:c>
      <x:c r="K2519" s="9" t="n">
        <x:v>9.5</x:v>
      </x:c>
      <x:c r="L2519" s="7" t="n">
        <x:v>2025</x:v>
      </x:c>
      <x:c r="M2519" s="11" t="n">
        <x:v>15192</x:v>
      </x:c>
      <x:c r="N2519" s="7" t="n">
        <x:v>2</x:v>
      </x:c>
      <x:c r="O2519" s="7" t="n">
        <x:v>0</x:v>
      </x:c>
      <x:c r="P2519" s="9" t="n">
        <x:v>8.42</x:v>
      </x:c>
      <x:c r="Q2519" s="7" t="n">
        <x:f>'Guide'!$B$5-L2519</x:f>
        <x:v>1</x:v>
      </x:c>
      <x:c r="R2519" s="9" t="n">
        <x:f>K2519-P2519</x:f>
        <x:v>1.08</x:v>
      </x:c>
      <x:c r="S2519" s="10" t="n">
        <x:f>IF(K2519&gt;0,R2519/K2519,"")</x:f>
        <x:v>0.11368421052631579</x:v>
      </x:c>
    </x:row>
    <x:row r="2520">
      <x:c r="A2520" s="7" t="n">
        <x:v>2516</x:v>
      </x:c>
      <x:c r="B2520" s="7" t="str">
        <x:v>Tata</x:v>
      </x:c>
      <x:c r="C2520" s="7" t="str">
        <x:v>Nexon</x:v>
      </x:c>
      <x:c r="D2520" s="7" t="str">
        <x:v>Smart</x:v>
      </x:c>
      <x:c r="E2520" s="7" t="str">
        <x:v>Petrol</x:v>
      </x:c>
      <x:c r="F2520" s="7" t="str">
        <x:v>Manual</x:v>
      </x:c>
      <x:c r="G2520" s="7" t="str">
        <x:v>Compact SUV</x:v>
      </x:c>
      <x:c r="H2520" s="7" t="n">
        <x:v>1199</x:v>
      </x:c>
      <x:c r="I2520" s="7" t="n">
        <x:v>118</x:v>
      </x:c>
      <x:c r="J2520" s="9" t="n">
        <x:v>17.4</x:v>
      </x:c>
      <x:c r="K2520" s="9" t="n">
        <x:v>9.5</x:v>
      </x:c>
      <x:c r="L2520" s="7" t="n">
        <x:v>2020</x:v>
      </x:c>
      <x:c r="M2520" s="11" t="n">
        <x:v>97477</x:v>
      </x:c>
      <x:c r="N2520" s="7" t="n">
        <x:v>2</x:v>
      </x:c>
      <x:c r="O2520" s="7" t="n">
        <x:v>0</x:v>
      </x:c>
      <x:c r="P2520" s="9" t="n">
        <x:v>3.53</x:v>
      </x:c>
      <x:c r="Q2520" s="7" t="n">
        <x:f>'Guide'!$B$5-L2520</x:f>
        <x:v>6</x:v>
      </x:c>
      <x:c r="R2520" s="9" t="n">
        <x:f>K2520-P2520</x:f>
        <x:v>5.970000000000001</x:v>
      </x:c>
      <x:c r="S2520" s="10" t="n">
        <x:f>IF(K2520&gt;0,R2520/K2520,"")</x:f>
        <x:v>0.628421052631579</x:v>
      </x:c>
    </x:row>
    <x:row r="2521">
      <x:c r="A2521" s="7" t="n">
        <x:v>2517</x:v>
      </x:c>
      <x:c r="B2521" s="7" t="str">
        <x:v>Tata</x:v>
      </x:c>
      <x:c r="C2521" s="7" t="str">
        <x:v>Nexon</x:v>
      </x:c>
      <x:c r="D2521" s="7" t="str">
        <x:v>Smart</x:v>
      </x:c>
      <x:c r="E2521" s="7" t="str">
        <x:v>Petrol</x:v>
      </x:c>
      <x:c r="F2521" s="7" t="str">
        <x:v>Manual</x:v>
      </x:c>
      <x:c r="G2521" s="7" t="str">
        <x:v>Compact SUV</x:v>
      </x:c>
      <x:c r="H2521" s="7" t="n">
        <x:v>1199</x:v>
      </x:c>
      <x:c r="I2521" s="7" t="n">
        <x:v>118</x:v>
      </x:c>
      <x:c r="J2521" s="9" t="n">
        <x:v>17.4</x:v>
      </x:c>
      <x:c r="K2521" s="9" t="n">
        <x:v>9.5</x:v>
      </x:c>
      <x:c r="L2521" s="7" t="n">
        <x:v>2024</x:v>
      </x:c>
      <x:c r="M2521" s="11" t="n">
        <x:v>44247</x:v>
      </x:c>
      <x:c r="N2521" s="7" t="n">
        <x:v>1</x:v>
      </x:c>
      <x:c r="O2521" s="7" t="n">
        <x:v>0</x:v>
      </x:c>
      <x:c r="P2521" s="9" t="n">
        <x:v>7.27</x:v>
      </x:c>
      <x:c r="Q2521" s="7" t="n">
        <x:f>'Guide'!$B$5-L2521</x:f>
        <x:v>2</x:v>
      </x:c>
      <x:c r="R2521" s="9" t="n">
        <x:f>K2521-P2521</x:f>
        <x:v>2.2300000000000004</x:v>
      </x:c>
      <x:c r="S2521" s="10" t="n">
        <x:f>IF(K2521&gt;0,R2521/K2521,"")</x:f>
        <x:v>0.23473684210526322</x:v>
      </x:c>
    </x:row>
    <x:row r="2522">
      <x:c r="A2522" s="7" t="n">
        <x:v>2518</x:v>
      </x:c>
      <x:c r="B2522" s="7" t="str">
        <x:v>Tata</x:v>
      </x:c>
      <x:c r="C2522" s="7" t="str">
        <x:v>Nexon</x:v>
      </x:c>
      <x:c r="D2522" s="7" t="str">
        <x:v>Smart</x:v>
      </x:c>
      <x:c r="E2522" s="7" t="str">
        <x:v>Petrol</x:v>
      </x:c>
      <x:c r="F2522" s="7" t="str">
        <x:v>Manual</x:v>
      </x:c>
      <x:c r="G2522" s="7" t="str">
        <x:v>Compact SUV</x:v>
      </x:c>
      <x:c r="H2522" s="7" t="n">
        <x:v>1199</x:v>
      </x:c>
      <x:c r="I2522" s="7" t="n">
        <x:v>118</x:v>
      </x:c>
      <x:c r="J2522" s="9" t="n">
        <x:v>17.4</x:v>
      </x:c>
      <x:c r="K2522" s="9" t="n">
        <x:v>9.5</x:v>
      </x:c>
      <x:c r="L2522" s="7" t="n">
        <x:v>2021</x:v>
      </x:c>
      <x:c r="M2522" s="11" t="n">
        <x:v>74162</x:v>
      </x:c>
      <x:c r="N2522" s="7" t="n">
        <x:v>2</x:v>
      </x:c>
      <x:c r="O2522" s="7" t="n">
        <x:v>0</x:v>
      </x:c>
      <x:c r="P2522" s="9" t="n">
        <x:v>4.67</x:v>
      </x:c>
      <x:c r="Q2522" s="7" t="n">
        <x:f>'Guide'!$B$5-L2522</x:f>
        <x:v>5</x:v>
      </x:c>
      <x:c r="R2522" s="9" t="n">
        <x:f>K2522-P2522</x:f>
        <x:v>4.83</x:v>
      </x:c>
      <x:c r="S2522" s="10" t="n">
        <x:f>IF(K2522&gt;0,R2522/K2522,"")</x:f>
        <x:v>0.508421052631579</x:v>
      </x:c>
    </x:row>
    <x:row r="2523">
      <x:c r="A2523" s="7" t="n">
        <x:v>2519</x:v>
      </x:c>
      <x:c r="B2523" s="7" t="str">
        <x:v>Tata</x:v>
      </x:c>
      <x:c r="C2523" s="7" t="str">
        <x:v>Nexon</x:v>
      </x:c>
      <x:c r="D2523" s="7" t="str">
        <x:v>Smart</x:v>
      </x:c>
      <x:c r="E2523" s="7" t="str">
        <x:v>Petrol</x:v>
      </x:c>
      <x:c r="F2523" s="7" t="str">
        <x:v>Manual</x:v>
      </x:c>
      <x:c r="G2523" s="7" t="str">
        <x:v>Compact SUV</x:v>
      </x:c>
      <x:c r="H2523" s="7" t="n">
        <x:v>1199</x:v>
      </x:c>
      <x:c r="I2523" s="7" t="n">
        <x:v>118</x:v>
      </x:c>
      <x:c r="J2523" s="9" t="n">
        <x:v>17.4</x:v>
      </x:c>
      <x:c r="K2523" s="9" t="n">
        <x:v>9.5</x:v>
      </x:c>
      <x:c r="L2523" s="7" t="n">
        <x:v>2021</x:v>
      </x:c>
      <x:c r="M2523" s="11" t="n">
        <x:v>45406</x:v>
      </x:c>
      <x:c r="N2523" s="7" t="n">
        <x:v>2</x:v>
      </x:c>
      <x:c r="O2523" s="7" t="n">
        <x:v>0</x:v>
      </x:c>
      <x:c r="P2523" s="9" t="n">
        <x:v>5.06</x:v>
      </x:c>
      <x:c r="Q2523" s="7" t="n">
        <x:f>'Guide'!$B$5-L2523</x:f>
        <x:v>5</x:v>
      </x:c>
      <x:c r="R2523" s="9" t="n">
        <x:f>K2523-P2523</x:f>
        <x:v>4.44</x:v>
      </x:c>
      <x:c r="S2523" s="10" t="n">
        <x:f>IF(K2523&gt;0,R2523/K2523,"")</x:f>
        <x:v>0.4673684210526316</x:v>
      </x:c>
    </x:row>
    <x:row r="2524">
      <x:c r="A2524" s="7" t="n">
        <x:v>2520</x:v>
      </x:c>
      <x:c r="B2524" s="7" t="str">
        <x:v>Tata</x:v>
      </x:c>
      <x:c r="C2524" s="7" t="str">
        <x:v>Nexon</x:v>
      </x:c>
      <x:c r="D2524" s="7" t="str">
        <x:v>Smart</x:v>
      </x:c>
      <x:c r="E2524" s="7" t="str">
        <x:v>Petrol</x:v>
      </x:c>
      <x:c r="F2524" s="7" t="str">
        <x:v>Manual</x:v>
      </x:c>
      <x:c r="G2524" s="7" t="str">
        <x:v>Compact SUV</x:v>
      </x:c>
      <x:c r="H2524" s="7" t="n">
        <x:v>1199</x:v>
      </x:c>
      <x:c r="I2524" s="7" t="n">
        <x:v>118</x:v>
      </x:c>
      <x:c r="J2524" s="9" t="n">
        <x:v>17.4</x:v>
      </x:c>
      <x:c r="K2524" s="9" t="n">
        <x:v>9.5</x:v>
      </x:c>
      <x:c r="L2524" s="7" t="n">
        <x:v>2024</x:v>
      </x:c>
      <x:c r="M2524" s="11" t="n">
        <x:v>26144</x:v>
      </x:c>
      <x:c r="N2524" s="7" t="n">
        <x:v>2</x:v>
      </x:c>
      <x:c r="O2524" s="7" t="n">
        <x:v>0</x:v>
      </x:c>
      <x:c r="P2524" s="9" t="n">
        <x:v>7.1</x:v>
      </x:c>
      <x:c r="Q2524" s="7" t="n">
        <x:f>'Guide'!$B$5-L2524</x:f>
        <x:v>2</x:v>
      </x:c>
      <x:c r="R2524" s="9" t="n">
        <x:f>K2524-P2524</x:f>
        <x:v>2.4000000000000004</x:v>
      </x:c>
      <x:c r="S2524" s="10" t="n">
        <x:f>IF(K2524&gt;0,R2524/K2524,"")</x:f>
        <x:v>0.2526315789473685</x:v>
      </x:c>
    </x:row>
    <x:row r="2525">
      <x:c r="A2525" s="7" t="n">
        <x:v>2521</x:v>
      </x:c>
      <x:c r="B2525" s="7" t="str">
        <x:v>Tata</x:v>
      </x:c>
      <x:c r="C2525" s="7" t="str">
        <x:v>Nexon</x:v>
      </x:c>
      <x:c r="D2525" s="7" t="str">
        <x:v>Smart</x:v>
      </x:c>
      <x:c r="E2525" s="7" t="str">
        <x:v>Petrol</x:v>
      </x:c>
      <x:c r="F2525" s="7" t="str">
        <x:v>Manual</x:v>
      </x:c>
      <x:c r="G2525" s="7" t="str">
        <x:v>Compact SUV</x:v>
      </x:c>
      <x:c r="H2525" s="7" t="n">
        <x:v>1199</x:v>
      </x:c>
      <x:c r="I2525" s="7" t="n">
        <x:v>118</x:v>
      </x:c>
      <x:c r="J2525" s="9" t="n">
        <x:v>17.4</x:v>
      </x:c>
      <x:c r="K2525" s="9" t="n">
        <x:v>9.5</x:v>
      </x:c>
      <x:c r="L2525" s="7" t="n">
        <x:v>2021</x:v>
      </x:c>
      <x:c r="M2525" s="11" t="n">
        <x:v>47858</x:v>
      </x:c>
      <x:c r="N2525" s="7" t="n">
        <x:v>1</x:v>
      </x:c>
      <x:c r="O2525" s="7" t="n">
        <x:v>0</x:v>
      </x:c>
      <x:c r="P2525" s="9" t="n">
        <x:v>5.43</x:v>
      </x:c>
      <x:c r="Q2525" s="7" t="n">
        <x:f>'Guide'!$B$5-L2525</x:f>
        <x:v>5</x:v>
      </x:c>
      <x:c r="R2525" s="9" t="n">
        <x:f>K2525-P2525</x:f>
        <x:v>4.07</x:v>
      </x:c>
      <x:c r="S2525" s="10" t="n">
        <x:f>IF(K2525&gt;0,R2525/K2525,"")</x:f>
        <x:v>0.428421052631579</x:v>
      </x:c>
    </x:row>
    <x:row r="2526">
      <x:c r="A2526" s="7" t="n">
        <x:v>2522</x:v>
      </x:c>
      <x:c r="B2526" s="7" t="str">
        <x:v>Tata</x:v>
      </x:c>
      <x:c r="C2526" s="7" t="str">
        <x:v>Nexon</x:v>
      </x:c>
      <x:c r="D2526" s="7" t="str">
        <x:v>Smart</x:v>
      </x:c>
      <x:c r="E2526" s="7" t="str">
        <x:v>Petrol</x:v>
      </x:c>
      <x:c r="F2526" s="7" t="str">
        <x:v>Manual</x:v>
      </x:c>
      <x:c r="G2526" s="7" t="str">
        <x:v>Compact SUV</x:v>
      </x:c>
      <x:c r="H2526" s="7" t="n">
        <x:v>1199</x:v>
      </x:c>
      <x:c r="I2526" s="7" t="n">
        <x:v>118</x:v>
      </x:c>
      <x:c r="J2526" s="9" t="n">
        <x:v>17.4</x:v>
      </x:c>
      <x:c r="K2526" s="9" t="n">
        <x:v>9.5</x:v>
      </x:c>
      <x:c r="L2526" s="7" t="n">
        <x:v>2020</x:v>
      </x:c>
      <x:c r="M2526" s="11" t="n">
        <x:v>76082</x:v>
      </x:c>
      <x:c r="N2526" s="7" t="n">
        <x:v>2</x:v>
      </x:c>
      <x:c r="O2526" s="7" t="n">
        <x:v>0</x:v>
      </x:c>
      <x:c r="P2526" s="9" t="n">
        <x:v>3.5</x:v>
      </x:c>
      <x:c r="Q2526" s="7" t="n">
        <x:f>'Guide'!$B$5-L2526</x:f>
        <x:v>6</x:v>
      </x:c>
      <x:c r="R2526" s="9" t="n">
        <x:f>K2526-P2526</x:f>
        <x:v>6</x:v>
      </x:c>
      <x:c r="S2526" s="10" t="n">
        <x:f>IF(K2526&gt;0,R2526/K2526,"")</x:f>
        <x:v>0.631578947368421</x:v>
      </x:c>
    </x:row>
    <x:row r="2527">
      <x:c r="A2527" s="7" t="n">
        <x:v>2523</x:v>
      </x:c>
      <x:c r="B2527" s="7" t="str">
        <x:v>Tata</x:v>
      </x:c>
      <x:c r="C2527" s="7" t="str">
        <x:v>Nexon</x:v>
      </x:c>
      <x:c r="D2527" s="7" t="str">
        <x:v>Smart</x:v>
      </x:c>
      <x:c r="E2527" s="7" t="str">
        <x:v>Petrol</x:v>
      </x:c>
      <x:c r="F2527" s="7" t="str">
        <x:v>Manual</x:v>
      </x:c>
      <x:c r="G2527" s="7" t="str">
        <x:v>Compact SUV</x:v>
      </x:c>
      <x:c r="H2527" s="7" t="n">
        <x:v>1199</x:v>
      </x:c>
      <x:c r="I2527" s="7" t="n">
        <x:v>118</x:v>
      </x:c>
      <x:c r="J2527" s="9" t="n">
        <x:v>17.4</x:v>
      </x:c>
      <x:c r="K2527" s="9" t="n">
        <x:v>9.5</x:v>
      </x:c>
      <x:c r="L2527" s="7" t="n">
        <x:v>2020</x:v>
      </x:c>
      <x:c r="M2527" s="11" t="n">
        <x:v>69852</x:v>
      </x:c>
      <x:c r="N2527" s="7" t="n">
        <x:v>1</x:v>
      </x:c>
      <x:c r="O2527" s="7" t="n">
        <x:v>0</x:v>
      </x:c>
      <x:c r="P2527" s="9" t="n">
        <x:v>3.94</x:v>
      </x:c>
      <x:c r="Q2527" s="7" t="n">
        <x:f>'Guide'!$B$5-L2527</x:f>
        <x:v>6</x:v>
      </x:c>
      <x:c r="R2527" s="9" t="n">
        <x:f>K2527-P2527</x:f>
        <x:v>5.5600000000000005</x:v>
      </x:c>
      <x:c r="S2527" s="10" t="n">
        <x:f>IF(K2527&gt;0,R2527/K2527,"")</x:f>
        <x:v>0.5852631578947369</x:v>
      </x:c>
    </x:row>
    <x:row r="2528">
      <x:c r="A2528" s="7" t="n">
        <x:v>2524</x:v>
      </x:c>
      <x:c r="B2528" s="7" t="str">
        <x:v>Tata</x:v>
      </x:c>
      <x:c r="C2528" s="7" t="str">
        <x:v>Nexon</x:v>
      </x:c>
      <x:c r="D2528" s="7" t="str">
        <x:v>Smart</x:v>
      </x:c>
      <x:c r="E2528" s="7" t="str">
        <x:v>Petrol</x:v>
      </x:c>
      <x:c r="F2528" s="7" t="str">
        <x:v>Manual</x:v>
      </x:c>
      <x:c r="G2528" s="7" t="str">
        <x:v>Compact SUV</x:v>
      </x:c>
      <x:c r="H2528" s="7" t="n">
        <x:v>1199</x:v>
      </x:c>
      <x:c r="I2528" s="7" t="n">
        <x:v>118</x:v>
      </x:c>
      <x:c r="J2528" s="9" t="n">
        <x:v>17.4</x:v>
      </x:c>
      <x:c r="K2528" s="9" t="n">
        <x:v>9.5</x:v>
      </x:c>
      <x:c r="L2528" s="7" t="n">
        <x:v>2025</x:v>
      </x:c>
      <x:c r="M2528" s="11" t="n">
        <x:v>19372</x:v>
      </x:c>
      <x:c r="N2528" s="7" t="n">
        <x:v>1</x:v>
      </x:c>
      <x:c r="O2528" s="7" t="n">
        <x:v>0</x:v>
      </x:c>
      <x:c r="P2528" s="9" t="n">
        <x:v>8.28</x:v>
      </x:c>
      <x:c r="Q2528" s="7" t="n">
        <x:f>'Guide'!$B$5-L2528</x:f>
        <x:v>1</x:v>
      </x:c>
      <x:c r="R2528" s="9" t="n">
        <x:f>K2528-P2528</x:f>
        <x:v>1.2200000000000006</x:v>
      </x:c>
      <x:c r="S2528" s="10" t="n">
        <x:f>IF(K2528&gt;0,R2528/K2528,"")</x:f>
        <x:v>0.12842105263157902</x:v>
      </x:c>
    </x:row>
    <x:row r="2529">
      <x:c r="A2529" s="7" t="n">
        <x:v>2525</x:v>
      </x:c>
      <x:c r="B2529" s="7" t="str">
        <x:v>Tata</x:v>
      </x:c>
      <x:c r="C2529" s="7" t="str">
        <x:v>Nexon</x:v>
      </x:c>
      <x:c r="D2529" s="7" t="str">
        <x:v>Smart</x:v>
      </x:c>
      <x:c r="E2529" s="7" t="str">
        <x:v>Petrol</x:v>
      </x:c>
      <x:c r="F2529" s="7" t="str">
        <x:v>Manual</x:v>
      </x:c>
      <x:c r="G2529" s="7" t="str">
        <x:v>Compact SUV</x:v>
      </x:c>
      <x:c r="H2529" s="7" t="n">
        <x:v>1199</x:v>
      </x:c>
      <x:c r="I2529" s="7" t="n">
        <x:v>118</x:v>
      </x:c>
      <x:c r="J2529" s="9" t="n">
        <x:v>17.4</x:v>
      </x:c>
      <x:c r="K2529" s="9" t="n">
        <x:v>9.5</x:v>
      </x:c>
      <x:c r="L2529" s="7" t="n">
        <x:v>2025</x:v>
      </x:c>
      <x:c r="M2529" s="11" t="n">
        <x:v>22938</x:v>
      </x:c>
      <x:c r="N2529" s="7" t="n">
        <x:v>1</x:v>
      </x:c>
      <x:c r="O2529" s="7" t="n">
        <x:v>0</x:v>
      </x:c>
      <x:c r="P2529" s="9" t="n">
        <x:v>8.87</x:v>
      </x:c>
      <x:c r="Q2529" s="7" t="n">
        <x:f>'Guide'!$B$5-L2529</x:f>
        <x:v>1</x:v>
      </x:c>
      <x:c r="R2529" s="9" t="n">
        <x:f>K2529-P2529</x:f>
        <x:v>0.6300000000000008</x:v>
      </x:c>
      <x:c r="S2529" s="10" t="n">
        <x:f>IF(K2529&gt;0,R2529/K2529,"")</x:f>
        <x:v>0.06631578947368429</x:v>
      </x:c>
    </x:row>
    <x:row r="2530">
      <x:c r="A2530" s="7" t="n">
        <x:v>2526</x:v>
      </x:c>
      <x:c r="B2530" s="7" t="str">
        <x:v>Tata</x:v>
      </x:c>
      <x:c r="C2530" s="7" t="str">
        <x:v>Nexon</x:v>
      </x:c>
      <x:c r="D2530" s="7" t="str">
        <x:v>Smart</x:v>
      </x:c>
      <x:c r="E2530" s="7" t="str">
        <x:v>Petrol</x:v>
      </x:c>
      <x:c r="F2530" s="7" t="str">
        <x:v>Manual</x:v>
      </x:c>
      <x:c r="G2530" s="7" t="str">
        <x:v>Compact SUV</x:v>
      </x:c>
      <x:c r="H2530" s="7" t="n">
        <x:v>1199</x:v>
      </x:c>
      <x:c r="I2530" s="7" t="n">
        <x:v>118</x:v>
      </x:c>
      <x:c r="J2530" s="9" t="n">
        <x:v>17.4</x:v>
      </x:c>
      <x:c r="K2530" s="9" t="n">
        <x:v>9.5</x:v>
      </x:c>
      <x:c r="L2530" s="7" t="n">
        <x:v>2025</x:v>
      </x:c>
      <x:c r="M2530" s="11" t="n">
        <x:v>20725</x:v>
      </x:c>
      <x:c r="N2530" s="7" t="n">
        <x:v>1</x:v>
      </x:c>
      <x:c r="O2530" s="7" t="n">
        <x:v>0</x:v>
      </x:c>
      <x:c r="P2530" s="9" t="n">
        <x:v>8.21</x:v>
      </x:c>
      <x:c r="Q2530" s="7" t="n">
        <x:f>'Guide'!$B$5-L2530</x:f>
        <x:v>1</x:v>
      </x:c>
      <x:c r="R2530" s="9" t="n">
        <x:f>K2530-P2530</x:f>
        <x:v>1.2899999999999991</x:v>
      </x:c>
      <x:c r="S2530" s="10" t="n">
        <x:f>IF(K2530&gt;0,R2530/K2530,"")</x:f>
        <x:v>0.13578947368421043</x:v>
      </x:c>
    </x:row>
    <x:row r="2531">
      <x:c r="A2531" s="7" t="n">
        <x:v>2527</x:v>
      </x:c>
      <x:c r="B2531" s="7" t="str">
        <x:v>Tata</x:v>
      </x:c>
      <x:c r="C2531" s="7" t="str">
        <x:v>Nexon</x:v>
      </x:c>
      <x:c r="D2531" s="7" t="str">
        <x:v>Smart</x:v>
      </x:c>
      <x:c r="E2531" s="7" t="str">
        <x:v>Petrol</x:v>
      </x:c>
      <x:c r="F2531" s="7" t="str">
        <x:v>Manual</x:v>
      </x:c>
      <x:c r="G2531" s="7" t="str">
        <x:v>Compact SUV</x:v>
      </x:c>
      <x:c r="H2531" s="7" t="n">
        <x:v>1199</x:v>
      </x:c>
      <x:c r="I2531" s="7" t="n">
        <x:v>118</x:v>
      </x:c>
      <x:c r="J2531" s="9" t="n">
        <x:v>17.4</x:v>
      </x:c>
      <x:c r="K2531" s="9" t="n">
        <x:v>9.5</x:v>
      </x:c>
      <x:c r="L2531" s="7" t="n">
        <x:v>2024</x:v>
      </x:c>
      <x:c r="M2531" s="11" t="n">
        <x:v>23937</x:v>
      </x:c>
      <x:c r="N2531" s="7" t="n">
        <x:v>1</x:v>
      </x:c>
      <x:c r="O2531" s="7" t="n">
        <x:v>0</x:v>
      </x:c>
      <x:c r="P2531" s="9" t="n">
        <x:v>7.35</x:v>
      </x:c>
      <x:c r="Q2531" s="7" t="n">
        <x:f>'Guide'!$B$5-L2531</x:f>
        <x:v>2</x:v>
      </x:c>
      <x:c r="R2531" s="9" t="n">
        <x:f>K2531-P2531</x:f>
        <x:v>2.1500000000000004</x:v>
      </x:c>
      <x:c r="S2531" s="10" t="n">
        <x:f>IF(K2531&gt;0,R2531/K2531,"")</x:f>
        <x:v>0.22631578947368425</x:v>
      </x:c>
    </x:row>
    <x:row r="2532">
      <x:c r="A2532" s="7" t="n">
        <x:v>2528</x:v>
      </x:c>
      <x:c r="B2532" s="7" t="str">
        <x:v>Tata</x:v>
      </x:c>
      <x:c r="C2532" s="7" t="str">
        <x:v>Nexon</x:v>
      </x:c>
      <x:c r="D2532" s="7" t="str">
        <x:v>Smart</x:v>
      </x:c>
      <x:c r="E2532" s="7" t="str">
        <x:v>Petrol</x:v>
      </x:c>
      <x:c r="F2532" s="7" t="str">
        <x:v>Manual</x:v>
      </x:c>
      <x:c r="G2532" s="7" t="str">
        <x:v>Compact SUV</x:v>
      </x:c>
      <x:c r="H2532" s="7" t="n">
        <x:v>1199</x:v>
      </x:c>
      <x:c r="I2532" s="7" t="n">
        <x:v>118</x:v>
      </x:c>
      <x:c r="J2532" s="9" t="n">
        <x:v>17.4</x:v>
      </x:c>
      <x:c r="K2532" s="9" t="n">
        <x:v>9.5</x:v>
      </x:c>
      <x:c r="L2532" s="7" t="n">
        <x:v>2020</x:v>
      </x:c>
      <x:c r="M2532" s="11" t="n">
        <x:v>118426</x:v>
      </x:c>
      <x:c r="N2532" s="7" t="n">
        <x:v>1</x:v>
      </x:c>
      <x:c r="O2532" s="7" t="n">
        <x:v>0</x:v>
      </x:c>
      <x:c r="P2532" s="9" t="n">
        <x:v>3.65</x:v>
      </x:c>
      <x:c r="Q2532" s="7" t="n">
        <x:f>'Guide'!$B$5-L2532</x:f>
        <x:v>6</x:v>
      </x:c>
      <x:c r="R2532" s="9" t="n">
        <x:f>K2532-P2532</x:f>
        <x:v>5.85</x:v>
      </x:c>
      <x:c r="S2532" s="10" t="n">
        <x:f>IF(K2532&gt;0,R2532/K2532,"")</x:f>
        <x:v>0.6157894736842104</x:v>
      </x:c>
    </x:row>
    <x:row r="2533">
      <x:c r="A2533" s="7" t="n">
        <x:v>2529</x:v>
      </x:c>
      <x:c r="B2533" s="7" t="str">
        <x:v>Tata</x:v>
      </x:c>
      <x:c r="C2533" s="7" t="str">
        <x:v>Nexon</x:v>
      </x:c>
      <x:c r="D2533" s="7" t="str">
        <x:v>Smart</x:v>
      </x:c>
      <x:c r="E2533" s="7" t="str">
        <x:v>Petrol</x:v>
      </x:c>
      <x:c r="F2533" s="7" t="str">
        <x:v>Manual</x:v>
      </x:c>
      <x:c r="G2533" s="7" t="str">
        <x:v>Compact SUV</x:v>
      </x:c>
      <x:c r="H2533" s="7" t="n">
        <x:v>1199</x:v>
      </x:c>
      <x:c r="I2533" s="7" t="n">
        <x:v>118</x:v>
      </x:c>
      <x:c r="J2533" s="9" t="n">
        <x:v>17.4</x:v>
      </x:c>
      <x:c r="K2533" s="9" t="n">
        <x:v>9.5</x:v>
      </x:c>
      <x:c r="L2533" s="7" t="n">
        <x:v>2025</x:v>
      </x:c>
      <x:c r="M2533" s="11" t="n">
        <x:v>22175</x:v>
      </x:c>
      <x:c r="N2533" s="7" t="n">
        <x:v>3</x:v>
      </x:c>
      <x:c r="O2533" s="7" t="n">
        <x:v>0</x:v>
      </x:c>
      <x:c r="P2533" s="9" t="n">
        <x:v>7.67</x:v>
      </x:c>
      <x:c r="Q2533" s="7" t="n">
        <x:f>'Guide'!$B$5-L2533</x:f>
        <x:v>1</x:v>
      </x:c>
      <x:c r="R2533" s="9" t="n">
        <x:f>K2533-P2533</x:f>
        <x:v>1.83</x:v>
      </x:c>
      <x:c r="S2533" s="10" t="n">
        <x:f>IF(K2533&gt;0,R2533/K2533,"")</x:f>
        <x:v>0.19263157894736843</x:v>
      </x:c>
    </x:row>
    <x:row r="2534">
      <x:c r="A2534" s="7" t="n">
        <x:v>2530</x:v>
      </x:c>
      <x:c r="B2534" s="7" t="str">
        <x:v>Tata</x:v>
      </x:c>
      <x:c r="C2534" s="7" t="str">
        <x:v>Nexon</x:v>
      </x:c>
      <x:c r="D2534" s="7" t="str">
        <x:v>Smart</x:v>
      </x:c>
      <x:c r="E2534" s="7" t="str">
        <x:v>Petrol</x:v>
      </x:c>
      <x:c r="F2534" s="7" t="str">
        <x:v>Manual</x:v>
      </x:c>
      <x:c r="G2534" s="7" t="str">
        <x:v>Compact SUV</x:v>
      </x:c>
      <x:c r="H2534" s="7" t="n">
        <x:v>1199</x:v>
      </x:c>
      <x:c r="I2534" s="7" t="n">
        <x:v>118</x:v>
      </x:c>
      <x:c r="J2534" s="9" t="n">
        <x:v>17.4</x:v>
      </x:c>
      <x:c r="K2534" s="9" t="n">
        <x:v>9.5</x:v>
      </x:c>
      <x:c r="L2534" s="7" t="n">
        <x:v>2021</x:v>
      </x:c>
      <x:c r="M2534" s="11" t="n">
        <x:v>56668</x:v>
      </x:c>
      <x:c r="N2534" s="7" t="n">
        <x:v>1</x:v>
      </x:c>
      <x:c r="O2534" s="7" t="n">
        <x:v>0</x:v>
      </x:c>
      <x:c r="P2534" s="9" t="n">
        <x:v>5.23</x:v>
      </x:c>
      <x:c r="Q2534" s="7" t="n">
        <x:f>'Guide'!$B$5-L2534</x:f>
        <x:v>5</x:v>
      </x:c>
      <x:c r="R2534" s="9" t="n">
        <x:f>K2534-P2534</x:f>
        <x:v>4.27</x:v>
      </x:c>
      <x:c r="S2534" s="10" t="n">
        <x:f>IF(K2534&gt;0,R2534/K2534,"")</x:f>
        <x:v>0.44947368421052625</x:v>
      </x:c>
    </x:row>
    <x:row r="2535">
      <x:c r="A2535" s="7" t="n">
        <x:v>2531</x:v>
      </x:c>
      <x:c r="B2535" s="7" t="str">
        <x:v>Tata</x:v>
      </x:c>
      <x:c r="C2535" s="7" t="str">
        <x:v>Nexon</x:v>
      </x:c>
      <x:c r="D2535" s="7" t="str">
        <x:v>Smart</x:v>
      </x:c>
      <x:c r="E2535" s="7" t="str">
        <x:v>Petrol</x:v>
      </x:c>
      <x:c r="F2535" s="7" t="str">
        <x:v>Manual</x:v>
      </x:c>
      <x:c r="G2535" s="7" t="str">
        <x:v>Compact SUV</x:v>
      </x:c>
      <x:c r="H2535" s="7" t="n">
        <x:v>1199</x:v>
      </x:c>
      <x:c r="I2535" s="7" t="n">
        <x:v>118</x:v>
      </x:c>
      <x:c r="J2535" s="9" t="n">
        <x:v>17.4</x:v>
      </x:c>
      <x:c r="K2535" s="9" t="n">
        <x:v>9.5</x:v>
      </x:c>
      <x:c r="L2535" s="7" t="n">
        <x:v>2022</x:v>
      </x:c>
      <x:c r="M2535" s="11" t="n">
        <x:v>47944</x:v>
      </x:c>
      <x:c r="N2535" s="7" t="n">
        <x:v>2</x:v>
      </x:c>
      <x:c r="O2535" s="7" t="n">
        <x:v>0</x:v>
      </x:c>
      <x:c r="P2535" s="9" t="n">
        <x:v>5.63</x:v>
      </x:c>
      <x:c r="Q2535" s="7" t="n">
        <x:f>'Guide'!$B$5-L2535</x:f>
        <x:v>4</x:v>
      </x:c>
      <x:c r="R2535" s="9" t="n">
        <x:f>K2535-P2535</x:f>
        <x:v>3.87</x:v>
      </x:c>
      <x:c r="S2535" s="10" t="n">
        <x:f>IF(K2535&gt;0,R2535/K2535,"")</x:f>
        <x:v>0.4073684210526316</x:v>
      </x:c>
    </x:row>
    <x:row r="2536">
      <x:c r="A2536" s="7" t="n">
        <x:v>2532</x:v>
      </x:c>
      <x:c r="B2536" s="7" t="str">
        <x:v>Tata</x:v>
      </x:c>
      <x:c r="C2536" s="7" t="str">
        <x:v>Nexon</x:v>
      </x:c>
      <x:c r="D2536" s="7" t="str">
        <x:v>Smart</x:v>
      </x:c>
      <x:c r="E2536" s="7" t="str">
        <x:v>Petrol</x:v>
      </x:c>
      <x:c r="F2536" s="7" t="str">
        <x:v>Manual</x:v>
      </x:c>
      <x:c r="G2536" s="7" t="str">
        <x:v>Compact SUV</x:v>
      </x:c>
      <x:c r="H2536" s="7" t="n">
        <x:v>1199</x:v>
      </x:c>
      <x:c r="I2536" s="7" t="n">
        <x:v>118</x:v>
      </x:c>
      <x:c r="J2536" s="9" t="n">
        <x:v>17.4</x:v>
      </x:c>
      <x:c r="K2536" s="9" t="n">
        <x:v>9.5</x:v>
      </x:c>
      <x:c r="L2536" s="7" t="n">
        <x:v>2024</x:v>
      </x:c>
      <x:c r="M2536" s="11" t="n">
        <x:v>39711</x:v>
      </x:c>
      <x:c r="N2536" s="7" t="n">
        <x:v>1</x:v>
      </x:c>
      <x:c r="O2536" s="7" t="n">
        <x:v>0</x:v>
      </x:c>
      <x:c r="P2536" s="9" t="n">
        <x:v>7.25</x:v>
      </x:c>
      <x:c r="Q2536" s="7" t="n">
        <x:f>'Guide'!$B$5-L2536</x:f>
        <x:v>2</x:v>
      </x:c>
      <x:c r="R2536" s="9" t="n">
        <x:f>K2536-P2536</x:f>
        <x:v>2.25</x:v>
      </x:c>
      <x:c r="S2536" s="10" t="n">
        <x:f>IF(K2536&gt;0,R2536/K2536,"")</x:f>
        <x:v>0.23684210526315788</x:v>
      </x:c>
    </x:row>
    <x:row r="2537">
      <x:c r="A2537" s="7" t="n">
        <x:v>2533</x:v>
      </x:c>
      <x:c r="B2537" s="7" t="str">
        <x:v>Tata</x:v>
      </x:c>
      <x:c r="C2537" s="7" t="str">
        <x:v>Nexon</x:v>
      </x:c>
      <x:c r="D2537" s="7" t="str">
        <x:v>Smart</x:v>
      </x:c>
      <x:c r="E2537" s="7" t="str">
        <x:v>Petrol</x:v>
      </x:c>
      <x:c r="F2537" s="7" t="str">
        <x:v>Manual</x:v>
      </x:c>
      <x:c r="G2537" s="7" t="str">
        <x:v>Compact SUV</x:v>
      </x:c>
      <x:c r="H2537" s="7" t="n">
        <x:v>1199</x:v>
      </x:c>
      <x:c r="I2537" s="7" t="n">
        <x:v>118</x:v>
      </x:c>
      <x:c r="J2537" s="9" t="n">
        <x:v>17.4</x:v>
      </x:c>
      <x:c r="K2537" s="9" t="n">
        <x:v>9.5</x:v>
      </x:c>
      <x:c r="L2537" s="7" t="n">
        <x:v>2021</x:v>
      </x:c>
      <x:c r="M2537" s="11" t="n">
        <x:v>87753</x:v>
      </x:c>
      <x:c r="N2537" s="7" t="n">
        <x:v>3</x:v>
      </x:c>
      <x:c r="O2537" s="7" t="n">
        <x:v>0</x:v>
      </x:c>
      <x:c r="P2537" s="9" t="n">
        <x:v>4.02</x:v>
      </x:c>
      <x:c r="Q2537" s="7" t="n">
        <x:f>'Guide'!$B$5-L2537</x:f>
        <x:v>5</x:v>
      </x:c>
      <x:c r="R2537" s="9" t="n">
        <x:f>K2537-P2537</x:f>
        <x:v>5.48</x:v>
      </x:c>
      <x:c r="S2537" s="10" t="n">
        <x:f>IF(K2537&gt;0,R2537/K2537,"")</x:f>
        <x:v>0.5768421052631579</x:v>
      </x:c>
    </x:row>
    <x:row r="2538">
      <x:c r="A2538" s="7" t="n">
        <x:v>2534</x:v>
      </x:c>
      <x:c r="B2538" s="7" t="str">
        <x:v>Tata</x:v>
      </x:c>
      <x:c r="C2538" s="7" t="str">
        <x:v>Nexon</x:v>
      </x:c>
      <x:c r="D2538" s="7" t="str">
        <x:v>Smart</x:v>
      </x:c>
      <x:c r="E2538" s="7" t="str">
        <x:v>Petrol</x:v>
      </x:c>
      <x:c r="F2538" s="7" t="str">
        <x:v>Manual</x:v>
      </x:c>
      <x:c r="G2538" s="7" t="str">
        <x:v>Compact SUV</x:v>
      </x:c>
      <x:c r="H2538" s="7" t="n">
        <x:v>1199</x:v>
      </x:c>
      <x:c r="I2538" s="7" t="n">
        <x:v>118</x:v>
      </x:c>
      <x:c r="J2538" s="9" t="n">
        <x:v>17.4</x:v>
      </x:c>
      <x:c r="K2538" s="9" t="n">
        <x:v>9.5</x:v>
      </x:c>
      <x:c r="L2538" s="7" t="n">
        <x:v>2021</x:v>
      </x:c>
      <x:c r="M2538" s="11" t="n">
        <x:v>103129</x:v>
      </x:c>
      <x:c r="N2538" s="7" t="n">
        <x:v>1</x:v>
      </x:c>
      <x:c r="O2538" s="7" t="n">
        <x:v>0</x:v>
      </x:c>
      <x:c r="P2538" s="9" t="n">
        <x:v>4.47</x:v>
      </x:c>
      <x:c r="Q2538" s="7" t="n">
        <x:f>'Guide'!$B$5-L2538</x:f>
        <x:v>5</x:v>
      </x:c>
      <x:c r="R2538" s="9" t="n">
        <x:f>K2538-P2538</x:f>
        <x:v>5.03</x:v>
      </x:c>
      <x:c r="S2538" s="10" t="n">
        <x:f>IF(K2538&gt;0,R2538/K2538,"")</x:f>
        <x:v>0.5294736842105263</x:v>
      </x:c>
    </x:row>
    <x:row r="2539">
      <x:c r="A2539" s="7" t="n">
        <x:v>2535</x:v>
      </x:c>
      <x:c r="B2539" s="7" t="str">
        <x:v>Tata</x:v>
      </x:c>
      <x:c r="C2539" s="7" t="str">
        <x:v>Nexon</x:v>
      </x:c>
      <x:c r="D2539" s="7" t="str">
        <x:v>Smart</x:v>
      </x:c>
      <x:c r="E2539" s="7" t="str">
        <x:v>Petrol</x:v>
      </x:c>
      <x:c r="F2539" s="7" t="str">
        <x:v>Manual</x:v>
      </x:c>
      <x:c r="G2539" s="7" t="str">
        <x:v>Compact SUV</x:v>
      </x:c>
      <x:c r="H2539" s="7" t="n">
        <x:v>1199</x:v>
      </x:c>
      <x:c r="I2539" s="7" t="n">
        <x:v>118</x:v>
      </x:c>
      <x:c r="J2539" s="9" t="n">
        <x:v>17.4</x:v>
      </x:c>
      <x:c r="K2539" s="9" t="n">
        <x:v>9.5</x:v>
      </x:c>
      <x:c r="L2539" s="7" t="n">
        <x:v>2020</x:v>
      </x:c>
      <x:c r="M2539" s="11" t="n">
        <x:v>105040</x:v>
      </x:c>
      <x:c r="N2539" s="7" t="n">
        <x:v>1</x:v>
      </x:c>
      <x:c r="O2539" s="7" t="n">
        <x:v>0</x:v>
      </x:c>
      <x:c r="P2539" s="9" t="n">
        <x:v>3.73</x:v>
      </x:c>
      <x:c r="Q2539" s="7" t="n">
        <x:f>'Guide'!$B$5-L2539</x:f>
        <x:v>6</x:v>
      </x:c>
      <x:c r="R2539" s="9" t="n">
        <x:f>K2539-P2539</x:f>
        <x:v>5.77</x:v>
      </x:c>
      <x:c r="S2539" s="10" t="n">
        <x:f>IF(K2539&gt;0,R2539/K2539,"")</x:f>
        <x:v>0.6073684210526316</x:v>
      </x:c>
    </x:row>
    <x:row r="2540">
      <x:c r="A2540" s="7" t="n">
        <x:v>2536</x:v>
      </x:c>
      <x:c r="B2540" s="7" t="str">
        <x:v>Tata</x:v>
      </x:c>
      <x:c r="C2540" s="7" t="str">
        <x:v>Nexon</x:v>
      </x:c>
      <x:c r="D2540" s="7" t="str">
        <x:v>Smart</x:v>
      </x:c>
      <x:c r="E2540" s="7" t="str">
        <x:v>Petrol</x:v>
      </x:c>
      <x:c r="F2540" s="7" t="str">
        <x:v>Manual</x:v>
      </x:c>
      <x:c r="G2540" s="7" t="str">
        <x:v>Compact SUV</x:v>
      </x:c>
      <x:c r="H2540" s="7" t="n">
        <x:v>1199</x:v>
      </x:c>
      <x:c r="I2540" s="7" t="n">
        <x:v>118</x:v>
      </x:c>
      <x:c r="J2540" s="9" t="n">
        <x:v>17.4</x:v>
      </x:c>
      <x:c r="K2540" s="9" t="n">
        <x:v>9.5</x:v>
      </x:c>
      <x:c r="L2540" s="7" t="n">
        <x:v>2021</x:v>
      </x:c>
      <x:c r="M2540" s="11" t="n">
        <x:v>75930</x:v>
      </x:c>
      <x:c r="N2540" s="7" t="n">
        <x:v>3</x:v>
      </x:c>
      <x:c r="O2540" s="7" t="n">
        <x:v>0</x:v>
      </x:c>
      <x:c r="P2540" s="9" t="n">
        <x:v>3.77</x:v>
      </x:c>
      <x:c r="Q2540" s="7" t="n">
        <x:f>'Guide'!$B$5-L2540</x:f>
        <x:v>5</x:v>
      </x:c>
      <x:c r="R2540" s="9" t="n">
        <x:f>K2540-P2540</x:f>
        <x:v>5.73</x:v>
      </x:c>
      <x:c r="S2540" s="10" t="n">
        <x:f>IF(K2540&gt;0,R2540/K2540,"")</x:f>
        <x:v>0.6031578947368421</x:v>
      </x:c>
    </x:row>
    <x:row r="2541">
      <x:c r="A2541" s="7" t="n">
        <x:v>2537</x:v>
      </x:c>
      <x:c r="B2541" s="7" t="str">
        <x:v>Tata</x:v>
      </x:c>
      <x:c r="C2541" s="7" t="str">
        <x:v>Nexon</x:v>
      </x:c>
      <x:c r="D2541" s="7" t="str">
        <x:v>Smart</x:v>
      </x:c>
      <x:c r="E2541" s="7" t="str">
        <x:v>Petrol</x:v>
      </x:c>
      <x:c r="F2541" s="7" t="str">
        <x:v>Manual</x:v>
      </x:c>
      <x:c r="G2541" s="7" t="str">
        <x:v>Compact SUV</x:v>
      </x:c>
      <x:c r="H2541" s="7" t="n">
        <x:v>1199</x:v>
      </x:c>
      <x:c r="I2541" s="7" t="n">
        <x:v>118</x:v>
      </x:c>
      <x:c r="J2541" s="9" t="n">
        <x:v>17.4</x:v>
      </x:c>
      <x:c r="K2541" s="9" t="n">
        <x:v>9.5</x:v>
      </x:c>
      <x:c r="L2541" s="7" t="n">
        <x:v>2024</x:v>
      </x:c>
      <x:c r="M2541" s="11" t="n">
        <x:v>26268</x:v>
      </x:c>
      <x:c r="N2541" s="7" t="n">
        <x:v>1</x:v>
      </x:c>
      <x:c r="O2541" s="7" t="n">
        <x:v>0</x:v>
      </x:c>
      <x:c r="P2541" s="9" t="n">
        <x:v>7.64</x:v>
      </x:c>
      <x:c r="Q2541" s="7" t="n">
        <x:f>'Guide'!$B$5-L2541</x:f>
        <x:v>2</x:v>
      </x:c>
      <x:c r="R2541" s="9" t="n">
        <x:f>K2541-P2541</x:f>
        <x:v>1.8600000000000003</x:v>
      </x:c>
      <x:c r="S2541" s="10" t="n">
        <x:f>IF(K2541&gt;0,R2541/K2541,"")</x:f>
        <x:v>0.19578947368421057</x:v>
      </x:c>
    </x:row>
    <x:row r="2542">
      <x:c r="A2542" s="7" t="n">
        <x:v>2538</x:v>
      </x:c>
      <x:c r="B2542" s="7" t="str">
        <x:v>Tata</x:v>
      </x:c>
      <x:c r="C2542" s="7" t="str">
        <x:v>Nexon</x:v>
      </x:c>
      <x:c r="D2542" s="7" t="str">
        <x:v>Smart</x:v>
      </x:c>
      <x:c r="E2542" s="7" t="str">
        <x:v>Petrol</x:v>
      </x:c>
      <x:c r="F2542" s="7" t="str">
        <x:v>Manual</x:v>
      </x:c>
      <x:c r="G2542" s="7" t="str">
        <x:v>Compact SUV</x:v>
      </x:c>
      <x:c r="H2542" s="7" t="n">
        <x:v>1199</x:v>
      </x:c>
      <x:c r="I2542" s="7" t="n">
        <x:v>118</x:v>
      </x:c>
      <x:c r="J2542" s="9" t="n">
        <x:v>17.4</x:v>
      </x:c>
      <x:c r="K2542" s="9" t="n">
        <x:v>9.5</x:v>
      </x:c>
      <x:c r="L2542" s="7" t="n">
        <x:v>2022</x:v>
      </x:c>
      <x:c r="M2542" s="11" t="n">
        <x:v>49070</x:v>
      </x:c>
      <x:c r="N2542" s="7" t="n">
        <x:v>1</x:v>
      </x:c>
      <x:c r="O2542" s="7" t="n">
        <x:v>0</x:v>
      </x:c>
      <x:c r="P2542" s="9" t="n">
        <x:v>5.86</x:v>
      </x:c>
      <x:c r="Q2542" s="7" t="n">
        <x:f>'Guide'!$B$5-L2542</x:f>
        <x:v>4</x:v>
      </x:c>
      <x:c r="R2542" s="9" t="n">
        <x:f>K2542-P2542</x:f>
        <x:v>3.6399999999999997</x:v>
      </x:c>
      <x:c r="S2542" s="10" t="n">
        <x:f>IF(K2542&gt;0,R2542/K2542,"")</x:f>
        <x:v>0.3831578947368421</x:v>
      </x:c>
    </x:row>
    <x:row r="2543">
      <x:c r="A2543" s="7" t="n">
        <x:v>2539</x:v>
      </x:c>
      <x:c r="B2543" s="7" t="str">
        <x:v>Tata</x:v>
      </x:c>
      <x:c r="C2543" s="7" t="str">
        <x:v>Nexon</x:v>
      </x:c>
      <x:c r="D2543" s="7" t="str">
        <x:v>Smart</x:v>
      </x:c>
      <x:c r="E2543" s="7" t="str">
        <x:v>Petrol</x:v>
      </x:c>
      <x:c r="F2543" s="7" t="str">
        <x:v>Manual</x:v>
      </x:c>
      <x:c r="G2543" s="7" t="str">
        <x:v>Compact SUV</x:v>
      </x:c>
      <x:c r="H2543" s="7" t="n">
        <x:v>1199</x:v>
      </x:c>
      <x:c r="I2543" s="7" t="n">
        <x:v>118</x:v>
      </x:c>
      <x:c r="J2543" s="9" t="n">
        <x:v>17.4</x:v>
      </x:c>
      <x:c r="K2543" s="9" t="n">
        <x:v>9.5</x:v>
      </x:c>
      <x:c r="L2543" s="7" t="n">
        <x:v>2024</x:v>
      </x:c>
      <x:c r="M2543" s="11" t="n">
        <x:v>46029</x:v>
      </x:c>
      <x:c r="N2543" s="7" t="n">
        <x:v>1</x:v>
      </x:c>
      <x:c r="O2543" s="7" t="n">
        <x:v>0</x:v>
      </x:c>
      <x:c r="P2543" s="9" t="n">
        <x:v>7.83</x:v>
      </x:c>
      <x:c r="Q2543" s="7" t="n">
        <x:f>'Guide'!$B$5-L2543</x:f>
        <x:v>2</x:v>
      </x:c>
      <x:c r="R2543" s="9" t="n">
        <x:f>K2543-P2543</x:f>
        <x:v>1.67</x:v>
      </x:c>
      <x:c r="S2543" s="10" t="n">
        <x:f>IF(K2543&gt;0,R2543/K2543,"")</x:f>
        <x:v>0.17578947368421052</x:v>
      </x:c>
    </x:row>
    <x:row r="2544">
      <x:c r="A2544" s="7" t="n">
        <x:v>2540</x:v>
      </x:c>
      <x:c r="B2544" s="7" t="str">
        <x:v>Tata</x:v>
      </x:c>
      <x:c r="C2544" s="7" t="str">
        <x:v>Nexon</x:v>
      </x:c>
      <x:c r="D2544" s="7" t="str">
        <x:v>Smart</x:v>
      </x:c>
      <x:c r="E2544" s="7" t="str">
        <x:v>Petrol</x:v>
      </x:c>
      <x:c r="F2544" s="7" t="str">
        <x:v>Manual</x:v>
      </x:c>
      <x:c r="G2544" s="7" t="str">
        <x:v>Compact SUV</x:v>
      </x:c>
      <x:c r="H2544" s="7" t="n">
        <x:v>1199</x:v>
      </x:c>
      <x:c r="I2544" s="7" t="n">
        <x:v>118</x:v>
      </x:c>
      <x:c r="J2544" s="9" t="n">
        <x:v>17.4</x:v>
      </x:c>
      <x:c r="K2544" s="9" t="n">
        <x:v>9.5</x:v>
      </x:c>
      <x:c r="L2544" s="7" t="n">
        <x:v>2026</x:v>
      </x:c>
      <x:c r="M2544" s="11" t="n">
        <x:v>4244</x:v>
      </x:c>
      <x:c r="N2544" s="7" t="n">
        <x:v>1</x:v>
      </x:c>
      <x:c r="O2544" s="7" t="n">
        <x:v>0</x:v>
      </x:c>
      <x:c r="P2544" s="9" t="n">
        <x:v>9.63</x:v>
      </x:c>
      <x:c r="Q2544" s="7" t="n">
        <x:f>'Guide'!$B$5-L2544</x:f>
        <x:v>0</x:v>
      </x:c>
      <x:c r="R2544" s="9" t="n">
        <x:f>K2544-P2544</x:f>
        <x:v>-0.13000000000000078</x:v>
      </x:c>
      <x:c r="S2544" s="10" t="n">
        <x:f>IF(K2544&gt;0,R2544/K2544,"")</x:f>
        <x:v>-0.013684210526315872</x:v>
      </x:c>
    </x:row>
    <x:row r="2545">
      <x:c r="A2545" s="7" t="n">
        <x:v>2541</x:v>
      </x:c>
      <x:c r="B2545" s="7" t="str">
        <x:v>Tata</x:v>
      </x:c>
      <x:c r="C2545" s="7" t="str">
        <x:v>Nexon</x:v>
      </x:c>
      <x:c r="D2545" s="7" t="str">
        <x:v>Smart</x:v>
      </x:c>
      <x:c r="E2545" s="7" t="str">
        <x:v>Petrol</x:v>
      </x:c>
      <x:c r="F2545" s="7" t="str">
        <x:v>Manual</x:v>
      </x:c>
      <x:c r="G2545" s="7" t="str">
        <x:v>Compact SUV</x:v>
      </x:c>
      <x:c r="H2545" s="7" t="n">
        <x:v>1199</x:v>
      </x:c>
      <x:c r="I2545" s="7" t="n">
        <x:v>118</x:v>
      </x:c>
      <x:c r="J2545" s="9" t="n">
        <x:v>17.4</x:v>
      </x:c>
      <x:c r="K2545" s="9" t="n">
        <x:v>9.5</x:v>
      </x:c>
      <x:c r="L2545" s="7" t="n">
        <x:v>2024</x:v>
      </x:c>
      <x:c r="M2545" s="11" t="n">
        <x:v>30313</x:v>
      </x:c>
      <x:c r="N2545" s="7" t="n">
        <x:v>2</x:v>
      </x:c>
      <x:c r="O2545" s="7" t="n">
        <x:v>0</x:v>
      </x:c>
      <x:c r="P2545" s="9" t="n">
        <x:v>6.95</x:v>
      </x:c>
      <x:c r="Q2545" s="7" t="n">
        <x:f>'Guide'!$B$5-L2545</x:f>
        <x:v>2</x:v>
      </x:c>
      <x:c r="R2545" s="9" t="n">
        <x:f>K2545-P2545</x:f>
        <x:v>2.55</x:v>
      </x:c>
      <x:c r="S2545" s="10" t="n">
        <x:f>IF(K2545&gt;0,R2545/K2545,"")</x:f>
        <x:v>0.26842105263157895</x:v>
      </x:c>
    </x:row>
    <x:row r="2546">
      <x:c r="A2546" s="7" t="n">
        <x:v>2542</x:v>
      </x:c>
      <x:c r="B2546" s="7" t="str">
        <x:v>Tata</x:v>
      </x:c>
      <x:c r="C2546" s="7" t="str">
        <x:v>Nexon</x:v>
      </x:c>
      <x:c r="D2546" s="7" t="str">
        <x:v>Smart</x:v>
      </x:c>
      <x:c r="E2546" s="7" t="str">
        <x:v>Petrol</x:v>
      </x:c>
      <x:c r="F2546" s="7" t="str">
        <x:v>Manual</x:v>
      </x:c>
      <x:c r="G2546" s="7" t="str">
        <x:v>Compact SUV</x:v>
      </x:c>
      <x:c r="H2546" s="7" t="n">
        <x:v>1199</x:v>
      </x:c>
      <x:c r="I2546" s="7" t="n">
        <x:v>118</x:v>
      </x:c>
      <x:c r="J2546" s="9" t="n">
        <x:v>17.4</x:v>
      </x:c>
      <x:c r="K2546" s="9" t="n">
        <x:v>9.5</x:v>
      </x:c>
      <x:c r="L2546" s="7" t="n">
        <x:v>2024</x:v>
      </x:c>
      <x:c r="M2546" s="11" t="n">
        <x:v>40992</x:v>
      </x:c>
      <x:c r="N2546" s="7" t="n">
        <x:v>1</x:v>
      </x:c>
      <x:c r="O2546" s="7" t="n">
        <x:v>0</x:v>
      </x:c>
      <x:c r="P2546" s="9" t="n">
        <x:v>7.58</x:v>
      </x:c>
      <x:c r="Q2546" s="7" t="n">
        <x:f>'Guide'!$B$5-L2546</x:f>
        <x:v>2</x:v>
      </x:c>
      <x:c r="R2546" s="9" t="n">
        <x:f>K2546-P2546</x:f>
        <x:v>1.92</x:v>
      </x:c>
      <x:c r="S2546" s="10" t="n">
        <x:f>IF(K2546&gt;0,R2546/K2546,"")</x:f>
        <x:v>0.20210526315789473</x:v>
      </x:c>
    </x:row>
    <x:row r="2547">
      <x:c r="A2547" s="7" t="n">
        <x:v>2543</x:v>
      </x:c>
      <x:c r="B2547" s="7" t="str">
        <x:v>Tata</x:v>
      </x:c>
      <x:c r="C2547" s="7" t="str">
        <x:v>Nexon</x:v>
      </x:c>
      <x:c r="D2547" s="7" t="str">
        <x:v>Smart</x:v>
      </x:c>
      <x:c r="E2547" s="7" t="str">
        <x:v>Petrol</x:v>
      </x:c>
      <x:c r="F2547" s="7" t="str">
        <x:v>Manual</x:v>
      </x:c>
      <x:c r="G2547" s="7" t="str">
        <x:v>Compact SUV</x:v>
      </x:c>
      <x:c r="H2547" s="7" t="n">
        <x:v>1199</x:v>
      </x:c>
      <x:c r="I2547" s="7" t="n">
        <x:v>118</x:v>
      </x:c>
      <x:c r="J2547" s="9" t="n">
        <x:v>17.4</x:v>
      </x:c>
      <x:c r="K2547" s="9" t="n">
        <x:v>9.5</x:v>
      </x:c>
      <x:c r="L2547" s="7" t="n">
        <x:v>2021</x:v>
      </x:c>
      <x:c r="M2547" s="11" t="n">
        <x:v>57279</x:v>
      </x:c>
      <x:c r="N2547" s="7" t="n">
        <x:v>1</x:v>
      </x:c>
      <x:c r="O2547" s="7" t="n">
        <x:v>0</x:v>
      </x:c>
      <x:c r="P2547" s="9" t="n">
        <x:v>5.25</x:v>
      </x:c>
      <x:c r="Q2547" s="7" t="n">
        <x:f>'Guide'!$B$5-L2547</x:f>
        <x:v>5</x:v>
      </x:c>
      <x:c r="R2547" s="9" t="n">
        <x:f>K2547-P2547</x:f>
        <x:v>4.25</x:v>
      </x:c>
      <x:c r="S2547" s="10" t="n">
        <x:f>IF(K2547&gt;0,R2547/K2547,"")</x:f>
        <x:v>0.4473684210526316</x:v>
      </x:c>
    </x:row>
    <x:row r="2548">
      <x:c r="A2548" s="7" t="n">
        <x:v>2544</x:v>
      </x:c>
      <x:c r="B2548" s="7" t="str">
        <x:v>Tata</x:v>
      </x:c>
      <x:c r="C2548" s="7" t="str">
        <x:v>Nexon</x:v>
      </x:c>
      <x:c r="D2548" s="7" t="str">
        <x:v>Smart</x:v>
      </x:c>
      <x:c r="E2548" s="7" t="str">
        <x:v>Petrol</x:v>
      </x:c>
      <x:c r="F2548" s="7" t="str">
        <x:v>Manual</x:v>
      </x:c>
      <x:c r="G2548" s="7" t="str">
        <x:v>Compact SUV</x:v>
      </x:c>
      <x:c r="H2548" s="7" t="n">
        <x:v>1199</x:v>
      </x:c>
      <x:c r="I2548" s="7" t="n">
        <x:v>118</x:v>
      </x:c>
      <x:c r="J2548" s="9" t="n">
        <x:v>17.4</x:v>
      </x:c>
      <x:c r="K2548" s="9" t="n">
        <x:v>9.5</x:v>
      </x:c>
      <x:c r="L2548" s="7" t="n">
        <x:v>2023</x:v>
      </x:c>
      <x:c r="M2548" s="11" t="n">
        <x:v>39654</x:v>
      </x:c>
      <x:c r="N2548" s="7" t="n">
        <x:v>1</x:v>
      </x:c>
      <x:c r="O2548" s="7" t="n">
        <x:v>0</x:v>
      </x:c>
      <x:c r="P2548" s="9" t="n">
        <x:v>6.69</x:v>
      </x:c>
      <x:c r="Q2548" s="7" t="n">
        <x:f>'Guide'!$B$5-L2548</x:f>
        <x:v>3</x:v>
      </x:c>
      <x:c r="R2548" s="9" t="n">
        <x:f>K2548-P2548</x:f>
        <x:v>2.8099999999999996</x:v>
      </x:c>
      <x:c r="S2548" s="10" t="n">
        <x:f>IF(K2548&gt;0,R2548/K2548,"")</x:f>
        <x:v>0.2957894736842105</x:v>
      </x:c>
    </x:row>
    <x:row r="2549">
      <x:c r="A2549" s="7" t="n">
        <x:v>2545</x:v>
      </x:c>
      <x:c r="B2549" s="7" t="str">
        <x:v>Tata</x:v>
      </x:c>
      <x:c r="C2549" s="7" t="str">
        <x:v>Nexon</x:v>
      </x:c>
      <x:c r="D2549" s="7" t="str">
        <x:v>Smart</x:v>
      </x:c>
      <x:c r="E2549" s="7" t="str">
        <x:v>Petrol</x:v>
      </x:c>
      <x:c r="F2549" s="7" t="str">
        <x:v>Manual</x:v>
      </x:c>
      <x:c r="G2549" s="7" t="str">
        <x:v>Compact SUV</x:v>
      </x:c>
      <x:c r="H2549" s="7" t="n">
        <x:v>1199</x:v>
      </x:c>
      <x:c r="I2549" s="7" t="n">
        <x:v>118</x:v>
      </x:c>
      <x:c r="J2549" s="9" t="n">
        <x:v>17.4</x:v>
      </x:c>
      <x:c r="K2549" s="9" t="n">
        <x:v>9.5</x:v>
      </x:c>
      <x:c r="L2549" s="7" t="n">
        <x:v>2020</x:v>
      </x:c>
      <x:c r="M2549" s="11" t="n">
        <x:v>87517</x:v>
      </x:c>
      <x:c r="N2549" s="7" t="n">
        <x:v>1</x:v>
      </x:c>
      <x:c r="O2549" s="7" t="n">
        <x:v>0</x:v>
      </x:c>
      <x:c r="P2549" s="9" t="n">
        <x:v>4.15</x:v>
      </x:c>
      <x:c r="Q2549" s="7" t="n">
        <x:f>'Guide'!$B$5-L2549</x:f>
        <x:v>6</x:v>
      </x:c>
      <x:c r="R2549" s="9" t="n">
        <x:f>K2549-P2549</x:f>
        <x:v>5.35</x:v>
      </x:c>
      <x:c r="S2549" s="10" t="n">
        <x:f>IF(K2549&gt;0,R2549/K2549,"")</x:f>
        <x:v>0.5631578947368421</x:v>
      </x:c>
    </x:row>
    <x:row r="2550">
      <x:c r="A2550" s="7" t="n">
        <x:v>2546</x:v>
      </x:c>
      <x:c r="B2550" s="7" t="str">
        <x:v>Tata</x:v>
      </x:c>
      <x:c r="C2550" s="7" t="str">
        <x:v>Nexon</x:v>
      </x:c>
      <x:c r="D2550" s="7" t="str">
        <x:v>Smart</x:v>
      </x:c>
      <x:c r="E2550" s="7" t="str">
        <x:v>Petrol</x:v>
      </x:c>
      <x:c r="F2550" s="7" t="str">
        <x:v>Manual</x:v>
      </x:c>
      <x:c r="G2550" s="7" t="str">
        <x:v>Compact SUV</x:v>
      </x:c>
      <x:c r="H2550" s="7" t="n">
        <x:v>1199</x:v>
      </x:c>
      <x:c r="I2550" s="7" t="n">
        <x:v>118</x:v>
      </x:c>
      <x:c r="J2550" s="9" t="n">
        <x:v>17.4</x:v>
      </x:c>
      <x:c r="K2550" s="9" t="n">
        <x:v>9.5</x:v>
      </x:c>
      <x:c r="L2550" s="7" t="n">
        <x:v>2022</x:v>
      </x:c>
      <x:c r="M2550" s="11" t="n">
        <x:v>71253</x:v>
      </x:c>
      <x:c r="N2550" s="7" t="n">
        <x:v>2</x:v>
      </x:c>
      <x:c r="O2550" s="7" t="n">
        <x:v>0</x:v>
      </x:c>
      <x:c r="P2550" s="9" t="n">
        <x:v>4.88</x:v>
      </x:c>
      <x:c r="Q2550" s="7" t="n">
        <x:f>'Guide'!$B$5-L2550</x:f>
        <x:v>4</x:v>
      </x:c>
      <x:c r="R2550" s="9" t="n">
        <x:f>K2550-P2550</x:f>
        <x:v>4.62</x:v>
      </x:c>
      <x:c r="S2550" s="10" t="n">
        <x:f>IF(K2550&gt;0,R2550/K2550,"")</x:f>
        <x:v>0.4863157894736842</x:v>
      </x:c>
    </x:row>
    <x:row r="2551">
      <x:c r="A2551" s="7" t="n">
        <x:v>2547</x:v>
      </x:c>
      <x:c r="B2551" s="7" t="str">
        <x:v>Tata</x:v>
      </x:c>
      <x:c r="C2551" s="7" t="str">
        <x:v>Nexon</x:v>
      </x:c>
      <x:c r="D2551" s="7" t="str">
        <x:v>Smart</x:v>
      </x:c>
      <x:c r="E2551" s="7" t="str">
        <x:v>Petrol</x:v>
      </x:c>
      <x:c r="F2551" s="7" t="str">
        <x:v>Manual</x:v>
      </x:c>
      <x:c r="G2551" s="7" t="str">
        <x:v>Compact SUV</x:v>
      </x:c>
      <x:c r="H2551" s="7" t="n">
        <x:v>1199</x:v>
      </x:c>
      <x:c r="I2551" s="7" t="n">
        <x:v>118</x:v>
      </x:c>
      <x:c r="J2551" s="9" t="n">
        <x:v>17.4</x:v>
      </x:c>
      <x:c r="K2551" s="9" t="n">
        <x:v>9.5</x:v>
      </x:c>
      <x:c r="L2551" s="7" t="n">
        <x:v>2024</x:v>
      </x:c>
      <x:c r="M2551" s="11" t="n">
        <x:v>28324</x:v>
      </x:c>
      <x:c r="N2551" s="7" t="n">
        <x:v>1</x:v>
      </x:c>
      <x:c r="O2551" s="7" t="n">
        <x:v>0</x:v>
      </x:c>
      <x:c r="P2551" s="9" t="n">
        <x:v>7.63</x:v>
      </x:c>
      <x:c r="Q2551" s="7" t="n">
        <x:f>'Guide'!$B$5-L2551</x:f>
        <x:v>2</x:v>
      </x:c>
      <x:c r="R2551" s="9" t="n">
        <x:f>K2551-P2551</x:f>
        <x:v>1.87</x:v>
      </x:c>
      <x:c r="S2551" s="10" t="n">
        <x:f>IF(K2551&gt;0,R2551/K2551,"")</x:f>
        <x:v>0.1968421052631579</x:v>
      </x:c>
    </x:row>
    <x:row r="2552">
      <x:c r="A2552" s="7" t="n">
        <x:v>2548</x:v>
      </x:c>
      <x:c r="B2552" s="7" t="str">
        <x:v>Tata</x:v>
      </x:c>
      <x:c r="C2552" s="7" t="str">
        <x:v>Nexon</x:v>
      </x:c>
      <x:c r="D2552" s="7" t="str">
        <x:v>Smart</x:v>
      </x:c>
      <x:c r="E2552" s="7" t="str">
        <x:v>Petrol</x:v>
      </x:c>
      <x:c r="F2552" s="7" t="str">
        <x:v>Manual</x:v>
      </x:c>
      <x:c r="G2552" s="7" t="str">
        <x:v>Compact SUV</x:v>
      </x:c>
      <x:c r="H2552" s="7" t="n">
        <x:v>1199</x:v>
      </x:c>
      <x:c r="I2552" s="7" t="n">
        <x:v>118</x:v>
      </x:c>
      <x:c r="J2552" s="9" t="n">
        <x:v>17.4</x:v>
      </x:c>
      <x:c r="K2552" s="9" t="n">
        <x:v>9.5</x:v>
      </x:c>
      <x:c r="L2552" s="7" t="n">
        <x:v>2021</x:v>
      </x:c>
      <x:c r="M2552" s="11" t="n">
        <x:v>102909</x:v>
      </x:c>
      <x:c r="N2552" s="7" t="n">
        <x:v>2</x:v>
      </x:c>
      <x:c r="O2552" s="7" t="n">
        <x:v>0</x:v>
      </x:c>
      <x:c r="P2552" s="9" t="n">
        <x:v>4.26</x:v>
      </x:c>
      <x:c r="Q2552" s="7" t="n">
        <x:f>'Guide'!$B$5-L2552</x:f>
        <x:v>5</x:v>
      </x:c>
      <x:c r="R2552" s="9" t="n">
        <x:f>K2552-P2552</x:f>
        <x:v>5.24</x:v>
      </x:c>
      <x:c r="S2552" s="10" t="n">
        <x:f>IF(K2552&gt;0,R2552/K2552,"")</x:f>
        <x:v>0.5515789473684211</x:v>
      </x:c>
    </x:row>
    <x:row r="2553">
      <x:c r="A2553" s="7" t="n">
        <x:v>2549</x:v>
      </x:c>
      <x:c r="B2553" s="7" t="str">
        <x:v>Tata</x:v>
      </x:c>
      <x:c r="C2553" s="7" t="str">
        <x:v>Nexon</x:v>
      </x:c>
      <x:c r="D2553" s="7" t="str">
        <x:v>Smart</x:v>
      </x:c>
      <x:c r="E2553" s="7" t="str">
        <x:v>Petrol</x:v>
      </x:c>
      <x:c r="F2553" s="7" t="str">
        <x:v>Manual</x:v>
      </x:c>
      <x:c r="G2553" s="7" t="str">
        <x:v>Compact SUV</x:v>
      </x:c>
      <x:c r="H2553" s="7" t="n">
        <x:v>1199</x:v>
      </x:c>
      <x:c r="I2553" s="7" t="n">
        <x:v>118</x:v>
      </x:c>
      <x:c r="J2553" s="9" t="n">
        <x:v>17.4</x:v>
      </x:c>
      <x:c r="K2553" s="9" t="n">
        <x:v>9.5</x:v>
      </x:c>
      <x:c r="L2553" s="7" t="n">
        <x:v>2020</x:v>
      </x:c>
      <x:c r="M2553" s="11" t="n">
        <x:v>64253</x:v>
      </x:c>
      <x:c r="N2553" s="7" t="n">
        <x:v>1</x:v>
      </x:c>
      <x:c r="O2553" s="7" t="n">
        <x:v>0</x:v>
      </x:c>
      <x:c r="P2553" s="9" t="n">
        <x:v>3.98</x:v>
      </x:c>
      <x:c r="Q2553" s="7" t="n">
        <x:f>'Guide'!$B$5-L2553</x:f>
        <x:v>6</x:v>
      </x:c>
      <x:c r="R2553" s="9" t="n">
        <x:f>K2553-P2553</x:f>
        <x:v>5.52</x:v>
      </x:c>
      <x:c r="S2553" s="10" t="n">
        <x:f>IF(K2553&gt;0,R2553/K2553,"")</x:f>
        <x:v>0.5810526315789474</x:v>
      </x:c>
    </x:row>
    <x:row r="2554">
      <x:c r="A2554" s="7" t="n">
        <x:v>2550</x:v>
      </x:c>
      <x:c r="B2554" s="7" t="str">
        <x:v>Tata</x:v>
      </x:c>
      <x:c r="C2554" s="7" t="str">
        <x:v>Nexon</x:v>
      </x:c>
      <x:c r="D2554" s="7" t="str">
        <x:v>Smart</x:v>
      </x:c>
      <x:c r="E2554" s="7" t="str">
        <x:v>Petrol</x:v>
      </x:c>
      <x:c r="F2554" s="7" t="str">
        <x:v>Manual</x:v>
      </x:c>
      <x:c r="G2554" s="7" t="str">
        <x:v>Compact SUV</x:v>
      </x:c>
      <x:c r="H2554" s="7" t="n">
        <x:v>1199</x:v>
      </x:c>
      <x:c r="I2554" s="7" t="n">
        <x:v>118</x:v>
      </x:c>
      <x:c r="J2554" s="9" t="n">
        <x:v>17.4</x:v>
      </x:c>
      <x:c r="K2554" s="9" t="n">
        <x:v>9.5</x:v>
      </x:c>
      <x:c r="L2554" s="7" t="n">
        <x:v>2020</x:v>
      </x:c>
      <x:c r="M2554" s="11" t="n">
        <x:v>108310</x:v>
      </x:c>
      <x:c r="N2554" s="7" t="n">
        <x:v>2</x:v>
      </x:c>
      <x:c r="O2554" s="7" t="n">
        <x:v>0</x:v>
      </x:c>
      <x:c r="P2554" s="9" t="n">
        <x:v>3.46</x:v>
      </x:c>
      <x:c r="Q2554" s="7" t="n">
        <x:f>'Guide'!$B$5-L2554</x:f>
        <x:v>6</x:v>
      </x:c>
      <x:c r="R2554" s="9" t="n">
        <x:f>K2554-P2554</x:f>
        <x:v>6.04</x:v>
      </x:c>
      <x:c r="S2554" s="10" t="n">
        <x:f>IF(K2554&gt;0,R2554/K2554,"")</x:f>
        <x:v>0.6357894736842106</x:v>
      </x:c>
    </x:row>
    <x:row r="2555">
      <x:c r="A2555" s="7" t="n">
        <x:v>2551</x:v>
      </x:c>
      <x:c r="B2555" s="7" t="str">
        <x:v>Tata</x:v>
      </x:c>
      <x:c r="C2555" s="7" t="str">
        <x:v>Nexon</x:v>
      </x:c>
      <x:c r="D2555" s="7" t="str">
        <x:v>Smart</x:v>
      </x:c>
      <x:c r="E2555" s="7" t="str">
        <x:v>Petrol</x:v>
      </x:c>
      <x:c r="F2555" s="7" t="str">
        <x:v>Manual</x:v>
      </x:c>
      <x:c r="G2555" s="7" t="str">
        <x:v>Compact SUV</x:v>
      </x:c>
      <x:c r="H2555" s="7" t="n">
        <x:v>1199</x:v>
      </x:c>
      <x:c r="I2555" s="7" t="n">
        <x:v>118</x:v>
      </x:c>
      <x:c r="J2555" s="9" t="n">
        <x:v>17.4</x:v>
      </x:c>
      <x:c r="K2555" s="9" t="n">
        <x:v>9.5</x:v>
      </x:c>
      <x:c r="L2555" s="7" t="n">
        <x:v>2020</x:v>
      </x:c>
      <x:c r="M2555" s="11" t="n">
        <x:v>77932</x:v>
      </x:c>
      <x:c r="N2555" s="7" t="n">
        <x:v>2</x:v>
      </x:c>
      <x:c r="O2555" s="7" t="n">
        <x:v>0</x:v>
      </x:c>
      <x:c r="P2555" s="9" t="n">
        <x:v>3.88</x:v>
      </x:c>
      <x:c r="Q2555" s="7" t="n">
        <x:f>'Guide'!$B$5-L2555</x:f>
        <x:v>6</x:v>
      </x:c>
      <x:c r="R2555" s="9" t="n">
        <x:f>K2555-P2555</x:f>
        <x:v>5.62</x:v>
      </x:c>
      <x:c r="S2555" s="10" t="n">
        <x:f>IF(K2555&gt;0,R2555/K2555,"")</x:f>
        <x:v>0.5915789473684211</x:v>
      </x:c>
    </x:row>
    <x:row r="2556">
      <x:c r="A2556" s="7" t="n">
        <x:v>2552</x:v>
      </x:c>
      <x:c r="B2556" s="7" t="str">
        <x:v>Tata</x:v>
      </x:c>
      <x:c r="C2556" s="7" t="str">
        <x:v>Nexon</x:v>
      </x:c>
      <x:c r="D2556" s="7" t="str">
        <x:v>Smart</x:v>
      </x:c>
      <x:c r="E2556" s="7" t="str">
        <x:v>Petrol</x:v>
      </x:c>
      <x:c r="F2556" s="7" t="str">
        <x:v>Manual</x:v>
      </x:c>
      <x:c r="G2556" s="7" t="str">
        <x:v>Compact SUV</x:v>
      </x:c>
      <x:c r="H2556" s="7" t="n">
        <x:v>1199</x:v>
      </x:c>
      <x:c r="I2556" s="7" t="n">
        <x:v>118</x:v>
      </x:c>
      <x:c r="J2556" s="9" t="n">
        <x:v>17.4</x:v>
      </x:c>
      <x:c r="K2556" s="9" t="n">
        <x:v>9.5</x:v>
      </x:c>
      <x:c r="L2556" s="7" t="n">
        <x:v>2020</x:v>
      </x:c>
      <x:c r="M2556" s="11" t="n">
        <x:v>55822</x:v>
      </x:c>
      <x:c r="N2556" s="7" t="n">
        <x:v>1</x:v>
      </x:c>
      <x:c r="O2556" s="7" t="n">
        <x:v>0</x:v>
      </x:c>
      <x:c r="P2556" s="9" t="n">
        <x:v>4.68</x:v>
      </x:c>
      <x:c r="Q2556" s="7" t="n">
        <x:f>'Guide'!$B$5-L2556</x:f>
        <x:v>6</x:v>
      </x:c>
      <x:c r="R2556" s="9" t="n">
        <x:f>K2556-P2556</x:f>
        <x:v>4.82</x:v>
      </x:c>
      <x:c r="S2556" s="10" t="n">
        <x:f>IF(K2556&gt;0,R2556/K2556,"")</x:f>
        <x:v>0.5073684210526316</x:v>
      </x:c>
    </x:row>
    <x:row r="2557">
      <x:c r="A2557" s="7" t="n">
        <x:v>2553</x:v>
      </x:c>
      <x:c r="B2557" s="7" t="str">
        <x:v>Tata</x:v>
      </x:c>
      <x:c r="C2557" s="7" t="str">
        <x:v>Nexon</x:v>
      </x:c>
      <x:c r="D2557" s="7" t="str">
        <x:v>Smart</x:v>
      </x:c>
      <x:c r="E2557" s="7" t="str">
        <x:v>Petrol</x:v>
      </x:c>
      <x:c r="F2557" s="7" t="str">
        <x:v>Manual</x:v>
      </x:c>
      <x:c r="G2557" s="7" t="str">
        <x:v>Compact SUV</x:v>
      </x:c>
      <x:c r="H2557" s="7" t="n">
        <x:v>1199</x:v>
      </x:c>
      <x:c r="I2557" s="7" t="n">
        <x:v>118</x:v>
      </x:c>
      <x:c r="J2557" s="9" t="n">
        <x:v>17.4</x:v>
      </x:c>
      <x:c r="K2557" s="9" t="n">
        <x:v>9.5</x:v>
      </x:c>
      <x:c r="L2557" s="7" t="n">
        <x:v>2022</x:v>
      </x:c>
      <x:c r="M2557" s="11" t="n">
        <x:v>45031</x:v>
      </x:c>
      <x:c r="N2557" s="7" t="n">
        <x:v>1</x:v>
      </x:c>
      <x:c r="O2557" s="7" t="n">
        <x:v>0</x:v>
      </x:c>
      <x:c r="P2557" s="9" t="n">
        <x:v>6.08</x:v>
      </x:c>
      <x:c r="Q2557" s="7" t="n">
        <x:f>'Guide'!$B$5-L2557</x:f>
        <x:v>4</x:v>
      </x:c>
      <x:c r="R2557" s="9" t="n">
        <x:f>K2557-P2557</x:f>
        <x:v>3.42</x:v>
      </x:c>
      <x:c r="S2557" s="10" t="n">
        <x:f>IF(K2557&gt;0,R2557/K2557,"")</x:f>
        <x:v>0.36</x:v>
      </x:c>
    </x:row>
    <x:row r="2558">
      <x:c r="A2558" s="7" t="n">
        <x:v>2554</x:v>
      </x:c>
      <x:c r="B2558" s="7" t="str">
        <x:v>Tata</x:v>
      </x:c>
      <x:c r="C2558" s="7" t="str">
        <x:v>Nexon</x:v>
      </x:c>
      <x:c r="D2558" s="7" t="str">
        <x:v>Smart</x:v>
      </x:c>
      <x:c r="E2558" s="7" t="str">
        <x:v>Petrol</x:v>
      </x:c>
      <x:c r="F2558" s="7" t="str">
        <x:v>Manual</x:v>
      </x:c>
      <x:c r="G2558" s="7" t="str">
        <x:v>Compact SUV</x:v>
      </x:c>
      <x:c r="H2558" s="7" t="n">
        <x:v>1199</x:v>
      </x:c>
      <x:c r="I2558" s="7" t="n">
        <x:v>118</x:v>
      </x:c>
      <x:c r="J2558" s="9" t="n">
        <x:v>17.4</x:v>
      </x:c>
      <x:c r="K2558" s="9" t="n">
        <x:v>9.5</x:v>
      </x:c>
      <x:c r="L2558" s="7" t="n">
        <x:v>2022</x:v>
      </x:c>
      <x:c r="M2558" s="11" t="n">
        <x:v>83973</x:v>
      </x:c>
      <x:c r="N2558" s="7" t="n">
        <x:v>3</x:v>
      </x:c>
      <x:c r="O2558" s="7" t="n">
        <x:v>0</x:v>
      </x:c>
      <x:c r="P2558" s="9" t="n">
        <x:v>4.4</x:v>
      </x:c>
      <x:c r="Q2558" s="7" t="n">
        <x:f>'Guide'!$B$5-L2558</x:f>
        <x:v>4</x:v>
      </x:c>
      <x:c r="R2558" s="9" t="n">
        <x:f>K2558-P2558</x:f>
        <x:v>5.1</x:v>
      </x:c>
      <x:c r="S2558" s="10" t="n">
        <x:f>IF(K2558&gt;0,R2558/K2558,"")</x:f>
        <x:v>0.5368421052631579</x:v>
      </x:c>
    </x:row>
    <x:row r="2559">
      <x:c r="A2559" s="7" t="n">
        <x:v>2555</x:v>
      </x:c>
      <x:c r="B2559" s="7" t="str">
        <x:v>Tata</x:v>
      </x:c>
      <x:c r="C2559" s="7" t="str">
        <x:v>Nexon</x:v>
      </x:c>
      <x:c r="D2559" s="7" t="str">
        <x:v>Smart</x:v>
      </x:c>
      <x:c r="E2559" s="7" t="str">
        <x:v>Petrol</x:v>
      </x:c>
      <x:c r="F2559" s="7" t="str">
        <x:v>Manual</x:v>
      </x:c>
      <x:c r="G2559" s="7" t="str">
        <x:v>Compact SUV</x:v>
      </x:c>
      <x:c r="H2559" s="7" t="n">
        <x:v>1199</x:v>
      </x:c>
      <x:c r="I2559" s="7" t="n">
        <x:v>118</x:v>
      </x:c>
      <x:c r="J2559" s="9" t="n">
        <x:v>17.4</x:v>
      </x:c>
      <x:c r="K2559" s="9" t="n">
        <x:v>9.5</x:v>
      </x:c>
      <x:c r="L2559" s="7" t="n">
        <x:v>2026</x:v>
      </x:c>
      <x:c r="M2559" s="11" t="n">
        <x:v>4757</x:v>
      </x:c>
      <x:c r="N2559" s="7" t="n">
        <x:v>1</x:v>
      </x:c>
      <x:c r="O2559" s="7" t="n">
        <x:v>0</x:v>
      </x:c>
      <x:c r="P2559" s="9" t="n">
        <x:v>9.17</x:v>
      </x:c>
      <x:c r="Q2559" s="7" t="n">
        <x:f>'Guide'!$B$5-L2559</x:f>
        <x:v>0</x:v>
      </x:c>
      <x:c r="R2559" s="9" t="n">
        <x:f>K2559-P2559</x:f>
        <x:v>0.33000000000000007</x:v>
      </x:c>
      <x:c r="S2559" s="10" t="n">
        <x:f>IF(K2559&gt;0,R2559/K2559,"")</x:f>
        <x:v>0.03473684210526316</x:v>
      </x:c>
    </x:row>
    <x:row r="2560">
      <x:c r="A2560" s="7" t="n">
        <x:v>2556</x:v>
      </x:c>
      <x:c r="B2560" s="7" t="str">
        <x:v>Tata</x:v>
      </x:c>
      <x:c r="C2560" s="7" t="str">
        <x:v>Nexon</x:v>
      </x:c>
      <x:c r="D2560" s="7" t="str">
        <x:v>Smart</x:v>
      </x:c>
      <x:c r="E2560" s="7" t="str">
        <x:v>Petrol</x:v>
      </x:c>
      <x:c r="F2560" s="7" t="str">
        <x:v>Manual</x:v>
      </x:c>
      <x:c r="G2560" s="7" t="str">
        <x:v>Compact SUV</x:v>
      </x:c>
      <x:c r="H2560" s="7" t="n">
        <x:v>1199</x:v>
      </x:c>
      <x:c r="I2560" s="7" t="n">
        <x:v>118</x:v>
      </x:c>
      <x:c r="J2560" s="9" t="n">
        <x:v>17.4</x:v>
      </x:c>
      <x:c r="K2560" s="9" t="n">
        <x:v>9.5</x:v>
      </x:c>
      <x:c r="L2560" s="7" t="n">
        <x:v>2026</x:v>
      </x:c>
      <x:c r="M2560" s="11" t="n">
        <x:v>8581</x:v>
      </x:c>
      <x:c r="N2560" s="7" t="n">
        <x:v>1</x:v>
      </x:c>
      <x:c r="O2560" s="7" t="n">
        <x:v>0</x:v>
      </x:c>
      <x:c r="P2560" s="9" t="n">
        <x:v>9.44</x:v>
      </x:c>
      <x:c r="Q2560" s="7" t="n">
        <x:f>'Guide'!$B$5-L2560</x:f>
        <x:v>0</x:v>
      </x:c>
      <x:c r="R2560" s="9" t="n">
        <x:f>K2560-P2560</x:f>
        <x:v>0.0600000000000005</x:v>
      </x:c>
      <x:c r="S2560" s="10" t="n">
        <x:f>IF(K2560&gt;0,R2560/K2560,"")</x:f>
        <x:v>0.006315789473684263</x:v>
      </x:c>
    </x:row>
    <x:row r="2561">
      <x:c r="A2561" s="7" t="n">
        <x:v>2557</x:v>
      </x:c>
      <x:c r="B2561" s="7" t="str">
        <x:v>Tata</x:v>
      </x:c>
      <x:c r="C2561" s="7" t="str">
        <x:v>Nexon</x:v>
      </x:c>
      <x:c r="D2561" s="7" t="str">
        <x:v>Smart</x:v>
      </x:c>
      <x:c r="E2561" s="7" t="str">
        <x:v>Petrol</x:v>
      </x:c>
      <x:c r="F2561" s="7" t="str">
        <x:v>Manual</x:v>
      </x:c>
      <x:c r="G2561" s="7" t="str">
        <x:v>Compact SUV</x:v>
      </x:c>
      <x:c r="H2561" s="7" t="n">
        <x:v>1199</x:v>
      </x:c>
      <x:c r="I2561" s="7" t="n">
        <x:v>118</x:v>
      </x:c>
      <x:c r="J2561" s="9" t="n">
        <x:v>17.4</x:v>
      </x:c>
      <x:c r="K2561" s="9" t="n">
        <x:v>9.5</x:v>
      </x:c>
      <x:c r="L2561" s="7" t="n">
        <x:v>2023</x:v>
      </x:c>
      <x:c r="M2561" s="11" t="n">
        <x:v>30338</x:v>
      </x:c>
      <x:c r="N2561" s="7" t="n">
        <x:v>1</x:v>
      </x:c>
      <x:c r="O2561" s="7" t="n">
        <x:v>1</x:v>
      </x:c>
      <x:c r="P2561" s="9" t="n">
        <x:v>6.24</x:v>
      </x:c>
      <x:c r="Q2561" s="7" t="n">
        <x:f>'Guide'!$B$5-L2561</x:f>
        <x:v>3</x:v>
      </x:c>
      <x:c r="R2561" s="9" t="n">
        <x:f>K2561-P2561</x:f>
        <x:v>3.26</x:v>
      </x:c>
      <x:c r="S2561" s="10" t="n">
        <x:f>IF(K2561&gt;0,R2561/K2561,"")</x:f>
        <x:v>0.3431578947368421</x:v>
      </x:c>
    </x:row>
    <x:row r="2562">
      <x:c r="A2562" s="7" t="n">
        <x:v>2558</x:v>
      </x:c>
      <x:c r="B2562" s="7" t="str">
        <x:v>Tata</x:v>
      </x:c>
      <x:c r="C2562" s="7" t="str">
        <x:v>Nexon</x:v>
      </x:c>
      <x:c r="D2562" s="7" t="str">
        <x:v>Smart</x:v>
      </x:c>
      <x:c r="E2562" s="7" t="str">
        <x:v>Petrol</x:v>
      </x:c>
      <x:c r="F2562" s="7" t="str">
        <x:v>Manual</x:v>
      </x:c>
      <x:c r="G2562" s="7" t="str">
        <x:v>Compact SUV</x:v>
      </x:c>
      <x:c r="H2562" s="7" t="n">
        <x:v>1199</x:v>
      </x:c>
      <x:c r="I2562" s="7" t="n">
        <x:v>118</x:v>
      </x:c>
      <x:c r="J2562" s="9" t="n">
        <x:v>17.4</x:v>
      </x:c>
      <x:c r="K2562" s="9" t="n">
        <x:v>9.5</x:v>
      </x:c>
      <x:c r="L2562" s="7" t="n">
        <x:v>2025</x:v>
      </x:c>
      <x:c r="M2562" s="11" t="n">
        <x:v>14349</x:v>
      </x:c>
      <x:c r="N2562" s="7" t="n">
        <x:v>1</x:v>
      </x:c>
      <x:c r="O2562" s="7" t="n">
        <x:v>1</x:v>
      </x:c>
      <x:c r="P2562" s="9" t="n">
        <x:v>7.84</x:v>
      </x:c>
      <x:c r="Q2562" s="7" t="n">
        <x:f>'Guide'!$B$5-L2562</x:f>
        <x:v>1</x:v>
      </x:c>
      <x:c r="R2562" s="9" t="n">
        <x:f>K2562-P2562</x:f>
        <x:v>1.6600000000000001</x:v>
      </x:c>
      <x:c r="S2562" s="10" t="n">
        <x:f>IF(K2562&gt;0,R2562/K2562,"")</x:f>
        <x:v>0.17473684210526316</x:v>
      </x:c>
    </x:row>
    <x:row r="2563">
      <x:c r="A2563" s="7" t="n">
        <x:v>2559</x:v>
      </x:c>
      <x:c r="B2563" s="7" t="str">
        <x:v>Tata</x:v>
      </x:c>
      <x:c r="C2563" s="7" t="str">
        <x:v>Nexon</x:v>
      </x:c>
      <x:c r="D2563" s="7" t="str">
        <x:v>Smart</x:v>
      </x:c>
      <x:c r="E2563" s="7" t="str">
        <x:v>Petrol</x:v>
      </x:c>
      <x:c r="F2563" s="7" t="str">
        <x:v>Manual</x:v>
      </x:c>
      <x:c r="G2563" s="7" t="str">
        <x:v>Compact SUV</x:v>
      </x:c>
      <x:c r="H2563" s="7" t="n">
        <x:v>1199</x:v>
      </x:c>
      <x:c r="I2563" s="7" t="n">
        <x:v>118</x:v>
      </x:c>
      <x:c r="J2563" s="9" t="n">
        <x:v>17.4</x:v>
      </x:c>
      <x:c r="K2563" s="9" t="n">
        <x:v>9.5</x:v>
      </x:c>
      <x:c r="L2563" s="7" t="n">
        <x:v>2024</x:v>
      </x:c>
      <x:c r="M2563" s="11" t="n">
        <x:v>43156</x:v>
      </x:c>
      <x:c r="N2563" s="7" t="n">
        <x:v>1</x:v>
      </x:c>
      <x:c r="O2563" s="7" t="n">
        <x:v>0</x:v>
      </x:c>
      <x:c r="P2563" s="9" t="n">
        <x:v>7.35</x:v>
      </x:c>
      <x:c r="Q2563" s="7" t="n">
        <x:f>'Guide'!$B$5-L2563</x:f>
        <x:v>2</x:v>
      </x:c>
      <x:c r="R2563" s="9" t="n">
        <x:f>K2563-P2563</x:f>
        <x:v>2.1500000000000004</x:v>
      </x:c>
      <x:c r="S2563" s="10" t="n">
        <x:f>IF(K2563&gt;0,R2563/K2563,"")</x:f>
        <x:v>0.22631578947368425</x:v>
      </x:c>
    </x:row>
    <x:row r="2564">
      <x:c r="A2564" s="7" t="n">
        <x:v>2560</x:v>
      </x:c>
      <x:c r="B2564" s="7" t="str">
        <x:v>Tata</x:v>
      </x:c>
      <x:c r="C2564" s="7" t="str">
        <x:v>Nexon</x:v>
      </x:c>
      <x:c r="D2564" s="7" t="str">
        <x:v>Smart</x:v>
      </x:c>
      <x:c r="E2564" s="7" t="str">
        <x:v>Petrol</x:v>
      </x:c>
      <x:c r="F2564" s="7" t="str">
        <x:v>Manual</x:v>
      </x:c>
      <x:c r="G2564" s="7" t="str">
        <x:v>Compact SUV</x:v>
      </x:c>
      <x:c r="H2564" s="7" t="n">
        <x:v>1199</x:v>
      </x:c>
      <x:c r="I2564" s="7" t="n">
        <x:v>118</x:v>
      </x:c>
      <x:c r="J2564" s="9" t="n">
        <x:v>17.4</x:v>
      </x:c>
      <x:c r="K2564" s="9" t="n">
        <x:v>9.5</x:v>
      </x:c>
      <x:c r="L2564" s="7" t="n">
        <x:v>2024</x:v>
      </x:c>
      <x:c r="M2564" s="11" t="n">
        <x:v>36409</x:v>
      </x:c>
      <x:c r="N2564" s="7" t="n">
        <x:v>2</x:v>
      </x:c>
      <x:c r="O2564" s="7" t="n">
        <x:v>0</x:v>
      </x:c>
      <x:c r="P2564" s="9" t="n">
        <x:v>7.46</x:v>
      </x:c>
      <x:c r="Q2564" s="7" t="n">
        <x:f>'Guide'!$B$5-L2564</x:f>
        <x:v>2</x:v>
      </x:c>
      <x:c r="R2564" s="9" t="n">
        <x:f>K2564-P2564</x:f>
        <x:v>2.04</x:v>
      </x:c>
      <x:c r="S2564" s="10" t="n">
        <x:f>IF(K2564&gt;0,R2564/K2564,"")</x:f>
        <x:v>0.21473684210526317</x:v>
      </x:c>
    </x:row>
    <x:row r="2565">
      <x:c r="A2565" s="7" t="n">
        <x:v>2561</x:v>
      </x:c>
      <x:c r="B2565" s="7" t="str">
        <x:v>Tata</x:v>
      </x:c>
      <x:c r="C2565" s="7" t="str">
        <x:v>Nexon</x:v>
      </x:c>
      <x:c r="D2565" s="7" t="str">
        <x:v>Smart</x:v>
      </x:c>
      <x:c r="E2565" s="7" t="str">
        <x:v>Petrol</x:v>
      </x:c>
      <x:c r="F2565" s="7" t="str">
        <x:v>Manual</x:v>
      </x:c>
      <x:c r="G2565" s="7" t="str">
        <x:v>Compact SUV</x:v>
      </x:c>
      <x:c r="H2565" s="7" t="n">
        <x:v>1199</x:v>
      </x:c>
      <x:c r="I2565" s="7" t="n">
        <x:v>118</x:v>
      </x:c>
      <x:c r="J2565" s="9" t="n">
        <x:v>17.4</x:v>
      </x:c>
      <x:c r="K2565" s="9" t="n">
        <x:v>9.5</x:v>
      </x:c>
      <x:c r="L2565" s="7" t="n">
        <x:v>2020</x:v>
      </x:c>
      <x:c r="M2565" s="11" t="n">
        <x:v>124746</x:v>
      </x:c>
      <x:c r="N2565" s="7" t="n">
        <x:v>1</x:v>
      </x:c>
      <x:c r="O2565" s="7" t="n">
        <x:v>0</x:v>
      </x:c>
      <x:c r="P2565" s="9" t="n">
        <x:v>3.74</x:v>
      </x:c>
      <x:c r="Q2565" s="7" t="n">
        <x:f>'Guide'!$B$5-L2565</x:f>
        <x:v>6</x:v>
      </x:c>
      <x:c r="R2565" s="9" t="n">
        <x:f>K2565-P2565</x:f>
        <x:v>5.76</x:v>
      </x:c>
      <x:c r="S2565" s="10" t="n">
        <x:f>IF(K2565&gt;0,R2565/K2565,"")</x:f>
        <x:v>0.6063157894736841</x:v>
      </x:c>
    </x:row>
    <x:row r="2566">
      <x:c r="A2566" s="7" t="n">
        <x:v>2562</x:v>
      </x:c>
      <x:c r="B2566" s="7" t="str">
        <x:v>Tata</x:v>
      </x:c>
      <x:c r="C2566" s="7" t="str">
        <x:v>Nexon</x:v>
      </x:c>
      <x:c r="D2566" s="7" t="str">
        <x:v>Smart</x:v>
      </x:c>
      <x:c r="E2566" s="7" t="str">
        <x:v>Petrol</x:v>
      </x:c>
      <x:c r="F2566" s="7" t="str">
        <x:v>Manual</x:v>
      </x:c>
      <x:c r="G2566" s="7" t="str">
        <x:v>Compact SUV</x:v>
      </x:c>
      <x:c r="H2566" s="7" t="n">
        <x:v>1199</x:v>
      </x:c>
      <x:c r="I2566" s="7" t="n">
        <x:v>118</x:v>
      </x:c>
      <x:c r="J2566" s="9" t="n">
        <x:v>17.4</x:v>
      </x:c>
      <x:c r="K2566" s="9" t="n">
        <x:v>9.5</x:v>
      </x:c>
      <x:c r="L2566" s="7" t="n">
        <x:v>2024</x:v>
      </x:c>
      <x:c r="M2566" s="11" t="n">
        <x:v>24351</x:v>
      </x:c>
      <x:c r="N2566" s="7" t="n">
        <x:v>1</x:v>
      </x:c>
      <x:c r="O2566" s="7" t="n">
        <x:v>0</x:v>
      </x:c>
      <x:c r="P2566" s="9" t="n">
        <x:v>7.64</x:v>
      </x:c>
      <x:c r="Q2566" s="7" t="n">
        <x:f>'Guide'!$B$5-L2566</x:f>
        <x:v>2</x:v>
      </x:c>
      <x:c r="R2566" s="9" t="n">
        <x:f>K2566-P2566</x:f>
        <x:v>1.8600000000000003</x:v>
      </x:c>
      <x:c r="S2566" s="10" t="n">
        <x:f>IF(K2566&gt;0,R2566/K2566,"")</x:f>
        <x:v>0.19578947368421057</x:v>
      </x:c>
    </x:row>
    <x:row r="2567">
      <x:c r="A2567" s="7" t="n">
        <x:v>2563</x:v>
      </x:c>
      <x:c r="B2567" s="7" t="str">
        <x:v>Tata</x:v>
      </x:c>
      <x:c r="C2567" s="7" t="str">
        <x:v>Nexon</x:v>
      </x:c>
      <x:c r="D2567" s="7" t="str">
        <x:v>Smart</x:v>
      </x:c>
      <x:c r="E2567" s="7" t="str">
        <x:v>Petrol</x:v>
      </x:c>
      <x:c r="F2567" s="7" t="str">
        <x:v>Manual</x:v>
      </x:c>
      <x:c r="G2567" s="7" t="str">
        <x:v>Compact SUV</x:v>
      </x:c>
      <x:c r="H2567" s="7" t="n">
        <x:v>1199</x:v>
      </x:c>
      <x:c r="I2567" s="7" t="n">
        <x:v>118</x:v>
      </x:c>
      <x:c r="J2567" s="9" t="n">
        <x:v>17.4</x:v>
      </x:c>
      <x:c r="K2567" s="9" t="n">
        <x:v>9.5</x:v>
      </x:c>
      <x:c r="L2567" s="7" t="n">
        <x:v>2025</x:v>
      </x:c>
      <x:c r="M2567" s="11" t="n">
        <x:v>27030</x:v>
      </x:c>
      <x:c r="N2567" s="7" t="n">
        <x:v>2</x:v>
      </x:c>
      <x:c r="O2567" s="7" t="n">
        <x:v>0</x:v>
      </x:c>
      <x:c r="P2567" s="9" t="n">
        <x:v>8.36</x:v>
      </x:c>
      <x:c r="Q2567" s="7" t="n">
        <x:f>'Guide'!$B$5-L2567</x:f>
        <x:v>1</x:v>
      </x:c>
      <x:c r="R2567" s="9" t="n">
        <x:f>K2567-P2567</x:f>
        <x:v>1.1400000000000006</x:v>
      </x:c>
      <x:c r="S2567" s="10" t="n">
        <x:f>IF(K2567&gt;0,R2567/K2567,"")</x:f>
        <x:v>0.12000000000000006</x:v>
      </x:c>
    </x:row>
    <x:row r="2568">
      <x:c r="A2568" s="7" t="n">
        <x:v>2564</x:v>
      </x:c>
      <x:c r="B2568" s="7" t="str">
        <x:v>Tata</x:v>
      </x:c>
      <x:c r="C2568" s="7" t="str">
        <x:v>Nexon</x:v>
      </x:c>
      <x:c r="D2568" s="7" t="str">
        <x:v>Smart</x:v>
      </x:c>
      <x:c r="E2568" s="7" t="str">
        <x:v>Petrol</x:v>
      </x:c>
      <x:c r="F2568" s="7" t="str">
        <x:v>Manual</x:v>
      </x:c>
      <x:c r="G2568" s="7" t="str">
        <x:v>Compact SUV</x:v>
      </x:c>
      <x:c r="H2568" s="7" t="n">
        <x:v>1199</x:v>
      </x:c>
      <x:c r="I2568" s="7" t="n">
        <x:v>118</x:v>
      </x:c>
      <x:c r="J2568" s="9" t="n">
        <x:v>17.4</x:v>
      </x:c>
      <x:c r="K2568" s="9" t="n">
        <x:v>9.5</x:v>
      </x:c>
      <x:c r="L2568" s="7" t="n">
        <x:v>2024</x:v>
      </x:c>
      <x:c r="M2568" s="11" t="n">
        <x:v>27136</x:v>
      </x:c>
      <x:c r="N2568" s="7" t="n">
        <x:v>2</x:v>
      </x:c>
      <x:c r="O2568" s="7" t="n">
        <x:v>1</x:v>
      </x:c>
      <x:c r="P2568" s="9" t="n">
        <x:v>6.12</x:v>
      </x:c>
      <x:c r="Q2568" s="7" t="n">
        <x:f>'Guide'!$B$5-L2568</x:f>
        <x:v>2</x:v>
      </x:c>
      <x:c r="R2568" s="9" t="n">
        <x:f>K2568-P2568</x:f>
        <x:v>3.38</x:v>
      </x:c>
      <x:c r="S2568" s="10" t="n">
        <x:f>IF(K2568&gt;0,R2568/K2568,"")</x:f>
        <x:v>0.3557894736842105</x:v>
      </x:c>
    </x:row>
    <x:row r="2569">
      <x:c r="A2569" s="7" t="n">
        <x:v>2565</x:v>
      </x:c>
      <x:c r="B2569" s="7" t="str">
        <x:v>Tata</x:v>
      </x:c>
      <x:c r="C2569" s="7" t="str">
        <x:v>Nexon</x:v>
      </x:c>
      <x:c r="D2569" s="7" t="str">
        <x:v>Smart</x:v>
      </x:c>
      <x:c r="E2569" s="7" t="str">
        <x:v>Petrol</x:v>
      </x:c>
      <x:c r="F2569" s="7" t="str">
        <x:v>Manual</x:v>
      </x:c>
      <x:c r="G2569" s="7" t="str">
        <x:v>Compact SUV</x:v>
      </x:c>
      <x:c r="H2569" s="7" t="n">
        <x:v>1199</x:v>
      </x:c>
      <x:c r="I2569" s="7" t="n">
        <x:v>118</x:v>
      </x:c>
      <x:c r="J2569" s="9" t="n">
        <x:v>17.4</x:v>
      </x:c>
      <x:c r="K2569" s="9" t="n">
        <x:v>9.5</x:v>
      </x:c>
      <x:c r="L2569" s="7" t="n">
        <x:v>2022</x:v>
      </x:c>
      <x:c r="M2569" s="11" t="n">
        <x:v>45240</x:v>
      </x:c>
      <x:c r="N2569" s="7" t="n">
        <x:v>2</x:v>
      </x:c>
      <x:c r="O2569" s="7" t="n">
        <x:v>0</x:v>
      </x:c>
      <x:c r="P2569" s="9" t="n">
        <x:v>5.64</x:v>
      </x:c>
      <x:c r="Q2569" s="7" t="n">
        <x:f>'Guide'!$B$5-L2569</x:f>
        <x:v>4</x:v>
      </x:c>
      <x:c r="R2569" s="9" t="n">
        <x:f>K2569-P2569</x:f>
        <x:v>3.8600000000000003</x:v>
      </x:c>
      <x:c r="S2569" s="10" t="n">
        <x:f>IF(K2569&gt;0,R2569/K2569,"")</x:f>
        <x:v>0.40631578947368424</x:v>
      </x:c>
    </x:row>
    <x:row r="2570">
      <x:c r="A2570" s="7" t="n">
        <x:v>2566</x:v>
      </x:c>
      <x:c r="B2570" s="7" t="str">
        <x:v>Tata</x:v>
      </x:c>
      <x:c r="C2570" s="7" t="str">
        <x:v>Nexon</x:v>
      </x:c>
      <x:c r="D2570" s="7" t="str">
        <x:v>Smart</x:v>
      </x:c>
      <x:c r="E2570" s="7" t="str">
        <x:v>Petrol</x:v>
      </x:c>
      <x:c r="F2570" s="7" t="str">
        <x:v>Manual</x:v>
      </x:c>
      <x:c r="G2570" s="7" t="str">
        <x:v>Compact SUV</x:v>
      </x:c>
      <x:c r="H2570" s="7" t="n">
        <x:v>1199</x:v>
      </x:c>
      <x:c r="I2570" s="7" t="n">
        <x:v>118</x:v>
      </x:c>
      <x:c r="J2570" s="9" t="n">
        <x:v>17.4</x:v>
      </x:c>
      <x:c r="K2570" s="9" t="n">
        <x:v>9.5</x:v>
      </x:c>
      <x:c r="L2570" s="7" t="n">
        <x:v>2024</x:v>
      </x:c>
      <x:c r="M2570" s="11" t="n">
        <x:v>47805</x:v>
      </x:c>
      <x:c r="N2570" s="7" t="n">
        <x:v>1</x:v>
      </x:c>
      <x:c r="O2570" s="7" t="n">
        <x:v>0</x:v>
      </x:c>
      <x:c r="P2570" s="9" t="n">
        <x:v>7.29</x:v>
      </x:c>
      <x:c r="Q2570" s="7" t="n">
        <x:f>'Guide'!$B$5-L2570</x:f>
        <x:v>2</x:v>
      </x:c>
      <x:c r="R2570" s="9" t="n">
        <x:f>K2570-P2570</x:f>
        <x:v>2.21</x:v>
      </x:c>
      <x:c r="S2570" s="10" t="n">
        <x:f>IF(K2570&gt;0,R2570/K2570,"")</x:f>
        <x:v>0.2326315789473684</x:v>
      </x:c>
    </x:row>
    <x:row r="2571">
      <x:c r="A2571" s="7" t="n">
        <x:v>2567</x:v>
      </x:c>
      <x:c r="B2571" s="7" t="str">
        <x:v>Tata</x:v>
      </x:c>
      <x:c r="C2571" s="7" t="str">
        <x:v>Nexon</x:v>
      </x:c>
      <x:c r="D2571" s="7" t="str">
        <x:v>Smart</x:v>
      </x:c>
      <x:c r="E2571" s="7" t="str">
        <x:v>Petrol</x:v>
      </x:c>
      <x:c r="F2571" s="7" t="str">
        <x:v>Manual</x:v>
      </x:c>
      <x:c r="G2571" s="7" t="str">
        <x:v>Compact SUV</x:v>
      </x:c>
      <x:c r="H2571" s="7" t="n">
        <x:v>1199</x:v>
      </x:c>
      <x:c r="I2571" s="7" t="n">
        <x:v>118</x:v>
      </x:c>
      <x:c r="J2571" s="9" t="n">
        <x:v>17.4</x:v>
      </x:c>
      <x:c r="K2571" s="9" t="n">
        <x:v>9.5</x:v>
      </x:c>
      <x:c r="L2571" s="7" t="n">
        <x:v>2022</x:v>
      </x:c>
      <x:c r="M2571" s="11" t="n">
        <x:v>49136</x:v>
      </x:c>
      <x:c r="N2571" s="7" t="n">
        <x:v>1</x:v>
      </x:c>
      <x:c r="O2571" s="7" t="n">
        <x:v>0</x:v>
      </x:c>
      <x:c r="P2571" s="9" t="n">
        <x:v>5.54</x:v>
      </x:c>
      <x:c r="Q2571" s="7" t="n">
        <x:f>'Guide'!$B$5-L2571</x:f>
        <x:v>4</x:v>
      </x:c>
      <x:c r="R2571" s="9" t="n">
        <x:f>K2571-P2571</x:f>
        <x:v>3.96</x:v>
      </x:c>
      <x:c r="S2571" s="10" t="n">
        <x:f>IF(K2571&gt;0,R2571/K2571,"")</x:f>
        <x:v>0.4168421052631579</x:v>
      </x:c>
    </x:row>
    <x:row r="2572">
      <x:c r="A2572" s="7" t="n">
        <x:v>2568</x:v>
      </x:c>
      <x:c r="B2572" s="7" t="str">
        <x:v>Tata</x:v>
      </x:c>
      <x:c r="C2572" s="7" t="str">
        <x:v>Nexon</x:v>
      </x:c>
      <x:c r="D2572" s="7" t="str">
        <x:v>Smart</x:v>
      </x:c>
      <x:c r="E2572" s="7" t="str">
        <x:v>Petrol</x:v>
      </x:c>
      <x:c r="F2572" s="7" t="str">
        <x:v>Manual</x:v>
      </x:c>
      <x:c r="G2572" s="7" t="str">
        <x:v>Compact SUV</x:v>
      </x:c>
      <x:c r="H2572" s="7" t="n">
        <x:v>1199</x:v>
      </x:c>
      <x:c r="I2572" s="7" t="n">
        <x:v>118</x:v>
      </x:c>
      <x:c r="J2572" s="9" t="n">
        <x:v>17.4</x:v>
      </x:c>
      <x:c r="K2572" s="9" t="n">
        <x:v>9.5</x:v>
      </x:c>
      <x:c r="L2572" s="7" t="n">
        <x:v>2023</x:v>
      </x:c>
      <x:c r="M2572" s="11" t="n">
        <x:v>46727</x:v>
      </x:c>
      <x:c r="N2572" s="7" t="n">
        <x:v>1</x:v>
      </x:c>
      <x:c r="O2572" s="7" t="n">
        <x:v>0</x:v>
      </x:c>
      <x:c r="P2572" s="9" t="n">
        <x:v>6.37</x:v>
      </x:c>
      <x:c r="Q2572" s="7" t="n">
        <x:f>'Guide'!$B$5-L2572</x:f>
        <x:v>3</x:v>
      </x:c>
      <x:c r="R2572" s="9" t="n">
        <x:f>K2572-P2572</x:f>
        <x:v>3.13</x:v>
      </x:c>
      <x:c r="S2572" s="10" t="n">
        <x:f>IF(K2572&gt;0,R2572/K2572,"")</x:f>
        <x:v>0.3294736842105263</x:v>
      </x:c>
    </x:row>
    <x:row r="2573">
      <x:c r="A2573" s="7" t="n">
        <x:v>2569</x:v>
      </x:c>
      <x:c r="B2573" s="7" t="str">
        <x:v>Tata</x:v>
      </x:c>
      <x:c r="C2573" s="7" t="str">
        <x:v>Nexon</x:v>
      </x:c>
      <x:c r="D2573" s="7" t="str">
        <x:v>Smart</x:v>
      </x:c>
      <x:c r="E2573" s="7" t="str">
        <x:v>Petrol</x:v>
      </x:c>
      <x:c r="F2573" s="7" t="str">
        <x:v>Manual</x:v>
      </x:c>
      <x:c r="G2573" s="7" t="str">
        <x:v>Compact SUV</x:v>
      </x:c>
      <x:c r="H2573" s="7" t="n">
        <x:v>1199</x:v>
      </x:c>
      <x:c r="I2573" s="7" t="n">
        <x:v>118</x:v>
      </x:c>
      <x:c r="J2573" s="9" t="n">
        <x:v>17.4</x:v>
      </x:c>
      <x:c r="K2573" s="9" t="n">
        <x:v>9.5</x:v>
      </x:c>
      <x:c r="L2573" s="7" t="n">
        <x:v>2021</x:v>
      </x:c>
      <x:c r="M2573" s="11" t="n">
        <x:v>71257</x:v>
      </x:c>
      <x:c r="N2573" s="7" t="n">
        <x:v>2</x:v>
      </x:c>
      <x:c r="O2573" s="7" t="n">
        <x:v>1</x:v>
      </x:c>
      <x:c r="P2573" s="9" t="n">
        <x:v>3.43</x:v>
      </x:c>
      <x:c r="Q2573" s="7" t="n">
        <x:f>'Guide'!$B$5-L2573</x:f>
        <x:v>5</x:v>
      </x:c>
      <x:c r="R2573" s="9" t="n">
        <x:f>K2573-P2573</x:f>
        <x:v>6.07</x:v>
      </x:c>
      <x:c r="S2573" s="10" t="n">
        <x:f>IF(K2573&gt;0,R2573/K2573,"")</x:f>
        <x:v>0.6389473684210527</x:v>
      </x:c>
    </x:row>
    <x:row r="2574">
      <x:c r="A2574" s="7" t="n">
        <x:v>2570</x:v>
      </x:c>
      <x:c r="B2574" s="7" t="str">
        <x:v>Tata</x:v>
      </x:c>
      <x:c r="C2574" s="7" t="str">
        <x:v>Nexon</x:v>
      </x:c>
      <x:c r="D2574" s="7" t="str">
        <x:v>Smart</x:v>
      </x:c>
      <x:c r="E2574" s="7" t="str">
        <x:v>Petrol</x:v>
      </x:c>
      <x:c r="F2574" s="7" t="str">
        <x:v>Manual</x:v>
      </x:c>
      <x:c r="G2574" s="7" t="str">
        <x:v>Compact SUV</x:v>
      </x:c>
      <x:c r="H2574" s="7" t="n">
        <x:v>1199</x:v>
      </x:c>
      <x:c r="I2574" s="7" t="n">
        <x:v>118</x:v>
      </x:c>
      <x:c r="J2574" s="9" t="n">
        <x:v>17.4</x:v>
      </x:c>
      <x:c r="K2574" s="9" t="n">
        <x:v>9.5</x:v>
      </x:c>
      <x:c r="L2574" s="7" t="n">
        <x:v>2026</x:v>
      </x:c>
      <x:c r="M2574" s="11" t="n">
        <x:v>5973</x:v>
      </x:c>
      <x:c r="N2574" s="7" t="n">
        <x:v>1</x:v>
      </x:c>
      <x:c r="O2574" s="7" t="n">
        <x:v>0</x:v>
      </x:c>
      <x:c r="P2574" s="9" t="n">
        <x:v>9.2</x:v>
      </x:c>
      <x:c r="Q2574" s="7" t="n">
        <x:f>'Guide'!$B$5-L2574</x:f>
        <x:v>0</x:v>
      </x:c>
      <x:c r="R2574" s="9" t="n">
        <x:f>K2574-P2574</x:f>
        <x:v>0.3000000000000007</x:v>
      </x:c>
      <x:c r="S2574" s="10" t="n">
        <x:f>IF(K2574&gt;0,R2574/K2574,"")</x:f>
        <x:v>0.03157894736842113</x:v>
      </x:c>
    </x:row>
    <x:row r="2575">
      <x:c r="A2575" s="7" t="n">
        <x:v>2571</x:v>
      </x:c>
      <x:c r="B2575" s="7" t="str">
        <x:v>Tata</x:v>
      </x:c>
      <x:c r="C2575" s="7" t="str">
        <x:v>Nexon</x:v>
      </x:c>
      <x:c r="D2575" s="7" t="str">
        <x:v>Smart</x:v>
      </x:c>
      <x:c r="E2575" s="7" t="str">
        <x:v>Petrol</x:v>
      </x:c>
      <x:c r="F2575" s="7" t="str">
        <x:v>Manual</x:v>
      </x:c>
      <x:c r="G2575" s="7" t="str">
        <x:v>Compact SUV</x:v>
      </x:c>
      <x:c r="H2575" s="7" t="n">
        <x:v>1199</x:v>
      </x:c>
      <x:c r="I2575" s="7" t="n">
        <x:v>118</x:v>
      </x:c>
      <x:c r="J2575" s="9" t="n">
        <x:v>17.4</x:v>
      </x:c>
      <x:c r="K2575" s="9" t="n">
        <x:v>9.5</x:v>
      </x:c>
      <x:c r="L2575" s="7" t="n">
        <x:v>2024</x:v>
      </x:c>
      <x:c r="M2575" s="11" t="n">
        <x:v>44104</x:v>
      </x:c>
      <x:c r="N2575" s="7" t="n">
        <x:v>1</x:v>
      </x:c>
      <x:c r="O2575" s="7" t="n">
        <x:v>0</x:v>
      </x:c>
      <x:c r="P2575" s="9" t="n">
        <x:v>7.32</x:v>
      </x:c>
      <x:c r="Q2575" s="7" t="n">
        <x:f>'Guide'!$B$5-L2575</x:f>
        <x:v>2</x:v>
      </x:c>
      <x:c r="R2575" s="9" t="n">
        <x:f>K2575-P2575</x:f>
        <x:v>2.1799999999999997</x:v>
      </x:c>
      <x:c r="S2575" s="10" t="n">
        <x:f>IF(K2575&gt;0,R2575/K2575,"")</x:f>
        <x:v>0.22947368421052627</x:v>
      </x:c>
    </x:row>
    <x:row r="2576">
      <x:c r="A2576" s="7" t="n">
        <x:v>2572</x:v>
      </x:c>
      <x:c r="B2576" s="7" t="str">
        <x:v>Tata</x:v>
      </x:c>
      <x:c r="C2576" s="7" t="str">
        <x:v>Nexon</x:v>
      </x:c>
      <x:c r="D2576" s="7" t="str">
        <x:v>Smart</x:v>
      </x:c>
      <x:c r="E2576" s="7" t="str">
        <x:v>Petrol</x:v>
      </x:c>
      <x:c r="F2576" s="7" t="str">
        <x:v>Manual</x:v>
      </x:c>
      <x:c r="G2576" s="7" t="str">
        <x:v>Compact SUV</x:v>
      </x:c>
      <x:c r="H2576" s="7" t="n">
        <x:v>1199</x:v>
      </x:c>
      <x:c r="I2576" s="7" t="n">
        <x:v>118</x:v>
      </x:c>
      <x:c r="J2576" s="9" t="n">
        <x:v>17.4</x:v>
      </x:c>
      <x:c r="K2576" s="9" t="n">
        <x:v>9.5</x:v>
      </x:c>
      <x:c r="L2576" s="7" t="n">
        <x:v>2026</x:v>
      </x:c>
      <x:c r="M2576" s="11" t="n">
        <x:v>7731</x:v>
      </x:c>
      <x:c r="N2576" s="7" t="n">
        <x:v>1</x:v>
      </x:c>
      <x:c r="O2576" s="7" t="n">
        <x:v>0</x:v>
      </x:c>
      <x:c r="P2576" s="9" t="n">
        <x:v>9.56</x:v>
      </x:c>
      <x:c r="Q2576" s="7" t="n">
        <x:f>'Guide'!$B$5-L2576</x:f>
        <x:v>0</x:v>
      </x:c>
      <x:c r="R2576" s="9" t="n">
        <x:f>K2576-P2576</x:f>
        <x:v>-0.0600000000000005</x:v>
      </x:c>
      <x:c r="S2576" s="10" t="n">
        <x:f>IF(K2576&gt;0,R2576/K2576,"")</x:f>
        <x:v>-0.006315789473684263</x:v>
      </x:c>
    </x:row>
    <x:row r="2577">
      <x:c r="A2577" s="7" t="n">
        <x:v>2573</x:v>
      </x:c>
      <x:c r="B2577" s="7" t="str">
        <x:v>Tata</x:v>
      </x:c>
      <x:c r="C2577" s="7" t="str">
        <x:v>Nexon</x:v>
      </x:c>
      <x:c r="D2577" s="7" t="str">
        <x:v>Smart</x:v>
      </x:c>
      <x:c r="E2577" s="7" t="str">
        <x:v>Petrol</x:v>
      </x:c>
      <x:c r="F2577" s="7" t="str">
        <x:v>Manual</x:v>
      </x:c>
      <x:c r="G2577" s="7" t="str">
        <x:v>Compact SUV</x:v>
      </x:c>
      <x:c r="H2577" s="7" t="n">
        <x:v>1199</x:v>
      </x:c>
      <x:c r="I2577" s="7" t="n">
        <x:v>118</x:v>
      </x:c>
      <x:c r="J2577" s="9" t="n">
        <x:v>17.4</x:v>
      </x:c>
      <x:c r="K2577" s="9" t="n">
        <x:v>9.5</x:v>
      </x:c>
      <x:c r="L2577" s="7" t="n">
        <x:v>2022</x:v>
      </x:c>
      <x:c r="M2577" s="11" t="n">
        <x:v>63933</x:v>
      </x:c>
      <x:c r="N2577" s="7" t="n">
        <x:v>1</x:v>
      </x:c>
      <x:c r="O2577" s="7" t="n">
        <x:v>0</x:v>
      </x:c>
      <x:c r="P2577" s="9" t="n">
        <x:v>5.62</x:v>
      </x:c>
      <x:c r="Q2577" s="7" t="n">
        <x:f>'Guide'!$B$5-L2577</x:f>
        <x:v>4</x:v>
      </x:c>
      <x:c r="R2577" s="9" t="n">
        <x:f>K2577-P2577</x:f>
        <x:v>3.88</x:v>
      </x:c>
      <x:c r="S2577" s="10" t="n">
        <x:f>IF(K2577&gt;0,R2577/K2577,"")</x:f>
        <x:v>0.40842105263157896</x:v>
      </x:c>
    </x:row>
    <x:row r="2578">
      <x:c r="A2578" s="7" t="n">
        <x:v>2574</x:v>
      </x:c>
      <x:c r="B2578" s="7" t="str">
        <x:v>Tata</x:v>
      </x:c>
      <x:c r="C2578" s="7" t="str">
        <x:v>Nexon</x:v>
      </x:c>
      <x:c r="D2578" s="7" t="str">
        <x:v>Smart</x:v>
      </x:c>
      <x:c r="E2578" s="7" t="str">
        <x:v>Petrol</x:v>
      </x:c>
      <x:c r="F2578" s="7" t="str">
        <x:v>Manual</x:v>
      </x:c>
      <x:c r="G2578" s="7" t="str">
        <x:v>Compact SUV</x:v>
      </x:c>
      <x:c r="H2578" s="7" t="n">
        <x:v>1199</x:v>
      </x:c>
      <x:c r="I2578" s="7" t="n">
        <x:v>118</x:v>
      </x:c>
      <x:c r="J2578" s="9" t="n">
        <x:v>17.4</x:v>
      </x:c>
      <x:c r="K2578" s="9" t="n">
        <x:v>9.5</x:v>
      </x:c>
      <x:c r="L2578" s="7" t="n">
        <x:v>2026</x:v>
      </x:c>
      <x:c r="M2578" s="11" t="n">
        <x:v>4756</x:v>
      </x:c>
      <x:c r="N2578" s="7" t="n">
        <x:v>2</x:v>
      </x:c>
      <x:c r="O2578" s="7" t="n">
        <x:v>0</x:v>
      </x:c>
      <x:c r="P2578" s="9" t="n">
        <x:v>9.27</x:v>
      </x:c>
      <x:c r="Q2578" s="7" t="n">
        <x:f>'Guide'!$B$5-L2578</x:f>
        <x:v>0</x:v>
      </x:c>
      <x:c r="R2578" s="9" t="n">
        <x:f>K2578-P2578</x:f>
        <x:v>0.23000000000000043</x:v>
      </x:c>
      <x:c r="S2578" s="10" t="n">
        <x:f>IF(K2578&gt;0,R2578/K2578,"")</x:f>
        <x:v>0.02421052631578952</x:v>
      </x:c>
    </x:row>
    <x:row r="2579">
      <x:c r="A2579" s="7" t="n">
        <x:v>2575</x:v>
      </x:c>
      <x:c r="B2579" s="7" t="str">
        <x:v>Tata</x:v>
      </x:c>
      <x:c r="C2579" s="7" t="str">
        <x:v>Nexon</x:v>
      </x:c>
      <x:c r="D2579" s="7" t="str">
        <x:v>Smart</x:v>
      </x:c>
      <x:c r="E2579" s="7" t="str">
        <x:v>Petrol</x:v>
      </x:c>
      <x:c r="F2579" s="7" t="str">
        <x:v>Manual</x:v>
      </x:c>
      <x:c r="G2579" s="7" t="str">
        <x:v>Compact SUV</x:v>
      </x:c>
      <x:c r="H2579" s="7" t="n">
        <x:v>1199</x:v>
      </x:c>
      <x:c r="I2579" s="7" t="n">
        <x:v>118</x:v>
      </x:c>
      <x:c r="J2579" s="9" t="n">
        <x:v>17.4</x:v>
      </x:c>
      <x:c r="K2579" s="9" t="n">
        <x:v>9.5</x:v>
      </x:c>
      <x:c r="L2579" s="7" t="n">
        <x:v>2024</x:v>
      </x:c>
      <x:c r="M2579" s="11" t="n">
        <x:v>35182</x:v>
      </x:c>
      <x:c r="N2579" s="7" t="n">
        <x:v>2</x:v>
      </x:c>
      <x:c r="O2579" s="7" t="n">
        <x:v>1</x:v>
      </x:c>
      <x:c r="P2579" s="9" t="n">
        <x:v>6.71</x:v>
      </x:c>
      <x:c r="Q2579" s="7" t="n">
        <x:f>'Guide'!$B$5-L2579</x:f>
        <x:v>2</x:v>
      </x:c>
      <x:c r="R2579" s="9" t="n">
        <x:f>K2579-P2579</x:f>
        <x:v>2.79</x:v>
      </x:c>
      <x:c r="S2579" s="10" t="n">
        <x:f>IF(K2579&gt;0,R2579/K2579,"")</x:f>
        <x:v>0.29368421052631577</x:v>
      </x:c>
    </x:row>
    <x:row r="2580">
      <x:c r="A2580" s="7" t="n">
        <x:v>2576</x:v>
      </x:c>
      <x:c r="B2580" s="7" t="str">
        <x:v>Tata</x:v>
      </x:c>
      <x:c r="C2580" s="7" t="str">
        <x:v>Nexon</x:v>
      </x:c>
      <x:c r="D2580" s="7" t="str">
        <x:v>Smart</x:v>
      </x:c>
      <x:c r="E2580" s="7" t="str">
        <x:v>Petrol</x:v>
      </x:c>
      <x:c r="F2580" s="7" t="str">
        <x:v>Manual</x:v>
      </x:c>
      <x:c r="G2580" s="7" t="str">
        <x:v>Compact SUV</x:v>
      </x:c>
      <x:c r="H2580" s="7" t="n">
        <x:v>1199</x:v>
      </x:c>
      <x:c r="I2580" s="7" t="n">
        <x:v>118</x:v>
      </x:c>
      <x:c r="J2580" s="9" t="n">
        <x:v>17.4</x:v>
      </x:c>
      <x:c r="K2580" s="9" t="n">
        <x:v>9.5</x:v>
      </x:c>
      <x:c r="L2580" s="7" t="n">
        <x:v>2026</x:v>
      </x:c>
      <x:c r="M2580" s="11" t="n">
        <x:v>8292</x:v>
      </x:c>
      <x:c r="N2580" s="7" t="n">
        <x:v>2</x:v>
      </x:c>
      <x:c r="O2580" s="7" t="n">
        <x:v>0</x:v>
      </x:c>
      <x:c r="P2580" s="9" t="n">
        <x:v>9.38</x:v>
      </x:c>
      <x:c r="Q2580" s="7" t="n">
        <x:f>'Guide'!$B$5-L2580</x:f>
        <x:v>0</x:v>
      </x:c>
      <x:c r="R2580" s="9" t="n">
        <x:f>K2580-P2580</x:f>
        <x:v>0.11999999999999922</x:v>
      </x:c>
      <x:c r="S2580" s="10" t="n">
        <x:f>IF(K2580&gt;0,R2580/K2580,"")</x:f>
        <x:v>0.01263157894736834</x:v>
      </x:c>
    </x:row>
    <x:row r="2581">
      <x:c r="A2581" s="7" t="n">
        <x:v>2577</x:v>
      </x:c>
      <x:c r="B2581" s="7" t="str">
        <x:v>Tata</x:v>
      </x:c>
      <x:c r="C2581" s="7" t="str">
        <x:v>Nexon</x:v>
      </x:c>
      <x:c r="D2581" s="7" t="str">
        <x:v>Smart</x:v>
      </x:c>
      <x:c r="E2581" s="7" t="str">
        <x:v>Petrol</x:v>
      </x:c>
      <x:c r="F2581" s="7" t="str">
        <x:v>Manual</x:v>
      </x:c>
      <x:c r="G2581" s="7" t="str">
        <x:v>Compact SUV</x:v>
      </x:c>
      <x:c r="H2581" s="7" t="n">
        <x:v>1199</x:v>
      </x:c>
      <x:c r="I2581" s="7" t="n">
        <x:v>118</x:v>
      </x:c>
      <x:c r="J2581" s="9" t="n">
        <x:v>17.4</x:v>
      </x:c>
      <x:c r="K2581" s="9" t="n">
        <x:v>9.5</x:v>
      </x:c>
      <x:c r="L2581" s="7" t="n">
        <x:v>2020</x:v>
      </x:c>
      <x:c r="M2581" s="11" t="n">
        <x:v>77316</x:v>
      </x:c>
      <x:c r="N2581" s="7" t="n">
        <x:v>1</x:v>
      </x:c>
      <x:c r="O2581" s="7" t="n">
        <x:v>0</x:v>
      </x:c>
      <x:c r="P2581" s="9" t="n">
        <x:v>4.08</x:v>
      </x:c>
      <x:c r="Q2581" s="7" t="n">
        <x:f>'Guide'!$B$5-L2581</x:f>
        <x:v>6</x:v>
      </x:c>
      <x:c r="R2581" s="9" t="n">
        <x:f>K2581-P2581</x:f>
        <x:v>5.42</x:v>
      </x:c>
      <x:c r="S2581" s="10" t="n">
        <x:f>IF(K2581&gt;0,R2581/K2581,"")</x:f>
        <x:v>0.5705263157894737</x:v>
      </x:c>
    </x:row>
    <x:row r="2582">
      <x:c r="A2582" s="7" t="n">
        <x:v>2578</x:v>
      </x:c>
      <x:c r="B2582" s="7" t="str">
        <x:v>Tata</x:v>
      </x:c>
      <x:c r="C2582" s="7" t="str">
        <x:v>Nexon</x:v>
      </x:c>
      <x:c r="D2582" s="7" t="str">
        <x:v>Smart</x:v>
      </x:c>
      <x:c r="E2582" s="7" t="str">
        <x:v>Petrol</x:v>
      </x:c>
      <x:c r="F2582" s="7" t="str">
        <x:v>Manual</x:v>
      </x:c>
      <x:c r="G2582" s="7" t="str">
        <x:v>Compact SUV</x:v>
      </x:c>
      <x:c r="H2582" s="7" t="n">
        <x:v>1199</x:v>
      </x:c>
      <x:c r="I2582" s="7" t="n">
        <x:v>118</x:v>
      </x:c>
      <x:c r="J2582" s="9" t="n">
        <x:v>17.4</x:v>
      </x:c>
      <x:c r="K2582" s="9" t="n">
        <x:v>9.5</x:v>
      </x:c>
      <x:c r="L2582" s="7" t="n">
        <x:v>2021</x:v>
      </x:c>
      <x:c r="M2582" s="11" t="n">
        <x:v>78906</x:v>
      </x:c>
      <x:c r="N2582" s="7" t="n">
        <x:v>1</x:v>
      </x:c>
      <x:c r="O2582" s="7" t="n">
        <x:v>0</x:v>
      </x:c>
      <x:c r="P2582" s="9" t="n">
        <x:v>4.68</x:v>
      </x:c>
      <x:c r="Q2582" s="7" t="n">
        <x:f>'Guide'!$B$5-L2582</x:f>
        <x:v>5</x:v>
      </x:c>
      <x:c r="R2582" s="9" t="n">
        <x:f>K2582-P2582</x:f>
        <x:v>4.82</x:v>
      </x:c>
      <x:c r="S2582" s="10" t="n">
        <x:f>IF(K2582&gt;0,R2582/K2582,"")</x:f>
        <x:v>0.5073684210526316</x:v>
      </x:c>
    </x:row>
    <x:row r="2583">
      <x:c r="A2583" s="7" t="n">
        <x:v>2579</x:v>
      </x:c>
      <x:c r="B2583" s="7" t="str">
        <x:v>Tata</x:v>
      </x:c>
      <x:c r="C2583" s="7" t="str">
        <x:v>Nexon</x:v>
      </x:c>
      <x:c r="D2583" s="7" t="str">
        <x:v>Smart</x:v>
      </x:c>
      <x:c r="E2583" s="7" t="str">
        <x:v>Petrol</x:v>
      </x:c>
      <x:c r="F2583" s="7" t="str">
        <x:v>Manual</x:v>
      </x:c>
      <x:c r="G2583" s="7" t="str">
        <x:v>Compact SUV</x:v>
      </x:c>
      <x:c r="H2583" s="7" t="n">
        <x:v>1199</x:v>
      </x:c>
      <x:c r="I2583" s="7" t="n">
        <x:v>118</x:v>
      </x:c>
      <x:c r="J2583" s="9" t="n">
        <x:v>17.4</x:v>
      </x:c>
      <x:c r="K2583" s="9" t="n">
        <x:v>9.5</x:v>
      </x:c>
      <x:c r="L2583" s="7" t="n">
        <x:v>2026</x:v>
      </x:c>
      <x:c r="M2583" s="11" t="n">
        <x:v>6416</x:v>
      </x:c>
      <x:c r="N2583" s="7" t="n">
        <x:v>1</x:v>
      </x:c>
      <x:c r="O2583" s="7" t="n">
        <x:v>0</x:v>
      </x:c>
      <x:c r="P2583" s="9" t="n">
        <x:v>9.04</x:v>
      </x:c>
      <x:c r="Q2583" s="7" t="n">
        <x:f>'Guide'!$B$5-L2583</x:f>
        <x:v>0</x:v>
      </x:c>
      <x:c r="R2583" s="9" t="n">
        <x:f>K2583-P2583</x:f>
        <x:v>0.46000000000000085</x:v>
      </x:c>
      <x:c r="S2583" s="10" t="n">
        <x:f>IF(K2583&gt;0,R2583/K2583,"")</x:f>
        <x:v>0.04842105263157904</x:v>
      </x:c>
    </x:row>
    <x:row r="2584">
      <x:c r="A2584" s="7" t="n">
        <x:v>2580</x:v>
      </x:c>
      <x:c r="B2584" s="7" t="str">
        <x:v>Tata</x:v>
      </x:c>
      <x:c r="C2584" s="7" t="str">
        <x:v>Nexon</x:v>
      </x:c>
      <x:c r="D2584" s="7" t="str">
        <x:v>Smart</x:v>
      </x:c>
      <x:c r="E2584" s="7" t="str">
        <x:v>Petrol</x:v>
      </x:c>
      <x:c r="F2584" s="7" t="str">
        <x:v>Manual</x:v>
      </x:c>
      <x:c r="G2584" s="7" t="str">
        <x:v>Compact SUV</x:v>
      </x:c>
      <x:c r="H2584" s="7" t="n">
        <x:v>1199</x:v>
      </x:c>
      <x:c r="I2584" s="7" t="n">
        <x:v>118</x:v>
      </x:c>
      <x:c r="J2584" s="9" t="n">
        <x:v>17.4</x:v>
      </x:c>
      <x:c r="K2584" s="9" t="n">
        <x:v>9.5</x:v>
      </x:c>
      <x:c r="L2584" s="7" t="n">
        <x:v>2022</x:v>
      </x:c>
      <x:c r="M2584" s="11" t="n">
        <x:v>60091</x:v>
      </x:c>
      <x:c r="N2584" s="7" t="n">
        <x:v>1</x:v>
      </x:c>
      <x:c r="O2584" s="7" t="n">
        <x:v>1</x:v>
      </x:c>
      <x:c r="P2584" s="9" t="n">
        <x:v>5.33</x:v>
      </x:c>
      <x:c r="Q2584" s="7" t="n">
        <x:f>'Guide'!$B$5-L2584</x:f>
        <x:v>4</x:v>
      </x:c>
      <x:c r="R2584" s="9" t="n">
        <x:f>K2584-P2584</x:f>
        <x:v>4.17</x:v>
      </x:c>
      <x:c r="S2584" s="10" t="n">
        <x:f>IF(K2584&gt;0,R2584/K2584,"")</x:f>
        <x:v>0.43894736842105264</x:v>
      </x:c>
    </x:row>
    <x:row r="2585">
      <x:c r="A2585" s="7" t="n">
        <x:v>2581</x:v>
      </x:c>
      <x:c r="B2585" s="7" t="str">
        <x:v>Tata</x:v>
      </x:c>
      <x:c r="C2585" s="7" t="str">
        <x:v>Nexon</x:v>
      </x:c>
      <x:c r="D2585" s="7" t="str">
        <x:v>Smart</x:v>
      </x:c>
      <x:c r="E2585" s="7" t="str">
        <x:v>Petrol</x:v>
      </x:c>
      <x:c r="F2585" s="7" t="str">
        <x:v>Manual</x:v>
      </x:c>
      <x:c r="G2585" s="7" t="str">
        <x:v>Compact SUV</x:v>
      </x:c>
      <x:c r="H2585" s="7" t="n">
        <x:v>1199</x:v>
      </x:c>
      <x:c r="I2585" s="7" t="n">
        <x:v>118</x:v>
      </x:c>
      <x:c r="J2585" s="9" t="n">
        <x:v>17.4</x:v>
      </x:c>
      <x:c r="K2585" s="9" t="n">
        <x:v>9.5</x:v>
      </x:c>
      <x:c r="L2585" s="7" t="n">
        <x:v>2022</x:v>
      </x:c>
      <x:c r="M2585" s="11" t="n">
        <x:v>39015</x:v>
      </x:c>
      <x:c r="N2585" s="7" t="n">
        <x:v>1</x:v>
      </x:c>
      <x:c r="O2585" s="7" t="n">
        <x:v>0</x:v>
      </x:c>
      <x:c r="P2585" s="9" t="n">
        <x:v>6.38</x:v>
      </x:c>
      <x:c r="Q2585" s="7" t="n">
        <x:f>'Guide'!$B$5-L2585</x:f>
        <x:v>4</x:v>
      </x:c>
      <x:c r="R2585" s="9" t="n">
        <x:f>K2585-P2585</x:f>
        <x:v>3.12</x:v>
      </x:c>
      <x:c r="S2585" s="10" t="n">
        <x:f>IF(K2585&gt;0,R2585/K2585,"")</x:f>
        <x:v>0.32842105263157895</x:v>
      </x:c>
    </x:row>
    <x:row r="2586">
      <x:c r="A2586" s="7" t="n">
        <x:v>2582</x:v>
      </x:c>
      <x:c r="B2586" s="7" t="str">
        <x:v>Tata</x:v>
      </x:c>
      <x:c r="C2586" s="7" t="str">
        <x:v>Nexon</x:v>
      </x:c>
      <x:c r="D2586" s="7" t="str">
        <x:v>Smart</x:v>
      </x:c>
      <x:c r="E2586" s="7" t="str">
        <x:v>Petrol</x:v>
      </x:c>
      <x:c r="F2586" s="7" t="str">
        <x:v>Manual</x:v>
      </x:c>
      <x:c r="G2586" s="7" t="str">
        <x:v>Compact SUV</x:v>
      </x:c>
      <x:c r="H2586" s="7" t="n">
        <x:v>1199</x:v>
      </x:c>
      <x:c r="I2586" s="7" t="n">
        <x:v>118</x:v>
      </x:c>
      <x:c r="J2586" s="9" t="n">
        <x:v>17.4</x:v>
      </x:c>
      <x:c r="K2586" s="9" t="n">
        <x:v>9.5</x:v>
      </x:c>
      <x:c r="L2586" s="7" t="n">
        <x:v>2022</x:v>
      </x:c>
      <x:c r="M2586" s="11" t="n">
        <x:v>72565</x:v>
      </x:c>
      <x:c r="N2586" s="7" t="n">
        <x:v>1</x:v>
      </x:c>
      <x:c r="O2586" s="7" t="n">
        <x:v>0</x:v>
      </x:c>
      <x:c r="P2586" s="9" t="n">
        <x:v>6.01</x:v>
      </x:c>
      <x:c r="Q2586" s="7" t="n">
        <x:f>'Guide'!$B$5-L2586</x:f>
        <x:v>4</x:v>
      </x:c>
      <x:c r="R2586" s="9" t="n">
        <x:f>K2586-P2586</x:f>
        <x:v>3.49</x:v>
      </x:c>
      <x:c r="S2586" s="10" t="n">
        <x:f>IF(K2586&gt;0,R2586/K2586,"")</x:f>
        <x:v>0.3673684210526316</x:v>
      </x:c>
    </x:row>
    <x:row r="2587">
      <x:c r="A2587" s="7" t="n">
        <x:v>2583</x:v>
      </x:c>
      <x:c r="B2587" s="7" t="str">
        <x:v>Tata</x:v>
      </x:c>
      <x:c r="C2587" s="7" t="str">
        <x:v>Nexon</x:v>
      </x:c>
      <x:c r="D2587" s="7" t="str">
        <x:v>Smart</x:v>
      </x:c>
      <x:c r="E2587" s="7" t="str">
        <x:v>Petrol</x:v>
      </x:c>
      <x:c r="F2587" s="7" t="str">
        <x:v>Manual</x:v>
      </x:c>
      <x:c r="G2587" s="7" t="str">
        <x:v>Compact SUV</x:v>
      </x:c>
      <x:c r="H2587" s="7" t="n">
        <x:v>1199</x:v>
      </x:c>
      <x:c r="I2587" s="7" t="n">
        <x:v>118</x:v>
      </x:c>
      <x:c r="J2587" s="9" t="n">
        <x:v>17.4</x:v>
      </x:c>
      <x:c r="K2587" s="9" t="n">
        <x:v>9.5</x:v>
      </x:c>
      <x:c r="L2587" s="7" t="n">
        <x:v>2023</x:v>
      </x:c>
      <x:c r="M2587" s="11" t="n">
        <x:v>54013</x:v>
      </x:c>
      <x:c r="N2587" s="7" t="n">
        <x:v>1</x:v>
      </x:c>
      <x:c r="O2587" s="7" t="n">
        <x:v>0</x:v>
      </x:c>
      <x:c r="P2587" s="9" t="n">
        <x:v>6.87</x:v>
      </x:c>
      <x:c r="Q2587" s="7" t="n">
        <x:f>'Guide'!$B$5-L2587</x:f>
        <x:v>3</x:v>
      </x:c>
      <x:c r="R2587" s="9" t="n">
        <x:f>K2587-P2587</x:f>
        <x:v>2.63</x:v>
      </x:c>
      <x:c r="S2587" s="10" t="n">
        <x:f>IF(K2587&gt;0,R2587/K2587,"")</x:f>
        <x:v>0.2768421052631579</x:v>
      </x:c>
    </x:row>
    <x:row r="2588">
      <x:c r="A2588" s="7" t="n">
        <x:v>2584</x:v>
      </x:c>
      <x:c r="B2588" s="7" t="str">
        <x:v>Tata</x:v>
      </x:c>
      <x:c r="C2588" s="7" t="str">
        <x:v>Nexon</x:v>
      </x:c>
      <x:c r="D2588" s="7" t="str">
        <x:v>Smart</x:v>
      </x:c>
      <x:c r="E2588" s="7" t="str">
        <x:v>Petrol</x:v>
      </x:c>
      <x:c r="F2588" s="7" t="str">
        <x:v>Manual</x:v>
      </x:c>
      <x:c r="G2588" s="7" t="str">
        <x:v>Compact SUV</x:v>
      </x:c>
      <x:c r="H2588" s="7" t="n">
        <x:v>1199</x:v>
      </x:c>
      <x:c r="I2588" s="7" t="n">
        <x:v>118</x:v>
      </x:c>
      <x:c r="J2588" s="9" t="n">
        <x:v>17.4</x:v>
      </x:c>
      <x:c r="K2588" s="9" t="n">
        <x:v>9.5</x:v>
      </x:c>
      <x:c r="L2588" s="7" t="n">
        <x:v>2023</x:v>
      </x:c>
      <x:c r="M2588" s="11" t="n">
        <x:v>47203</x:v>
      </x:c>
      <x:c r="N2588" s="7" t="n">
        <x:v>2</x:v>
      </x:c>
      <x:c r="O2588" s="7" t="n">
        <x:v>0</x:v>
      </x:c>
      <x:c r="P2588" s="9" t="n">
        <x:v>6.53</x:v>
      </x:c>
      <x:c r="Q2588" s="7" t="n">
        <x:f>'Guide'!$B$5-L2588</x:f>
        <x:v>3</x:v>
      </x:c>
      <x:c r="R2588" s="9" t="n">
        <x:f>K2588-P2588</x:f>
        <x:v>2.9699999999999998</x:v>
      </x:c>
      <x:c r="S2588" s="10" t="n">
        <x:f>IF(K2588&gt;0,R2588/K2588,"")</x:f>
        <x:v>0.31263157894736837</x:v>
      </x:c>
    </x:row>
    <x:row r="2589">
      <x:c r="A2589" s="7" t="n">
        <x:v>2585</x:v>
      </x:c>
      <x:c r="B2589" s="7" t="str">
        <x:v>Tata</x:v>
      </x:c>
      <x:c r="C2589" s="7" t="str">
        <x:v>Nexon</x:v>
      </x:c>
      <x:c r="D2589" s="7" t="str">
        <x:v>Smart</x:v>
      </x:c>
      <x:c r="E2589" s="7" t="str">
        <x:v>Petrol</x:v>
      </x:c>
      <x:c r="F2589" s="7" t="str">
        <x:v>Manual</x:v>
      </x:c>
      <x:c r="G2589" s="7" t="str">
        <x:v>Compact SUV</x:v>
      </x:c>
      <x:c r="H2589" s="7" t="n">
        <x:v>1199</x:v>
      </x:c>
      <x:c r="I2589" s="7" t="n">
        <x:v>118</x:v>
      </x:c>
      <x:c r="J2589" s="9" t="n">
        <x:v>17.4</x:v>
      </x:c>
      <x:c r="K2589" s="9" t="n">
        <x:v>9.5</x:v>
      </x:c>
      <x:c r="L2589" s="7" t="n">
        <x:v>2023</x:v>
      </x:c>
      <x:c r="M2589" s="11" t="n">
        <x:v>55491</x:v>
      </x:c>
      <x:c r="N2589" s="7" t="n">
        <x:v>1</x:v>
      </x:c>
      <x:c r="O2589" s="7" t="n">
        <x:v>0</x:v>
      </x:c>
      <x:c r="P2589" s="9" t="n">
        <x:v>6.36</x:v>
      </x:c>
      <x:c r="Q2589" s="7" t="n">
        <x:f>'Guide'!$B$5-L2589</x:f>
        <x:v>3</x:v>
      </x:c>
      <x:c r="R2589" s="9" t="n">
        <x:f>K2589-P2589</x:f>
        <x:v>3.1399999999999997</x:v>
      </x:c>
      <x:c r="S2589" s="10" t="n">
        <x:f>IF(K2589&gt;0,R2589/K2589,"")</x:f>
        <x:v>0.33052631578947367</x:v>
      </x:c>
    </x:row>
    <x:row r="2590">
      <x:c r="A2590" s="7" t="n">
        <x:v>2586</x:v>
      </x:c>
      <x:c r="B2590" s="7" t="str">
        <x:v>Tata</x:v>
      </x:c>
      <x:c r="C2590" s="7" t="str">
        <x:v>Nexon</x:v>
      </x:c>
      <x:c r="D2590" s="7" t="str">
        <x:v>Smart</x:v>
      </x:c>
      <x:c r="E2590" s="7" t="str">
        <x:v>Petrol</x:v>
      </x:c>
      <x:c r="F2590" s="7" t="str">
        <x:v>Manual</x:v>
      </x:c>
      <x:c r="G2590" s="7" t="str">
        <x:v>Compact SUV</x:v>
      </x:c>
      <x:c r="H2590" s="7" t="n">
        <x:v>1199</x:v>
      </x:c>
      <x:c r="I2590" s="7" t="n">
        <x:v>118</x:v>
      </x:c>
      <x:c r="J2590" s="9" t="n">
        <x:v>17.4</x:v>
      </x:c>
      <x:c r="K2590" s="9" t="n">
        <x:v>9.5</x:v>
      </x:c>
      <x:c r="L2590" s="7" t="n">
        <x:v>2021</x:v>
      </x:c>
      <x:c r="M2590" s="11" t="n">
        <x:v>86916</x:v>
      </x:c>
      <x:c r="N2590" s="7" t="n">
        <x:v>1</x:v>
      </x:c>
      <x:c r="O2590" s="7" t="n">
        <x:v>0</x:v>
      </x:c>
      <x:c r="P2590" s="9" t="n">
        <x:v>4.59</x:v>
      </x:c>
      <x:c r="Q2590" s="7" t="n">
        <x:f>'Guide'!$B$5-L2590</x:f>
        <x:v>5</x:v>
      </x:c>
      <x:c r="R2590" s="9" t="n">
        <x:f>K2590-P2590</x:f>
        <x:v>4.91</x:v>
      </x:c>
      <x:c r="S2590" s="10" t="n">
        <x:f>IF(K2590&gt;0,R2590/K2590,"")</x:f>
        <x:v>0.5168421052631579</x:v>
      </x:c>
    </x:row>
    <x:row r="2591">
      <x:c r="A2591" s="7" t="n">
        <x:v>2587</x:v>
      </x:c>
      <x:c r="B2591" s="7" t="str">
        <x:v>Tata</x:v>
      </x:c>
      <x:c r="C2591" s="7" t="str">
        <x:v>Nexon</x:v>
      </x:c>
      <x:c r="D2591" s="7" t="str">
        <x:v>Smart</x:v>
      </x:c>
      <x:c r="E2591" s="7" t="str">
        <x:v>Petrol</x:v>
      </x:c>
      <x:c r="F2591" s="7" t="str">
        <x:v>Manual</x:v>
      </x:c>
      <x:c r="G2591" s="7" t="str">
        <x:v>Compact SUV</x:v>
      </x:c>
      <x:c r="H2591" s="7" t="n">
        <x:v>1199</x:v>
      </x:c>
      <x:c r="I2591" s="7" t="n">
        <x:v>118</x:v>
      </x:c>
      <x:c r="J2591" s="9" t="n">
        <x:v>17.4</x:v>
      </x:c>
      <x:c r="K2591" s="9" t="n">
        <x:v>9.5</x:v>
      </x:c>
      <x:c r="L2591" s="7" t="n">
        <x:v>2022</x:v>
      </x:c>
      <x:c r="M2591" s="11" t="n">
        <x:v>43832</x:v>
      </x:c>
      <x:c r="N2591" s="7" t="n">
        <x:v>2</x:v>
      </x:c>
      <x:c r="O2591" s="7" t="n">
        <x:v>0</x:v>
      </x:c>
      <x:c r="P2591" s="9" t="n">
        <x:v>5.86</x:v>
      </x:c>
      <x:c r="Q2591" s="7" t="n">
        <x:f>'Guide'!$B$5-L2591</x:f>
        <x:v>4</x:v>
      </x:c>
      <x:c r="R2591" s="9" t="n">
        <x:f>K2591-P2591</x:f>
        <x:v>3.6399999999999997</x:v>
      </x:c>
      <x:c r="S2591" s="10" t="n">
        <x:f>IF(K2591&gt;0,R2591/K2591,"")</x:f>
        <x:v>0.3831578947368421</x:v>
      </x:c>
    </x:row>
    <x:row r="2592">
      <x:c r="A2592" s="7" t="n">
        <x:v>2588</x:v>
      </x:c>
      <x:c r="B2592" s="7" t="str">
        <x:v>Tata</x:v>
      </x:c>
      <x:c r="C2592" s="7" t="str">
        <x:v>Nexon</x:v>
      </x:c>
      <x:c r="D2592" s="7" t="str">
        <x:v>Smart</x:v>
      </x:c>
      <x:c r="E2592" s="7" t="str">
        <x:v>Petrol</x:v>
      </x:c>
      <x:c r="F2592" s="7" t="str">
        <x:v>Manual</x:v>
      </x:c>
      <x:c r="G2592" s="7" t="str">
        <x:v>Compact SUV</x:v>
      </x:c>
      <x:c r="H2592" s="7" t="n">
        <x:v>1199</x:v>
      </x:c>
      <x:c r="I2592" s="7" t="n">
        <x:v>118</x:v>
      </x:c>
      <x:c r="J2592" s="9" t="n">
        <x:v>17.4</x:v>
      </x:c>
      <x:c r="K2592" s="9" t="n">
        <x:v>9.5</x:v>
      </x:c>
      <x:c r="L2592" s="7" t="n">
        <x:v>2020</x:v>
      </x:c>
      <x:c r="M2592" s="11" t="n">
        <x:v>92396</x:v>
      </x:c>
      <x:c r="N2592" s="7" t="n">
        <x:v>1</x:v>
      </x:c>
      <x:c r="O2592" s="7" t="n">
        <x:v>0</x:v>
      </x:c>
      <x:c r="P2592" s="9" t="n">
        <x:v>3.76</x:v>
      </x:c>
      <x:c r="Q2592" s="7" t="n">
        <x:f>'Guide'!$B$5-L2592</x:f>
        <x:v>6</x:v>
      </x:c>
      <x:c r="R2592" s="9" t="n">
        <x:f>K2592-P2592</x:f>
        <x:v>5.74</x:v>
      </x:c>
      <x:c r="S2592" s="10" t="n">
        <x:f>IF(K2592&gt;0,R2592/K2592,"")</x:f>
        <x:v>0.6042105263157895</x:v>
      </x:c>
    </x:row>
    <x:row r="2593">
      <x:c r="A2593" s="7" t="n">
        <x:v>2589</x:v>
      </x:c>
      <x:c r="B2593" s="7" t="str">
        <x:v>Tata</x:v>
      </x:c>
      <x:c r="C2593" s="7" t="str">
        <x:v>Nexon</x:v>
      </x:c>
      <x:c r="D2593" s="7" t="str">
        <x:v>Smart</x:v>
      </x:c>
      <x:c r="E2593" s="7" t="str">
        <x:v>Petrol</x:v>
      </x:c>
      <x:c r="F2593" s="7" t="str">
        <x:v>Manual</x:v>
      </x:c>
      <x:c r="G2593" s="7" t="str">
        <x:v>Compact SUV</x:v>
      </x:c>
      <x:c r="H2593" s="7" t="n">
        <x:v>1199</x:v>
      </x:c>
      <x:c r="I2593" s="7" t="n">
        <x:v>118</x:v>
      </x:c>
      <x:c r="J2593" s="9" t="n">
        <x:v>17.4</x:v>
      </x:c>
      <x:c r="K2593" s="9" t="n">
        <x:v>9.5</x:v>
      </x:c>
      <x:c r="L2593" s="7" t="n">
        <x:v>2021</x:v>
      </x:c>
      <x:c r="M2593" s="11" t="n">
        <x:v>47044</x:v>
      </x:c>
      <x:c r="N2593" s="7" t="n">
        <x:v>1</x:v>
      </x:c>
      <x:c r="O2593" s="7" t="n">
        <x:v>0</x:v>
      </x:c>
      <x:c r="P2593" s="9" t="n">
        <x:v>5.42</x:v>
      </x:c>
      <x:c r="Q2593" s="7" t="n">
        <x:f>'Guide'!$B$5-L2593</x:f>
        <x:v>5</x:v>
      </x:c>
      <x:c r="R2593" s="9" t="n">
        <x:f>K2593-P2593</x:f>
        <x:v>4.08</x:v>
      </x:c>
      <x:c r="S2593" s="10" t="n">
        <x:f>IF(K2593&gt;0,R2593/K2593,"")</x:f>
        <x:v>0.42947368421052634</x:v>
      </x:c>
    </x:row>
    <x:row r="2594">
      <x:c r="A2594" s="7" t="n">
        <x:v>2590</x:v>
      </x:c>
      <x:c r="B2594" s="7" t="str">
        <x:v>Tata</x:v>
      </x:c>
      <x:c r="C2594" s="7" t="str">
        <x:v>Nexon</x:v>
      </x:c>
      <x:c r="D2594" s="7" t="str">
        <x:v>Smart</x:v>
      </x:c>
      <x:c r="E2594" s="7" t="str">
        <x:v>Petrol</x:v>
      </x:c>
      <x:c r="F2594" s="7" t="str">
        <x:v>Manual</x:v>
      </x:c>
      <x:c r="G2594" s="7" t="str">
        <x:v>Compact SUV</x:v>
      </x:c>
      <x:c r="H2594" s="7" t="n">
        <x:v>1199</x:v>
      </x:c>
      <x:c r="I2594" s="7" t="n">
        <x:v>118</x:v>
      </x:c>
      <x:c r="J2594" s="9" t="n">
        <x:v>17.4</x:v>
      </x:c>
      <x:c r="K2594" s="9" t="n">
        <x:v>9.5</x:v>
      </x:c>
      <x:c r="L2594" s="7" t="n">
        <x:v>2022</x:v>
      </x:c>
      <x:c r="M2594" s="11" t="n">
        <x:v>55344</x:v>
      </x:c>
      <x:c r="N2594" s="7" t="n">
        <x:v>2</x:v>
      </x:c>
      <x:c r="O2594" s="7" t="n">
        <x:v>0</x:v>
      </x:c>
      <x:c r="P2594" s="9" t="n">
        <x:v>5.26</x:v>
      </x:c>
      <x:c r="Q2594" s="7" t="n">
        <x:f>'Guide'!$B$5-L2594</x:f>
        <x:v>4</x:v>
      </x:c>
      <x:c r="R2594" s="9" t="n">
        <x:f>K2594-P2594</x:f>
        <x:v>4.24</x:v>
      </x:c>
      <x:c r="S2594" s="10" t="n">
        <x:f>IF(K2594&gt;0,R2594/K2594,"")</x:f>
        <x:v>0.4463157894736842</x:v>
      </x:c>
    </x:row>
    <x:row r="2595">
      <x:c r="A2595" s="7" t="n">
        <x:v>2591</x:v>
      </x:c>
      <x:c r="B2595" s="7" t="str">
        <x:v>Tata</x:v>
      </x:c>
      <x:c r="C2595" s="7" t="str">
        <x:v>Nexon</x:v>
      </x:c>
      <x:c r="D2595" s="7" t="str">
        <x:v>Smart</x:v>
      </x:c>
      <x:c r="E2595" s="7" t="str">
        <x:v>Petrol</x:v>
      </x:c>
      <x:c r="F2595" s="7" t="str">
        <x:v>Manual</x:v>
      </x:c>
      <x:c r="G2595" s="7" t="str">
        <x:v>Compact SUV</x:v>
      </x:c>
      <x:c r="H2595" s="7" t="n">
        <x:v>1199</x:v>
      </x:c>
      <x:c r="I2595" s="7" t="n">
        <x:v>118</x:v>
      </x:c>
      <x:c r="J2595" s="9" t="n">
        <x:v>17.4</x:v>
      </x:c>
      <x:c r="K2595" s="9" t="n">
        <x:v>9.5</x:v>
      </x:c>
      <x:c r="L2595" s="7" t="n">
        <x:v>2026</x:v>
      </x:c>
      <x:c r="M2595" s="11" t="n">
        <x:v>4049</x:v>
      </x:c>
      <x:c r="N2595" s="7" t="n">
        <x:v>2</x:v>
      </x:c>
      <x:c r="O2595" s="7" t="n">
        <x:v>0</x:v>
      </x:c>
      <x:c r="P2595" s="9" t="n">
        <x:v>9.19</x:v>
      </x:c>
      <x:c r="Q2595" s="7" t="n">
        <x:f>'Guide'!$B$5-L2595</x:f>
        <x:v>0</x:v>
      </x:c>
      <x:c r="R2595" s="9" t="n">
        <x:f>K2595-P2595</x:f>
        <x:v>0.3100000000000005</x:v>
      </x:c>
      <x:c r="S2595" s="10" t="n">
        <x:f>IF(K2595&gt;0,R2595/K2595,"")</x:f>
        <x:v>0.03263157894736848</x:v>
      </x:c>
    </x:row>
    <x:row r="2596">
      <x:c r="A2596" s="7" t="n">
        <x:v>2592</x:v>
      </x:c>
      <x:c r="B2596" s="7" t="str">
        <x:v>Tata</x:v>
      </x:c>
      <x:c r="C2596" s="7" t="str">
        <x:v>Nexon</x:v>
      </x:c>
      <x:c r="D2596" s="7" t="str">
        <x:v>Smart</x:v>
      </x:c>
      <x:c r="E2596" s="7" t="str">
        <x:v>Petrol</x:v>
      </x:c>
      <x:c r="F2596" s="7" t="str">
        <x:v>Manual</x:v>
      </x:c>
      <x:c r="G2596" s="7" t="str">
        <x:v>Compact SUV</x:v>
      </x:c>
      <x:c r="H2596" s="7" t="n">
        <x:v>1199</x:v>
      </x:c>
      <x:c r="I2596" s="7" t="n">
        <x:v>118</x:v>
      </x:c>
      <x:c r="J2596" s="9" t="n">
        <x:v>17.4</x:v>
      </x:c>
      <x:c r="K2596" s="9" t="n">
        <x:v>9.5</x:v>
      </x:c>
      <x:c r="L2596" s="7" t="n">
        <x:v>2025</x:v>
      </x:c>
      <x:c r="M2596" s="11" t="n">
        <x:v>25235</x:v>
      </x:c>
      <x:c r="N2596" s="7" t="n">
        <x:v>1</x:v>
      </x:c>
      <x:c r="O2596" s="7" t="n">
        <x:v>0</x:v>
      </x:c>
      <x:c r="P2596" s="9" t="n">
        <x:v>8.64</x:v>
      </x:c>
      <x:c r="Q2596" s="7" t="n">
        <x:f>'Guide'!$B$5-L2596</x:f>
        <x:v>1</x:v>
      </x:c>
      <x:c r="R2596" s="9" t="n">
        <x:f>K2596-P2596</x:f>
        <x:v>0.8599999999999994</x:v>
      </x:c>
      <x:c r="S2596" s="10" t="n">
        <x:f>IF(K2596&gt;0,R2596/K2596,"")</x:f>
        <x:v>0.09052631578947362</x:v>
      </x:c>
    </x:row>
    <x:row r="2597">
      <x:c r="A2597" s="7" t="n">
        <x:v>2593</x:v>
      </x:c>
      <x:c r="B2597" s="7" t="str">
        <x:v>Tata</x:v>
      </x:c>
      <x:c r="C2597" s="7" t="str">
        <x:v>Nexon</x:v>
      </x:c>
      <x:c r="D2597" s="7" t="str">
        <x:v>Smart</x:v>
      </x:c>
      <x:c r="E2597" s="7" t="str">
        <x:v>Petrol</x:v>
      </x:c>
      <x:c r="F2597" s="7" t="str">
        <x:v>Manual</x:v>
      </x:c>
      <x:c r="G2597" s="7" t="str">
        <x:v>Compact SUV</x:v>
      </x:c>
      <x:c r="H2597" s="7" t="n">
        <x:v>1199</x:v>
      </x:c>
      <x:c r="I2597" s="7" t="n">
        <x:v>118</x:v>
      </x:c>
      <x:c r="J2597" s="9" t="n">
        <x:v>17.4</x:v>
      </x:c>
      <x:c r="K2597" s="9" t="n">
        <x:v>9.5</x:v>
      </x:c>
      <x:c r="L2597" s="7" t="n">
        <x:v>2022</x:v>
      </x:c>
      <x:c r="M2597" s="11" t="n">
        <x:v>81627</x:v>
      </x:c>
      <x:c r="N2597" s="7" t="n">
        <x:v>1</x:v>
      </x:c>
      <x:c r="O2597" s="7" t="n">
        <x:v>0</x:v>
      </x:c>
      <x:c r="P2597" s="9" t="n">
        <x:v>5.24</x:v>
      </x:c>
      <x:c r="Q2597" s="7" t="n">
        <x:f>'Guide'!$B$5-L2597</x:f>
        <x:v>4</x:v>
      </x:c>
      <x:c r="R2597" s="9" t="n">
        <x:f>K2597-P2597</x:f>
        <x:v>4.26</x:v>
      </x:c>
      <x:c r="S2597" s="10" t="n">
        <x:f>IF(K2597&gt;0,R2597/K2597,"")</x:f>
        <x:v>0.44842105263157894</x:v>
      </x:c>
    </x:row>
    <x:row r="2598">
      <x:c r="A2598" s="7" t="n">
        <x:v>2594</x:v>
      </x:c>
      <x:c r="B2598" s="7" t="str">
        <x:v>Tata</x:v>
      </x:c>
      <x:c r="C2598" s="7" t="str">
        <x:v>Nexon</x:v>
      </x:c>
      <x:c r="D2598" s="7" t="str">
        <x:v>Smart</x:v>
      </x:c>
      <x:c r="E2598" s="7" t="str">
        <x:v>Petrol</x:v>
      </x:c>
      <x:c r="F2598" s="7" t="str">
        <x:v>Manual</x:v>
      </x:c>
      <x:c r="G2598" s="7" t="str">
        <x:v>Compact SUV</x:v>
      </x:c>
      <x:c r="H2598" s="7" t="n">
        <x:v>1199</x:v>
      </x:c>
      <x:c r="I2598" s="7" t="n">
        <x:v>118</x:v>
      </x:c>
      <x:c r="J2598" s="9" t="n">
        <x:v>17.4</x:v>
      </x:c>
      <x:c r="K2598" s="9" t="n">
        <x:v>9.5</x:v>
      </x:c>
      <x:c r="L2598" s="7" t="n">
        <x:v>2022</x:v>
      </x:c>
      <x:c r="M2598" s="11" t="n">
        <x:v>87191</x:v>
      </x:c>
      <x:c r="N2598" s="7" t="n">
        <x:v>1</x:v>
      </x:c>
      <x:c r="O2598" s="7" t="n">
        <x:v>0</x:v>
      </x:c>
      <x:c r="P2598" s="9" t="n">
        <x:v>5.63</x:v>
      </x:c>
      <x:c r="Q2598" s="7" t="n">
        <x:f>'Guide'!$B$5-L2598</x:f>
        <x:v>4</x:v>
      </x:c>
      <x:c r="R2598" s="9" t="n">
        <x:f>K2598-P2598</x:f>
        <x:v>3.87</x:v>
      </x:c>
      <x:c r="S2598" s="10" t="n">
        <x:f>IF(K2598&gt;0,R2598/K2598,"")</x:f>
        <x:v>0.4073684210526316</x:v>
      </x:c>
    </x:row>
    <x:row r="2599">
      <x:c r="A2599" s="7" t="n">
        <x:v>2595</x:v>
      </x:c>
      <x:c r="B2599" s="7" t="str">
        <x:v>Tata</x:v>
      </x:c>
      <x:c r="C2599" s="7" t="str">
        <x:v>Nexon</x:v>
      </x:c>
      <x:c r="D2599" s="7" t="str">
        <x:v>Smart</x:v>
      </x:c>
      <x:c r="E2599" s="7" t="str">
        <x:v>Petrol</x:v>
      </x:c>
      <x:c r="F2599" s="7" t="str">
        <x:v>Manual</x:v>
      </x:c>
      <x:c r="G2599" s="7" t="str">
        <x:v>Compact SUV</x:v>
      </x:c>
      <x:c r="H2599" s="7" t="n">
        <x:v>1199</x:v>
      </x:c>
      <x:c r="I2599" s="7" t="n">
        <x:v>118</x:v>
      </x:c>
      <x:c r="J2599" s="9" t="n">
        <x:v>17.4</x:v>
      </x:c>
      <x:c r="K2599" s="9" t="n">
        <x:v>9.5</x:v>
      </x:c>
      <x:c r="L2599" s="7" t="n">
        <x:v>2025</x:v>
      </x:c>
      <x:c r="M2599" s="11" t="n">
        <x:v>23295</x:v>
      </x:c>
      <x:c r="N2599" s="7" t="n">
        <x:v>1</x:v>
      </x:c>
      <x:c r="O2599" s="7" t="n">
        <x:v>0</x:v>
      </x:c>
      <x:c r="P2599" s="9" t="n">
        <x:v>8.56</x:v>
      </x:c>
      <x:c r="Q2599" s="7" t="n">
        <x:f>'Guide'!$B$5-L2599</x:f>
        <x:v>1</x:v>
      </x:c>
      <x:c r="R2599" s="9" t="n">
        <x:f>K2599-P2599</x:f>
        <x:v>0.9399999999999995</x:v>
      </x:c>
      <x:c r="S2599" s="10" t="n">
        <x:f>IF(K2599&gt;0,R2599/K2599,"")</x:f>
        <x:v>0.09894736842105258</x:v>
      </x:c>
    </x:row>
    <x:row r="2600">
      <x:c r="A2600" s="7" t="n">
        <x:v>2596</x:v>
      </x:c>
      <x:c r="B2600" s="7" t="str">
        <x:v>Tata</x:v>
      </x:c>
      <x:c r="C2600" s="7" t="str">
        <x:v>Nexon</x:v>
      </x:c>
      <x:c r="D2600" s="7" t="str">
        <x:v>Smart</x:v>
      </x:c>
      <x:c r="E2600" s="7" t="str">
        <x:v>Petrol</x:v>
      </x:c>
      <x:c r="F2600" s="7" t="str">
        <x:v>Manual</x:v>
      </x:c>
      <x:c r="G2600" s="7" t="str">
        <x:v>Compact SUV</x:v>
      </x:c>
      <x:c r="H2600" s="7" t="n">
        <x:v>1199</x:v>
      </x:c>
      <x:c r="I2600" s="7" t="n">
        <x:v>118</x:v>
      </x:c>
      <x:c r="J2600" s="9" t="n">
        <x:v>17.4</x:v>
      </x:c>
      <x:c r="K2600" s="9" t="n">
        <x:v>9.5</x:v>
      </x:c>
      <x:c r="L2600" s="7" t="n">
        <x:v>2021</x:v>
      </x:c>
      <x:c r="M2600" s="11" t="n">
        <x:v>76539</x:v>
      </x:c>
      <x:c r="N2600" s="7" t="n">
        <x:v>1</x:v>
      </x:c>
      <x:c r="O2600" s="7" t="n">
        <x:v>0</x:v>
      </x:c>
      <x:c r="P2600" s="9" t="n">
        <x:v>4.45</x:v>
      </x:c>
      <x:c r="Q2600" s="7" t="n">
        <x:f>'Guide'!$B$5-L2600</x:f>
        <x:v>5</x:v>
      </x:c>
      <x:c r="R2600" s="9" t="n">
        <x:f>K2600-P2600</x:f>
        <x:v>5.05</x:v>
      </x:c>
      <x:c r="S2600" s="10" t="n">
        <x:f>IF(K2600&gt;0,R2600/K2600,"")</x:f>
        <x:v>0.531578947368421</x:v>
      </x:c>
    </x:row>
    <x:row r="2601">
      <x:c r="A2601" s="7" t="n">
        <x:v>2597</x:v>
      </x:c>
      <x:c r="B2601" s="7" t="str">
        <x:v>Tata</x:v>
      </x:c>
      <x:c r="C2601" s="7" t="str">
        <x:v>Nexon</x:v>
      </x:c>
      <x:c r="D2601" s="7" t="str">
        <x:v>Smart</x:v>
      </x:c>
      <x:c r="E2601" s="7" t="str">
        <x:v>Petrol</x:v>
      </x:c>
      <x:c r="F2601" s="7" t="str">
        <x:v>Manual</x:v>
      </x:c>
      <x:c r="G2601" s="7" t="str">
        <x:v>Compact SUV</x:v>
      </x:c>
      <x:c r="H2601" s="7" t="n">
        <x:v>1199</x:v>
      </x:c>
      <x:c r="I2601" s="7" t="n">
        <x:v>118</x:v>
      </x:c>
      <x:c r="J2601" s="9" t="n">
        <x:v>17.4</x:v>
      </x:c>
      <x:c r="K2601" s="9" t="n">
        <x:v>9.5</x:v>
      </x:c>
      <x:c r="L2601" s="7" t="n">
        <x:v>2023</x:v>
      </x:c>
      <x:c r="M2601" s="11" t="n">
        <x:v>37068</x:v>
      </x:c>
      <x:c r="N2601" s="7" t="n">
        <x:v>2</x:v>
      </x:c>
      <x:c r="O2601" s="7" t="n">
        <x:v>0</x:v>
      </x:c>
      <x:c r="P2601" s="9" t="n">
        <x:v>6.69</x:v>
      </x:c>
      <x:c r="Q2601" s="7" t="n">
        <x:f>'Guide'!$B$5-L2601</x:f>
        <x:v>3</x:v>
      </x:c>
      <x:c r="R2601" s="9" t="n">
        <x:f>K2601-P2601</x:f>
        <x:v>2.8099999999999996</x:v>
      </x:c>
      <x:c r="S2601" s="10" t="n">
        <x:f>IF(K2601&gt;0,R2601/K2601,"")</x:f>
        <x:v>0.2957894736842105</x:v>
      </x:c>
    </x:row>
    <x:row r="2602">
      <x:c r="A2602" s="7" t="n">
        <x:v>2598</x:v>
      </x:c>
      <x:c r="B2602" s="7" t="str">
        <x:v>Tata</x:v>
      </x:c>
      <x:c r="C2602" s="7" t="str">
        <x:v>Nexon</x:v>
      </x:c>
      <x:c r="D2602" s="7" t="str">
        <x:v>Smart</x:v>
      </x:c>
      <x:c r="E2602" s="7" t="str">
        <x:v>Petrol</x:v>
      </x:c>
      <x:c r="F2602" s="7" t="str">
        <x:v>Manual</x:v>
      </x:c>
      <x:c r="G2602" s="7" t="str">
        <x:v>Compact SUV</x:v>
      </x:c>
      <x:c r="H2602" s="7" t="n">
        <x:v>1199</x:v>
      </x:c>
      <x:c r="I2602" s="7" t="n">
        <x:v>118</x:v>
      </x:c>
      <x:c r="J2602" s="9" t="n">
        <x:v>17.4</x:v>
      </x:c>
      <x:c r="K2602" s="9" t="n">
        <x:v>9.5</x:v>
      </x:c>
      <x:c r="L2602" s="7" t="n">
        <x:v>2021</x:v>
      </x:c>
      <x:c r="M2602" s="11" t="n">
        <x:v>103244</x:v>
      </x:c>
      <x:c r="N2602" s="7" t="n">
        <x:v>2</x:v>
      </x:c>
      <x:c r="O2602" s="7" t="n">
        <x:v>0</x:v>
      </x:c>
      <x:c r="P2602" s="9" t="n">
        <x:v>4.1</x:v>
      </x:c>
      <x:c r="Q2602" s="7" t="n">
        <x:f>'Guide'!$B$5-L2602</x:f>
        <x:v>5</x:v>
      </x:c>
      <x:c r="R2602" s="9" t="n">
        <x:f>K2602-P2602</x:f>
        <x:v>5.4</x:v>
      </x:c>
      <x:c r="S2602" s="10" t="n">
        <x:f>IF(K2602&gt;0,R2602/K2602,"")</x:f>
        <x:v>0.5684210526315789</x:v>
      </x:c>
    </x:row>
    <x:row r="2603">
      <x:c r="A2603" s="7" t="n">
        <x:v>2599</x:v>
      </x:c>
      <x:c r="B2603" s="7" t="str">
        <x:v>Tata</x:v>
      </x:c>
      <x:c r="C2603" s="7" t="str">
        <x:v>Nexon</x:v>
      </x:c>
      <x:c r="D2603" s="7" t="str">
        <x:v>Smart</x:v>
      </x:c>
      <x:c r="E2603" s="7" t="str">
        <x:v>Petrol</x:v>
      </x:c>
      <x:c r="F2603" s="7" t="str">
        <x:v>Manual</x:v>
      </x:c>
      <x:c r="G2603" s="7" t="str">
        <x:v>Compact SUV</x:v>
      </x:c>
      <x:c r="H2603" s="7" t="n">
        <x:v>1199</x:v>
      </x:c>
      <x:c r="I2603" s="7" t="n">
        <x:v>118</x:v>
      </x:c>
      <x:c r="J2603" s="9" t="n">
        <x:v>17.4</x:v>
      </x:c>
      <x:c r="K2603" s="9" t="n">
        <x:v>9.5</x:v>
      </x:c>
      <x:c r="L2603" s="7" t="n">
        <x:v>2026</x:v>
      </x:c>
      <x:c r="M2603" s="11" t="n">
        <x:v>5079</x:v>
      </x:c>
      <x:c r="N2603" s="7" t="n">
        <x:v>1</x:v>
      </x:c>
      <x:c r="O2603" s="7" t="n">
        <x:v>0</x:v>
      </x:c>
      <x:c r="P2603" s="9" t="n">
        <x:v>9.39</x:v>
      </x:c>
      <x:c r="Q2603" s="7" t="n">
        <x:f>'Guide'!$B$5-L2603</x:f>
        <x:v>0</x:v>
      </x:c>
      <x:c r="R2603" s="9" t="n">
        <x:f>K2603-P2603</x:f>
        <x:v>0.10999999999999943</x:v>
      </x:c>
      <x:c r="S2603" s="10" t="n">
        <x:f>IF(K2603&gt;0,R2603/K2603,"")</x:f>
        <x:v>0.011578947368420993</x:v>
      </x:c>
    </x:row>
    <x:row r="2604">
      <x:c r="A2604" s="7" t="n">
        <x:v>2600</x:v>
      </x:c>
      <x:c r="B2604" s="7" t="str">
        <x:v>Tata</x:v>
      </x:c>
      <x:c r="C2604" s="7" t="str">
        <x:v>Nexon</x:v>
      </x:c>
      <x:c r="D2604" s="7" t="str">
        <x:v>Smart</x:v>
      </x:c>
      <x:c r="E2604" s="7" t="str">
        <x:v>Petrol</x:v>
      </x:c>
      <x:c r="F2604" s="7" t="str">
        <x:v>Manual</x:v>
      </x:c>
      <x:c r="G2604" s="7" t="str">
        <x:v>Compact SUV</x:v>
      </x:c>
      <x:c r="H2604" s="7" t="n">
        <x:v>1199</x:v>
      </x:c>
      <x:c r="I2604" s="7" t="n">
        <x:v>118</x:v>
      </x:c>
      <x:c r="J2604" s="9" t="n">
        <x:v>17.4</x:v>
      </x:c>
      <x:c r="K2604" s="9" t="n">
        <x:v>9.5</x:v>
      </x:c>
      <x:c r="L2604" s="7" t="n">
        <x:v>2023</x:v>
      </x:c>
      <x:c r="M2604" s="11" t="n">
        <x:v>31092</x:v>
      </x:c>
      <x:c r="N2604" s="7" t="n">
        <x:v>2</x:v>
      </x:c>
      <x:c r="O2604" s="7" t="n">
        <x:v>0</x:v>
      </x:c>
      <x:c r="P2604" s="9" t="n">
        <x:v>6.56</x:v>
      </x:c>
      <x:c r="Q2604" s="7" t="n">
        <x:f>'Guide'!$B$5-L2604</x:f>
        <x:v>3</x:v>
      </x:c>
      <x:c r="R2604" s="9" t="n">
        <x:f>K2604-P2604</x:f>
        <x:v>2.9400000000000004</x:v>
      </x:c>
      <x:c r="S2604" s="10" t="n">
        <x:f>IF(K2604&gt;0,R2604/K2604,"")</x:f>
        <x:v>0.30947368421052635</x:v>
      </x:c>
    </x:row>
    <x:row r="2605">
      <x:c r="A2605" s="7" t="n">
        <x:v>2601</x:v>
      </x:c>
      <x:c r="B2605" s="7" t="str">
        <x:v>Tata</x:v>
      </x:c>
      <x:c r="C2605" s="7" t="str">
        <x:v>Nexon</x:v>
      </x:c>
      <x:c r="D2605" s="7" t="str">
        <x:v>Creative DCA</x:v>
      </x:c>
      <x:c r="E2605" s="7" t="str">
        <x:v>Petrol</x:v>
      </x:c>
      <x:c r="F2605" s="7" t="str">
        <x:v>Automatic</x:v>
      </x:c>
      <x:c r="G2605" s="7" t="str">
        <x:v>Compact SUV</x:v>
      </x:c>
      <x:c r="H2605" s="7" t="n">
        <x:v>1199</x:v>
      </x:c>
      <x:c r="I2605" s="7" t="n">
        <x:v>118</x:v>
      </x:c>
      <x:c r="J2605" s="9" t="n">
        <x:v>17.2</x:v>
      </x:c>
      <x:c r="K2605" s="9" t="n">
        <x:v>13.5</x:v>
      </x:c>
      <x:c r="L2605" s="7" t="n">
        <x:v>2021</x:v>
      </x:c>
      <x:c r="M2605" s="11" t="n">
        <x:v>52806</x:v>
      </x:c>
      <x:c r="N2605" s="7" t="n">
        <x:v>1</x:v>
      </x:c>
      <x:c r="O2605" s="7" t="n">
        <x:v>0</x:v>
      </x:c>
      <x:c r="P2605" s="9" t="n">
        <x:v>7.23</x:v>
      </x:c>
      <x:c r="Q2605" s="7" t="n">
        <x:f>'Guide'!$B$5-L2605</x:f>
        <x:v>5</x:v>
      </x:c>
      <x:c r="R2605" s="9" t="n">
        <x:f>K2605-P2605</x:f>
        <x:v>6.27</x:v>
      </x:c>
      <x:c r="S2605" s="10" t="n">
        <x:f>IF(K2605&gt;0,R2605/K2605,"")</x:f>
        <x:v>0.46444444444444444</x:v>
      </x:c>
    </x:row>
    <x:row r="2606">
      <x:c r="A2606" s="7" t="n">
        <x:v>2602</x:v>
      </x:c>
      <x:c r="B2606" s="7" t="str">
        <x:v>Tata</x:v>
      </x:c>
      <x:c r="C2606" s="7" t="str">
        <x:v>Nexon</x:v>
      </x:c>
      <x:c r="D2606" s="7" t="str">
        <x:v>Creative DCA</x:v>
      </x:c>
      <x:c r="E2606" s="7" t="str">
        <x:v>Petrol</x:v>
      </x:c>
      <x:c r="F2606" s="7" t="str">
        <x:v>Automatic</x:v>
      </x:c>
      <x:c r="G2606" s="7" t="str">
        <x:v>Compact SUV</x:v>
      </x:c>
      <x:c r="H2606" s="7" t="n">
        <x:v>1199</x:v>
      </x:c>
      <x:c r="I2606" s="7" t="n">
        <x:v>118</x:v>
      </x:c>
      <x:c r="J2606" s="9" t="n">
        <x:v>17.2</x:v>
      </x:c>
      <x:c r="K2606" s="9" t="n">
        <x:v>13.5</x:v>
      </x:c>
      <x:c r="L2606" s="7" t="n">
        <x:v>2023</x:v>
      </x:c>
      <x:c r="M2606" s="11" t="n">
        <x:v>62650</x:v>
      </x:c>
      <x:c r="N2606" s="7" t="n">
        <x:v>1</x:v>
      </x:c>
      <x:c r="O2606" s="7" t="n">
        <x:v>1</x:v>
      </x:c>
      <x:c r="P2606" s="9" t="n">
        <x:v>8.07</x:v>
      </x:c>
      <x:c r="Q2606" s="7" t="n">
        <x:f>'Guide'!$B$5-L2606</x:f>
        <x:v>3</x:v>
      </x:c>
      <x:c r="R2606" s="9" t="n">
        <x:f>K2606-P2606</x:f>
        <x:v>5.43</x:v>
      </x:c>
      <x:c r="S2606" s="10" t="n">
        <x:f>IF(K2606&gt;0,R2606/K2606,"")</x:f>
        <x:v>0.4022222222222222</x:v>
      </x:c>
    </x:row>
    <x:row r="2607">
      <x:c r="A2607" s="7" t="n">
        <x:v>2603</x:v>
      </x:c>
      <x:c r="B2607" s="7" t="str">
        <x:v>Tata</x:v>
      </x:c>
      <x:c r="C2607" s="7" t="str">
        <x:v>Nexon</x:v>
      </x:c>
      <x:c r="D2607" s="7" t="str">
        <x:v>Creative DCA</x:v>
      </x:c>
      <x:c r="E2607" s="7" t="str">
        <x:v>Petrol</x:v>
      </x:c>
      <x:c r="F2607" s="7" t="str">
        <x:v>Automatic</x:v>
      </x:c>
      <x:c r="G2607" s="7" t="str">
        <x:v>Compact SUV</x:v>
      </x:c>
      <x:c r="H2607" s="7" t="n">
        <x:v>1199</x:v>
      </x:c>
      <x:c r="I2607" s="7" t="n">
        <x:v>118</x:v>
      </x:c>
      <x:c r="J2607" s="9" t="n">
        <x:v>17.2</x:v>
      </x:c>
      <x:c r="K2607" s="9" t="n">
        <x:v>13.5</x:v>
      </x:c>
      <x:c r="L2607" s="7" t="n">
        <x:v>2023</x:v>
      </x:c>
      <x:c r="M2607" s="11" t="n">
        <x:v>38884</x:v>
      </x:c>
      <x:c r="N2607" s="7" t="n">
        <x:v>1</x:v>
      </x:c>
      <x:c r="O2607" s="7" t="n">
        <x:v>0</x:v>
      </x:c>
      <x:c r="P2607" s="9" t="n">
        <x:v>9.38</x:v>
      </x:c>
      <x:c r="Q2607" s="7" t="n">
        <x:f>'Guide'!$B$5-L2607</x:f>
        <x:v>3</x:v>
      </x:c>
      <x:c r="R2607" s="9" t="n">
        <x:f>K2607-P2607</x:f>
        <x:v>4.119999999999999</x:v>
      </x:c>
      <x:c r="S2607" s="10" t="n">
        <x:f>IF(K2607&gt;0,R2607/K2607,"")</x:f>
        <x:v>0.3051851851851851</x:v>
      </x:c>
    </x:row>
    <x:row r="2608">
      <x:c r="A2608" s="7" t="n">
        <x:v>2604</x:v>
      </x:c>
      <x:c r="B2608" s="7" t="str">
        <x:v>Tata</x:v>
      </x:c>
      <x:c r="C2608" s="7" t="str">
        <x:v>Nexon</x:v>
      </x:c>
      <x:c r="D2608" s="7" t="str">
        <x:v>Creative DCA</x:v>
      </x:c>
      <x:c r="E2608" s="7" t="str">
        <x:v>Petrol</x:v>
      </x:c>
      <x:c r="F2608" s="7" t="str">
        <x:v>Automatic</x:v>
      </x:c>
      <x:c r="G2608" s="7" t="str">
        <x:v>Compact SUV</x:v>
      </x:c>
      <x:c r="H2608" s="7" t="n">
        <x:v>1199</x:v>
      </x:c>
      <x:c r="I2608" s="7" t="n">
        <x:v>118</x:v>
      </x:c>
      <x:c r="J2608" s="9" t="n">
        <x:v>17.2</x:v>
      </x:c>
      <x:c r="K2608" s="9" t="n">
        <x:v>13.5</x:v>
      </x:c>
      <x:c r="L2608" s="7" t="n">
        <x:v>2020</x:v>
      </x:c>
      <x:c r="M2608" s="11" t="n">
        <x:v>119747</x:v>
      </x:c>
      <x:c r="N2608" s="7" t="n">
        <x:v>2</x:v>
      </x:c>
      <x:c r="O2608" s="7" t="n">
        <x:v>0</x:v>
      </x:c>
      <x:c r="P2608" s="9" t="n">
        <x:v>4.71</x:v>
      </x:c>
      <x:c r="Q2608" s="7" t="n">
        <x:f>'Guide'!$B$5-L2608</x:f>
        <x:v>6</x:v>
      </x:c>
      <x:c r="R2608" s="9" t="n">
        <x:f>K2608-P2608</x:f>
        <x:v>8.79</x:v>
      </x:c>
      <x:c r="S2608" s="10" t="n">
        <x:f>IF(K2608&gt;0,R2608/K2608,"")</x:f>
        <x:v>0.6511111111111111</x:v>
      </x:c>
    </x:row>
    <x:row r="2609">
      <x:c r="A2609" s="7" t="n">
        <x:v>2605</x:v>
      </x:c>
      <x:c r="B2609" s="7" t="str">
        <x:v>Tata</x:v>
      </x:c>
      <x:c r="C2609" s="7" t="str">
        <x:v>Nexon</x:v>
      </x:c>
      <x:c r="D2609" s="7" t="str">
        <x:v>Creative DCA</x:v>
      </x:c>
      <x:c r="E2609" s="7" t="str">
        <x:v>Petrol</x:v>
      </x:c>
      <x:c r="F2609" s="7" t="str">
        <x:v>Automatic</x:v>
      </x:c>
      <x:c r="G2609" s="7" t="str">
        <x:v>Compact SUV</x:v>
      </x:c>
      <x:c r="H2609" s="7" t="n">
        <x:v>1199</x:v>
      </x:c>
      <x:c r="I2609" s="7" t="n">
        <x:v>118</x:v>
      </x:c>
      <x:c r="J2609" s="9" t="n">
        <x:v>17.2</x:v>
      </x:c>
      <x:c r="K2609" s="9" t="n">
        <x:v>13.5</x:v>
      </x:c>
      <x:c r="L2609" s="7" t="n">
        <x:v>2024</x:v>
      </x:c>
      <x:c r="M2609" s="11" t="n">
        <x:v>30211</x:v>
      </x:c>
      <x:c r="N2609" s="7" t="n">
        <x:v>2</x:v>
      </x:c>
      <x:c r="O2609" s="7" t="n">
        <x:v>0</x:v>
      </x:c>
      <x:c r="P2609" s="9" t="n">
        <x:v>10.31</x:v>
      </x:c>
      <x:c r="Q2609" s="7" t="n">
        <x:f>'Guide'!$B$5-L2609</x:f>
        <x:v>2</x:v>
      </x:c>
      <x:c r="R2609" s="9" t="n">
        <x:f>K2609-P2609</x:f>
        <x:v>3.1899999999999995</x:v>
      </x:c>
      <x:c r="S2609" s="10" t="n">
        <x:f>IF(K2609&gt;0,R2609/K2609,"")</x:f>
        <x:v>0.23629629629629625</x:v>
      </x:c>
    </x:row>
    <x:row r="2610">
      <x:c r="A2610" s="7" t="n">
        <x:v>2606</x:v>
      </x:c>
      <x:c r="B2610" s="7" t="str">
        <x:v>Tata</x:v>
      </x:c>
      <x:c r="C2610" s="7" t="str">
        <x:v>Nexon</x:v>
      </x:c>
      <x:c r="D2610" s="7" t="str">
        <x:v>Creative DCA</x:v>
      </x:c>
      <x:c r="E2610" s="7" t="str">
        <x:v>Petrol</x:v>
      </x:c>
      <x:c r="F2610" s="7" t="str">
        <x:v>Automatic</x:v>
      </x:c>
      <x:c r="G2610" s="7" t="str">
        <x:v>Compact SUV</x:v>
      </x:c>
      <x:c r="H2610" s="7" t="n">
        <x:v>1199</x:v>
      </x:c>
      <x:c r="I2610" s="7" t="n">
        <x:v>118</x:v>
      </x:c>
      <x:c r="J2610" s="9" t="n">
        <x:v>17.2</x:v>
      </x:c>
      <x:c r="K2610" s="9" t="n">
        <x:v>13.5</x:v>
      </x:c>
      <x:c r="L2610" s="7" t="n">
        <x:v>2026</x:v>
      </x:c>
      <x:c r="M2610" s="11" t="n">
        <x:v>6321</x:v>
      </x:c>
      <x:c r="N2610" s="7" t="n">
        <x:v>1</x:v>
      </x:c>
      <x:c r="O2610" s="7" t="n">
        <x:v>0</x:v>
      </x:c>
      <x:c r="P2610" s="9" t="n">
        <x:v>13</x:v>
      </x:c>
      <x:c r="Q2610" s="7" t="n">
        <x:f>'Guide'!$B$5-L2610</x:f>
        <x:v>0</x:v>
      </x:c>
      <x:c r="R2610" s="9" t="n">
        <x:f>K2610-P2610</x:f>
        <x:v>0.5</x:v>
      </x:c>
      <x:c r="S2610" s="10" t="n">
        <x:f>IF(K2610&gt;0,R2610/K2610,"")</x:f>
        <x:v>0.037037037037037035</x:v>
      </x:c>
    </x:row>
    <x:row r="2611">
      <x:c r="A2611" s="7" t="n">
        <x:v>2607</x:v>
      </x:c>
      <x:c r="B2611" s="7" t="str">
        <x:v>Tata</x:v>
      </x:c>
      <x:c r="C2611" s="7" t="str">
        <x:v>Nexon</x:v>
      </x:c>
      <x:c r="D2611" s="7" t="str">
        <x:v>Creative DCA</x:v>
      </x:c>
      <x:c r="E2611" s="7" t="str">
        <x:v>Petrol</x:v>
      </x:c>
      <x:c r="F2611" s="7" t="str">
        <x:v>Automatic</x:v>
      </x:c>
      <x:c r="G2611" s="7" t="str">
        <x:v>Compact SUV</x:v>
      </x:c>
      <x:c r="H2611" s="7" t="n">
        <x:v>1199</x:v>
      </x:c>
      <x:c r="I2611" s="7" t="n">
        <x:v>118</x:v>
      </x:c>
      <x:c r="J2611" s="9" t="n">
        <x:v>17.2</x:v>
      </x:c>
      <x:c r="K2611" s="9" t="n">
        <x:v>13.5</x:v>
      </x:c>
      <x:c r="L2611" s="7" t="n">
        <x:v>2024</x:v>
      </x:c>
      <x:c r="M2611" s="11" t="n">
        <x:v>20335</x:v>
      </x:c>
      <x:c r="N2611" s="7" t="n">
        <x:v>2</x:v>
      </x:c>
      <x:c r="O2611" s="7" t="n">
        <x:v>1</x:v>
      </x:c>
      <x:c r="P2611" s="9" t="n">
        <x:v>10</x:v>
      </x:c>
      <x:c r="Q2611" s="7" t="n">
        <x:f>'Guide'!$B$5-L2611</x:f>
        <x:v>2</x:v>
      </x:c>
      <x:c r="R2611" s="9" t="n">
        <x:f>K2611-P2611</x:f>
        <x:v>3.5</x:v>
      </x:c>
      <x:c r="S2611" s="10" t="n">
        <x:f>IF(K2611&gt;0,R2611/K2611,"")</x:f>
        <x:v>0.25925925925925924</x:v>
      </x:c>
    </x:row>
    <x:row r="2612">
      <x:c r="A2612" s="7" t="n">
        <x:v>2608</x:v>
      </x:c>
      <x:c r="B2612" s="7" t="str">
        <x:v>Tata</x:v>
      </x:c>
      <x:c r="C2612" s="7" t="str">
        <x:v>Nexon</x:v>
      </x:c>
      <x:c r="D2612" s="7" t="str">
        <x:v>Creative DCA</x:v>
      </x:c>
      <x:c r="E2612" s="7" t="str">
        <x:v>Petrol</x:v>
      </x:c>
      <x:c r="F2612" s="7" t="str">
        <x:v>Automatic</x:v>
      </x:c>
      <x:c r="G2612" s="7" t="str">
        <x:v>Compact SUV</x:v>
      </x:c>
      <x:c r="H2612" s="7" t="n">
        <x:v>1199</x:v>
      </x:c>
      <x:c r="I2612" s="7" t="n">
        <x:v>118</x:v>
      </x:c>
      <x:c r="J2612" s="9" t="n">
        <x:v>17.2</x:v>
      </x:c>
      <x:c r="K2612" s="9" t="n">
        <x:v>13.5</x:v>
      </x:c>
      <x:c r="L2612" s="7" t="n">
        <x:v>2022</x:v>
      </x:c>
      <x:c r="M2612" s="11" t="n">
        <x:v>67626</x:v>
      </x:c>
      <x:c r="N2612" s="7" t="n">
        <x:v>2</x:v>
      </x:c>
      <x:c r="O2612" s="7" t="n">
        <x:v>0</x:v>
      </x:c>
      <x:c r="P2612" s="9" t="n">
        <x:v>7.31</x:v>
      </x:c>
      <x:c r="Q2612" s="7" t="n">
        <x:f>'Guide'!$B$5-L2612</x:f>
        <x:v>4</x:v>
      </x:c>
      <x:c r="R2612" s="9" t="n">
        <x:f>K2612-P2612</x:f>
        <x:v>6.19</x:v>
      </x:c>
      <x:c r="S2612" s="10" t="n">
        <x:f>IF(K2612&gt;0,R2612/K2612,"")</x:f>
        <x:v>0.45851851851851855</x:v>
      </x:c>
    </x:row>
    <x:row r="2613">
      <x:c r="A2613" s="7" t="n">
        <x:v>2609</x:v>
      </x:c>
      <x:c r="B2613" s="7" t="str">
        <x:v>Tata</x:v>
      </x:c>
      <x:c r="C2613" s="7" t="str">
        <x:v>Nexon</x:v>
      </x:c>
      <x:c r="D2613" s="7" t="str">
        <x:v>Creative DCA</x:v>
      </x:c>
      <x:c r="E2613" s="7" t="str">
        <x:v>Petrol</x:v>
      </x:c>
      <x:c r="F2613" s="7" t="str">
        <x:v>Automatic</x:v>
      </x:c>
      <x:c r="G2613" s="7" t="str">
        <x:v>Compact SUV</x:v>
      </x:c>
      <x:c r="H2613" s="7" t="n">
        <x:v>1199</x:v>
      </x:c>
      <x:c r="I2613" s="7" t="n">
        <x:v>118</x:v>
      </x:c>
      <x:c r="J2613" s="9" t="n">
        <x:v>17.2</x:v>
      </x:c>
      <x:c r="K2613" s="9" t="n">
        <x:v>13.5</x:v>
      </x:c>
      <x:c r="L2613" s="7" t="n">
        <x:v>2025</x:v>
      </x:c>
      <x:c r="M2613" s="11" t="n">
        <x:v>28917</x:v>
      </x:c>
      <x:c r="N2613" s="7" t="n">
        <x:v>1</x:v>
      </x:c>
      <x:c r="O2613" s="7" t="n">
        <x:v>0</x:v>
      </x:c>
      <x:c r="P2613" s="9" t="n">
        <x:v>12.03</x:v>
      </x:c>
      <x:c r="Q2613" s="7" t="n">
        <x:f>'Guide'!$B$5-L2613</x:f>
        <x:v>1</x:v>
      </x:c>
      <x:c r="R2613" s="9" t="n">
        <x:f>K2613-P2613</x:f>
        <x:v>1.4700000000000006</x:v>
      </x:c>
      <x:c r="S2613" s="10" t="n">
        <x:f>IF(K2613&gt;0,R2613/K2613,"")</x:f>
        <x:v>0.10888888888888894</x:v>
      </x:c>
    </x:row>
    <x:row r="2614">
      <x:c r="A2614" s="7" t="n">
        <x:v>2610</x:v>
      </x:c>
      <x:c r="B2614" s="7" t="str">
        <x:v>Tata</x:v>
      </x:c>
      <x:c r="C2614" s="7" t="str">
        <x:v>Nexon</x:v>
      </x:c>
      <x:c r="D2614" s="7" t="str">
        <x:v>Creative DCA</x:v>
      </x:c>
      <x:c r="E2614" s="7" t="str">
        <x:v>Petrol</x:v>
      </x:c>
      <x:c r="F2614" s="7" t="str">
        <x:v>Automatic</x:v>
      </x:c>
      <x:c r="G2614" s="7" t="str">
        <x:v>Compact SUV</x:v>
      </x:c>
      <x:c r="H2614" s="7" t="n">
        <x:v>1199</x:v>
      </x:c>
      <x:c r="I2614" s="7" t="n">
        <x:v>118</x:v>
      </x:c>
      <x:c r="J2614" s="9" t="n">
        <x:v>17.2</x:v>
      </x:c>
      <x:c r="K2614" s="9" t="n">
        <x:v>13.5</x:v>
      </x:c>
      <x:c r="L2614" s="7" t="n">
        <x:v>2022</x:v>
      </x:c>
      <x:c r="M2614" s="11" t="n">
        <x:v>57335</x:v>
      </x:c>
      <x:c r="N2614" s="7" t="n">
        <x:v>1</x:v>
      </x:c>
      <x:c r="O2614" s="7" t="n">
        <x:v>0</x:v>
      </x:c>
      <x:c r="P2614" s="9" t="n">
        <x:v>8.62</x:v>
      </x:c>
      <x:c r="Q2614" s="7" t="n">
        <x:f>'Guide'!$B$5-L2614</x:f>
        <x:v>4</x:v>
      </x:c>
      <x:c r="R2614" s="9" t="n">
        <x:f>K2614-P2614</x:f>
        <x:v>4.880000000000001</x:v>
      </x:c>
      <x:c r="S2614" s="10" t="n">
        <x:f>IF(K2614&gt;0,R2614/K2614,"")</x:f>
        <x:v>0.3614814814814815</x:v>
      </x:c>
    </x:row>
    <x:row r="2615">
      <x:c r="A2615" s="7" t="n">
        <x:v>2611</x:v>
      </x:c>
      <x:c r="B2615" s="7" t="str">
        <x:v>Tata</x:v>
      </x:c>
      <x:c r="C2615" s="7" t="str">
        <x:v>Nexon</x:v>
      </x:c>
      <x:c r="D2615" s="7" t="str">
        <x:v>Creative DCA</x:v>
      </x:c>
      <x:c r="E2615" s="7" t="str">
        <x:v>Petrol</x:v>
      </x:c>
      <x:c r="F2615" s="7" t="str">
        <x:v>Automatic</x:v>
      </x:c>
      <x:c r="G2615" s="7" t="str">
        <x:v>Compact SUV</x:v>
      </x:c>
      <x:c r="H2615" s="7" t="n">
        <x:v>1199</x:v>
      </x:c>
      <x:c r="I2615" s="7" t="n">
        <x:v>118</x:v>
      </x:c>
      <x:c r="J2615" s="9" t="n">
        <x:v>17.2</x:v>
      </x:c>
      <x:c r="K2615" s="9" t="n">
        <x:v>13.5</x:v>
      </x:c>
      <x:c r="L2615" s="7" t="n">
        <x:v>2024</x:v>
      </x:c>
      <x:c r="M2615" s="11" t="n">
        <x:v>44071</x:v>
      </x:c>
      <x:c r="N2615" s="7" t="n">
        <x:v>1</x:v>
      </x:c>
      <x:c r="O2615" s="7" t="n">
        <x:v>0</x:v>
      </x:c>
      <x:c r="P2615" s="9" t="n">
        <x:v>10.47</x:v>
      </x:c>
      <x:c r="Q2615" s="7" t="n">
        <x:f>'Guide'!$B$5-L2615</x:f>
        <x:v>2</x:v>
      </x:c>
      <x:c r="R2615" s="9" t="n">
        <x:f>K2615-P2615</x:f>
        <x:v>3.0299999999999994</x:v>
      </x:c>
      <x:c r="S2615" s="10" t="n">
        <x:f>IF(K2615&gt;0,R2615/K2615,"")</x:f>
        <x:v>0.2244444444444444</x:v>
      </x:c>
    </x:row>
    <x:row r="2616">
      <x:c r="A2616" s="7" t="n">
        <x:v>2612</x:v>
      </x:c>
      <x:c r="B2616" s="7" t="str">
        <x:v>Tata</x:v>
      </x:c>
      <x:c r="C2616" s="7" t="str">
        <x:v>Nexon</x:v>
      </x:c>
      <x:c r="D2616" s="7" t="str">
        <x:v>Creative DCA</x:v>
      </x:c>
      <x:c r="E2616" s="7" t="str">
        <x:v>Petrol</x:v>
      </x:c>
      <x:c r="F2616" s="7" t="str">
        <x:v>Automatic</x:v>
      </x:c>
      <x:c r="G2616" s="7" t="str">
        <x:v>Compact SUV</x:v>
      </x:c>
      <x:c r="H2616" s="7" t="n">
        <x:v>1199</x:v>
      </x:c>
      <x:c r="I2616" s="7" t="n">
        <x:v>118</x:v>
      </x:c>
      <x:c r="J2616" s="9" t="n">
        <x:v>17.2</x:v>
      </x:c>
      <x:c r="K2616" s="9" t="n">
        <x:v>13.5</x:v>
      </x:c>
      <x:c r="L2616" s="7" t="n">
        <x:v>2025</x:v>
      </x:c>
      <x:c r="M2616" s="11" t="n">
        <x:v>28835</x:v>
      </x:c>
      <x:c r="N2616" s="7" t="n">
        <x:v>1</x:v>
      </x:c>
      <x:c r="O2616" s="7" t="n">
        <x:v>0</x:v>
      </x:c>
      <x:c r="P2616" s="9" t="n">
        <x:v>11.59</x:v>
      </x:c>
      <x:c r="Q2616" s="7" t="n">
        <x:f>'Guide'!$B$5-L2616</x:f>
        <x:v>1</x:v>
      </x:c>
      <x:c r="R2616" s="9" t="n">
        <x:f>K2616-P2616</x:f>
        <x:v>1.9100000000000001</x:v>
      </x:c>
      <x:c r="S2616" s="10" t="n">
        <x:f>IF(K2616&gt;0,R2616/K2616,"")</x:f>
        <x:v>0.14148148148148149</x:v>
      </x:c>
    </x:row>
    <x:row r="2617">
      <x:c r="A2617" s="7" t="n">
        <x:v>2613</x:v>
      </x:c>
      <x:c r="B2617" s="7" t="str">
        <x:v>Tata</x:v>
      </x:c>
      <x:c r="C2617" s="7" t="str">
        <x:v>Nexon</x:v>
      </x:c>
      <x:c r="D2617" s="7" t="str">
        <x:v>Creative DCA</x:v>
      </x:c>
      <x:c r="E2617" s="7" t="str">
        <x:v>Petrol</x:v>
      </x:c>
      <x:c r="F2617" s="7" t="str">
        <x:v>Automatic</x:v>
      </x:c>
      <x:c r="G2617" s="7" t="str">
        <x:v>Compact SUV</x:v>
      </x:c>
      <x:c r="H2617" s="7" t="n">
        <x:v>1199</x:v>
      </x:c>
      <x:c r="I2617" s="7" t="n">
        <x:v>118</x:v>
      </x:c>
      <x:c r="J2617" s="9" t="n">
        <x:v>17.2</x:v>
      </x:c>
      <x:c r="K2617" s="9" t="n">
        <x:v>13.5</x:v>
      </x:c>
      <x:c r="L2617" s="7" t="n">
        <x:v>2026</x:v>
      </x:c>
      <x:c r="M2617" s="11" t="n">
        <x:v>9007</x:v>
      </x:c>
      <x:c r="N2617" s="7" t="n">
        <x:v>1</x:v>
      </x:c>
      <x:c r="O2617" s="7" t="n">
        <x:v>0</x:v>
      </x:c>
      <x:c r="P2617" s="9" t="n">
        <x:v>13.12</x:v>
      </x:c>
      <x:c r="Q2617" s="7" t="n">
        <x:f>'Guide'!$B$5-L2617</x:f>
        <x:v>0</x:v>
      </x:c>
      <x:c r="R2617" s="9" t="n">
        <x:f>K2617-P2617</x:f>
        <x:v>0.3800000000000008</x:v>
      </x:c>
      <x:c r="S2617" s="10" t="n">
        <x:f>IF(K2617&gt;0,R2617/K2617,"")</x:f>
        <x:v>0.028148148148148207</x:v>
      </x:c>
    </x:row>
    <x:row r="2618">
      <x:c r="A2618" s="7" t="n">
        <x:v>2614</x:v>
      </x:c>
      <x:c r="B2618" s="7" t="str">
        <x:v>Tata</x:v>
      </x:c>
      <x:c r="C2618" s="7" t="str">
        <x:v>Nexon</x:v>
      </x:c>
      <x:c r="D2618" s="7" t="str">
        <x:v>Creative DCA</x:v>
      </x:c>
      <x:c r="E2618" s="7" t="str">
        <x:v>Petrol</x:v>
      </x:c>
      <x:c r="F2618" s="7" t="str">
        <x:v>Automatic</x:v>
      </x:c>
      <x:c r="G2618" s="7" t="str">
        <x:v>Compact SUV</x:v>
      </x:c>
      <x:c r="H2618" s="7" t="n">
        <x:v>1199</x:v>
      </x:c>
      <x:c r="I2618" s="7" t="n">
        <x:v>118</x:v>
      </x:c>
      <x:c r="J2618" s="9" t="n">
        <x:v>17.2</x:v>
      </x:c>
      <x:c r="K2618" s="9" t="n">
        <x:v>13.5</x:v>
      </x:c>
      <x:c r="L2618" s="7" t="n">
        <x:v>2025</x:v>
      </x:c>
      <x:c r="M2618" s="11" t="n">
        <x:v>25779</x:v>
      </x:c>
      <x:c r="N2618" s="7" t="n">
        <x:v>1</x:v>
      </x:c>
      <x:c r="O2618" s="7" t="n">
        <x:v>0</x:v>
      </x:c>
      <x:c r="P2618" s="9" t="n">
        <x:v>11.75</x:v>
      </x:c>
      <x:c r="Q2618" s="7" t="n">
        <x:f>'Guide'!$B$5-L2618</x:f>
        <x:v>1</x:v>
      </x:c>
      <x:c r="R2618" s="9" t="n">
        <x:f>K2618-P2618</x:f>
        <x:v>1.75</x:v>
      </x:c>
      <x:c r="S2618" s="10" t="n">
        <x:f>IF(K2618&gt;0,R2618/K2618,"")</x:f>
        <x:v>0.12962962962962962</x:v>
      </x:c>
    </x:row>
    <x:row r="2619">
      <x:c r="A2619" s="7" t="n">
        <x:v>2615</x:v>
      </x:c>
      <x:c r="B2619" s="7" t="str">
        <x:v>Tata</x:v>
      </x:c>
      <x:c r="C2619" s="7" t="str">
        <x:v>Nexon</x:v>
      </x:c>
      <x:c r="D2619" s="7" t="str">
        <x:v>Creative DCA</x:v>
      </x:c>
      <x:c r="E2619" s="7" t="str">
        <x:v>Petrol</x:v>
      </x:c>
      <x:c r="F2619" s="7" t="str">
        <x:v>Automatic</x:v>
      </x:c>
      <x:c r="G2619" s="7" t="str">
        <x:v>Compact SUV</x:v>
      </x:c>
      <x:c r="H2619" s="7" t="n">
        <x:v>1199</x:v>
      </x:c>
      <x:c r="I2619" s="7" t="n">
        <x:v>118</x:v>
      </x:c>
      <x:c r="J2619" s="9" t="n">
        <x:v>17.2</x:v>
      </x:c>
      <x:c r="K2619" s="9" t="n">
        <x:v>13.5</x:v>
      </x:c>
      <x:c r="L2619" s="7" t="n">
        <x:v>2023</x:v>
      </x:c>
      <x:c r="M2619" s="11" t="n">
        <x:v>29540</x:v>
      </x:c>
      <x:c r="N2619" s="7" t="n">
        <x:v>1</x:v>
      </x:c>
      <x:c r="O2619" s="7" t="n">
        <x:v>0</x:v>
      </x:c>
      <x:c r="P2619" s="9" t="n">
        <x:v>9.97</x:v>
      </x:c>
      <x:c r="Q2619" s="7" t="n">
        <x:f>'Guide'!$B$5-L2619</x:f>
        <x:v>3</x:v>
      </x:c>
      <x:c r="R2619" s="9" t="n">
        <x:f>K2619-P2619</x:f>
        <x:v>3.5299999999999994</x:v>
      </x:c>
      <x:c r="S2619" s="10" t="n">
        <x:f>IF(K2619&gt;0,R2619/K2619,"")</x:f>
        <x:v>0.2614814814814814</x:v>
      </x:c>
    </x:row>
    <x:row r="2620">
      <x:c r="A2620" s="7" t="n">
        <x:v>2616</x:v>
      </x:c>
      <x:c r="B2620" s="7" t="str">
        <x:v>Tata</x:v>
      </x:c>
      <x:c r="C2620" s="7" t="str">
        <x:v>Nexon</x:v>
      </x:c>
      <x:c r="D2620" s="7" t="str">
        <x:v>Creative DCA</x:v>
      </x:c>
      <x:c r="E2620" s="7" t="str">
        <x:v>Petrol</x:v>
      </x:c>
      <x:c r="F2620" s="7" t="str">
        <x:v>Automatic</x:v>
      </x:c>
      <x:c r="G2620" s="7" t="str">
        <x:v>Compact SUV</x:v>
      </x:c>
      <x:c r="H2620" s="7" t="n">
        <x:v>1199</x:v>
      </x:c>
      <x:c r="I2620" s="7" t="n">
        <x:v>118</x:v>
      </x:c>
      <x:c r="J2620" s="9" t="n">
        <x:v>17.2</x:v>
      </x:c>
      <x:c r="K2620" s="9" t="n">
        <x:v>13.5</x:v>
      </x:c>
      <x:c r="L2620" s="7" t="n">
        <x:v>2026</x:v>
      </x:c>
      <x:c r="M2620" s="11" t="n">
        <x:v>9414</x:v>
      </x:c>
      <x:c r="N2620" s="7" t="n">
        <x:v>2</x:v>
      </x:c>
      <x:c r="O2620" s="7" t="n">
        <x:v>1</x:v>
      </x:c>
      <x:c r="P2620" s="9" t="n">
        <x:v>11.99</x:v>
      </x:c>
      <x:c r="Q2620" s="7" t="n">
        <x:f>'Guide'!$B$5-L2620</x:f>
        <x:v>0</x:v>
      </x:c>
      <x:c r="R2620" s="9" t="n">
        <x:f>K2620-P2620</x:f>
        <x:v>1.5099999999999998</x:v>
      </x:c>
      <x:c r="S2620" s="10" t="n">
        <x:f>IF(K2620&gt;0,R2620/K2620,"")</x:f>
        <x:v>0.11185185185185184</x:v>
      </x:c>
    </x:row>
    <x:row r="2621">
      <x:c r="A2621" s="7" t="n">
        <x:v>2617</x:v>
      </x:c>
      <x:c r="B2621" s="7" t="str">
        <x:v>Tata</x:v>
      </x:c>
      <x:c r="C2621" s="7" t="str">
        <x:v>Nexon</x:v>
      </x:c>
      <x:c r="D2621" s="7" t="str">
        <x:v>Creative DCA</x:v>
      </x:c>
      <x:c r="E2621" s="7" t="str">
        <x:v>Petrol</x:v>
      </x:c>
      <x:c r="F2621" s="7" t="str">
        <x:v>Automatic</x:v>
      </x:c>
      <x:c r="G2621" s="7" t="str">
        <x:v>Compact SUV</x:v>
      </x:c>
      <x:c r="H2621" s="7" t="n">
        <x:v>1199</x:v>
      </x:c>
      <x:c r="I2621" s="7" t="n">
        <x:v>118</x:v>
      </x:c>
      <x:c r="J2621" s="9" t="n">
        <x:v>17.2</x:v>
      </x:c>
      <x:c r="K2621" s="9" t="n">
        <x:v>13.5</x:v>
      </x:c>
      <x:c r="L2621" s="7" t="n">
        <x:v>2020</x:v>
      </x:c>
      <x:c r="M2621" s="11" t="n">
        <x:v>76925</x:v>
      </x:c>
      <x:c r="N2621" s="7" t="n">
        <x:v>1</x:v>
      </x:c>
      <x:c r="O2621" s="7" t="n">
        <x:v>0</x:v>
      </x:c>
      <x:c r="P2621" s="9" t="n">
        <x:v>5.58</x:v>
      </x:c>
      <x:c r="Q2621" s="7" t="n">
        <x:f>'Guide'!$B$5-L2621</x:f>
        <x:v>6</x:v>
      </x:c>
      <x:c r="R2621" s="9" t="n">
        <x:f>K2621-P2621</x:f>
        <x:v>7.92</x:v>
      </x:c>
      <x:c r="S2621" s="10" t="n">
        <x:f>IF(K2621&gt;0,R2621/K2621,"")</x:f>
        <x:v>0.5866666666666667</x:v>
      </x:c>
    </x:row>
    <x:row r="2622">
      <x:c r="A2622" s="7" t="n">
        <x:v>2618</x:v>
      </x:c>
      <x:c r="B2622" s="7" t="str">
        <x:v>Tata</x:v>
      </x:c>
      <x:c r="C2622" s="7" t="str">
        <x:v>Nexon</x:v>
      </x:c>
      <x:c r="D2622" s="7" t="str">
        <x:v>Creative DCA</x:v>
      </x:c>
      <x:c r="E2622" s="7" t="str">
        <x:v>Petrol</x:v>
      </x:c>
      <x:c r="F2622" s="7" t="str">
        <x:v>Automatic</x:v>
      </x:c>
      <x:c r="G2622" s="7" t="str">
        <x:v>Compact SUV</x:v>
      </x:c>
      <x:c r="H2622" s="7" t="n">
        <x:v>1199</x:v>
      </x:c>
      <x:c r="I2622" s="7" t="n">
        <x:v>118</x:v>
      </x:c>
      <x:c r="J2622" s="9" t="n">
        <x:v>17.2</x:v>
      </x:c>
      <x:c r="K2622" s="9" t="n">
        <x:v>13.5</x:v>
      </x:c>
      <x:c r="L2622" s="7" t="n">
        <x:v>2023</x:v>
      </x:c>
      <x:c r="M2622" s="11" t="n">
        <x:v>47213</x:v>
      </x:c>
      <x:c r="N2622" s="7" t="n">
        <x:v>2</x:v>
      </x:c>
      <x:c r="O2622" s="7" t="n">
        <x:v>0</x:v>
      </x:c>
      <x:c r="P2622" s="9" t="n">
        <x:v>9</x:v>
      </x:c>
      <x:c r="Q2622" s="7" t="n">
        <x:f>'Guide'!$B$5-L2622</x:f>
        <x:v>3</x:v>
      </x:c>
      <x:c r="R2622" s="9" t="n">
        <x:f>K2622-P2622</x:f>
        <x:v>4.5</x:v>
      </x:c>
      <x:c r="S2622" s="10" t="n">
        <x:f>IF(K2622&gt;0,R2622/K2622,"")</x:f>
        <x:v>0.3333333333333333</x:v>
      </x:c>
    </x:row>
    <x:row r="2623">
      <x:c r="A2623" s="7" t="n">
        <x:v>2619</x:v>
      </x:c>
      <x:c r="B2623" s="7" t="str">
        <x:v>Tata</x:v>
      </x:c>
      <x:c r="C2623" s="7" t="str">
        <x:v>Nexon</x:v>
      </x:c>
      <x:c r="D2623" s="7" t="str">
        <x:v>Creative DCA</x:v>
      </x:c>
      <x:c r="E2623" s="7" t="str">
        <x:v>Petrol</x:v>
      </x:c>
      <x:c r="F2623" s="7" t="str">
        <x:v>Automatic</x:v>
      </x:c>
      <x:c r="G2623" s="7" t="str">
        <x:v>Compact SUV</x:v>
      </x:c>
      <x:c r="H2623" s="7" t="n">
        <x:v>1199</x:v>
      </x:c>
      <x:c r="I2623" s="7" t="n">
        <x:v>118</x:v>
      </x:c>
      <x:c r="J2623" s="9" t="n">
        <x:v>17.2</x:v>
      </x:c>
      <x:c r="K2623" s="9" t="n">
        <x:v>13.5</x:v>
      </x:c>
      <x:c r="L2623" s="7" t="n">
        <x:v>2023</x:v>
      </x:c>
      <x:c r="M2623" s="11" t="n">
        <x:v>33491</x:v>
      </x:c>
      <x:c r="N2623" s="7" t="n">
        <x:v>1</x:v>
      </x:c>
      <x:c r="O2623" s="7" t="n">
        <x:v>0</x:v>
      </x:c>
      <x:c r="P2623" s="9" t="n">
        <x:v>9.52</x:v>
      </x:c>
      <x:c r="Q2623" s="7" t="n">
        <x:f>'Guide'!$B$5-L2623</x:f>
        <x:v>3</x:v>
      </x:c>
      <x:c r="R2623" s="9" t="n">
        <x:f>K2623-P2623</x:f>
        <x:v>3.9800000000000004</x:v>
      </x:c>
      <x:c r="S2623" s="10" t="n">
        <x:f>IF(K2623&gt;0,R2623/K2623,"")</x:f>
        <x:v>0.29481481481481486</x:v>
      </x:c>
    </x:row>
    <x:row r="2624">
      <x:c r="A2624" s="7" t="n">
        <x:v>2620</x:v>
      </x:c>
      <x:c r="B2624" s="7" t="str">
        <x:v>Tata</x:v>
      </x:c>
      <x:c r="C2624" s="7" t="str">
        <x:v>Nexon</x:v>
      </x:c>
      <x:c r="D2624" s="7" t="str">
        <x:v>Creative DCA</x:v>
      </x:c>
      <x:c r="E2624" s="7" t="str">
        <x:v>Petrol</x:v>
      </x:c>
      <x:c r="F2624" s="7" t="str">
        <x:v>Automatic</x:v>
      </x:c>
      <x:c r="G2624" s="7" t="str">
        <x:v>Compact SUV</x:v>
      </x:c>
      <x:c r="H2624" s="7" t="n">
        <x:v>1199</x:v>
      </x:c>
      <x:c r="I2624" s="7" t="n">
        <x:v>118</x:v>
      </x:c>
      <x:c r="J2624" s="9" t="n">
        <x:v>17.2</x:v>
      </x:c>
      <x:c r="K2624" s="9" t="n">
        <x:v>13.5</x:v>
      </x:c>
      <x:c r="L2624" s="7" t="n">
        <x:v>2024</x:v>
      </x:c>
      <x:c r="M2624" s="11" t="n">
        <x:v>35455</x:v>
      </x:c>
      <x:c r="N2624" s="7" t="n">
        <x:v>1</x:v>
      </x:c>
      <x:c r="O2624" s="7" t="n">
        <x:v>0</x:v>
      </x:c>
      <x:c r="P2624" s="9" t="n">
        <x:v>10.95</x:v>
      </x:c>
      <x:c r="Q2624" s="7" t="n">
        <x:f>'Guide'!$B$5-L2624</x:f>
        <x:v>2</x:v>
      </x:c>
      <x:c r="R2624" s="9" t="n">
        <x:f>K2624-P2624</x:f>
        <x:v>2.5500000000000007</x:v>
      </x:c>
      <x:c r="S2624" s="10" t="n">
        <x:f>IF(K2624&gt;0,R2624/K2624,"")</x:f>
        <x:v>0.18888888888888894</x:v>
      </x:c>
    </x:row>
    <x:row r="2625">
      <x:c r="A2625" s="7" t="n">
        <x:v>2621</x:v>
      </x:c>
      <x:c r="B2625" s="7" t="str">
        <x:v>Tata</x:v>
      </x:c>
      <x:c r="C2625" s="7" t="str">
        <x:v>Nexon</x:v>
      </x:c>
      <x:c r="D2625" s="7" t="str">
        <x:v>Creative DCA</x:v>
      </x:c>
      <x:c r="E2625" s="7" t="str">
        <x:v>Petrol</x:v>
      </x:c>
      <x:c r="F2625" s="7" t="str">
        <x:v>Automatic</x:v>
      </x:c>
      <x:c r="G2625" s="7" t="str">
        <x:v>Compact SUV</x:v>
      </x:c>
      <x:c r="H2625" s="7" t="n">
        <x:v>1199</x:v>
      </x:c>
      <x:c r="I2625" s="7" t="n">
        <x:v>118</x:v>
      </x:c>
      <x:c r="J2625" s="9" t="n">
        <x:v>17.2</x:v>
      </x:c>
      <x:c r="K2625" s="9" t="n">
        <x:v>13.5</x:v>
      </x:c>
      <x:c r="L2625" s="7" t="n">
        <x:v>2024</x:v>
      </x:c>
      <x:c r="M2625" s="11" t="n">
        <x:v>42338</x:v>
      </x:c>
      <x:c r="N2625" s="7" t="n">
        <x:v>1</x:v>
      </x:c>
      <x:c r="O2625" s="7" t="n">
        <x:v>0</x:v>
      </x:c>
      <x:c r="P2625" s="9" t="n">
        <x:v>10.45</x:v>
      </x:c>
      <x:c r="Q2625" s="7" t="n">
        <x:f>'Guide'!$B$5-L2625</x:f>
        <x:v>2</x:v>
      </x:c>
      <x:c r="R2625" s="9" t="n">
        <x:f>K2625-P2625</x:f>
        <x:v>3.0500000000000007</x:v>
      </x:c>
      <x:c r="S2625" s="10" t="n">
        <x:f>IF(K2625&gt;0,R2625/K2625,"")</x:f>
        <x:v>0.22592592592592597</x:v>
      </x:c>
    </x:row>
    <x:row r="2626">
      <x:c r="A2626" s="7" t="n">
        <x:v>2622</x:v>
      </x:c>
      <x:c r="B2626" s="7" t="str">
        <x:v>Tata</x:v>
      </x:c>
      <x:c r="C2626" s="7" t="str">
        <x:v>Nexon</x:v>
      </x:c>
      <x:c r="D2626" s="7" t="str">
        <x:v>Creative DCA</x:v>
      </x:c>
      <x:c r="E2626" s="7" t="str">
        <x:v>Petrol</x:v>
      </x:c>
      <x:c r="F2626" s="7" t="str">
        <x:v>Automatic</x:v>
      </x:c>
      <x:c r="G2626" s="7" t="str">
        <x:v>Compact SUV</x:v>
      </x:c>
      <x:c r="H2626" s="7" t="n">
        <x:v>1199</x:v>
      </x:c>
      <x:c r="I2626" s="7" t="n">
        <x:v>118</x:v>
      </x:c>
      <x:c r="J2626" s="9" t="n">
        <x:v>17.2</x:v>
      </x:c>
      <x:c r="K2626" s="9" t="n">
        <x:v>13.5</x:v>
      </x:c>
      <x:c r="L2626" s="7" t="n">
        <x:v>2025</x:v>
      </x:c>
      <x:c r="M2626" s="11" t="n">
        <x:v>15910</x:v>
      </x:c>
      <x:c r="N2626" s="7" t="n">
        <x:v>1</x:v>
      </x:c>
      <x:c r="O2626" s="7" t="n">
        <x:v>0</x:v>
      </x:c>
      <x:c r="P2626" s="9" t="n">
        <x:v>11.92</x:v>
      </x:c>
      <x:c r="Q2626" s="7" t="n">
        <x:f>'Guide'!$B$5-L2626</x:f>
        <x:v>1</x:v>
      </x:c>
      <x:c r="R2626" s="9" t="n">
        <x:f>K2626-P2626</x:f>
        <x:v>1.58</x:v>
      </x:c>
      <x:c r="S2626" s="10" t="n">
        <x:f>IF(K2626&gt;0,R2626/K2626,"")</x:f>
        <x:v>0.11703703703703704</x:v>
      </x:c>
    </x:row>
    <x:row r="2627">
      <x:c r="A2627" s="7" t="n">
        <x:v>2623</x:v>
      </x:c>
      <x:c r="B2627" s="7" t="str">
        <x:v>Tata</x:v>
      </x:c>
      <x:c r="C2627" s="7" t="str">
        <x:v>Nexon</x:v>
      </x:c>
      <x:c r="D2627" s="7" t="str">
        <x:v>Creative DCA</x:v>
      </x:c>
      <x:c r="E2627" s="7" t="str">
        <x:v>Petrol</x:v>
      </x:c>
      <x:c r="F2627" s="7" t="str">
        <x:v>Automatic</x:v>
      </x:c>
      <x:c r="G2627" s="7" t="str">
        <x:v>Compact SUV</x:v>
      </x:c>
      <x:c r="H2627" s="7" t="n">
        <x:v>1199</x:v>
      </x:c>
      <x:c r="I2627" s="7" t="n">
        <x:v>118</x:v>
      </x:c>
      <x:c r="J2627" s="9" t="n">
        <x:v>17.2</x:v>
      </x:c>
      <x:c r="K2627" s="9" t="n">
        <x:v>13.5</x:v>
      </x:c>
      <x:c r="L2627" s="7" t="n">
        <x:v>2026</x:v>
      </x:c>
      <x:c r="M2627" s="11" t="n">
        <x:v>4105</x:v>
      </x:c>
      <x:c r="N2627" s="7" t="n">
        <x:v>1</x:v>
      </x:c>
      <x:c r="O2627" s="7" t="n">
        <x:v>0</x:v>
      </x:c>
      <x:c r="P2627" s="9" t="n">
        <x:v>13.71</x:v>
      </x:c>
      <x:c r="Q2627" s="7" t="n">
        <x:f>'Guide'!$B$5-L2627</x:f>
        <x:v>0</x:v>
      </x:c>
      <x:c r="R2627" s="9" t="n">
        <x:f>K2627-P2627</x:f>
        <x:v>-0.21000000000000085</x:v>
      </x:c>
      <x:c r="S2627" s="10" t="n">
        <x:f>IF(K2627&gt;0,R2627/K2627,"")</x:f>
        <x:v>-0.01555555555555562</x:v>
      </x:c>
    </x:row>
    <x:row r="2628">
      <x:c r="A2628" s="7" t="n">
        <x:v>2624</x:v>
      </x:c>
      <x:c r="B2628" s="7" t="str">
        <x:v>Tata</x:v>
      </x:c>
      <x:c r="C2628" s="7" t="str">
        <x:v>Nexon</x:v>
      </x:c>
      <x:c r="D2628" s="7" t="str">
        <x:v>Creative DCA</x:v>
      </x:c>
      <x:c r="E2628" s="7" t="str">
        <x:v>Petrol</x:v>
      </x:c>
      <x:c r="F2628" s="7" t="str">
        <x:v>Automatic</x:v>
      </x:c>
      <x:c r="G2628" s="7" t="str">
        <x:v>Compact SUV</x:v>
      </x:c>
      <x:c r="H2628" s="7" t="n">
        <x:v>1199</x:v>
      </x:c>
      <x:c r="I2628" s="7" t="n">
        <x:v>118</x:v>
      </x:c>
      <x:c r="J2628" s="9" t="n">
        <x:v>17.2</x:v>
      </x:c>
      <x:c r="K2628" s="9" t="n">
        <x:v>13.5</x:v>
      </x:c>
      <x:c r="L2628" s="7" t="n">
        <x:v>2022</x:v>
      </x:c>
      <x:c r="M2628" s="11" t="n">
        <x:v>42414</x:v>
      </x:c>
      <x:c r="N2628" s="7" t="n">
        <x:v>2</x:v>
      </x:c>
      <x:c r="O2628" s="7" t="n">
        <x:v>0</x:v>
      </x:c>
      <x:c r="P2628" s="9" t="n">
        <x:v>7.72</x:v>
      </x:c>
      <x:c r="Q2628" s="7" t="n">
        <x:f>'Guide'!$B$5-L2628</x:f>
        <x:v>4</x:v>
      </x:c>
      <x:c r="R2628" s="9" t="n">
        <x:f>K2628-P2628</x:f>
        <x:v>5.78</x:v>
      </x:c>
      <x:c r="S2628" s="10" t="n">
        <x:f>IF(K2628&gt;0,R2628/K2628,"")</x:f>
        <x:v>0.42814814814814817</x:v>
      </x:c>
    </x:row>
    <x:row r="2629">
      <x:c r="A2629" s="7" t="n">
        <x:v>2625</x:v>
      </x:c>
      <x:c r="B2629" s="7" t="str">
        <x:v>Tata</x:v>
      </x:c>
      <x:c r="C2629" s="7" t="str">
        <x:v>Nexon</x:v>
      </x:c>
      <x:c r="D2629" s="7" t="str">
        <x:v>Creative DCA</x:v>
      </x:c>
      <x:c r="E2629" s="7" t="str">
        <x:v>Petrol</x:v>
      </x:c>
      <x:c r="F2629" s="7" t="str">
        <x:v>Automatic</x:v>
      </x:c>
      <x:c r="G2629" s="7" t="str">
        <x:v>Compact SUV</x:v>
      </x:c>
      <x:c r="H2629" s="7" t="n">
        <x:v>1199</x:v>
      </x:c>
      <x:c r="I2629" s="7" t="n">
        <x:v>118</x:v>
      </x:c>
      <x:c r="J2629" s="9" t="n">
        <x:v>17.2</x:v>
      </x:c>
      <x:c r="K2629" s="9" t="n">
        <x:v>13.5</x:v>
      </x:c>
      <x:c r="L2629" s="7" t="n">
        <x:v>2021</x:v>
      </x:c>
      <x:c r="M2629" s="11" t="n">
        <x:v>59229</x:v>
      </x:c>
      <x:c r="N2629" s="7" t="n">
        <x:v>1</x:v>
      </x:c>
      <x:c r="O2629" s="7" t="n">
        <x:v>0</x:v>
      </x:c>
      <x:c r="P2629" s="9" t="n">
        <x:v>7.52</x:v>
      </x:c>
      <x:c r="Q2629" s="7" t="n">
        <x:f>'Guide'!$B$5-L2629</x:f>
        <x:v>5</x:v>
      </x:c>
      <x:c r="R2629" s="9" t="n">
        <x:f>K2629-P2629</x:f>
        <x:v>5.98</x:v>
      </x:c>
      <x:c r="S2629" s="10" t="n">
        <x:f>IF(K2629&gt;0,R2629/K2629,"")</x:f>
        <x:v>0.442962962962963</x:v>
      </x:c>
    </x:row>
    <x:row r="2630">
      <x:c r="A2630" s="7" t="n">
        <x:v>2626</x:v>
      </x:c>
      <x:c r="B2630" s="7" t="str">
        <x:v>Tata</x:v>
      </x:c>
      <x:c r="C2630" s="7" t="str">
        <x:v>Nexon</x:v>
      </x:c>
      <x:c r="D2630" s="7" t="str">
        <x:v>Creative DCA</x:v>
      </x:c>
      <x:c r="E2630" s="7" t="str">
        <x:v>Petrol</x:v>
      </x:c>
      <x:c r="F2630" s="7" t="str">
        <x:v>Automatic</x:v>
      </x:c>
      <x:c r="G2630" s="7" t="str">
        <x:v>Compact SUV</x:v>
      </x:c>
      <x:c r="H2630" s="7" t="n">
        <x:v>1199</x:v>
      </x:c>
      <x:c r="I2630" s="7" t="n">
        <x:v>118</x:v>
      </x:c>
      <x:c r="J2630" s="9" t="n">
        <x:v>17.2</x:v>
      </x:c>
      <x:c r="K2630" s="9" t="n">
        <x:v>13.5</x:v>
      </x:c>
      <x:c r="L2630" s="7" t="n">
        <x:v>2020</x:v>
      </x:c>
      <x:c r="M2630" s="11" t="n">
        <x:v>90425</x:v>
      </x:c>
      <x:c r="N2630" s="7" t="n">
        <x:v>1</x:v>
      </x:c>
      <x:c r="O2630" s="7" t="n">
        <x:v>0</x:v>
      </x:c>
      <x:c r="P2630" s="9" t="n">
        <x:v>5.59</x:v>
      </x:c>
      <x:c r="Q2630" s="7" t="n">
        <x:f>'Guide'!$B$5-L2630</x:f>
        <x:v>6</x:v>
      </x:c>
      <x:c r="R2630" s="9" t="n">
        <x:f>K2630-P2630</x:f>
        <x:v>7.91</x:v>
      </x:c>
      <x:c r="S2630" s="10" t="n">
        <x:f>IF(K2630&gt;0,R2630/K2630,"")</x:f>
        <x:v>0.585925925925926</x:v>
      </x:c>
    </x:row>
    <x:row r="2631">
      <x:c r="A2631" s="7" t="n">
        <x:v>2627</x:v>
      </x:c>
      <x:c r="B2631" s="7" t="str">
        <x:v>Tata</x:v>
      </x:c>
      <x:c r="C2631" s="7" t="str">
        <x:v>Nexon</x:v>
      </x:c>
      <x:c r="D2631" s="7" t="str">
        <x:v>Creative DCA</x:v>
      </x:c>
      <x:c r="E2631" s="7" t="str">
        <x:v>Petrol</x:v>
      </x:c>
      <x:c r="F2631" s="7" t="str">
        <x:v>Automatic</x:v>
      </x:c>
      <x:c r="G2631" s="7" t="str">
        <x:v>Compact SUV</x:v>
      </x:c>
      <x:c r="H2631" s="7" t="n">
        <x:v>1199</x:v>
      </x:c>
      <x:c r="I2631" s="7" t="n">
        <x:v>118</x:v>
      </x:c>
      <x:c r="J2631" s="9" t="n">
        <x:v>17.2</x:v>
      </x:c>
      <x:c r="K2631" s="9" t="n">
        <x:v>13.5</x:v>
      </x:c>
      <x:c r="L2631" s="7" t="n">
        <x:v>2021</x:v>
      </x:c>
      <x:c r="M2631" s="11" t="n">
        <x:v>98906</x:v>
      </x:c>
      <x:c r="N2631" s="7" t="n">
        <x:v>1</x:v>
      </x:c>
      <x:c r="O2631" s="7" t="n">
        <x:v>0</x:v>
      </x:c>
      <x:c r="P2631" s="9" t="n">
        <x:v>6.63</x:v>
      </x:c>
      <x:c r="Q2631" s="7" t="n">
        <x:f>'Guide'!$B$5-L2631</x:f>
        <x:v>5</x:v>
      </x:c>
      <x:c r="R2631" s="9" t="n">
        <x:f>K2631-P2631</x:f>
        <x:v>6.87</x:v>
      </x:c>
      <x:c r="S2631" s="10" t="n">
        <x:f>IF(K2631&gt;0,R2631/K2631,"")</x:f>
        <x:v>0.508888888888889</x:v>
      </x:c>
    </x:row>
    <x:row r="2632">
      <x:c r="A2632" s="7" t="n">
        <x:v>2628</x:v>
      </x:c>
      <x:c r="B2632" s="7" t="str">
        <x:v>Tata</x:v>
      </x:c>
      <x:c r="C2632" s="7" t="str">
        <x:v>Nexon</x:v>
      </x:c>
      <x:c r="D2632" s="7" t="str">
        <x:v>Creative DCA</x:v>
      </x:c>
      <x:c r="E2632" s="7" t="str">
        <x:v>Petrol</x:v>
      </x:c>
      <x:c r="F2632" s="7" t="str">
        <x:v>Automatic</x:v>
      </x:c>
      <x:c r="G2632" s="7" t="str">
        <x:v>Compact SUV</x:v>
      </x:c>
      <x:c r="H2632" s="7" t="n">
        <x:v>1199</x:v>
      </x:c>
      <x:c r="I2632" s="7" t="n">
        <x:v>118</x:v>
      </x:c>
      <x:c r="J2632" s="9" t="n">
        <x:v>17.2</x:v>
      </x:c>
      <x:c r="K2632" s="9" t="n">
        <x:v>13.5</x:v>
      </x:c>
      <x:c r="L2632" s="7" t="n">
        <x:v>2024</x:v>
      </x:c>
      <x:c r="M2632" s="11" t="n">
        <x:v>24279</x:v>
      </x:c>
      <x:c r="N2632" s="7" t="n">
        <x:v>1</x:v>
      </x:c>
      <x:c r="O2632" s="7" t="n">
        <x:v>0</x:v>
      </x:c>
      <x:c r="P2632" s="9" t="n">
        <x:v>11.12</x:v>
      </x:c>
      <x:c r="Q2632" s="7" t="n">
        <x:f>'Guide'!$B$5-L2632</x:f>
        <x:v>2</x:v>
      </x:c>
      <x:c r="R2632" s="9" t="n">
        <x:f>K2632-P2632</x:f>
        <x:v>2.380000000000001</x:v>
      </x:c>
      <x:c r="S2632" s="10" t="n">
        <x:f>IF(K2632&gt;0,R2632/K2632,"")</x:f>
        <x:v>0.17629629629629637</x:v>
      </x:c>
    </x:row>
    <x:row r="2633">
      <x:c r="A2633" s="7" t="n">
        <x:v>2629</x:v>
      </x:c>
      <x:c r="B2633" s="7" t="str">
        <x:v>Tata</x:v>
      </x:c>
      <x:c r="C2633" s="7" t="str">
        <x:v>Nexon</x:v>
      </x:c>
      <x:c r="D2633" s="7" t="str">
        <x:v>Creative DCA</x:v>
      </x:c>
      <x:c r="E2633" s="7" t="str">
        <x:v>Petrol</x:v>
      </x:c>
      <x:c r="F2633" s="7" t="str">
        <x:v>Automatic</x:v>
      </x:c>
      <x:c r="G2633" s="7" t="str">
        <x:v>Compact SUV</x:v>
      </x:c>
      <x:c r="H2633" s="7" t="n">
        <x:v>1199</x:v>
      </x:c>
      <x:c r="I2633" s="7" t="n">
        <x:v>118</x:v>
      </x:c>
      <x:c r="J2633" s="9" t="n">
        <x:v>17.2</x:v>
      </x:c>
      <x:c r="K2633" s="9" t="n">
        <x:v>13.5</x:v>
      </x:c>
      <x:c r="L2633" s="7" t="n">
        <x:v>2022</x:v>
      </x:c>
      <x:c r="M2633" s="11" t="n">
        <x:v>49698</x:v>
      </x:c>
      <x:c r="N2633" s="7" t="n">
        <x:v>1</x:v>
      </x:c>
      <x:c r="O2633" s="7" t="n">
        <x:v>0</x:v>
      </x:c>
      <x:c r="P2633" s="9" t="n">
        <x:v>8.31</x:v>
      </x:c>
      <x:c r="Q2633" s="7" t="n">
        <x:f>'Guide'!$B$5-L2633</x:f>
        <x:v>4</x:v>
      </x:c>
      <x:c r="R2633" s="9" t="n">
        <x:f>K2633-P2633</x:f>
        <x:v>5.1899999999999995</x:v>
      </x:c>
      <x:c r="S2633" s="10" t="n">
        <x:f>IF(K2633&gt;0,R2633/K2633,"")</x:f>
        <x:v>0.3844444444444444</x:v>
      </x:c>
    </x:row>
    <x:row r="2634">
      <x:c r="A2634" s="7" t="n">
        <x:v>2630</x:v>
      </x:c>
      <x:c r="B2634" s="7" t="str">
        <x:v>Tata</x:v>
      </x:c>
      <x:c r="C2634" s="7" t="str">
        <x:v>Nexon</x:v>
      </x:c>
      <x:c r="D2634" s="7" t="str">
        <x:v>Creative DCA</x:v>
      </x:c>
      <x:c r="E2634" s="7" t="str">
        <x:v>Petrol</x:v>
      </x:c>
      <x:c r="F2634" s="7" t="str">
        <x:v>Automatic</x:v>
      </x:c>
      <x:c r="G2634" s="7" t="str">
        <x:v>Compact SUV</x:v>
      </x:c>
      <x:c r="H2634" s="7" t="n">
        <x:v>1199</x:v>
      </x:c>
      <x:c r="I2634" s="7" t="n">
        <x:v>118</x:v>
      </x:c>
      <x:c r="J2634" s="9" t="n">
        <x:v>17.2</x:v>
      </x:c>
      <x:c r="K2634" s="9" t="n">
        <x:v>13.5</x:v>
      </x:c>
      <x:c r="L2634" s="7" t="n">
        <x:v>2020</x:v>
      </x:c>
      <x:c r="M2634" s="11" t="n">
        <x:v>63610</x:v>
      </x:c>
      <x:c r="N2634" s="7" t="n">
        <x:v>2</x:v>
      </x:c>
      <x:c r="O2634" s="7" t="n">
        <x:v>0</x:v>
      </x:c>
      <x:c r="P2634" s="9" t="n">
        <x:v>5.75</x:v>
      </x:c>
      <x:c r="Q2634" s="7" t="n">
        <x:f>'Guide'!$B$5-L2634</x:f>
        <x:v>6</x:v>
      </x:c>
      <x:c r="R2634" s="9" t="n">
        <x:f>K2634-P2634</x:f>
        <x:v>7.75</x:v>
      </x:c>
      <x:c r="S2634" s="10" t="n">
        <x:f>IF(K2634&gt;0,R2634/K2634,"")</x:f>
        <x:v>0.5740740740740741</x:v>
      </x:c>
    </x:row>
    <x:row r="2635">
      <x:c r="A2635" s="7" t="n">
        <x:v>2631</x:v>
      </x:c>
      <x:c r="B2635" s="7" t="str">
        <x:v>Tata</x:v>
      </x:c>
      <x:c r="C2635" s="7" t="str">
        <x:v>Nexon</x:v>
      </x:c>
      <x:c r="D2635" s="7" t="str">
        <x:v>Creative DCA</x:v>
      </x:c>
      <x:c r="E2635" s="7" t="str">
        <x:v>Petrol</x:v>
      </x:c>
      <x:c r="F2635" s="7" t="str">
        <x:v>Automatic</x:v>
      </x:c>
      <x:c r="G2635" s="7" t="str">
        <x:v>Compact SUV</x:v>
      </x:c>
      <x:c r="H2635" s="7" t="n">
        <x:v>1199</x:v>
      </x:c>
      <x:c r="I2635" s="7" t="n">
        <x:v>118</x:v>
      </x:c>
      <x:c r="J2635" s="9" t="n">
        <x:v>17.2</x:v>
      </x:c>
      <x:c r="K2635" s="9" t="n">
        <x:v>13.5</x:v>
      </x:c>
      <x:c r="L2635" s="7" t="n">
        <x:v>2025</x:v>
      </x:c>
      <x:c r="M2635" s="11" t="n">
        <x:v>20126</x:v>
      </x:c>
      <x:c r="N2635" s="7" t="n">
        <x:v>1</x:v>
      </x:c>
      <x:c r="O2635" s="7" t="n">
        <x:v>0</x:v>
      </x:c>
      <x:c r="P2635" s="9" t="n">
        <x:v>12.44</x:v>
      </x:c>
      <x:c r="Q2635" s="7" t="n">
        <x:f>'Guide'!$B$5-L2635</x:f>
        <x:v>1</x:v>
      </x:c>
      <x:c r="R2635" s="9" t="n">
        <x:f>K2635-P2635</x:f>
        <x:v>1.0600000000000005</x:v>
      </x:c>
      <x:c r="S2635" s="10" t="n">
        <x:f>IF(K2635&gt;0,R2635/K2635,"")</x:f>
        <x:v>0.07851851851851856</x:v>
      </x:c>
    </x:row>
    <x:row r="2636">
      <x:c r="A2636" s="7" t="n">
        <x:v>2632</x:v>
      </x:c>
      <x:c r="B2636" s="7" t="str">
        <x:v>Tata</x:v>
      </x:c>
      <x:c r="C2636" s="7" t="str">
        <x:v>Nexon</x:v>
      </x:c>
      <x:c r="D2636" s="7" t="str">
        <x:v>Creative DCA</x:v>
      </x:c>
      <x:c r="E2636" s="7" t="str">
        <x:v>Petrol</x:v>
      </x:c>
      <x:c r="F2636" s="7" t="str">
        <x:v>Automatic</x:v>
      </x:c>
      <x:c r="G2636" s="7" t="str">
        <x:v>Compact SUV</x:v>
      </x:c>
      <x:c r="H2636" s="7" t="n">
        <x:v>1199</x:v>
      </x:c>
      <x:c r="I2636" s="7" t="n">
        <x:v>118</x:v>
      </x:c>
      <x:c r="J2636" s="9" t="n">
        <x:v>17.2</x:v>
      </x:c>
      <x:c r="K2636" s="9" t="n">
        <x:v>13.5</x:v>
      </x:c>
      <x:c r="L2636" s="7" t="n">
        <x:v>2020</x:v>
      </x:c>
      <x:c r="M2636" s="11" t="n">
        <x:v>57245</x:v>
      </x:c>
      <x:c r="N2636" s="7" t="n">
        <x:v>1</x:v>
      </x:c>
      <x:c r="O2636" s="7" t="n">
        <x:v>0</x:v>
      </x:c>
      <x:c r="P2636" s="9" t="n">
        <x:v>6.04</x:v>
      </x:c>
      <x:c r="Q2636" s="7" t="n">
        <x:f>'Guide'!$B$5-L2636</x:f>
        <x:v>6</x:v>
      </x:c>
      <x:c r="R2636" s="9" t="n">
        <x:f>K2636-P2636</x:f>
        <x:v>7.46</x:v>
      </x:c>
      <x:c r="S2636" s="10" t="n">
        <x:f>IF(K2636&gt;0,R2636/K2636,"")</x:f>
        <x:v>0.5525925925925926</x:v>
      </x:c>
    </x:row>
    <x:row r="2637">
      <x:c r="A2637" s="7" t="n">
        <x:v>2633</x:v>
      </x:c>
      <x:c r="B2637" s="7" t="str">
        <x:v>Tata</x:v>
      </x:c>
      <x:c r="C2637" s="7" t="str">
        <x:v>Nexon</x:v>
      </x:c>
      <x:c r="D2637" s="7" t="str">
        <x:v>Creative DCA</x:v>
      </x:c>
      <x:c r="E2637" s="7" t="str">
        <x:v>Petrol</x:v>
      </x:c>
      <x:c r="F2637" s="7" t="str">
        <x:v>Automatic</x:v>
      </x:c>
      <x:c r="G2637" s="7" t="str">
        <x:v>Compact SUV</x:v>
      </x:c>
      <x:c r="H2637" s="7" t="n">
        <x:v>1199</x:v>
      </x:c>
      <x:c r="I2637" s="7" t="n">
        <x:v>118</x:v>
      </x:c>
      <x:c r="J2637" s="9" t="n">
        <x:v>17.2</x:v>
      </x:c>
      <x:c r="K2637" s="9" t="n">
        <x:v>13.5</x:v>
      </x:c>
      <x:c r="L2637" s="7" t="n">
        <x:v>2022</x:v>
      </x:c>
      <x:c r="M2637" s="11" t="n">
        <x:v>82970</x:v>
      </x:c>
      <x:c r="N2637" s="7" t="n">
        <x:v>1</x:v>
      </x:c>
      <x:c r="O2637" s="7" t="n">
        <x:v>0</x:v>
      </x:c>
      <x:c r="P2637" s="9" t="n">
        <x:v>7.47</x:v>
      </x:c>
      <x:c r="Q2637" s="7" t="n">
        <x:f>'Guide'!$B$5-L2637</x:f>
        <x:v>4</x:v>
      </x:c>
      <x:c r="R2637" s="9" t="n">
        <x:f>K2637-P2637</x:f>
        <x:v>6.03</x:v>
      </x:c>
      <x:c r="S2637" s="10" t="n">
        <x:f>IF(K2637&gt;0,R2637/K2637,"")</x:f>
        <x:v>0.4466666666666667</x:v>
      </x:c>
    </x:row>
    <x:row r="2638">
      <x:c r="A2638" s="7" t="n">
        <x:v>2634</x:v>
      </x:c>
      <x:c r="B2638" s="7" t="str">
        <x:v>Tata</x:v>
      </x:c>
      <x:c r="C2638" s="7" t="str">
        <x:v>Nexon</x:v>
      </x:c>
      <x:c r="D2638" s="7" t="str">
        <x:v>Creative DCA</x:v>
      </x:c>
      <x:c r="E2638" s="7" t="str">
        <x:v>Petrol</x:v>
      </x:c>
      <x:c r="F2638" s="7" t="str">
        <x:v>Automatic</x:v>
      </x:c>
      <x:c r="G2638" s="7" t="str">
        <x:v>Compact SUV</x:v>
      </x:c>
      <x:c r="H2638" s="7" t="n">
        <x:v>1199</x:v>
      </x:c>
      <x:c r="I2638" s="7" t="n">
        <x:v>118</x:v>
      </x:c>
      <x:c r="J2638" s="9" t="n">
        <x:v>17.2</x:v>
      </x:c>
      <x:c r="K2638" s="9" t="n">
        <x:v>13.5</x:v>
      </x:c>
      <x:c r="L2638" s="7" t="n">
        <x:v>2022</x:v>
      </x:c>
      <x:c r="M2638" s="11" t="n">
        <x:v>89008</x:v>
      </x:c>
      <x:c r="N2638" s="7" t="n">
        <x:v>1</x:v>
      </x:c>
      <x:c r="O2638" s="7" t="n">
        <x:v>0</x:v>
      </x:c>
      <x:c r="P2638" s="9" t="n">
        <x:v>7.9</x:v>
      </x:c>
      <x:c r="Q2638" s="7" t="n">
        <x:f>'Guide'!$B$5-L2638</x:f>
        <x:v>4</x:v>
      </x:c>
      <x:c r="R2638" s="9" t="n">
        <x:f>K2638-P2638</x:f>
        <x:v>5.6</x:v>
      </x:c>
      <x:c r="S2638" s="10" t="n">
        <x:f>IF(K2638&gt;0,R2638/K2638,"")</x:f>
        <x:v>0.4148148148148148</x:v>
      </x:c>
    </x:row>
    <x:row r="2639">
      <x:c r="A2639" s="7" t="n">
        <x:v>2635</x:v>
      </x:c>
      <x:c r="B2639" s="7" t="str">
        <x:v>Tata</x:v>
      </x:c>
      <x:c r="C2639" s="7" t="str">
        <x:v>Nexon</x:v>
      </x:c>
      <x:c r="D2639" s="7" t="str">
        <x:v>Creative DCA</x:v>
      </x:c>
      <x:c r="E2639" s="7" t="str">
        <x:v>Petrol</x:v>
      </x:c>
      <x:c r="F2639" s="7" t="str">
        <x:v>Automatic</x:v>
      </x:c>
      <x:c r="G2639" s="7" t="str">
        <x:v>Compact SUV</x:v>
      </x:c>
      <x:c r="H2639" s="7" t="n">
        <x:v>1199</x:v>
      </x:c>
      <x:c r="I2639" s="7" t="n">
        <x:v>118</x:v>
      </x:c>
      <x:c r="J2639" s="9" t="n">
        <x:v>17.2</x:v>
      </x:c>
      <x:c r="K2639" s="9" t="n">
        <x:v>13.5</x:v>
      </x:c>
      <x:c r="L2639" s="7" t="n">
        <x:v>2023</x:v>
      </x:c>
      <x:c r="M2639" s="11" t="n">
        <x:v>50291</x:v>
      </x:c>
      <x:c r="N2639" s="7" t="n">
        <x:v>1</x:v>
      </x:c>
      <x:c r="O2639" s="7" t="n">
        <x:v>0</x:v>
      </x:c>
      <x:c r="P2639" s="9" t="n">
        <x:v>9.11</x:v>
      </x:c>
      <x:c r="Q2639" s="7" t="n">
        <x:f>'Guide'!$B$5-L2639</x:f>
        <x:v>3</x:v>
      </x:c>
      <x:c r="R2639" s="9" t="n">
        <x:f>K2639-P2639</x:f>
        <x:v>4.390000000000001</x:v>
      </x:c>
      <x:c r="S2639" s="10" t="n">
        <x:f>IF(K2639&gt;0,R2639/K2639,"")</x:f>
        <x:v>0.32518518518518524</x:v>
      </x:c>
    </x:row>
    <x:row r="2640">
      <x:c r="A2640" s="7" t="n">
        <x:v>2636</x:v>
      </x:c>
      <x:c r="B2640" s="7" t="str">
        <x:v>Tata</x:v>
      </x:c>
      <x:c r="C2640" s="7" t="str">
        <x:v>Nexon</x:v>
      </x:c>
      <x:c r="D2640" s="7" t="str">
        <x:v>Creative DCA</x:v>
      </x:c>
      <x:c r="E2640" s="7" t="str">
        <x:v>Petrol</x:v>
      </x:c>
      <x:c r="F2640" s="7" t="str">
        <x:v>Automatic</x:v>
      </x:c>
      <x:c r="G2640" s="7" t="str">
        <x:v>Compact SUV</x:v>
      </x:c>
      <x:c r="H2640" s="7" t="n">
        <x:v>1199</x:v>
      </x:c>
      <x:c r="I2640" s="7" t="n">
        <x:v>118</x:v>
      </x:c>
      <x:c r="J2640" s="9" t="n">
        <x:v>17.2</x:v>
      </x:c>
      <x:c r="K2640" s="9" t="n">
        <x:v>13.5</x:v>
      </x:c>
      <x:c r="L2640" s="7" t="n">
        <x:v>2024</x:v>
      </x:c>
      <x:c r="M2640" s="11" t="n">
        <x:v>39651</x:v>
      </x:c>
      <x:c r="N2640" s="7" t="n">
        <x:v>1</x:v>
      </x:c>
      <x:c r="O2640" s="7" t="n">
        <x:v>0</x:v>
      </x:c>
      <x:c r="P2640" s="9" t="n">
        <x:v>10.4</x:v>
      </x:c>
      <x:c r="Q2640" s="7" t="n">
        <x:f>'Guide'!$B$5-L2640</x:f>
        <x:v>2</x:v>
      </x:c>
      <x:c r="R2640" s="9" t="n">
        <x:f>K2640-P2640</x:f>
        <x:v>3.0999999999999996</x:v>
      </x:c>
      <x:c r="S2640" s="10" t="n">
        <x:f>IF(K2640&gt;0,R2640/K2640,"")</x:f>
        <x:v>0.2296296296296296</x:v>
      </x:c>
    </x:row>
    <x:row r="2641">
      <x:c r="A2641" s="7" t="n">
        <x:v>2637</x:v>
      </x:c>
      <x:c r="B2641" s="7" t="str">
        <x:v>Tata</x:v>
      </x:c>
      <x:c r="C2641" s="7" t="str">
        <x:v>Nexon</x:v>
      </x:c>
      <x:c r="D2641" s="7" t="str">
        <x:v>Creative DCA</x:v>
      </x:c>
      <x:c r="E2641" s="7" t="str">
        <x:v>Petrol</x:v>
      </x:c>
      <x:c r="F2641" s="7" t="str">
        <x:v>Automatic</x:v>
      </x:c>
      <x:c r="G2641" s="7" t="str">
        <x:v>Compact SUV</x:v>
      </x:c>
      <x:c r="H2641" s="7" t="n">
        <x:v>1199</x:v>
      </x:c>
      <x:c r="I2641" s="7" t="n">
        <x:v>118</x:v>
      </x:c>
      <x:c r="J2641" s="9" t="n">
        <x:v>17.2</x:v>
      </x:c>
      <x:c r="K2641" s="9" t="n">
        <x:v>13.5</x:v>
      </x:c>
      <x:c r="L2641" s="7" t="n">
        <x:v>2024</x:v>
      </x:c>
      <x:c r="M2641" s="11" t="n">
        <x:v>31442</x:v>
      </x:c>
      <x:c r="N2641" s="7" t="n">
        <x:v>3</x:v>
      </x:c>
      <x:c r="O2641" s="7" t="n">
        <x:v>1</x:v>
      </x:c>
      <x:c r="P2641" s="9" t="n">
        <x:v>9.32</x:v>
      </x:c>
      <x:c r="Q2641" s="7" t="n">
        <x:f>'Guide'!$B$5-L2641</x:f>
        <x:v>2</x:v>
      </x:c>
      <x:c r="R2641" s="9" t="n">
        <x:f>K2641-P2641</x:f>
        <x:v>4.18</x:v>
      </x:c>
      <x:c r="S2641" s="10" t="n">
        <x:f>IF(K2641&gt;0,R2641/K2641,"")</x:f>
        <x:v>0.3096296296296296</x:v>
      </x:c>
    </x:row>
    <x:row r="2642">
      <x:c r="A2642" s="7" t="n">
        <x:v>2638</x:v>
      </x:c>
      <x:c r="B2642" s="7" t="str">
        <x:v>Tata</x:v>
      </x:c>
      <x:c r="C2642" s="7" t="str">
        <x:v>Nexon</x:v>
      </x:c>
      <x:c r="D2642" s="7" t="str">
        <x:v>Creative DCA</x:v>
      </x:c>
      <x:c r="E2642" s="7" t="str">
        <x:v>Petrol</x:v>
      </x:c>
      <x:c r="F2642" s="7" t="str">
        <x:v>Automatic</x:v>
      </x:c>
      <x:c r="G2642" s="7" t="str">
        <x:v>Compact SUV</x:v>
      </x:c>
      <x:c r="H2642" s="7" t="n">
        <x:v>1199</x:v>
      </x:c>
      <x:c r="I2642" s="7" t="n">
        <x:v>118</x:v>
      </x:c>
      <x:c r="J2642" s="9" t="n">
        <x:v>17.2</x:v>
      </x:c>
      <x:c r="K2642" s="9" t="n">
        <x:v>13.5</x:v>
      </x:c>
      <x:c r="L2642" s="7" t="n">
        <x:v>2021</x:v>
      </x:c>
      <x:c r="M2642" s="11" t="n">
        <x:v>64630</x:v>
      </x:c>
      <x:c r="N2642" s="7" t="n">
        <x:v>2</x:v>
      </x:c>
      <x:c r="O2642" s="7" t="n">
        <x:v>0</x:v>
      </x:c>
      <x:c r="P2642" s="9" t="n">
        <x:v>6.96</x:v>
      </x:c>
      <x:c r="Q2642" s="7" t="n">
        <x:f>'Guide'!$B$5-L2642</x:f>
        <x:v>5</x:v>
      </x:c>
      <x:c r="R2642" s="9" t="n">
        <x:f>K2642-P2642</x:f>
        <x:v>6.54</x:v>
      </x:c>
      <x:c r="S2642" s="10" t="n">
        <x:f>IF(K2642&gt;0,R2642/K2642,"")</x:f>
        <x:v>0.48444444444444446</x:v>
      </x:c>
    </x:row>
    <x:row r="2643">
      <x:c r="A2643" s="7" t="n">
        <x:v>2639</x:v>
      </x:c>
      <x:c r="B2643" s="7" t="str">
        <x:v>Tata</x:v>
      </x:c>
      <x:c r="C2643" s="7" t="str">
        <x:v>Nexon</x:v>
      </x:c>
      <x:c r="D2643" s="7" t="str">
        <x:v>Creative DCA</x:v>
      </x:c>
      <x:c r="E2643" s="7" t="str">
        <x:v>Petrol</x:v>
      </x:c>
      <x:c r="F2643" s="7" t="str">
        <x:v>Automatic</x:v>
      </x:c>
      <x:c r="G2643" s="7" t="str">
        <x:v>Compact SUV</x:v>
      </x:c>
      <x:c r="H2643" s="7" t="n">
        <x:v>1199</x:v>
      </x:c>
      <x:c r="I2643" s="7" t="n">
        <x:v>118</x:v>
      </x:c>
      <x:c r="J2643" s="9" t="n">
        <x:v>17.2</x:v>
      </x:c>
      <x:c r="K2643" s="9" t="n">
        <x:v>13.5</x:v>
      </x:c>
      <x:c r="L2643" s="7" t="n">
        <x:v>2025</x:v>
      </x:c>
      <x:c r="M2643" s="11" t="n">
        <x:v>19157</x:v>
      </x:c>
      <x:c r="N2643" s="7" t="n">
        <x:v>2</x:v>
      </x:c>
      <x:c r="O2643" s="7" t="n">
        <x:v>0</x:v>
      </x:c>
      <x:c r="P2643" s="9" t="n">
        <x:v>12.09</x:v>
      </x:c>
      <x:c r="Q2643" s="7" t="n">
        <x:f>'Guide'!$B$5-L2643</x:f>
        <x:v>1</x:v>
      </x:c>
      <x:c r="R2643" s="9" t="n">
        <x:f>K2643-P2643</x:f>
        <x:v>1.4100000000000001</x:v>
      </x:c>
      <x:c r="S2643" s="10" t="n">
        <x:f>IF(K2643&gt;0,R2643/K2643,"")</x:f>
        <x:v>0.10444444444444445</x:v>
      </x:c>
    </x:row>
    <x:row r="2644">
      <x:c r="A2644" s="7" t="n">
        <x:v>2640</x:v>
      </x:c>
      <x:c r="B2644" s="7" t="str">
        <x:v>Tata</x:v>
      </x:c>
      <x:c r="C2644" s="7" t="str">
        <x:v>Nexon</x:v>
      </x:c>
      <x:c r="D2644" s="7" t="str">
        <x:v>Creative DCA</x:v>
      </x:c>
      <x:c r="E2644" s="7" t="str">
        <x:v>Petrol</x:v>
      </x:c>
      <x:c r="F2644" s="7" t="str">
        <x:v>Automatic</x:v>
      </x:c>
      <x:c r="G2644" s="7" t="str">
        <x:v>Compact SUV</x:v>
      </x:c>
      <x:c r="H2644" s="7" t="n">
        <x:v>1199</x:v>
      </x:c>
      <x:c r="I2644" s="7" t="n">
        <x:v>118</x:v>
      </x:c>
      <x:c r="J2644" s="9" t="n">
        <x:v>17.2</x:v>
      </x:c>
      <x:c r="K2644" s="9" t="n">
        <x:v>13.5</x:v>
      </x:c>
      <x:c r="L2644" s="7" t="n">
        <x:v>2026</x:v>
      </x:c>
      <x:c r="M2644" s="11" t="n">
        <x:v>7014</x:v>
      </x:c>
      <x:c r="N2644" s="7" t="n">
        <x:v>1</x:v>
      </x:c>
      <x:c r="O2644" s="7" t="n">
        <x:v>0</x:v>
      </x:c>
      <x:c r="P2644" s="9" t="n">
        <x:v>13.75</x:v>
      </x:c>
      <x:c r="Q2644" s="7" t="n">
        <x:f>'Guide'!$B$5-L2644</x:f>
        <x:v>0</x:v>
      </x:c>
      <x:c r="R2644" s="9" t="n">
        <x:f>K2644-P2644</x:f>
        <x:v>-0.25</x:v>
      </x:c>
      <x:c r="S2644" s="10" t="n">
        <x:f>IF(K2644&gt;0,R2644/K2644,"")</x:f>
        <x:v>-0.018518518518518517</x:v>
      </x:c>
    </x:row>
    <x:row r="2645">
      <x:c r="A2645" s="7" t="n">
        <x:v>2641</x:v>
      </x:c>
      <x:c r="B2645" s="7" t="str">
        <x:v>Tata</x:v>
      </x:c>
      <x:c r="C2645" s="7" t="str">
        <x:v>Nexon</x:v>
      </x:c>
      <x:c r="D2645" s="7" t="str">
        <x:v>Creative DCA</x:v>
      </x:c>
      <x:c r="E2645" s="7" t="str">
        <x:v>Petrol</x:v>
      </x:c>
      <x:c r="F2645" s="7" t="str">
        <x:v>Automatic</x:v>
      </x:c>
      <x:c r="G2645" s="7" t="str">
        <x:v>Compact SUV</x:v>
      </x:c>
      <x:c r="H2645" s="7" t="n">
        <x:v>1199</x:v>
      </x:c>
      <x:c r="I2645" s="7" t="n">
        <x:v>118</x:v>
      </x:c>
      <x:c r="J2645" s="9" t="n">
        <x:v>17.2</x:v>
      </x:c>
      <x:c r="K2645" s="9" t="n">
        <x:v>13.5</x:v>
      </x:c>
      <x:c r="L2645" s="7" t="n">
        <x:v>2021</x:v>
      </x:c>
      <x:c r="M2645" s="11" t="n">
        <x:v>97366</x:v>
      </x:c>
      <x:c r="N2645" s="7" t="n">
        <x:v>1</x:v>
      </x:c>
      <x:c r="O2645" s="7" t="n">
        <x:v>0</x:v>
      </x:c>
      <x:c r="P2645" s="9" t="n">
        <x:v>6.32</x:v>
      </x:c>
      <x:c r="Q2645" s="7" t="n">
        <x:f>'Guide'!$B$5-L2645</x:f>
        <x:v>5</x:v>
      </x:c>
      <x:c r="R2645" s="9" t="n">
        <x:f>K2645-P2645</x:f>
        <x:v>7.18</x:v>
      </x:c>
      <x:c r="S2645" s="10" t="n">
        <x:f>IF(K2645&gt;0,R2645/K2645,"")</x:f>
        <x:v>0.5318518518518518</x:v>
      </x:c>
    </x:row>
    <x:row r="2646">
      <x:c r="A2646" s="7" t="n">
        <x:v>2642</x:v>
      </x:c>
      <x:c r="B2646" s="7" t="str">
        <x:v>Tata</x:v>
      </x:c>
      <x:c r="C2646" s="7" t="str">
        <x:v>Nexon</x:v>
      </x:c>
      <x:c r="D2646" s="7" t="str">
        <x:v>Creative DCA</x:v>
      </x:c>
      <x:c r="E2646" s="7" t="str">
        <x:v>Petrol</x:v>
      </x:c>
      <x:c r="F2646" s="7" t="str">
        <x:v>Automatic</x:v>
      </x:c>
      <x:c r="G2646" s="7" t="str">
        <x:v>Compact SUV</x:v>
      </x:c>
      <x:c r="H2646" s="7" t="n">
        <x:v>1199</x:v>
      </x:c>
      <x:c r="I2646" s="7" t="n">
        <x:v>118</x:v>
      </x:c>
      <x:c r="J2646" s="9" t="n">
        <x:v>17.2</x:v>
      </x:c>
      <x:c r="K2646" s="9" t="n">
        <x:v>13.5</x:v>
      </x:c>
      <x:c r="L2646" s="7" t="n">
        <x:v>2021</x:v>
      </x:c>
      <x:c r="M2646" s="11" t="n">
        <x:v>49270</x:v>
      </x:c>
      <x:c r="N2646" s="7" t="n">
        <x:v>1</x:v>
      </x:c>
      <x:c r="O2646" s="7" t="n">
        <x:v>0</x:v>
      </x:c>
      <x:c r="P2646" s="9" t="n">
        <x:v>7.33</x:v>
      </x:c>
      <x:c r="Q2646" s="7" t="n">
        <x:f>'Guide'!$B$5-L2646</x:f>
        <x:v>5</x:v>
      </x:c>
      <x:c r="R2646" s="9" t="n">
        <x:f>K2646-P2646</x:f>
        <x:v>6.17</x:v>
      </x:c>
      <x:c r="S2646" s="10" t="n">
        <x:f>IF(K2646&gt;0,R2646/K2646,"")</x:f>
        <x:v>0.457037037037037</x:v>
      </x:c>
    </x:row>
    <x:row r="2647">
      <x:c r="A2647" s="7" t="n">
        <x:v>2643</x:v>
      </x:c>
      <x:c r="B2647" s="7" t="str">
        <x:v>Tata</x:v>
      </x:c>
      <x:c r="C2647" s="7" t="str">
        <x:v>Nexon</x:v>
      </x:c>
      <x:c r="D2647" s="7" t="str">
        <x:v>Creative DCA</x:v>
      </x:c>
      <x:c r="E2647" s="7" t="str">
        <x:v>Petrol</x:v>
      </x:c>
      <x:c r="F2647" s="7" t="str">
        <x:v>Automatic</x:v>
      </x:c>
      <x:c r="G2647" s="7" t="str">
        <x:v>Compact SUV</x:v>
      </x:c>
      <x:c r="H2647" s="7" t="n">
        <x:v>1199</x:v>
      </x:c>
      <x:c r="I2647" s="7" t="n">
        <x:v>118</x:v>
      </x:c>
      <x:c r="J2647" s="9" t="n">
        <x:v>17.2</x:v>
      </x:c>
      <x:c r="K2647" s="9" t="n">
        <x:v>13.5</x:v>
      </x:c>
      <x:c r="L2647" s="7" t="n">
        <x:v>2022</x:v>
      </x:c>
      <x:c r="M2647" s="11" t="n">
        <x:v>72769</x:v>
      </x:c>
      <x:c r="N2647" s="7" t="n">
        <x:v>2</x:v>
      </x:c>
      <x:c r="O2647" s="7" t="n">
        <x:v>0</x:v>
      </x:c>
      <x:c r="P2647" s="9" t="n">
        <x:v>7.8</x:v>
      </x:c>
      <x:c r="Q2647" s="7" t="n">
        <x:f>'Guide'!$B$5-L2647</x:f>
        <x:v>4</x:v>
      </x:c>
      <x:c r="R2647" s="9" t="n">
        <x:f>K2647-P2647</x:f>
        <x:v>5.7</x:v>
      </x:c>
      <x:c r="S2647" s="10" t="n">
        <x:f>IF(K2647&gt;0,R2647/K2647,"")</x:f>
        <x:v>0.4222222222222222</x:v>
      </x:c>
    </x:row>
    <x:row r="2648">
      <x:c r="A2648" s="7" t="n">
        <x:v>2644</x:v>
      </x:c>
      <x:c r="B2648" s="7" t="str">
        <x:v>Tata</x:v>
      </x:c>
      <x:c r="C2648" s="7" t="str">
        <x:v>Nexon</x:v>
      </x:c>
      <x:c r="D2648" s="7" t="str">
        <x:v>Creative DCA</x:v>
      </x:c>
      <x:c r="E2648" s="7" t="str">
        <x:v>Petrol</x:v>
      </x:c>
      <x:c r="F2648" s="7" t="str">
        <x:v>Automatic</x:v>
      </x:c>
      <x:c r="G2648" s="7" t="str">
        <x:v>Compact SUV</x:v>
      </x:c>
      <x:c r="H2648" s="7" t="n">
        <x:v>1199</x:v>
      </x:c>
      <x:c r="I2648" s="7" t="n">
        <x:v>118</x:v>
      </x:c>
      <x:c r="J2648" s="9" t="n">
        <x:v>17.2</x:v>
      </x:c>
      <x:c r="K2648" s="9" t="n">
        <x:v>13.5</x:v>
      </x:c>
      <x:c r="L2648" s="7" t="n">
        <x:v>2022</x:v>
      </x:c>
      <x:c r="M2648" s="11" t="n">
        <x:v>62707</x:v>
      </x:c>
      <x:c r="N2648" s="7" t="n">
        <x:v>2</x:v>
      </x:c>
      <x:c r="O2648" s="7" t="n">
        <x:v>0</x:v>
      </x:c>
      <x:c r="P2648" s="9" t="n">
        <x:v>7.9</x:v>
      </x:c>
      <x:c r="Q2648" s="7" t="n">
        <x:f>'Guide'!$B$5-L2648</x:f>
        <x:v>4</x:v>
      </x:c>
      <x:c r="R2648" s="9" t="n">
        <x:f>K2648-P2648</x:f>
        <x:v>5.6</x:v>
      </x:c>
      <x:c r="S2648" s="10" t="n">
        <x:f>IF(K2648&gt;0,R2648/K2648,"")</x:f>
        <x:v>0.4148148148148148</x:v>
      </x:c>
    </x:row>
    <x:row r="2649">
      <x:c r="A2649" s="7" t="n">
        <x:v>2645</x:v>
      </x:c>
      <x:c r="B2649" s="7" t="str">
        <x:v>Tata</x:v>
      </x:c>
      <x:c r="C2649" s="7" t="str">
        <x:v>Nexon</x:v>
      </x:c>
      <x:c r="D2649" s="7" t="str">
        <x:v>Creative DCA</x:v>
      </x:c>
      <x:c r="E2649" s="7" t="str">
        <x:v>Petrol</x:v>
      </x:c>
      <x:c r="F2649" s="7" t="str">
        <x:v>Automatic</x:v>
      </x:c>
      <x:c r="G2649" s="7" t="str">
        <x:v>Compact SUV</x:v>
      </x:c>
      <x:c r="H2649" s="7" t="n">
        <x:v>1199</x:v>
      </x:c>
      <x:c r="I2649" s="7" t="n">
        <x:v>118</x:v>
      </x:c>
      <x:c r="J2649" s="9" t="n">
        <x:v>17.2</x:v>
      </x:c>
      <x:c r="K2649" s="9" t="n">
        <x:v>13.5</x:v>
      </x:c>
      <x:c r="L2649" s="7" t="n">
        <x:v>2021</x:v>
      </x:c>
      <x:c r="M2649" s="11" t="n">
        <x:v>69806</x:v>
      </x:c>
      <x:c r="N2649" s="7" t="n">
        <x:v>1</x:v>
      </x:c>
      <x:c r="O2649" s="7" t="n">
        <x:v>0</x:v>
      </x:c>
      <x:c r="P2649" s="9" t="n">
        <x:v>7.33</x:v>
      </x:c>
      <x:c r="Q2649" s="7" t="n">
        <x:f>'Guide'!$B$5-L2649</x:f>
        <x:v>5</x:v>
      </x:c>
      <x:c r="R2649" s="9" t="n">
        <x:f>K2649-P2649</x:f>
        <x:v>6.17</x:v>
      </x:c>
      <x:c r="S2649" s="10" t="n">
        <x:f>IF(K2649&gt;0,R2649/K2649,"")</x:f>
        <x:v>0.457037037037037</x:v>
      </x:c>
    </x:row>
    <x:row r="2650">
      <x:c r="A2650" s="7" t="n">
        <x:v>2646</x:v>
      </x:c>
      <x:c r="B2650" s="7" t="str">
        <x:v>Tata</x:v>
      </x:c>
      <x:c r="C2650" s="7" t="str">
        <x:v>Nexon</x:v>
      </x:c>
      <x:c r="D2650" s="7" t="str">
        <x:v>Creative DCA</x:v>
      </x:c>
      <x:c r="E2650" s="7" t="str">
        <x:v>Petrol</x:v>
      </x:c>
      <x:c r="F2650" s="7" t="str">
        <x:v>Automatic</x:v>
      </x:c>
      <x:c r="G2650" s="7" t="str">
        <x:v>Compact SUV</x:v>
      </x:c>
      <x:c r="H2650" s="7" t="n">
        <x:v>1199</x:v>
      </x:c>
      <x:c r="I2650" s="7" t="n">
        <x:v>118</x:v>
      </x:c>
      <x:c r="J2650" s="9" t="n">
        <x:v>17.2</x:v>
      </x:c>
      <x:c r="K2650" s="9" t="n">
        <x:v>13.5</x:v>
      </x:c>
      <x:c r="L2650" s="7" t="n">
        <x:v>2025</x:v>
      </x:c>
      <x:c r="M2650" s="11" t="n">
        <x:v>29241</x:v>
      </x:c>
      <x:c r="N2650" s="7" t="n">
        <x:v>2</x:v>
      </x:c>
      <x:c r="O2650" s="7" t="n">
        <x:v>0</x:v>
      </x:c>
      <x:c r="P2650" s="9" t="n">
        <x:v>11.41</x:v>
      </x:c>
      <x:c r="Q2650" s="7" t="n">
        <x:f>'Guide'!$B$5-L2650</x:f>
        <x:v>1</x:v>
      </x:c>
      <x:c r="R2650" s="9" t="n">
        <x:f>K2650-P2650</x:f>
        <x:v>2.09</x:v>
      </x:c>
      <x:c r="S2650" s="10" t="n">
        <x:f>IF(K2650&gt;0,R2650/K2650,"")</x:f>
        <x:v>0.1548148148148148</x:v>
      </x:c>
    </x:row>
    <x:row r="2651">
      <x:c r="A2651" s="7" t="n">
        <x:v>2647</x:v>
      </x:c>
      <x:c r="B2651" s="7" t="str">
        <x:v>Tata</x:v>
      </x:c>
      <x:c r="C2651" s="7" t="str">
        <x:v>Nexon</x:v>
      </x:c>
      <x:c r="D2651" s="7" t="str">
        <x:v>Creative DCA</x:v>
      </x:c>
      <x:c r="E2651" s="7" t="str">
        <x:v>Petrol</x:v>
      </x:c>
      <x:c r="F2651" s="7" t="str">
        <x:v>Automatic</x:v>
      </x:c>
      <x:c r="G2651" s="7" t="str">
        <x:v>Compact SUV</x:v>
      </x:c>
      <x:c r="H2651" s="7" t="n">
        <x:v>1199</x:v>
      </x:c>
      <x:c r="I2651" s="7" t="n">
        <x:v>118</x:v>
      </x:c>
      <x:c r="J2651" s="9" t="n">
        <x:v>17.2</x:v>
      </x:c>
      <x:c r="K2651" s="9" t="n">
        <x:v>13.5</x:v>
      </x:c>
      <x:c r="L2651" s="7" t="n">
        <x:v>2025</x:v>
      </x:c>
      <x:c r="M2651" s="11" t="n">
        <x:v>13097</x:v>
      </x:c>
      <x:c r="N2651" s="7" t="n">
        <x:v>2</x:v>
      </x:c>
      <x:c r="O2651" s="7" t="n">
        <x:v>0</x:v>
      </x:c>
      <x:c r="P2651" s="9" t="n">
        <x:v>11.68</x:v>
      </x:c>
      <x:c r="Q2651" s="7" t="n">
        <x:f>'Guide'!$B$5-L2651</x:f>
        <x:v>1</x:v>
      </x:c>
      <x:c r="R2651" s="9" t="n">
        <x:f>K2651-P2651</x:f>
        <x:v>1.8200000000000003</x:v>
      </x:c>
      <x:c r="S2651" s="10" t="n">
        <x:f>IF(K2651&gt;0,R2651/K2651,"")</x:f>
        <x:v>0.13481481481481483</x:v>
      </x:c>
    </x:row>
    <x:row r="2652">
      <x:c r="A2652" s="7" t="n">
        <x:v>2648</x:v>
      </x:c>
      <x:c r="B2652" s="7" t="str">
        <x:v>Tata</x:v>
      </x:c>
      <x:c r="C2652" s="7" t="str">
        <x:v>Nexon</x:v>
      </x:c>
      <x:c r="D2652" s="7" t="str">
        <x:v>Creative DCA</x:v>
      </x:c>
      <x:c r="E2652" s="7" t="str">
        <x:v>Petrol</x:v>
      </x:c>
      <x:c r="F2652" s="7" t="str">
        <x:v>Automatic</x:v>
      </x:c>
      <x:c r="G2652" s="7" t="str">
        <x:v>Compact SUV</x:v>
      </x:c>
      <x:c r="H2652" s="7" t="n">
        <x:v>1199</x:v>
      </x:c>
      <x:c r="I2652" s="7" t="n">
        <x:v>118</x:v>
      </x:c>
      <x:c r="J2652" s="9" t="n">
        <x:v>17.2</x:v>
      </x:c>
      <x:c r="K2652" s="9" t="n">
        <x:v>13.5</x:v>
      </x:c>
      <x:c r="L2652" s="7" t="n">
        <x:v>2026</x:v>
      </x:c>
      <x:c r="M2652" s="11" t="n">
        <x:v>4691</x:v>
      </x:c>
      <x:c r="N2652" s="7" t="n">
        <x:v>1</x:v>
      </x:c>
      <x:c r="O2652" s="7" t="n">
        <x:v>0</x:v>
      </x:c>
      <x:c r="P2652" s="9" t="n">
        <x:v>13.69</x:v>
      </x:c>
      <x:c r="Q2652" s="7" t="n">
        <x:f>'Guide'!$B$5-L2652</x:f>
        <x:v>0</x:v>
      </x:c>
      <x:c r="R2652" s="9" t="n">
        <x:f>K2652-P2652</x:f>
        <x:v>-0.1899999999999995</x:v>
      </x:c>
      <x:c r="S2652" s="10" t="n">
        <x:f>IF(K2652&gt;0,R2652/K2652,"")</x:f>
        <x:v>-0.014074074074074037</x:v>
      </x:c>
    </x:row>
    <x:row r="2653">
      <x:c r="A2653" s="7" t="n">
        <x:v>2649</x:v>
      </x:c>
      <x:c r="B2653" s="7" t="str">
        <x:v>Tata</x:v>
      </x:c>
      <x:c r="C2653" s="7" t="str">
        <x:v>Nexon</x:v>
      </x:c>
      <x:c r="D2653" s="7" t="str">
        <x:v>Creative DCA</x:v>
      </x:c>
      <x:c r="E2653" s="7" t="str">
        <x:v>Petrol</x:v>
      </x:c>
      <x:c r="F2653" s="7" t="str">
        <x:v>Automatic</x:v>
      </x:c>
      <x:c r="G2653" s="7" t="str">
        <x:v>Compact SUV</x:v>
      </x:c>
      <x:c r="H2653" s="7" t="n">
        <x:v>1199</x:v>
      </x:c>
      <x:c r="I2653" s="7" t="n">
        <x:v>118</x:v>
      </x:c>
      <x:c r="J2653" s="9" t="n">
        <x:v>17.2</x:v>
      </x:c>
      <x:c r="K2653" s="9" t="n">
        <x:v>13.5</x:v>
      </x:c>
      <x:c r="L2653" s="7" t="n">
        <x:v>2026</x:v>
      </x:c>
      <x:c r="M2653" s="11" t="n">
        <x:v>5449</x:v>
      </x:c>
      <x:c r="N2653" s="7" t="n">
        <x:v>2</x:v>
      </x:c>
      <x:c r="O2653" s="7" t="n">
        <x:v>0</x:v>
      </x:c>
      <x:c r="P2653" s="9" t="n">
        <x:v>12.65</x:v>
      </x:c>
      <x:c r="Q2653" s="7" t="n">
        <x:f>'Guide'!$B$5-L2653</x:f>
        <x:v>0</x:v>
      </x:c>
      <x:c r="R2653" s="9" t="n">
        <x:f>K2653-P2653</x:f>
        <x:v>0.8499999999999996</x:v>
      </x:c>
      <x:c r="S2653" s="10" t="n">
        <x:f>IF(K2653&gt;0,R2653/K2653,"")</x:f>
        <x:v>0.06296296296296294</x:v>
      </x:c>
    </x:row>
    <x:row r="2654">
      <x:c r="A2654" s="7" t="n">
        <x:v>2650</x:v>
      </x:c>
      <x:c r="B2654" s="7" t="str">
        <x:v>Tata</x:v>
      </x:c>
      <x:c r="C2654" s="7" t="str">
        <x:v>Nexon</x:v>
      </x:c>
      <x:c r="D2654" s="7" t="str">
        <x:v>Creative DCA</x:v>
      </x:c>
      <x:c r="E2654" s="7" t="str">
        <x:v>Petrol</x:v>
      </x:c>
      <x:c r="F2654" s="7" t="str">
        <x:v>Automatic</x:v>
      </x:c>
      <x:c r="G2654" s="7" t="str">
        <x:v>Compact SUV</x:v>
      </x:c>
      <x:c r="H2654" s="7" t="n">
        <x:v>1199</x:v>
      </x:c>
      <x:c r="I2654" s="7" t="n">
        <x:v>118</x:v>
      </x:c>
      <x:c r="J2654" s="9" t="n">
        <x:v>17.2</x:v>
      </x:c>
      <x:c r="K2654" s="9" t="n">
        <x:v>13.5</x:v>
      </x:c>
      <x:c r="L2654" s="7" t="n">
        <x:v>2026</x:v>
      </x:c>
      <x:c r="M2654" s="11" t="n">
        <x:v>5158</x:v>
      </x:c>
      <x:c r="N2654" s="7" t="n">
        <x:v>2</x:v>
      </x:c>
      <x:c r="O2654" s="7" t="n">
        <x:v>0</x:v>
      </x:c>
      <x:c r="P2654" s="9" t="n">
        <x:v>13.18</x:v>
      </x:c>
      <x:c r="Q2654" s="7" t="n">
        <x:f>'Guide'!$B$5-L2654</x:f>
        <x:v>0</x:v>
      </x:c>
      <x:c r="R2654" s="9" t="n">
        <x:f>K2654-P2654</x:f>
        <x:v>0.3200000000000003</x:v>
      </x:c>
      <x:c r="S2654" s="10" t="n">
        <x:f>IF(K2654&gt;0,R2654/K2654,"")</x:f>
        <x:v>0.023703703703703723</x:v>
      </x:c>
    </x:row>
    <x:row r="2655">
      <x:c r="A2655" s="7" t="n">
        <x:v>2651</x:v>
      </x:c>
      <x:c r="B2655" s="7" t="str">
        <x:v>Tata</x:v>
      </x:c>
      <x:c r="C2655" s="7" t="str">
        <x:v>Nexon</x:v>
      </x:c>
      <x:c r="D2655" s="7" t="str">
        <x:v>Creative DCA</x:v>
      </x:c>
      <x:c r="E2655" s="7" t="str">
        <x:v>Petrol</x:v>
      </x:c>
      <x:c r="F2655" s="7" t="str">
        <x:v>Automatic</x:v>
      </x:c>
      <x:c r="G2655" s="7" t="str">
        <x:v>Compact SUV</x:v>
      </x:c>
      <x:c r="H2655" s="7" t="n">
        <x:v>1199</x:v>
      </x:c>
      <x:c r="I2655" s="7" t="n">
        <x:v>118</x:v>
      </x:c>
      <x:c r="J2655" s="9" t="n">
        <x:v>17.2</x:v>
      </x:c>
      <x:c r="K2655" s="9" t="n">
        <x:v>13.5</x:v>
      </x:c>
      <x:c r="L2655" s="7" t="n">
        <x:v>2026</x:v>
      </x:c>
      <x:c r="M2655" s="11" t="n">
        <x:v>5744</x:v>
      </x:c>
      <x:c r="N2655" s="7" t="n">
        <x:v>1</x:v>
      </x:c>
      <x:c r="O2655" s="7" t="n">
        <x:v>0</x:v>
      </x:c>
      <x:c r="P2655" s="9" t="n">
        <x:v>13.43</x:v>
      </x:c>
      <x:c r="Q2655" s="7" t="n">
        <x:f>'Guide'!$B$5-L2655</x:f>
        <x:v>0</x:v>
      </x:c>
      <x:c r="R2655" s="9" t="n">
        <x:f>K2655-P2655</x:f>
        <x:v>0.07000000000000028</x:v>
      </x:c>
      <x:c r="S2655" s="10" t="n">
        <x:f>IF(K2655&gt;0,R2655/K2655,"")</x:f>
        <x:v>0.005185185185185206</x:v>
      </x:c>
    </x:row>
    <x:row r="2656">
      <x:c r="A2656" s="7" t="n">
        <x:v>2652</x:v>
      </x:c>
      <x:c r="B2656" s="7" t="str">
        <x:v>Tata</x:v>
      </x:c>
      <x:c r="C2656" s="7" t="str">
        <x:v>Nexon</x:v>
      </x:c>
      <x:c r="D2656" s="7" t="str">
        <x:v>Creative DCA</x:v>
      </x:c>
      <x:c r="E2656" s="7" t="str">
        <x:v>Petrol</x:v>
      </x:c>
      <x:c r="F2656" s="7" t="str">
        <x:v>Automatic</x:v>
      </x:c>
      <x:c r="G2656" s="7" t="str">
        <x:v>Compact SUV</x:v>
      </x:c>
      <x:c r="H2656" s="7" t="n">
        <x:v>1199</x:v>
      </x:c>
      <x:c r="I2656" s="7" t="n">
        <x:v>118</x:v>
      </x:c>
      <x:c r="J2656" s="9" t="n">
        <x:v>17.2</x:v>
      </x:c>
      <x:c r="K2656" s="9" t="n">
        <x:v>13.5</x:v>
      </x:c>
      <x:c r="L2656" s="7" t="n">
        <x:v>2022</x:v>
      </x:c>
      <x:c r="M2656" s="11" t="n">
        <x:v>68558</x:v>
      </x:c>
      <x:c r="N2656" s="7" t="n">
        <x:v>1</x:v>
      </x:c>
      <x:c r="O2656" s="7" t="n">
        <x:v>0</x:v>
      </x:c>
      <x:c r="P2656" s="9" t="n">
        <x:v>7.91</x:v>
      </x:c>
      <x:c r="Q2656" s="7" t="n">
        <x:f>'Guide'!$B$5-L2656</x:f>
        <x:v>4</x:v>
      </x:c>
      <x:c r="R2656" s="9" t="n">
        <x:f>K2656-P2656</x:f>
        <x:v>5.59</x:v>
      </x:c>
      <x:c r="S2656" s="10" t="n">
        <x:f>IF(K2656&gt;0,R2656/K2656,"")</x:f>
        <x:v>0.41407407407407404</x:v>
      </x:c>
    </x:row>
    <x:row r="2657">
      <x:c r="A2657" s="7" t="n">
        <x:v>2653</x:v>
      </x:c>
      <x:c r="B2657" s="7" t="str">
        <x:v>Tata</x:v>
      </x:c>
      <x:c r="C2657" s="7" t="str">
        <x:v>Nexon</x:v>
      </x:c>
      <x:c r="D2657" s="7" t="str">
        <x:v>Creative DCA</x:v>
      </x:c>
      <x:c r="E2657" s="7" t="str">
        <x:v>Petrol</x:v>
      </x:c>
      <x:c r="F2657" s="7" t="str">
        <x:v>Automatic</x:v>
      </x:c>
      <x:c r="G2657" s="7" t="str">
        <x:v>Compact SUV</x:v>
      </x:c>
      <x:c r="H2657" s="7" t="n">
        <x:v>1199</x:v>
      </x:c>
      <x:c r="I2657" s="7" t="n">
        <x:v>118</x:v>
      </x:c>
      <x:c r="J2657" s="9" t="n">
        <x:v>17.2</x:v>
      </x:c>
      <x:c r="K2657" s="9" t="n">
        <x:v>13.5</x:v>
      </x:c>
      <x:c r="L2657" s="7" t="n">
        <x:v>2020</x:v>
      </x:c>
      <x:c r="M2657" s="11" t="n">
        <x:v>65515</x:v>
      </x:c>
      <x:c r="N2657" s="7" t="n">
        <x:v>1</x:v>
      </x:c>
      <x:c r="O2657" s="7" t="n">
        <x:v>0</x:v>
      </x:c>
      <x:c r="P2657" s="9" t="n">
        <x:v>5.77</x:v>
      </x:c>
      <x:c r="Q2657" s="7" t="n">
        <x:f>'Guide'!$B$5-L2657</x:f>
        <x:v>6</x:v>
      </x:c>
      <x:c r="R2657" s="9" t="n">
        <x:f>K2657-P2657</x:f>
        <x:v>7.73</x:v>
      </x:c>
      <x:c r="S2657" s="10" t="n">
        <x:f>IF(K2657&gt;0,R2657/K2657,"")</x:f>
        <x:v>0.5725925925925927</x:v>
      </x:c>
    </x:row>
    <x:row r="2658">
      <x:c r="A2658" s="7" t="n">
        <x:v>2654</x:v>
      </x:c>
      <x:c r="B2658" s="7" t="str">
        <x:v>Tata</x:v>
      </x:c>
      <x:c r="C2658" s="7" t="str">
        <x:v>Nexon</x:v>
      </x:c>
      <x:c r="D2658" s="7" t="str">
        <x:v>Creative DCA</x:v>
      </x:c>
      <x:c r="E2658" s="7" t="str">
        <x:v>Petrol</x:v>
      </x:c>
      <x:c r="F2658" s="7" t="str">
        <x:v>Automatic</x:v>
      </x:c>
      <x:c r="G2658" s="7" t="str">
        <x:v>Compact SUV</x:v>
      </x:c>
      <x:c r="H2658" s="7" t="n">
        <x:v>1199</x:v>
      </x:c>
      <x:c r="I2658" s="7" t="n">
        <x:v>118</x:v>
      </x:c>
      <x:c r="J2658" s="9" t="n">
        <x:v>17.2</x:v>
      </x:c>
      <x:c r="K2658" s="9" t="n">
        <x:v>13.5</x:v>
      </x:c>
      <x:c r="L2658" s="7" t="n">
        <x:v>2025</x:v>
      </x:c>
      <x:c r="M2658" s="11" t="n">
        <x:v>13176</x:v>
      </x:c>
      <x:c r="N2658" s="7" t="n">
        <x:v>2</x:v>
      </x:c>
      <x:c r="O2658" s="7" t="n">
        <x:v>0</x:v>
      </x:c>
      <x:c r="P2658" s="9" t="n">
        <x:v>11.7</x:v>
      </x:c>
      <x:c r="Q2658" s="7" t="n">
        <x:f>'Guide'!$B$5-L2658</x:f>
        <x:v>1</x:v>
      </x:c>
      <x:c r="R2658" s="9" t="n">
        <x:f>K2658-P2658</x:f>
        <x:v>1.8000000000000007</x:v>
      </x:c>
      <x:c r="S2658" s="10" t="n">
        <x:f>IF(K2658&gt;0,R2658/K2658,"")</x:f>
        <x:v>0.1333333333333334</x:v>
      </x:c>
    </x:row>
    <x:row r="2659">
      <x:c r="A2659" s="7" t="n">
        <x:v>2655</x:v>
      </x:c>
      <x:c r="B2659" s="7" t="str">
        <x:v>Tata</x:v>
      </x:c>
      <x:c r="C2659" s="7" t="str">
        <x:v>Nexon</x:v>
      </x:c>
      <x:c r="D2659" s="7" t="str">
        <x:v>Creative DCA</x:v>
      </x:c>
      <x:c r="E2659" s="7" t="str">
        <x:v>Petrol</x:v>
      </x:c>
      <x:c r="F2659" s="7" t="str">
        <x:v>Automatic</x:v>
      </x:c>
      <x:c r="G2659" s="7" t="str">
        <x:v>Compact SUV</x:v>
      </x:c>
      <x:c r="H2659" s="7" t="n">
        <x:v>1199</x:v>
      </x:c>
      <x:c r="I2659" s="7" t="n">
        <x:v>118</x:v>
      </x:c>
      <x:c r="J2659" s="9" t="n">
        <x:v>17.2</x:v>
      </x:c>
      <x:c r="K2659" s="9" t="n">
        <x:v>13.5</x:v>
      </x:c>
      <x:c r="L2659" s="7" t="n">
        <x:v>2024</x:v>
      </x:c>
      <x:c r="M2659" s="11" t="n">
        <x:v>35469</x:v>
      </x:c>
      <x:c r="N2659" s="7" t="n">
        <x:v>1</x:v>
      </x:c>
      <x:c r="O2659" s="7" t="n">
        <x:v>0</x:v>
      </x:c>
      <x:c r="P2659" s="9" t="n">
        <x:v>10.75</x:v>
      </x:c>
      <x:c r="Q2659" s="7" t="n">
        <x:f>'Guide'!$B$5-L2659</x:f>
        <x:v>2</x:v>
      </x:c>
      <x:c r="R2659" s="9" t="n">
        <x:f>K2659-P2659</x:f>
        <x:v>2.75</x:v>
      </x:c>
      <x:c r="S2659" s="10" t="n">
        <x:f>IF(K2659&gt;0,R2659/K2659,"")</x:f>
        <x:v>0.2037037037037037</x:v>
      </x:c>
    </x:row>
    <x:row r="2660">
      <x:c r="A2660" s="7" t="n">
        <x:v>2656</x:v>
      </x:c>
      <x:c r="B2660" s="7" t="str">
        <x:v>Tata</x:v>
      </x:c>
      <x:c r="C2660" s="7" t="str">
        <x:v>Nexon</x:v>
      </x:c>
      <x:c r="D2660" s="7" t="str">
        <x:v>Creative DCA</x:v>
      </x:c>
      <x:c r="E2660" s="7" t="str">
        <x:v>Petrol</x:v>
      </x:c>
      <x:c r="F2660" s="7" t="str">
        <x:v>Automatic</x:v>
      </x:c>
      <x:c r="G2660" s="7" t="str">
        <x:v>Compact SUV</x:v>
      </x:c>
      <x:c r="H2660" s="7" t="n">
        <x:v>1199</x:v>
      </x:c>
      <x:c r="I2660" s="7" t="n">
        <x:v>118</x:v>
      </x:c>
      <x:c r="J2660" s="9" t="n">
        <x:v>17.2</x:v>
      </x:c>
      <x:c r="K2660" s="9" t="n">
        <x:v>13.5</x:v>
      </x:c>
      <x:c r="L2660" s="7" t="n">
        <x:v>2024</x:v>
      </x:c>
      <x:c r="M2660" s="11" t="n">
        <x:v>22620</x:v>
      </x:c>
      <x:c r="N2660" s="7" t="n">
        <x:v>1</x:v>
      </x:c>
      <x:c r="O2660" s="7" t="n">
        <x:v>0</x:v>
      </x:c>
      <x:c r="P2660" s="9" t="n">
        <x:v>10.69</x:v>
      </x:c>
      <x:c r="Q2660" s="7" t="n">
        <x:f>'Guide'!$B$5-L2660</x:f>
        <x:v>2</x:v>
      </x:c>
      <x:c r="R2660" s="9" t="n">
        <x:f>K2660-P2660</x:f>
        <x:v>2.8100000000000005</x:v>
      </x:c>
      <x:c r="S2660" s="10" t="n">
        <x:f>IF(K2660&gt;0,R2660/K2660,"")</x:f>
        <x:v>0.2081481481481482</x:v>
      </x:c>
    </x:row>
    <x:row r="2661">
      <x:c r="A2661" s="7" t="n">
        <x:v>2657</x:v>
      </x:c>
      <x:c r="B2661" s="7" t="str">
        <x:v>Tata</x:v>
      </x:c>
      <x:c r="C2661" s="7" t="str">
        <x:v>Nexon</x:v>
      </x:c>
      <x:c r="D2661" s="7" t="str">
        <x:v>Creative DCA</x:v>
      </x:c>
      <x:c r="E2661" s="7" t="str">
        <x:v>Petrol</x:v>
      </x:c>
      <x:c r="F2661" s="7" t="str">
        <x:v>Automatic</x:v>
      </x:c>
      <x:c r="G2661" s="7" t="str">
        <x:v>Compact SUV</x:v>
      </x:c>
      <x:c r="H2661" s="7" t="n">
        <x:v>1199</x:v>
      </x:c>
      <x:c r="I2661" s="7" t="n">
        <x:v>118</x:v>
      </x:c>
      <x:c r="J2661" s="9" t="n">
        <x:v>17.2</x:v>
      </x:c>
      <x:c r="K2661" s="9" t="n">
        <x:v>13.5</x:v>
      </x:c>
      <x:c r="L2661" s="7" t="n">
        <x:v>2023</x:v>
      </x:c>
      <x:c r="M2661" s="11" t="n">
        <x:v>46670</x:v>
      </x:c>
      <x:c r="N2661" s="7" t="n">
        <x:v>1</x:v>
      </x:c>
      <x:c r="O2661" s="7" t="n">
        <x:v>0</x:v>
      </x:c>
      <x:c r="P2661" s="9" t="n">
        <x:v>9.22</x:v>
      </x:c>
      <x:c r="Q2661" s="7" t="n">
        <x:f>'Guide'!$B$5-L2661</x:f>
        <x:v>3</x:v>
      </x:c>
      <x:c r="R2661" s="9" t="n">
        <x:f>K2661-P2661</x:f>
        <x:v>4.279999999999999</x:v>
      </x:c>
      <x:c r="S2661" s="10" t="n">
        <x:f>IF(K2661&gt;0,R2661/K2661,"")</x:f>
        <x:v>0.317037037037037</x:v>
      </x:c>
    </x:row>
    <x:row r="2662">
      <x:c r="A2662" s="7" t="n">
        <x:v>2658</x:v>
      </x:c>
      <x:c r="B2662" s="7" t="str">
        <x:v>Tata</x:v>
      </x:c>
      <x:c r="C2662" s="7" t="str">
        <x:v>Nexon</x:v>
      </x:c>
      <x:c r="D2662" s="7" t="str">
        <x:v>Creative DCA</x:v>
      </x:c>
      <x:c r="E2662" s="7" t="str">
        <x:v>Petrol</x:v>
      </x:c>
      <x:c r="F2662" s="7" t="str">
        <x:v>Automatic</x:v>
      </x:c>
      <x:c r="G2662" s="7" t="str">
        <x:v>Compact SUV</x:v>
      </x:c>
      <x:c r="H2662" s="7" t="n">
        <x:v>1199</x:v>
      </x:c>
      <x:c r="I2662" s="7" t="n">
        <x:v>118</x:v>
      </x:c>
      <x:c r="J2662" s="9" t="n">
        <x:v>17.2</x:v>
      </x:c>
      <x:c r="K2662" s="9" t="n">
        <x:v>13.5</x:v>
      </x:c>
      <x:c r="L2662" s="7" t="n">
        <x:v>2026</x:v>
      </x:c>
      <x:c r="M2662" s="11" t="n">
        <x:v>5303</x:v>
      </x:c>
      <x:c r="N2662" s="7" t="n">
        <x:v>1</x:v>
      </x:c>
      <x:c r="O2662" s="7" t="n">
        <x:v>0</x:v>
      </x:c>
      <x:c r="P2662" s="9" t="n">
        <x:v>13.49</x:v>
      </x:c>
      <x:c r="Q2662" s="7" t="n">
        <x:f>'Guide'!$B$5-L2662</x:f>
        <x:v>0</x:v>
      </x:c>
      <x:c r="R2662" s="9" t="n">
        <x:f>K2662-P2662</x:f>
        <x:v>0.009999999999999787</x:v>
      </x:c>
      <x:c r="S2662" s="10" t="n">
        <x:f>IF(K2662&gt;0,R2662/K2662,"")</x:f>
        <x:v>0.000740740740740725</x:v>
      </x:c>
    </x:row>
    <x:row r="2663">
      <x:c r="A2663" s="7" t="n">
        <x:v>2659</x:v>
      </x:c>
      <x:c r="B2663" s="7" t="str">
        <x:v>Tata</x:v>
      </x:c>
      <x:c r="C2663" s="7" t="str">
        <x:v>Nexon</x:v>
      </x:c>
      <x:c r="D2663" s="7" t="str">
        <x:v>Creative DCA</x:v>
      </x:c>
      <x:c r="E2663" s="7" t="str">
        <x:v>Petrol</x:v>
      </x:c>
      <x:c r="F2663" s="7" t="str">
        <x:v>Automatic</x:v>
      </x:c>
      <x:c r="G2663" s="7" t="str">
        <x:v>Compact SUV</x:v>
      </x:c>
      <x:c r="H2663" s="7" t="n">
        <x:v>1199</x:v>
      </x:c>
      <x:c r="I2663" s="7" t="n">
        <x:v>118</x:v>
      </x:c>
      <x:c r="J2663" s="9" t="n">
        <x:v>17.2</x:v>
      </x:c>
      <x:c r="K2663" s="9" t="n">
        <x:v>13.5</x:v>
      </x:c>
      <x:c r="L2663" s="7" t="n">
        <x:v>2020</x:v>
      </x:c>
      <x:c r="M2663" s="11" t="n">
        <x:v>71124</x:v>
      </x:c>
      <x:c r="N2663" s="7" t="n">
        <x:v>2</x:v>
      </x:c>
      <x:c r="O2663" s="7" t="n">
        <x:v>0</x:v>
      </x:c>
      <x:c r="P2663" s="9" t="n">
        <x:v>5.51</x:v>
      </x:c>
      <x:c r="Q2663" s="7" t="n">
        <x:f>'Guide'!$B$5-L2663</x:f>
        <x:v>6</x:v>
      </x:c>
      <x:c r="R2663" s="9" t="n">
        <x:f>K2663-P2663</x:f>
        <x:v>7.99</x:v>
      </x:c>
      <x:c r="S2663" s="10" t="n">
        <x:f>IF(K2663&gt;0,R2663/K2663,"")</x:f>
        <x:v>0.5918518518518519</x:v>
      </x:c>
    </x:row>
    <x:row r="2664">
      <x:c r="A2664" s="7" t="n">
        <x:v>2660</x:v>
      </x:c>
      <x:c r="B2664" s="7" t="str">
        <x:v>Tata</x:v>
      </x:c>
      <x:c r="C2664" s="7" t="str">
        <x:v>Nexon</x:v>
      </x:c>
      <x:c r="D2664" s="7" t="str">
        <x:v>Creative DCA</x:v>
      </x:c>
      <x:c r="E2664" s="7" t="str">
        <x:v>Petrol</x:v>
      </x:c>
      <x:c r="F2664" s="7" t="str">
        <x:v>Automatic</x:v>
      </x:c>
      <x:c r="G2664" s="7" t="str">
        <x:v>Compact SUV</x:v>
      </x:c>
      <x:c r="H2664" s="7" t="n">
        <x:v>1199</x:v>
      </x:c>
      <x:c r="I2664" s="7" t="n">
        <x:v>118</x:v>
      </x:c>
      <x:c r="J2664" s="9" t="n">
        <x:v>17.2</x:v>
      </x:c>
      <x:c r="K2664" s="9" t="n">
        <x:v>13.5</x:v>
      </x:c>
      <x:c r="L2664" s="7" t="n">
        <x:v>2022</x:v>
      </x:c>
      <x:c r="M2664" s="11" t="n">
        <x:v>53065</x:v>
      </x:c>
      <x:c r="N2664" s="7" t="n">
        <x:v>1</x:v>
      </x:c>
      <x:c r="O2664" s="7" t="n">
        <x:v>0</x:v>
      </x:c>
      <x:c r="P2664" s="9" t="n">
        <x:v>8.69</x:v>
      </x:c>
      <x:c r="Q2664" s="7" t="n">
        <x:f>'Guide'!$B$5-L2664</x:f>
        <x:v>4</x:v>
      </x:c>
      <x:c r="R2664" s="9" t="n">
        <x:f>K2664-P2664</x:f>
        <x:v>4.8100000000000005</x:v>
      </x:c>
      <x:c r="S2664" s="10" t="n">
        <x:f>IF(K2664&gt;0,R2664/K2664,"")</x:f>
        <x:v>0.35629629629629633</x:v>
      </x:c>
    </x:row>
    <x:row r="2665">
      <x:c r="A2665" s="7" t="n">
        <x:v>2661</x:v>
      </x:c>
      <x:c r="B2665" s="7" t="str">
        <x:v>Tata</x:v>
      </x:c>
      <x:c r="C2665" s="7" t="str">
        <x:v>Nexon</x:v>
      </x:c>
      <x:c r="D2665" s="7" t="str">
        <x:v>Creative DCA</x:v>
      </x:c>
      <x:c r="E2665" s="7" t="str">
        <x:v>Petrol</x:v>
      </x:c>
      <x:c r="F2665" s="7" t="str">
        <x:v>Automatic</x:v>
      </x:c>
      <x:c r="G2665" s="7" t="str">
        <x:v>Compact SUV</x:v>
      </x:c>
      <x:c r="H2665" s="7" t="n">
        <x:v>1199</x:v>
      </x:c>
      <x:c r="I2665" s="7" t="n">
        <x:v>118</x:v>
      </x:c>
      <x:c r="J2665" s="9" t="n">
        <x:v>17.2</x:v>
      </x:c>
      <x:c r="K2665" s="9" t="n">
        <x:v>13.5</x:v>
      </x:c>
      <x:c r="L2665" s="7" t="n">
        <x:v>2020</x:v>
      </x:c>
      <x:c r="M2665" s="11" t="n">
        <x:v>71429</x:v>
      </x:c>
      <x:c r="N2665" s="7" t="n">
        <x:v>1</x:v>
      </x:c>
      <x:c r="O2665" s="7" t="n">
        <x:v>0</x:v>
      </x:c>
      <x:c r="P2665" s="9" t="n">
        <x:v>5.65</x:v>
      </x:c>
      <x:c r="Q2665" s="7" t="n">
        <x:f>'Guide'!$B$5-L2665</x:f>
        <x:v>6</x:v>
      </x:c>
      <x:c r="R2665" s="9" t="n">
        <x:f>K2665-P2665</x:f>
        <x:v>7.85</x:v>
      </x:c>
      <x:c r="S2665" s="10" t="n">
        <x:f>IF(K2665&gt;0,R2665/K2665,"")</x:f>
        <x:v>0.5814814814814815</x:v>
      </x:c>
    </x:row>
    <x:row r="2666">
      <x:c r="A2666" s="7" t="n">
        <x:v>2662</x:v>
      </x:c>
      <x:c r="B2666" s="7" t="str">
        <x:v>Tata</x:v>
      </x:c>
      <x:c r="C2666" s="7" t="str">
        <x:v>Nexon</x:v>
      </x:c>
      <x:c r="D2666" s="7" t="str">
        <x:v>Creative DCA</x:v>
      </x:c>
      <x:c r="E2666" s="7" t="str">
        <x:v>Petrol</x:v>
      </x:c>
      <x:c r="F2666" s="7" t="str">
        <x:v>Automatic</x:v>
      </x:c>
      <x:c r="G2666" s="7" t="str">
        <x:v>Compact SUV</x:v>
      </x:c>
      <x:c r="H2666" s="7" t="n">
        <x:v>1199</x:v>
      </x:c>
      <x:c r="I2666" s="7" t="n">
        <x:v>118</x:v>
      </x:c>
      <x:c r="J2666" s="9" t="n">
        <x:v>17.2</x:v>
      </x:c>
      <x:c r="K2666" s="9" t="n">
        <x:v>13.5</x:v>
      </x:c>
      <x:c r="L2666" s="7" t="n">
        <x:v>2021</x:v>
      </x:c>
      <x:c r="M2666" s="11" t="n">
        <x:v>99544</x:v>
      </x:c>
      <x:c r="N2666" s="7" t="n">
        <x:v>1</x:v>
      </x:c>
      <x:c r="O2666" s="7" t="n">
        <x:v>0</x:v>
      </x:c>
      <x:c r="P2666" s="9" t="n">
        <x:v>6.18</x:v>
      </x:c>
      <x:c r="Q2666" s="7" t="n">
        <x:f>'Guide'!$B$5-L2666</x:f>
        <x:v>5</x:v>
      </x:c>
      <x:c r="R2666" s="9" t="n">
        <x:f>K2666-P2666</x:f>
        <x:v>7.32</x:v>
      </x:c>
      <x:c r="S2666" s="10" t="n">
        <x:f>IF(K2666&gt;0,R2666/K2666,"")</x:f>
        <x:v>0.5422222222222223</x:v>
      </x:c>
    </x:row>
    <x:row r="2667">
      <x:c r="A2667" s="7" t="n">
        <x:v>2663</x:v>
      </x:c>
      <x:c r="B2667" s="7" t="str">
        <x:v>Tata</x:v>
      </x:c>
      <x:c r="C2667" s="7" t="str">
        <x:v>Nexon</x:v>
      </x:c>
      <x:c r="D2667" s="7" t="str">
        <x:v>Creative DCA</x:v>
      </x:c>
      <x:c r="E2667" s="7" t="str">
        <x:v>Petrol</x:v>
      </x:c>
      <x:c r="F2667" s="7" t="str">
        <x:v>Automatic</x:v>
      </x:c>
      <x:c r="G2667" s="7" t="str">
        <x:v>Compact SUV</x:v>
      </x:c>
      <x:c r="H2667" s="7" t="n">
        <x:v>1199</x:v>
      </x:c>
      <x:c r="I2667" s="7" t="n">
        <x:v>118</x:v>
      </x:c>
      <x:c r="J2667" s="9" t="n">
        <x:v>17.2</x:v>
      </x:c>
      <x:c r="K2667" s="9" t="n">
        <x:v>13.5</x:v>
      </x:c>
      <x:c r="L2667" s="7" t="n">
        <x:v>2026</x:v>
      </x:c>
      <x:c r="M2667" s="11" t="n">
        <x:v>9957</x:v>
      </x:c>
      <x:c r="N2667" s="7" t="n">
        <x:v>1</x:v>
      </x:c>
      <x:c r="O2667" s="7" t="n">
        <x:v>0</x:v>
      </x:c>
      <x:c r="P2667" s="9" t="n">
        <x:v>13.09</x:v>
      </x:c>
      <x:c r="Q2667" s="7" t="n">
        <x:f>'Guide'!$B$5-L2667</x:f>
        <x:v>0</x:v>
      </x:c>
      <x:c r="R2667" s="9" t="n">
        <x:f>K2667-P2667</x:f>
        <x:v>0.41000000000000014</x:v>
      </x:c>
      <x:c r="S2667" s="10" t="n">
        <x:f>IF(K2667&gt;0,R2667/K2667,"")</x:f>
        <x:v>0.03037037037037038</x:v>
      </x:c>
    </x:row>
    <x:row r="2668">
      <x:c r="A2668" s="7" t="n">
        <x:v>2664</x:v>
      </x:c>
      <x:c r="B2668" s="7" t="str">
        <x:v>Tata</x:v>
      </x:c>
      <x:c r="C2668" s="7" t="str">
        <x:v>Nexon</x:v>
      </x:c>
      <x:c r="D2668" s="7" t="str">
        <x:v>Creative DCA</x:v>
      </x:c>
      <x:c r="E2668" s="7" t="str">
        <x:v>Petrol</x:v>
      </x:c>
      <x:c r="F2668" s="7" t="str">
        <x:v>Automatic</x:v>
      </x:c>
      <x:c r="G2668" s="7" t="str">
        <x:v>Compact SUV</x:v>
      </x:c>
      <x:c r="H2668" s="7" t="n">
        <x:v>1199</x:v>
      </x:c>
      <x:c r="I2668" s="7" t="n">
        <x:v>118</x:v>
      </x:c>
      <x:c r="J2668" s="9" t="n">
        <x:v>17.2</x:v>
      </x:c>
      <x:c r="K2668" s="9" t="n">
        <x:v>13.5</x:v>
      </x:c>
      <x:c r="L2668" s="7" t="n">
        <x:v>2022</x:v>
      </x:c>
      <x:c r="M2668" s="11" t="n">
        <x:v>46944</x:v>
      </x:c>
      <x:c r="N2668" s="7" t="n">
        <x:v>1</x:v>
      </x:c>
      <x:c r="O2668" s="7" t="n">
        <x:v>1</x:v>
      </x:c>
      <x:c r="P2668" s="9" t="n">
        <x:v>7.23</x:v>
      </x:c>
      <x:c r="Q2668" s="7" t="n">
        <x:f>'Guide'!$B$5-L2668</x:f>
        <x:v>4</x:v>
      </x:c>
      <x:c r="R2668" s="9" t="n">
        <x:f>K2668-P2668</x:f>
        <x:v>6.27</x:v>
      </x:c>
      <x:c r="S2668" s="10" t="n">
        <x:f>IF(K2668&gt;0,R2668/K2668,"")</x:f>
        <x:v>0.46444444444444444</x:v>
      </x:c>
    </x:row>
    <x:row r="2669">
      <x:c r="A2669" s="7" t="n">
        <x:v>2665</x:v>
      </x:c>
      <x:c r="B2669" s="7" t="str">
        <x:v>Tata</x:v>
      </x:c>
      <x:c r="C2669" s="7" t="str">
        <x:v>Nexon</x:v>
      </x:c>
      <x:c r="D2669" s="7" t="str">
        <x:v>Creative DCA</x:v>
      </x:c>
      <x:c r="E2669" s="7" t="str">
        <x:v>Petrol</x:v>
      </x:c>
      <x:c r="F2669" s="7" t="str">
        <x:v>Automatic</x:v>
      </x:c>
      <x:c r="G2669" s="7" t="str">
        <x:v>Compact SUV</x:v>
      </x:c>
      <x:c r="H2669" s="7" t="n">
        <x:v>1199</x:v>
      </x:c>
      <x:c r="I2669" s="7" t="n">
        <x:v>118</x:v>
      </x:c>
      <x:c r="J2669" s="9" t="n">
        <x:v>17.2</x:v>
      </x:c>
      <x:c r="K2669" s="9" t="n">
        <x:v>13.5</x:v>
      </x:c>
      <x:c r="L2669" s="7" t="n">
        <x:v>2023</x:v>
      </x:c>
      <x:c r="M2669" s="11" t="n">
        <x:v>46203</x:v>
      </x:c>
      <x:c r="N2669" s="7" t="n">
        <x:v>2</x:v>
      </x:c>
      <x:c r="O2669" s="7" t="n">
        <x:v>0</x:v>
      </x:c>
      <x:c r="P2669" s="9" t="n">
        <x:v>9.41</x:v>
      </x:c>
      <x:c r="Q2669" s="7" t="n">
        <x:f>'Guide'!$B$5-L2669</x:f>
        <x:v>3</x:v>
      </x:c>
      <x:c r="R2669" s="9" t="n">
        <x:f>K2669-P2669</x:f>
        <x:v>4.09</x:v>
      </x:c>
      <x:c r="S2669" s="10" t="n">
        <x:f>IF(K2669&gt;0,R2669/K2669,"")</x:f>
        <x:v>0.30296296296296293</x:v>
      </x:c>
    </x:row>
    <x:row r="2670">
      <x:c r="A2670" s="7" t="n">
        <x:v>2666</x:v>
      </x:c>
      <x:c r="B2670" s="7" t="str">
        <x:v>Tata</x:v>
      </x:c>
      <x:c r="C2670" s="7" t="str">
        <x:v>Nexon</x:v>
      </x:c>
      <x:c r="D2670" s="7" t="str">
        <x:v>Creative DCA</x:v>
      </x:c>
      <x:c r="E2670" s="7" t="str">
        <x:v>Petrol</x:v>
      </x:c>
      <x:c r="F2670" s="7" t="str">
        <x:v>Automatic</x:v>
      </x:c>
      <x:c r="G2670" s="7" t="str">
        <x:v>Compact SUV</x:v>
      </x:c>
      <x:c r="H2670" s="7" t="n">
        <x:v>1199</x:v>
      </x:c>
      <x:c r="I2670" s="7" t="n">
        <x:v>118</x:v>
      </x:c>
      <x:c r="J2670" s="9" t="n">
        <x:v>17.2</x:v>
      </x:c>
      <x:c r="K2670" s="9" t="n">
        <x:v>13.5</x:v>
      </x:c>
      <x:c r="L2670" s="7" t="n">
        <x:v>2023</x:v>
      </x:c>
      <x:c r="M2670" s="11" t="n">
        <x:v>46320</x:v>
      </x:c>
      <x:c r="N2670" s="7" t="n">
        <x:v>1</x:v>
      </x:c>
      <x:c r="O2670" s="7" t="n">
        <x:v>0</x:v>
      </x:c>
      <x:c r="P2670" s="9" t="n">
        <x:v>9.3</x:v>
      </x:c>
      <x:c r="Q2670" s="7" t="n">
        <x:f>'Guide'!$B$5-L2670</x:f>
        <x:v>3</x:v>
      </x:c>
      <x:c r="R2670" s="9" t="n">
        <x:f>K2670-P2670</x:f>
        <x:v>4.199999999999999</x:v>
      </x:c>
      <x:c r="S2670" s="10" t="n">
        <x:f>IF(K2670&gt;0,R2670/K2670,"")</x:f>
        <x:v>0.31111111111111106</x:v>
      </x:c>
    </x:row>
    <x:row r="2671">
      <x:c r="A2671" s="7" t="n">
        <x:v>2667</x:v>
      </x:c>
      <x:c r="B2671" s="7" t="str">
        <x:v>Tata</x:v>
      </x:c>
      <x:c r="C2671" s="7" t="str">
        <x:v>Nexon</x:v>
      </x:c>
      <x:c r="D2671" s="7" t="str">
        <x:v>Creative DCA</x:v>
      </x:c>
      <x:c r="E2671" s="7" t="str">
        <x:v>Petrol</x:v>
      </x:c>
      <x:c r="F2671" s="7" t="str">
        <x:v>Automatic</x:v>
      </x:c>
      <x:c r="G2671" s="7" t="str">
        <x:v>Compact SUV</x:v>
      </x:c>
      <x:c r="H2671" s="7" t="n">
        <x:v>1199</x:v>
      </x:c>
      <x:c r="I2671" s="7" t="n">
        <x:v>118</x:v>
      </x:c>
      <x:c r="J2671" s="9" t="n">
        <x:v>17.2</x:v>
      </x:c>
      <x:c r="K2671" s="9" t="n">
        <x:v>13.5</x:v>
      </x:c>
      <x:c r="L2671" s="7" t="n">
        <x:v>2024</x:v>
      </x:c>
      <x:c r="M2671" s="11" t="n">
        <x:v>38043</x:v>
      </x:c>
      <x:c r="N2671" s="7" t="n">
        <x:v>1</x:v>
      </x:c>
      <x:c r="O2671" s="7" t="n">
        <x:v>0</x:v>
      </x:c>
      <x:c r="P2671" s="9" t="n">
        <x:v>11.05</x:v>
      </x:c>
      <x:c r="Q2671" s="7" t="n">
        <x:f>'Guide'!$B$5-L2671</x:f>
        <x:v>2</x:v>
      </x:c>
      <x:c r="R2671" s="9" t="n">
        <x:f>K2671-P2671</x:f>
        <x:v>2.4499999999999993</x:v>
      </x:c>
      <x:c r="S2671" s="10" t="n">
        <x:f>IF(K2671&gt;0,R2671/K2671,"")</x:f>
        <x:v>0.18148148148148144</x:v>
      </x:c>
    </x:row>
    <x:row r="2672">
      <x:c r="A2672" s="7" t="n">
        <x:v>2668</x:v>
      </x:c>
      <x:c r="B2672" s="7" t="str">
        <x:v>Tata</x:v>
      </x:c>
      <x:c r="C2672" s="7" t="str">
        <x:v>Nexon</x:v>
      </x:c>
      <x:c r="D2672" s="7" t="str">
        <x:v>Creative DCA</x:v>
      </x:c>
      <x:c r="E2672" s="7" t="str">
        <x:v>Petrol</x:v>
      </x:c>
      <x:c r="F2672" s="7" t="str">
        <x:v>Automatic</x:v>
      </x:c>
      <x:c r="G2672" s="7" t="str">
        <x:v>Compact SUV</x:v>
      </x:c>
      <x:c r="H2672" s="7" t="n">
        <x:v>1199</x:v>
      </x:c>
      <x:c r="I2672" s="7" t="n">
        <x:v>118</x:v>
      </x:c>
      <x:c r="J2672" s="9" t="n">
        <x:v>17.2</x:v>
      </x:c>
      <x:c r="K2672" s="9" t="n">
        <x:v>13.5</x:v>
      </x:c>
      <x:c r="L2672" s="7" t="n">
        <x:v>2023</x:v>
      </x:c>
      <x:c r="M2672" s="11" t="n">
        <x:v>39291</x:v>
      </x:c>
      <x:c r="N2672" s="7" t="n">
        <x:v>1</x:v>
      </x:c>
      <x:c r="O2672" s="7" t="n">
        <x:v>1</x:v>
      </x:c>
      <x:c r="P2672" s="9" t="n">
        <x:v>8.56</x:v>
      </x:c>
      <x:c r="Q2672" s="7" t="n">
        <x:f>'Guide'!$B$5-L2672</x:f>
        <x:v>3</x:v>
      </x:c>
      <x:c r="R2672" s="9" t="n">
        <x:f>K2672-P2672</x:f>
        <x:v>4.9399999999999995</x:v>
      </x:c>
      <x:c r="S2672" s="10" t="n">
        <x:f>IF(K2672&gt;0,R2672/K2672,"")</x:f>
        <x:v>0.3659259259259259</x:v>
      </x:c>
    </x:row>
    <x:row r="2673">
      <x:c r="A2673" s="7" t="n">
        <x:v>2669</x:v>
      </x:c>
      <x:c r="B2673" s="7" t="str">
        <x:v>Tata</x:v>
      </x:c>
      <x:c r="C2673" s="7" t="str">
        <x:v>Nexon</x:v>
      </x:c>
      <x:c r="D2673" s="7" t="str">
        <x:v>Creative DCA</x:v>
      </x:c>
      <x:c r="E2673" s="7" t="str">
        <x:v>Petrol</x:v>
      </x:c>
      <x:c r="F2673" s="7" t="str">
        <x:v>Automatic</x:v>
      </x:c>
      <x:c r="G2673" s="7" t="str">
        <x:v>Compact SUV</x:v>
      </x:c>
      <x:c r="H2673" s="7" t="n">
        <x:v>1199</x:v>
      </x:c>
      <x:c r="I2673" s="7" t="n">
        <x:v>118</x:v>
      </x:c>
      <x:c r="J2673" s="9" t="n">
        <x:v>17.2</x:v>
      </x:c>
      <x:c r="K2673" s="9" t="n">
        <x:v>13.5</x:v>
      </x:c>
      <x:c r="L2673" s="7" t="n">
        <x:v>2024</x:v>
      </x:c>
      <x:c r="M2673" s="11" t="n">
        <x:v>35868</x:v>
      </x:c>
      <x:c r="N2673" s="7" t="n">
        <x:v>1</x:v>
      </x:c>
      <x:c r="O2673" s="7" t="n">
        <x:v>0</x:v>
      </x:c>
      <x:c r="P2673" s="9" t="n">
        <x:v>10.59</x:v>
      </x:c>
      <x:c r="Q2673" s="7" t="n">
        <x:f>'Guide'!$B$5-L2673</x:f>
        <x:v>2</x:v>
      </x:c>
      <x:c r="R2673" s="9" t="n">
        <x:f>K2673-P2673</x:f>
        <x:v>2.91</x:v>
      </x:c>
      <x:c r="S2673" s="10" t="n">
        <x:f>IF(K2673&gt;0,R2673/K2673,"")</x:f>
        <x:v>0.21555555555555556</x:v>
      </x:c>
    </x:row>
    <x:row r="2674">
      <x:c r="A2674" s="7" t="n">
        <x:v>2670</x:v>
      </x:c>
      <x:c r="B2674" s="7" t="str">
        <x:v>Tata</x:v>
      </x:c>
      <x:c r="C2674" s="7" t="str">
        <x:v>Nexon</x:v>
      </x:c>
      <x:c r="D2674" s="7" t="str">
        <x:v>Creative DCA</x:v>
      </x:c>
      <x:c r="E2674" s="7" t="str">
        <x:v>Petrol</x:v>
      </x:c>
      <x:c r="F2674" s="7" t="str">
        <x:v>Automatic</x:v>
      </x:c>
      <x:c r="G2674" s="7" t="str">
        <x:v>Compact SUV</x:v>
      </x:c>
      <x:c r="H2674" s="7" t="n">
        <x:v>1199</x:v>
      </x:c>
      <x:c r="I2674" s="7" t="n">
        <x:v>118</x:v>
      </x:c>
      <x:c r="J2674" s="9" t="n">
        <x:v>17.2</x:v>
      </x:c>
      <x:c r="K2674" s="9" t="n">
        <x:v>13.5</x:v>
      </x:c>
      <x:c r="L2674" s="7" t="n">
        <x:v>2024</x:v>
      </x:c>
      <x:c r="M2674" s="11" t="n">
        <x:v>40195</x:v>
      </x:c>
      <x:c r="N2674" s="7" t="n">
        <x:v>1</x:v>
      </x:c>
      <x:c r="O2674" s="7" t="n">
        <x:v>0</x:v>
      </x:c>
      <x:c r="P2674" s="9" t="n">
        <x:v>10.3</x:v>
      </x:c>
      <x:c r="Q2674" s="7" t="n">
        <x:f>'Guide'!$B$5-L2674</x:f>
        <x:v>2</x:v>
      </x:c>
      <x:c r="R2674" s="9" t="n">
        <x:f>K2674-P2674</x:f>
        <x:v>3.1999999999999993</x:v>
      </x:c>
      <x:c r="S2674" s="10" t="n">
        <x:f>IF(K2674&gt;0,R2674/K2674,"")</x:f>
        <x:v>0.237037037037037</x:v>
      </x:c>
    </x:row>
    <x:row r="2675">
      <x:c r="A2675" s="7" t="n">
        <x:v>2671</x:v>
      </x:c>
      <x:c r="B2675" s="7" t="str">
        <x:v>Tata</x:v>
      </x:c>
      <x:c r="C2675" s="7" t="str">
        <x:v>Nexon</x:v>
      </x:c>
      <x:c r="D2675" s="7" t="str">
        <x:v>Creative DCA</x:v>
      </x:c>
      <x:c r="E2675" s="7" t="str">
        <x:v>Petrol</x:v>
      </x:c>
      <x:c r="F2675" s="7" t="str">
        <x:v>Automatic</x:v>
      </x:c>
      <x:c r="G2675" s="7" t="str">
        <x:v>Compact SUV</x:v>
      </x:c>
      <x:c r="H2675" s="7" t="n">
        <x:v>1199</x:v>
      </x:c>
      <x:c r="I2675" s="7" t="n">
        <x:v>118</x:v>
      </x:c>
      <x:c r="J2675" s="9" t="n">
        <x:v>17.2</x:v>
      </x:c>
      <x:c r="K2675" s="9" t="n">
        <x:v>13.5</x:v>
      </x:c>
      <x:c r="L2675" s="7" t="n">
        <x:v>2023</x:v>
      </x:c>
      <x:c r="M2675" s="11" t="n">
        <x:v>62450</x:v>
      </x:c>
      <x:c r="N2675" s="7" t="n">
        <x:v>1</x:v>
      </x:c>
      <x:c r="O2675" s="7" t="n">
        <x:v>0</x:v>
      </x:c>
      <x:c r="P2675" s="9" t="n">
        <x:v>9.29</x:v>
      </x:c>
      <x:c r="Q2675" s="7" t="n">
        <x:f>'Guide'!$B$5-L2675</x:f>
        <x:v>3</x:v>
      </x:c>
      <x:c r="R2675" s="9" t="n">
        <x:f>K2675-P2675</x:f>
        <x:v>4.210000000000001</x:v>
      </x:c>
      <x:c r="S2675" s="10" t="n">
        <x:f>IF(K2675&gt;0,R2675/K2675,"")</x:f>
        <x:v>0.31185185185185194</x:v>
      </x:c>
    </x:row>
    <x:row r="2676">
      <x:c r="A2676" s="7" t="n">
        <x:v>2672</x:v>
      </x:c>
      <x:c r="B2676" s="7" t="str">
        <x:v>Tata</x:v>
      </x:c>
      <x:c r="C2676" s="7" t="str">
        <x:v>Nexon</x:v>
      </x:c>
      <x:c r="D2676" s="7" t="str">
        <x:v>Creative DCA</x:v>
      </x:c>
      <x:c r="E2676" s="7" t="str">
        <x:v>Petrol</x:v>
      </x:c>
      <x:c r="F2676" s="7" t="str">
        <x:v>Automatic</x:v>
      </x:c>
      <x:c r="G2676" s="7" t="str">
        <x:v>Compact SUV</x:v>
      </x:c>
      <x:c r="H2676" s="7" t="n">
        <x:v>1199</x:v>
      </x:c>
      <x:c r="I2676" s="7" t="n">
        <x:v>118</x:v>
      </x:c>
      <x:c r="J2676" s="9" t="n">
        <x:v>17.2</x:v>
      </x:c>
      <x:c r="K2676" s="9" t="n">
        <x:v>13.5</x:v>
      </x:c>
      <x:c r="L2676" s="7" t="n">
        <x:v>2025</x:v>
      </x:c>
      <x:c r="M2676" s="11" t="n">
        <x:v>27889</x:v>
      </x:c>
      <x:c r="N2676" s="7" t="n">
        <x:v>1</x:v>
      </x:c>
      <x:c r="O2676" s="7" t="n">
        <x:v>0</x:v>
      </x:c>
      <x:c r="P2676" s="9" t="n">
        <x:v>12.3</x:v>
      </x:c>
      <x:c r="Q2676" s="7" t="n">
        <x:f>'Guide'!$B$5-L2676</x:f>
        <x:v>1</x:v>
      </x:c>
      <x:c r="R2676" s="9" t="n">
        <x:f>K2676-P2676</x:f>
        <x:v>1.1999999999999993</x:v>
      </x:c>
      <x:c r="S2676" s="10" t="n">
        <x:f>IF(K2676&gt;0,R2676/K2676,"")</x:f>
        <x:v>0.08888888888888884</x:v>
      </x:c>
    </x:row>
    <x:row r="2677">
      <x:c r="A2677" s="7" t="n">
        <x:v>2673</x:v>
      </x:c>
      <x:c r="B2677" s="7" t="str">
        <x:v>Tata</x:v>
      </x:c>
      <x:c r="C2677" s="7" t="str">
        <x:v>Nexon</x:v>
      </x:c>
      <x:c r="D2677" s="7" t="str">
        <x:v>Creative DCA</x:v>
      </x:c>
      <x:c r="E2677" s="7" t="str">
        <x:v>Petrol</x:v>
      </x:c>
      <x:c r="F2677" s="7" t="str">
        <x:v>Automatic</x:v>
      </x:c>
      <x:c r="G2677" s="7" t="str">
        <x:v>Compact SUV</x:v>
      </x:c>
      <x:c r="H2677" s="7" t="n">
        <x:v>1199</x:v>
      </x:c>
      <x:c r="I2677" s="7" t="n">
        <x:v>118</x:v>
      </x:c>
      <x:c r="J2677" s="9" t="n">
        <x:v>17.2</x:v>
      </x:c>
      <x:c r="K2677" s="9" t="n">
        <x:v>13.5</x:v>
      </x:c>
      <x:c r="L2677" s="7" t="n">
        <x:v>2022</x:v>
      </x:c>
      <x:c r="M2677" s="11" t="n">
        <x:v>46642</x:v>
      </x:c>
      <x:c r="N2677" s="7" t="n">
        <x:v>2</x:v>
      </x:c>
      <x:c r="O2677" s="7" t="n">
        <x:v>0</x:v>
      </x:c>
      <x:c r="P2677" s="9" t="n">
        <x:v>7.88</x:v>
      </x:c>
      <x:c r="Q2677" s="7" t="n">
        <x:f>'Guide'!$B$5-L2677</x:f>
        <x:v>4</x:v>
      </x:c>
      <x:c r="R2677" s="9" t="n">
        <x:f>K2677-P2677</x:f>
        <x:v>5.62</x:v>
      </x:c>
      <x:c r="S2677" s="10" t="n">
        <x:f>IF(K2677&gt;0,R2677/K2677,"")</x:f>
        <x:v>0.41629629629629633</x:v>
      </x:c>
    </x:row>
    <x:row r="2678">
      <x:c r="A2678" s="7" t="n">
        <x:v>2674</x:v>
      </x:c>
      <x:c r="B2678" s="7" t="str">
        <x:v>Tata</x:v>
      </x:c>
      <x:c r="C2678" s="7" t="str">
        <x:v>Nexon</x:v>
      </x:c>
      <x:c r="D2678" s="7" t="str">
        <x:v>Creative DCA</x:v>
      </x:c>
      <x:c r="E2678" s="7" t="str">
        <x:v>Petrol</x:v>
      </x:c>
      <x:c r="F2678" s="7" t="str">
        <x:v>Automatic</x:v>
      </x:c>
      <x:c r="G2678" s="7" t="str">
        <x:v>Compact SUV</x:v>
      </x:c>
      <x:c r="H2678" s="7" t="n">
        <x:v>1199</x:v>
      </x:c>
      <x:c r="I2678" s="7" t="n">
        <x:v>118</x:v>
      </x:c>
      <x:c r="J2678" s="9" t="n">
        <x:v>17.2</x:v>
      </x:c>
      <x:c r="K2678" s="9" t="n">
        <x:v>13.5</x:v>
      </x:c>
      <x:c r="L2678" s="7" t="n">
        <x:v>2023</x:v>
      </x:c>
      <x:c r="M2678" s="11" t="n">
        <x:v>64621</x:v>
      </x:c>
      <x:c r="N2678" s="7" t="n">
        <x:v>1</x:v>
      </x:c>
      <x:c r="O2678" s="7" t="n">
        <x:v>0</x:v>
      </x:c>
      <x:c r="P2678" s="9" t="n">
        <x:v>9.55</x:v>
      </x:c>
      <x:c r="Q2678" s="7" t="n">
        <x:f>'Guide'!$B$5-L2678</x:f>
        <x:v>3</x:v>
      </x:c>
      <x:c r="R2678" s="9" t="n">
        <x:f>K2678-P2678</x:f>
        <x:v>3.9499999999999993</x:v>
      </x:c>
      <x:c r="S2678" s="10" t="n">
        <x:f>IF(K2678&gt;0,R2678/K2678,"")</x:f>
        <x:v>0.2925925925925925</x:v>
      </x:c>
    </x:row>
    <x:row r="2679">
      <x:c r="A2679" s="7" t="n">
        <x:v>2675</x:v>
      </x:c>
      <x:c r="B2679" s="7" t="str">
        <x:v>Tata</x:v>
      </x:c>
      <x:c r="C2679" s="7" t="str">
        <x:v>Nexon</x:v>
      </x:c>
      <x:c r="D2679" s="7" t="str">
        <x:v>Creative DCA</x:v>
      </x:c>
      <x:c r="E2679" s="7" t="str">
        <x:v>Petrol</x:v>
      </x:c>
      <x:c r="F2679" s="7" t="str">
        <x:v>Automatic</x:v>
      </x:c>
      <x:c r="G2679" s="7" t="str">
        <x:v>Compact SUV</x:v>
      </x:c>
      <x:c r="H2679" s="7" t="n">
        <x:v>1199</x:v>
      </x:c>
      <x:c r="I2679" s="7" t="n">
        <x:v>118</x:v>
      </x:c>
      <x:c r="J2679" s="9" t="n">
        <x:v>17.2</x:v>
      </x:c>
      <x:c r="K2679" s="9" t="n">
        <x:v>13.5</x:v>
      </x:c>
      <x:c r="L2679" s="7" t="n">
        <x:v>2020</x:v>
      </x:c>
      <x:c r="M2679" s="11" t="n">
        <x:v>116029</x:v>
      </x:c>
      <x:c r="N2679" s="7" t="n">
        <x:v>1</x:v>
      </x:c>
      <x:c r="O2679" s="7" t="n">
        <x:v>0</x:v>
      </x:c>
      <x:c r="P2679" s="9" t="n">
        <x:v>4.8</x:v>
      </x:c>
      <x:c r="Q2679" s="7" t="n">
        <x:f>'Guide'!$B$5-L2679</x:f>
        <x:v>6</x:v>
      </x:c>
      <x:c r="R2679" s="9" t="n">
        <x:f>K2679-P2679</x:f>
        <x:v>8.7</x:v>
      </x:c>
      <x:c r="S2679" s="10" t="n">
        <x:f>IF(K2679&gt;0,R2679/K2679,"")</x:f>
        <x:v>0.6444444444444444</x:v>
      </x:c>
    </x:row>
    <x:row r="2680">
      <x:c r="A2680" s="7" t="n">
        <x:v>2676</x:v>
      </x:c>
      <x:c r="B2680" s="7" t="str">
        <x:v>Tata</x:v>
      </x:c>
      <x:c r="C2680" s="7" t="str">
        <x:v>Nexon</x:v>
      </x:c>
      <x:c r="D2680" s="7" t="str">
        <x:v>Creative DCA</x:v>
      </x:c>
      <x:c r="E2680" s="7" t="str">
        <x:v>Petrol</x:v>
      </x:c>
      <x:c r="F2680" s="7" t="str">
        <x:v>Automatic</x:v>
      </x:c>
      <x:c r="G2680" s="7" t="str">
        <x:v>Compact SUV</x:v>
      </x:c>
      <x:c r="H2680" s="7" t="n">
        <x:v>1199</x:v>
      </x:c>
      <x:c r="I2680" s="7" t="n">
        <x:v>118</x:v>
      </x:c>
      <x:c r="J2680" s="9" t="n">
        <x:v>17.2</x:v>
      </x:c>
      <x:c r="K2680" s="9" t="n">
        <x:v>13.5</x:v>
      </x:c>
      <x:c r="L2680" s="7" t="n">
        <x:v>2020</x:v>
      </x:c>
      <x:c r="M2680" s="11" t="n">
        <x:v>53571</x:v>
      </x:c>
      <x:c r="N2680" s="7" t="n">
        <x:v>1</x:v>
      </x:c>
      <x:c r="O2680" s="7" t="n">
        <x:v>0</x:v>
      </x:c>
      <x:c r="P2680" s="9" t="n">
        <x:v>6.23</x:v>
      </x:c>
      <x:c r="Q2680" s="7" t="n">
        <x:f>'Guide'!$B$5-L2680</x:f>
        <x:v>6</x:v>
      </x:c>
      <x:c r="R2680" s="9" t="n">
        <x:f>K2680-P2680</x:f>
        <x:v>7.27</x:v>
      </x:c>
      <x:c r="S2680" s="10" t="n">
        <x:f>IF(K2680&gt;0,R2680/K2680,"")</x:f>
        <x:v>0.5385185185185185</x:v>
      </x:c>
    </x:row>
    <x:row r="2681">
      <x:c r="A2681" s="7" t="n">
        <x:v>2677</x:v>
      </x:c>
      <x:c r="B2681" s="7" t="str">
        <x:v>Tata</x:v>
      </x:c>
      <x:c r="C2681" s="7" t="str">
        <x:v>Nexon</x:v>
      </x:c>
      <x:c r="D2681" s="7" t="str">
        <x:v>Creative DCA</x:v>
      </x:c>
      <x:c r="E2681" s="7" t="str">
        <x:v>Petrol</x:v>
      </x:c>
      <x:c r="F2681" s="7" t="str">
        <x:v>Automatic</x:v>
      </x:c>
      <x:c r="G2681" s="7" t="str">
        <x:v>Compact SUV</x:v>
      </x:c>
      <x:c r="H2681" s="7" t="n">
        <x:v>1199</x:v>
      </x:c>
      <x:c r="I2681" s="7" t="n">
        <x:v>118</x:v>
      </x:c>
      <x:c r="J2681" s="9" t="n">
        <x:v>17.2</x:v>
      </x:c>
      <x:c r="K2681" s="9" t="n">
        <x:v>13.5</x:v>
      </x:c>
      <x:c r="L2681" s="7" t="n">
        <x:v>2025</x:v>
      </x:c>
      <x:c r="M2681" s="11" t="n">
        <x:v>22887</x:v>
      </x:c>
      <x:c r="N2681" s="7" t="n">
        <x:v>1</x:v>
      </x:c>
      <x:c r="O2681" s="7" t="n">
        <x:v>0</x:v>
      </x:c>
      <x:c r="P2681" s="9" t="n">
        <x:v>12.41</x:v>
      </x:c>
      <x:c r="Q2681" s="7" t="n">
        <x:f>'Guide'!$B$5-L2681</x:f>
        <x:v>1</x:v>
      </x:c>
      <x:c r="R2681" s="9" t="n">
        <x:f>K2681-P2681</x:f>
        <x:v>1.0899999999999999</x:v>
      </x:c>
      <x:c r="S2681" s="10" t="n">
        <x:f>IF(K2681&gt;0,R2681/K2681,"")</x:f>
        <x:v>0.08074074074074072</x:v>
      </x:c>
    </x:row>
    <x:row r="2682">
      <x:c r="A2682" s="7" t="n">
        <x:v>2678</x:v>
      </x:c>
      <x:c r="B2682" s="7" t="str">
        <x:v>Tata</x:v>
      </x:c>
      <x:c r="C2682" s="7" t="str">
        <x:v>Nexon</x:v>
      </x:c>
      <x:c r="D2682" s="7" t="str">
        <x:v>Creative DCA</x:v>
      </x:c>
      <x:c r="E2682" s="7" t="str">
        <x:v>Petrol</x:v>
      </x:c>
      <x:c r="F2682" s="7" t="str">
        <x:v>Automatic</x:v>
      </x:c>
      <x:c r="G2682" s="7" t="str">
        <x:v>Compact SUV</x:v>
      </x:c>
      <x:c r="H2682" s="7" t="n">
        <x:v>1199</x:v>
      </x:c>
      <x:c r="I2682" s="7" t="n">
        <x:v>118</x:v>
      </x:c>
      <x:c r="J2682" s="9" t="n">
        <x:v>17.2</x:v>
      </x:c>
      <x:c r="K2682" s="9" t="n">
        <x:v>13.5</x:v>
      </x:c>
      <x:c r="L2682" s="7" t="n">
        <x:v>2023</x:v>
      </x:c>
      <x:c r="M2682" s="11" t="n">
        <x:v>50189</x:v>
      </x:c>
      <x:c r="N2682" s="7" t="n">
        <x:v>2</x:v>
      </x:c>
      <x:c r="O2682" s="7" t="n">
        <x:v>0</x:v>
      </x:c>
      <x:c r="P2682" s="9" t="n">
        <x:v>8.94</x:v>
      </x:c>
      <x:c r="Q2682" s="7" t="n">
        <x:f>'Guide'!$B$5-L2682</x:f>
        <x:v>3</x:v>
      </x:c>
      <x:c r="R2682" s="9" t="n">
        <x:f>K2682-P2682</x:f>
        <x:v>4.5600000000000005</x:v>
      </x:c>
      <x:c r="S2682" s="10" t="n">
        <x:f>IF(K2682&gt;0,R2682/K2682,"")</x:f>
        <x:v>0.3377777777777778</x:v>
      </x:c>
    </x:row>
    <x:row r="2683">
      <x:c r="A2683" s="7" t="n">
        <x:v>2679</x:v>
      </x:c>
      <x:c r="B2683" s="7" t="str">
        <x:v>Tata</x:v>
      </x:c>
      <x:c r="C2683" s="7" t="str">
        <x:v>Nexon</x:v>
      </x:c>
      <x:c r="D2683" s="7" t="str">
        <x:v>Creative DCA</x:v>
      </x:c>
      <x:c r="E2683" s="7" t="str">
        <x:v>Petrol</x:v>
      </x:c>
      <x:c r="F2683" s="7" t="str">
        <x:v>Automatic</x:v>
      </x:c>
      <x:c r="G2683" s="7" t="str">
        <x:v>Compact SUV</x:v>
      </x:c>
      <x:c r="H2683" s="7" t="n">
        <x:v>1199</x:v>
      </x:c>
      <x:c r="I2683" s="7" t="n">
        <x:v>118</x:v>
      </x:c>
      <x:c r="J2683" s="9" t="n">
        <x:v>17.2</x:v>
      </x:c>
      <x:c r="K2683" s="9" t="n">
        <x:v>13.5</x:v>
      </x:c>
      <x:c r="L2683" s="7" t="n">
        <x:v>2023</x:v>
      </x:c>
      <x:c r="M2683" s="11" t="n">
        <x:v>57411</x:v>
      </x:c>
      <x:c r="N2683" s="7" t="n">
        <x:v>1</x:v>
      </x:c>
      <x:c r="O2683" s="7" t="n">
        <x:v>0</x:v>
      </x:c>
      <x:c r="P2683" s="9" t="n">
        <x:v>8.97</x:v>
      </x:c>
      <x:c r="Q2683" s="7" t="n">
        <x:f>'Guide'!$B$5-L2683</x:f>
        <x:v>3</x:v>
      </x:c>
      <x:c r="R2683" s="9" t="n">
        <x:f>K2683-P2683</x:f>
        <x:v>4.529999999999999</x:v>
      </x:c>
      <x:c r="S2683" s="10" t="n">
        <x:f>IF(K2683&gt;0,R2683/K2683,"")</x:f>
        <x:v>0.3355555555555555</x:v>
      </x:c>
    </x:row>
    <x:row r="2684">
      <x:c r="A2684" s="7" t="n">
        <x:v>2680</x:v>
      </x:c>
      <x:c r="B2684" s="7" t="str">
        <x:v>Tata</x:v>
      </x:c>
      <x:c r="C2684" s="7" t="str">
        <x:v>Nexon</x:v>
      </x:c>
      <x:c r="D2684" s="7" t="str">
        <x:v>Creative DCA</x:v>
      </x:c>
      <x:c r="E2684" s="7" t="str">
        <x:v>Petrol</x:v>
      </x:c>
      <x:c r="F2684" s="7" t="str">
        <x:v>Automatic</x:v>
      </x:c>
      <x:c r="G2684" s="7" t="str">
        <x:v>Compact SUV</x:v>
      </x:c>
      <x:c r="H2684" s="7" t="n">
        <x:v>1199</x:v>
      </x:c>
      <x:c r="I2684" s="7" t="n">
        <x:v>118</x:v>
      </x:c>
      <x:c r="J2684" s="9" t="n">
        <x:v>17.2</x:v>
      </x:c>
      <x:c r="K2684" s="9" t="n">
        <x:v>13.5</x:v>
      </x:c>
      <x:c r="L2684" s="7" t="n">
        <x:v>2026</x:v>
      </x:c>
      <x:c r="M2684" s="11" t="n">
        <x:v>8603</x:v>
      </x:c>
      <x:c r="N2684" s="7" t="n">
        <x:v>1</x:v>
      </x:c>
      <x:c r="O2684" s="7" t="n">
        <x:v>1</x:v>
      </x:c>
      <x:c r="P2684" s="9" t="n">
        <x:v>12.48</x:v>
      </x:c>
      <x:c r="Q2684" s="7" t="n">
        <x:f>'Guide'!$B$5-L2684</x:f>
        <x:v>0</x:v>
      </x:c>
      <x:c r="R2684" s="9" t="n">
        <x:f>K2684-P2684</x:f>
        <x:v>1.0199999999999996</x:v>
      </x:c>
      <x:c r="S2684" s="10" t="n">
        <x:f>IF(K2684&gt;0,R2684/K2684,"")</x:f>
        <x:v>0.07555555555555553</x:v>
      </x:c>
    </x:row>
    <x:row r="2685">
      <x:c r="A2685" s="7" t="n">
        <x:v>2681</x:v>
      </x:c>
      <x:c r="B2685" s="7" t="str">
        <x:v>Tata</x:v>
      </x:c>
      <x:c r="C2685" s="7" t="str">
        <x:v>Nexon</x:v>
      </x:c>
      <x:c r="D2685" s="7" t="str">
        <x:v>Creative DCA</x:v>
      </x:c>
      <x:c r="E2685" s="7" t="str">
        <x:v>Petrol</x:v>
      </x:c>
      <x:c r="F2685" s="7" t="str">
        <x:v>Automatic</x:v>
      </x:c>
      <x:c r="G2685" s="7" t="str">
        <x:v>Compact SUV</x:v>
      </x:c>
      <x:c r="H2685" s="7" t="n">
        <x:v>1199</x:v>
      </x:c>
      <x:c r="I2685" s="7" t="n">
        <x:v>118</x:v>
      </x:c>
      <x:c r="J2685" s="9" t="n">
        <x:v>17.2</x:v>
      </x:c>
      <x:c r="K2685" s="9" t="n">
        <x:v>13.5</x:v>
      </x:c>
      <x:c r="L2685" s="7" t="n">
        <x:v>2020</x:v>
      </x:c>
      <x:c r="M2685" s="11" t="n">
        <x:v>82760</x:v>
      </x:c>
      <x:c r="N2685" s="7" t="n">
        <x:v>1</x:v>
      </x:c>
      <x:c r="O2685" s="7" t="n">
        <x:v>0</x:v>
      </x:c>
      <x:c r="P2685" s="9" t="n">
        <x:v>6.03</x:v>
      </x:c>
      <x:c r="Q2685" s="7" t="n">
        <x:f>'Guide'!$B$5-L2685</x:f>
        <x:v>6</x:v>
      </x:c>
      <x:c r="R2685" s="9" t="n">
        <x:f>K2685-P2685</x:f>
        <x:v>7.47</x:v>
      </x:c>
      <x:c r="S2685" s="10" t="n">
        <x:f>IF(K2685&gt;0,R2685/K2685,"")</x:f>
        <x:v>0.5533333333333333</x:v>
      </x:c>
    </x:row>
    <x:row r="2686">
      <x:c r="A2686" s="7" t="n">
        <x:v>2682</x:v>
      </x:c>
      <x:c r="B2686" s="7" t="str">
        <x:v>Tata</x:v>
      </x:c>
      <x:c r="C2686" s="7" t="str">
        <x:v>Nexon</x:v>
      </x:c>
      <x:c r="D2686" s="7" t="str">
        <x:v>Creative DCA</x:v>
      </x:c>
      <x:c r="E2686" s="7" t="str">
        <x:v>Petrol</x:v>
      </x:c>
      <x:c r="F2686" s="7" t="str">
        <x:v>Automatic</x:v>
      </x:c>
      <x:c r="G2686" s="7" t="str">
        <x:v>Compact SUV</x:v>
      </x:c>
      <x:c r="H2686" s="7" t="n">
        <x:v>1199</x:v>
      </x:c>
      <x:c r="I2686" s="7" t="n">
        <x:v>118</x:v>
      </x:c>
      <x:c r="J2686" s="9" t="n">
        <x:v>17.2</x:v>
      </x:c>
      <x:c r="K2686" s="9" t="n">
        <x:v>13.5</x:v>
      </x:c>
      <x:c r="L2686" s="7" t="n">
        <x:v>2023</x:v>
      </x:c>
      <x:c r="M2686" s="11" t="n">
        <x:v>69643</x:v>
      </x:c>
      <x:c r="N2686" s="7" t="n">
        <x:v>1</x:v>
      </x:c>
      <x:c r="O2686" s="7" t="n">
        <x:v>0</x:v>
      </x:c>
      <x:c r="P2686" s="9" t="n">
        <x:v>8.94</x:v>
      </x:c>
      <x:c r="Q2686" s="7" t="n">
        <x:f>'Guide'!$B$5-L2686</x:f>
        <x:v>3</x:v>
      </x:c>
      <x:c r="R2686" s="9" t="n">
        <x:f>K2686-P2686</x:f>
        <x:v>4.5600000000000005</x:v>
      </x:c>
      <x:c r="S2686" s="10" t="n">
        <x:f>IF(K2686&gt;0,R2686/K2686,"")</x:f>
        <x:v>0.3377777777777778</x:v>
      </x:c>
    </x:row>
    <x:row r="2687">
      <x:c r="A2687" s="7" t="n">
        <x:v>2683</x:v>
      </x:c>
      <x:c r="B2687" s="7" t="str">
        <x:v>Tata</x:v>
      </x:c>
      <x:c r="C2687" s="7" t="str">
        <x:v>Nexon</x:v>
      </x:c>
      <x:c r="D2687" s="7" t="str">
        <x:v>Creative DCA</x:v>
      </x:c>
      <x:c r="E2687" s="7" t="str">
        <x:v>Petrol</x:v>
      </x:c>
      <x:c r="F2687" s="7" t="str">
        <x:v>Automatic</x:v>
      </x:c>
      <x:c r="G2687" s="7" t="str">
        <x:v>Compact SUV</x:v>
      </x:c>
      <x:c r="H2687" s="7" t="n">
        <x:v>1199</x:v>
      </x:c>
      <x:c r="I2687" s="7" t="n">
        <x:v>118</x:v>
      </x:c>
      <x:c r="J2687" s="9" t="n">
        <x:v>17.2</x:v>
      </x:c>
      <x:c r="K2687" s="9" t="n">
        <x:v>13.5</x:v>
      </x:c>
      <x:c r="L2687" s="7" t="n">
        <x:v>2021</x:v>
      </x:c>
      <x:c r="M2687" s="11" t="n">
        <x:v>46677</x:v>
      </x:c>
      <x:c r="N2687" s="7" t="n">
        <x:v>1</x:v>
      </x:c>
      <x:c r="O2687" s="7" t="n">
        <x:v>0</x:v>
      </x:c>
      <x:c r="P2687" s="9" t="n">
        <x:v>7.01</x:v>
      </x:c>
      <x:c r="Q2687" s="7" t="n">
        <x:f>'Guide'!$B$5-L2687</x:f>
        <x:v>5</x:v>
      </x:c>
      <x:c r="R2687" s="9" t="n">
        <x:f>K2687-P2687</x:f>
        <x:v>6.49</x:v>
      </x:c>
      <x:c r="S2687" s="10" t="n">
        <x:f>IF(K2687&gt;0,R2687/K2687,"")</x:f>
        <x:v>0.48074074074074075</x:v>
      </x:c>
    </x:row>
    <x:row r="2688">
      <x:c r="A2688" s="7" t="n">
        <x:v>2684</x:v>
      </x:c>
      <x:c r="B2688" s="7" t="str">
        <x:v>Tata</x:v>
      </x:c>
      <x:c r="C2688" s="7" t="str">
        <x:v>Nexon</x:v>
      </x:c>
      <x:c r="D2688" s="7" t="str">
        <x:v>Creative DCA</x:v>
      </x:c>
      <x:c r="E2688" s="7" t="str">
        <x:v>Petrol</x:v>
      </x:c>
      <x:c r="F2688" s="7" t="str">
        <x:v>Automatic</x:v>
      </x:c>
      <x:c r="G2688" s="7" t="str">
        <x:v>Compact SUV</x:v>
      </x:c>
      <x:c r="H2688" s="7" t="n">
        <x:v>1199</x:v>
      </x:c>
      <x:c r="I2688" s="7" t="n">
        <x:v>118</x:v>
      </x:c>
      <x:c r="J2688" s="9" t="n">
        <x:v>17.2</x:v>
      </x:c>
      <x:c r="K2688" s="9" t="n">
        <x:v>13.5</x:v>
      </x:c>
      <x:c r="L2688" s="7" t="n">
        <x:v>2026</x:v>
      </x:c>
      <x:c r="M2688" s="11" t="n">
        <x:v>6393</x:v>
      </x:c>
      <x:c r="N2688" s="7" t="n">
        <x:v>2</x:v>
      </x:c>
      <x:c r="O2688" s="7" t="n">
        <x:v>0</x:v>
      </x:c>
      <x:c r="P2688" s="9" t="n">
        <x:v>13.23</x:v>
      </x:c>
      <x:c r="Q2688" s="7" t="n">
        <x:f>'Guide'!$B$5-L2688</x:f>
        <x:v>0</x:v>
      </x:c>
      <x:c r="R2688" s="9" t="n">
        <x:f>K2688-P2688</x:f>
        <x:v>0.2699999999999996</x:v>
      </x:c>
      <x:c r="S2688" s="10" t="n">
        <x:f>IF(K2688&gt;0,R2688/K2688,"")</x:f>
        <x:v>0.01999999999999997</x:v>
      </x:c>
    </x:row>
    <x:row r="2689">
      <x:c r="A2689" s="7" t="n">
        <x:v>2685</x:v>
      </x:c>
      <x:c r="B2689" s="7" t="str">
        <x:v>Tata</x:v>
      </x:c>
      <x:c r="C2689" s="7" t="str">
        <x:v>Nexon</x:v>
      </x:c>
      <x:c r="D2689" s="7" t="str">
        <x:v>Creative DCA</x:v>
      </x:c>
      <x:c r="E2689" s="7" t="str">
        <x:v>Petrol</x:v>
      </x:c>
      <x:c r="F2689" s="7" t="str">
        <x:v>Automatic</x:v>
      </x:c>
      <x:c r="G2689" s="7" t="str">
        <x:v>Compact SUV</x:v>
      </x:c>
      <x:c r="H2689" s="7" t="n">
        <x:v>1199</x:v>
      </x:c>
      <x:c r="I2689" s="7" t="n">
        <x:v>118</x:v>
      </x:c>
      <x:c r="J2689" s="9" t="n">
        <x:v>17.2</x:v>
      </x:c>
      <x:c r="K2689" s="9" t="n">
        <x:v>13.5</x:v>
      </x:c>
      <x:c r="L2689" s="7" t="n">
        <x:v>2024</x:v>
      </x:c>
      <x:c r="M2689" s="11" t="n">
        <x:v>40426</x:v>
      </x:c>
      <x:c r="N2689" s="7" t="n">
        <x:v>3</x:v>
      </x:c>
      <x:c r="O2689" s="7" t="n">
        <x:v>0</x:v>
      </x:c>
      <x:c r="P2689" s="9" t="n">
        <x:v>9.64</x:v>
      </x:c>
      <x:c r="Q2689" s="7" t="n">
        <x:f>'Guide'!$B$5-L2689</x:f>
        <x:v>2</x:v>
      </x:c>
      <x:c r="R2689" s="9" t="n">
        <x:f>K2689-P2689</x:f>
        <x:v>3.8599999999999994</x:v>
      </x:c>
      <x:c r="S2689" s="10" t="n">
        <x:f>IF(K2689&gt;0,R2689/K2689,"")</x:f>
        <x:v>0.28592592592592586</x:v>
      </x:c>
    </x:row>
    <x:row r="2690">
      <x:c r="A2690" s="7" t="n">
        <x:v>2686</x:v>
      </x:c>
      <x:c r="B2690" s="7" t="str">
        <x:v>Tata</x:v>
      </x:c>
      <x:c r="C2690" s="7" t="str">
        <x:v>Nexon</x:v>
      </x:c>
      <x:c r="D2690" s="7" t="str">
        <x:v>Creative DCA</x:v>
      </x:c>
      <x:c r="E2690" s="7" t="str">
        <x:v>Petrol</x:v>
      </x:c>
      <x:c r="F2690" s="7" t="str">
        <x:v>Automatic</x:v>
      </x:c>
      <x:c r="G2690" s="7" t="str">
        <x:v>Compact SUV</x:v>
      </x:c>
      <x:c r="H2690" s="7" t="n">
        <x:v>1199</x:v>
      </x:c>
      <x:c r="I2690" s="7" t="n">
        <x:v>118</x:v>
      </x:c>
      <x:c r="J2690" s="9" t="n">
        <x:v>17.2</x:v>
      </x:c>
      <x:c r="K2690" s="9" t="n">
        <x:v>13.5</x:v>
      </x:c>
      <x:c r="L2690" s="7" t="n">
        <x:v>2026</x:v>
      </x:c>
      <x:c r="M2690" s="11" t="n">
        <x:v>7860</x:v>
      </x:c>
      <x:c r="N2690" s="7" t="n">
        <x:v>1</x:v>
      </x:c>
      <x:c r="O2690" s="7" t="n">
        <x:v>0</x:v>
      </x:c>
      <x:c r="P2690" s="9" t="n">
        <x:v>13.15</x:v>
      </x:c>
      <x:c r="Q2690" s="7" t="n">
        <x:f>'Guide'!$B$5-L2690</x:f>
        <x:v>0</x:v>
      </x:c>
      <x:c r="R2690" s="9" t="n">
        <x:f>K2690-P2690</x:f>
        <x:v>0.34999999999999964</x:v>
      </x:c>
      <x:c r="S2690" s="10" t="n">
        <x:f>IF(K2690&gt;0,R2690/K2690,"")</x:f>
        <x:v>0.0259259259259259</x:v>
      </x:c>
    </x:row>
    <x:row r="2691">
      <x:c r="A2691" s="7" t="n">
        <x:v>2687</x:v>
      </x:c>
      <x:c r="B2691" s="7" t="str">
        <x:v>Tata</x:v>
      </x:c>
      <x:c r="C2691" s="7" t="str">
        <x:v>Nexon</x:v>
      </x:c>
      <x:c r="D2691" s="7" t="str">
        <x:v>Creative DCA</x:v>
      </x:c>
      <x:c r="E2691" s="7" t="str">
        <x:v>Petrol</x:v>
      </x:c>
      <x:c r="F2691" s="7" t="str">
        <x:v>Automatic</x:v>
      </x:c>
      <x:c r="G2691" s="7" t="str">
        <x:v>Compact SUV</x:v>
      </x:c>
      <x:c r="H2691" s="7" t="n">
        <x:v>1199</x:v>
      </x:c>
      <x:c r="I2691" s="7" t="n">
        <x:v>118</x:v>
      </x:c>
      <x:c r="J2691" s="9" t="n">
        <x:v>17.2</x:v>
      </x:c>
      <x:c r="K2691" s="9" t="n">
        <x:v>13.5</x:v>
      </x:c>
      <x:c r="L2691" s="7" t="n">
        <x:v>2026</x:v>
      </x:c>
      <x:c r="M2691" s="11" t="n">
        <x:v>7943</x:v>
      </x:c>
      <x:c r="N2691" s="7" t="n">
        <x:v>1</x:v>
      </x:c>
      <x:c r="O2691" s="7" t="n">
        <x:v>0</x:v>
      </x:c>
      <x:c r="P2691" s="9" t="n">
        <x:v>13.09</x:v>
      </x:c>
      <x:c r="Q2691" s="7" t="n">
        <x:f>'Guide'!$B$5-L2691</x:f>
        <x:v>0</x:v>
      </x:c>
      <x:c r="R2691" s="9" t="n">
        <x:f>K2691-P2691</x:f>
        <x:v>0.41000000000000014</x:v>
      </x:c>
      <x:c r="S2691" s="10" t="n">
        <x:f>IF(K2691&gt;0,R2691/K2691,"")</x:f>
        <x:v>0.03037037037037038</x:v>
      </x:c>
    </x:row>
    <x:row r="2692">
      <x:c r="A2692" s="7" t="n">
        <x:v>2688</x:v>
      </x:c>
      <x:c r="B2692" s="7" t="str">
        <x:v>Tata</x:v>
      </x:c>
      <x:c r="C2692" s="7" t="str">
        <x:v>Nexon</x:v>
      </x:c>
      <x:c r="D2692" s="7" t="str">
        <x:v>Creative DCA</x:v>
      </x:c>
      <x:c r="E2692" s="7" t="str">
        <x:v>Petrol</x:v>
      </x:c>
      <x:c r="F2692" s="7" t="str">
        <x:v>Automatic</x:v>
      </x:c>
      <x:c r="G2692" s="7" t="str">
        <x:v>Compact SUV</x:v>
      </x:c>
      <x:c r="H2692" s="7" t="n">
        <x:v>1199</x:v>
      </x:c>
      <x:c r="I2692" s="7" t="n">
        <x:v>118</x:v>
      </x:c>
      <x:c r="J2692" s="9" t="n">
        <x:v>17.2</x:v>
      </x:c>
      <x:c r="K2692" s="9" t="n">
        <x:v>13.5</x:v>
      </x:c>
      <x:c r="L2692" s="7" t="n">
        <x:v>2024</x:v>
      </x:c>
      <x:c r="M2692" s="11" t="n">
        <x:v>49413</x:v>
      </x:c>
      <x:c r="N2692" s="7" t="n">
        <x:v>1</x:v>
      </x:c>
      <x:c r="O2692" s="7" t="n">
        <x:v>0</x:v>
      </x:c>
      <x:c r="P2692" s="9" t="n">
        <x:v>10.41</x:v>
      </x:c>
      <x:c r="Q2692" s="7" t="n">
        <x:f>'Guide'!$B$5-L2692</x:f>
        <x:v>2</x:v>
      </x:c>
      <x:c r="R2692" s="9" t="n">
        <x:f>K2692-P2692</x:f>
        <x:v>3.09</x:v>
      </x:c>
      <x:c r="S2692" s="10" t="n">
        <x:f>IF(K2692&gt;0,R2692/K2692,"")</x:f>
        <x:v>0.2288888888888889</x:v>
      </x:c>
    </x:row>
    <x:row r="2693">
      <x:c r="A2693" s="7" t="n">
        <x:v>2689</x:v>
      </x:c>
      <x:c r="B2693" s="7" t="str">
        <x:v>Tata</x:v>
      </x:c>
      <x:c r="C2693" s="7" t="str">
        <x:v>Nexon</x:v>
      </x:c>
      <x:c r="D2693" s="7" t="str">
        <x:v>Creative DCA</x:v>
      </x:c>
      <x:c r="E2693" s="7" t="str">
        <x:v>Petrol</x:v>
      </x:c>
      <x:c r="F2693" s="7" t="str">
        <x:v>Automatic</x:v>
      </x:c>
      <x:c r="G2693" s="7" t="str">
        <x:v>Compact SUV</x:v>
      </x:c>
      <x:c r="H2693" s="7" t="n">
        <x:v>1199</x:v>
      </x:c>
      <x:c r="I2693" s="7" t="n">
        <x:v>118</x:v>
      </x:c>
      <x:c r="J2693" s="9" t="n">
        <x:v>17.2</x:v>
      </x:c>
      <x:c r="K2693" s="9" t="n">
        <x:v>13.5</x:v>
      </x:c>
      <x:c r="L2693" s="7" t="n">
        <x:v>2025</x:v>
      </x:c>
      <x:c r="M2693" s="11" t="n">
        <x:v>20447</x:v>
      </x:c>
      <x:c r="N2693" s="7" t="n">
        <x:v>1</x:v>
      </x:c>
      <x:c r="O2693" s="7" t="n">
        <x:v>0</x:v>
      </x:c>
      <x:c r="P2693" s="9" t="n">
        <x:v>11.71</x:v>
      </x:c>
      <x:c r="Q2693" s="7" t="n">
        <x:f>'Guide'!$B$5-L2693</x:f>
        <x:v>1</x:v>
      </x:c>
      <x:c r="R2693" s="9" t="n">
        <x:f>K2693-P2693</x:f>
        <x:v>1.7899999999999991</x:v>
      </x:c>
      <x:c r="S2693" s="10" t="n">
        <x:f>IF(K2693&gt;0,R2693/K2693,"")</x:f>
        <x:v>0.13259259259259254</x:v>
      </x:c>
    </x:row>
    <x:row r="2694">
      <x:c r="A2694" s="7" t="n">
        <x:v>2690</x:v>
      </x:c>
      <x:c r="B2694" s="7" t="str">
        <x:v>Tata</x:v>
      </x:c>
      <x:c r="C2694" s="7" t="str">
        <x:v>Nexon</x:v>
      </x:c>
      <x:c r="D2694" s="7" t="str">
        <x:v>Creative DCA</x:v>
      </x:c>
      <x:c r="E2694" s="7" t="str">
        <x:v>Petrol</x:v>
      </x:c>
      <x:c r="F2694" s="7" t="str">
        <x:v>Automatic</x:v>
      </x:c>
      <x:c r="G2694" s="7" t="str">
        <x:v>Compact SUV</x:v>
      </x:c>
      <x:c r="H2694" s="7" t="n">
        <x:v>1199</x:v>
      </x:c>
      <x:c r="I2694" s="7" t="n">
        <x:v>118</x:v>
      </x:c>
      <x:c r="J2694" s="9" t="n">
        <x:v>17.2</x:v>
      </x:c>
      <x:c r="K2694" s="9" t="n">
        <x:v>13.5</x:v>
      </x:c>
      <x:c r="L2694" s="7" t="n">
        <x:v>2025</x:v>
      </x:c>
      <x:c r="M2694" s="11" t="n">
        <x:v>15262</x:v>
      </x:c>
      <x:c r="N2694" s="7" t="n">
        <x:v>2</x:v>
      </x:c>
      <x:c r="O2694" s="7" t="n">
        <x:v>0</x:v>
      </x:c>
      <x:c r="P2694" s="9" t="n">
        <x:v>11.92</x:v>
      </x:c>
      <x:c r="Q2694" s="7" t="n">
        <x:f>'Guide'!$B$5-L2694</x:f>
        <x:v>1</x:v>
      </x:c>
      <x:c r="R2694" s="9" t="n">
        <x:f>K2694-P2694</x:f>
        <x:v>1.58</x:v>
      </x:c>
      <x:c r="S2694" s="10" t="n">
        <x:f>IF(K2694&gt;0,R2694/K2694,"")</x:f>
        <x:v>0.11703703703703704</x:v>
      </x:c>
    </x:row>
    <x:row r="2695">
      <x:c r="A2695" s="7" t="n">
        <x:v>2691</x:v>
      </x:c>
      <x:c r="B2695" s="7" t="str">
        <x:v>Tata</x:v>
      </x:c>
      <x:c r="C2695" s="7" t="str">
        <x:v>Nexon</x:v>
      </x:c>
      <x:c r="D2695" s="7" t="str">
        <x:v>Creative DCA</x:v>
      </x:c>
      <x:c r="E2695" s="7" t="str">
        <x:v>Petrol</x:v>
      </x:c>
      <x:c r="F2695" s="7" t="str">
        <x:v>Automatic</x:v>
      </x:c>
      <x:c r="G2695" s="7" t="str">
        <x:v>Compact SUV</x:v>
      </x:c>
      <x:c r="H2695" s="7" t="n">
        <x:v>1199</x:v>
      </x:c>
      <x:c r="I2695" s="7" t="n">
        <x:v>118</x:v>
      </x:c>
      <x:c r="J2695" s="9" t="n">
        <x:v>17.2</x:v>
      </x:c>
      <x:c r="K2695" s="9" t="n">
        <x:v>13.5</x:v>
      </x:c>
      <x:c r="L2695" s="7" t="n">
        <x:v>2025</x:v>
      </x:c>
      <x:c r="M2695" s="11" t="n">
        <x:v>22393</x:v>
      </x:c>
      <x:c r="N2695" s="7" t="n">
        <x:v>2</x:v>
      </x:c>
      <x:c r="O2695" s="7" t="n">
        <x:v>0</x:v>
      </x:c>
      <x:c r="P2695" s="9" t="n">
        <x:v>11.47</x:v>
      </x:c>
      <x:c r="Q2695" s="7" t="n">
        <x:f>'Guide'!$B$5-L2695</x:f>
        <x:v>1</x:v>
      </x:c>
      <x:c r="R2695" s="9" t="n">
        <x:f>K2695-P2695</x:f>
        <x:v>2.0299999999999994</x:v>
      </x:c>
      <x:c r="S2695" s="10" t="n">
        <x:f>IF(K2695&gt;0,R2695/K2695,"")</x:f>
        <x:v>0.15037037037037032</x:v>
      </x:c>
    </x:row>
    <x:row r="2696">
      <x:c r="A2696" s="7" t="n">
        <x:v>2692</x:v>
      </x:c>
      <x:c r="B2696" s="7" t="str">
        <x:v>Tata</x:v>
      </x:c>
      <x:c r="C2696" s="7" t="str">
        <x:v>Nexon</x:v>
      </x:c>
      <x:c r="D2696" s="7" t="str">
        <x:v>Creative DCA</x:v>
      </x:c>
      <x:c r="E2696" s="7" t="str">
        <x:v>Petrol</x:v>
      </x:c>
      <x:c r="F2696" s="7" t="str">
        <x:v>Automatic</x:v>
      </x:c>
      <x:c r="G2696" s="7" t="str">
        <x:v>Compact SUV</x:v>
      </x:c>
      <x:c r="H2696" s="7" t="n">
        <x:v>1199</x:v>
      </x:c>
      <x:c r="I2696" s="7" t="n">
        <x:v>118</x:v>
      </x:c>
      <x:c r="J2696" s="9" t="n">
        <x:v>17.2</x:v>
      </x:c>
      <x:c r="K2696" s="9" t="n">
        <x:v>13.5</x:v>
      </x:c>
      <x:c r="L2696" s="7" t="n">
        <x:v>2021</x:v>
      </x:c>
      <x:c r="M2696" s="11" t="n">
        <x:v>83243</x:v>
      </x:c>
      <x:c r="N2696" s="7" t="n">
        <x:v>2</x:v>
      </x:c>
      <x:c r="O2696" s="7" t="n">
        <x:v>0</x:v>
      </x:c>
      <x:c r="P2696" s="9" t="n">
        <x:v>6.22</x:v>
      </x:c>
      <x:c r="Q2696" s="7" t="n">
        <x:f>'Guide'!$B$5-L2696</x:f>
        <x:v>5</x:v>
      </x:c>
      <x:c r="R2696" s="9" t="n">
        <x:f>K2696-P2696</x:f>
        <x:v>7.28</x:v>
      </x:c>
      <x:c r="S2696" s="10" t="n">
        <x:f>IF(K2696&gt;0,R2696/K2696,"")</x:f>
        <x:v>0.5392592592592593</x:v>
      </x:c>
    </x:row>
    <x:row r="2697">
      <x:c r="A2697" s="7" t="n">
        <x:v>2693</x:v>
      </x:c>
      <x:c r="B2697" s="7" t="str">
        <x:v>Tata</x:v>
      </x:c>
      <x:c r="C2697" s="7" t="str">
        <x:v>Nexon</x:v>
      </x:c>
      <x:c r="D2697" s="7" t="str">
        <x:v>Creative DCA</x:v>
      </x:c>
      <x:c r="E2697" s="7" t="str">
        <x:v>Petrol</x:v>
      </x:c>
      <x:c r="F2697" s="7" t="str">
        <x:v>Automatic</x:v>
      </x:c>
      <x:c r="G2697" s="7" t="str">
        <x:v>Compact SUV</x:v>
      </x:c>
      <x:c r="H2697" s="7" t="n">
        <x:v>1199</x:v>
      </x:c>
      <x:c r="I2697" s="7" t="n">
        <x:v>118</x:v>
      </x:c>
      <x:c r="J2697" s="9" t="n">
        <x:v>17.2</x:v>
      </x:c>
      <x:c r="K2697" s="9" t="n">
        <x:v>13.5</x:v>
      </x:c>
      <x:c r="L2697" s="7" t="n">
        <x:v>2022</x:v>
      </x:c>
      <x:c r="M2697" s="11" t="n">
        <x:v>52437</x:v>
      </x:c>
      <x:c r="N2697" s="7" t="n">
        <x:v>1</x:v>
      </x:c>
      <x:c r="O2697" s="7" t="n">
        <x:v>0</x:v>
      </x:c>
      <x:c r="P2697" s="9" t="n">
        <x:v>8.09</x:v>
      </x:c>
      <x:c r="Q2697" s="7" t="n">
        <x:f>'Guide'!$B$5-L2697</x:f>
        <x:v>4</x:v>
      </x:c>
      <x:c r="R2697" s="9" t="n">
        <x:f>K2697-P2697</x:f>
        <x:v>5.41</x:v>
      </x:c>
      <x:c r="S2697" s="10" t="n">
        <x:f>IF(K2697&gt;0,R2697/K2697,"")</x:f>
        <x:v>0.40074074074074073</x:v>
      </x:c>
    </x:row>
    <x:row r="2698">
      <x:c r="A2698" s="7" t="n">
        <x:v>2694</x:v>
      </x:c>
      <x:c r="B2698" s="7" t="str">
        <x:v>Tata</x:v>
      </x:c>
      <x:c r="C2698" s="7" t="str">
        <x:v>Nexon</x:v>
      </x:c>
      <x:c r="D2698" s="7" t="str">
        <x:v>Creative DCA</x:v>
      </x:c>
      <x:c r="E2698" s="7" t="str">
        <x:v>Petrol</x:v>
      </x:c>
      <x:c r="F2698" s="7" t="str">
        <x:v>Automatic</x:v>
      </x:c>
      <x:c r="G2698" s="7" t="str">
        <x:v>Compact SUV</x:v>
      </x:c>
      <x:c r="H2698" s="7" t="n">
        <x:v>1199</x:v>
      </x:c>
      <x:c r="I2698" s="7" t="n">
        <x:v>118</x:v>
      </x:c>
      <x:c r="J2698" s="9" t="n">
        <x:v>17.2</x:v>
      </x:c>
      <x:c r="K2698" s="9" t="n">
        <x:v>13.5</x:v>
      </x:c>
      <x:c r="L2698" s="7" t="n">
        <x:v>2021</x:v>
      </x:c>
      <x:c r="M2698" s="11" t="n">
        <x:v>95265</x:v>
      </x:c>
      <x:c r="N2698" s="7" t="n">
        <x:v>1</x:v>
      </x:c>
      <x:c r="O2698" s="7" t="n">
        <x:v>1</x:v>
      </x:c>
      <x:c r="P2698" s="9" t="n">
        <x:v>5.78</x:v>
      </x:c>
      <x:c r="Q2698" s="7" t="n">
        <x:f>'Guide'!$B$5-L2698</x:f>
        <x:v>5</x:v>
      </x:c>
      <x:c r="R2698" s="9" t="n">
        <x:f>K2698-P2698</x:f>
        <x:v>7.72</x:v>
      </x:c>
      <x:c r="S2698" s="10" t="n">
        <x:f>IF(K2698&gt;0,R2698/K2698,"")</x:f>
        <x:v>0.5718518518518518</x:v>
      </x:c>
    </x:row>
    <x:row r="2699">
      <x:c r="A2699" s="7" t="n">
        <x:v>2695</x:v>
      </x:c>
      <x:c r="B2699" s="7" t="str">
        <x:v>Tata</x:v>
      </x:c>
      <x:c r="C2699" s="7" t="str">
        <x:v>Nexon</x:v>
      </x:c>
      <x:c r="D2699" s="7" t="str">
        <x:v>Creative DCA</x:v>
      </x:c>
      <x:c r="E2699" s="7" t="str">
        <x:v>Petrol</x:v>
      </x:c>
      <x:c r="F2699" s="7" t="str">
        <x:v>Automatic</x:v>
      </x:c>
      <x:c r="G2699" s="7" t="str">
        <x:v>Compact SUV</x:v>
      </x:c>
      <x:c r="H2699" s="7" t="n">
        <x:v>1199</x:v>
      </x:c>
      <x:c r="I2699" s="7" t="n">
        <x:v>118</x:v>
      </x:c>
      <x:c r="J2699" s="9" t="n">
        <x:v>17.2</x:v>
      </x:c>
      <x:c r="K2699" s="9" t="n">
        <x:v>13.5</x:v>
      </x:c>
      <x:c r="L2699" s="7" t="n">
        <x:v>2026</x:v>
      </x:c>
      <x:c r="M2699" s="11" t="n">
        <x:v>7520</x:v>
      </x:c>
      <x:c r="N2699" s="7" t="n">
        <x:v>1</x:v>
      </x:c>
      <x:c r="O2699" s="7" t="n">
        <x:v>0</x:v>
      </x:c>
      <x:c r="P2699" s="9" t="n">
        <x:v>13.72</x:v>
      </x:c>
      <x:c r="Q2699" s="7" t="n">
        <x:f>'Guide'!$B$5-L2699</x:f>
        <x:v>0</x:v>
      </x:c>
      <x:c r="R2699" s="9" t="n">
        <x:f>K2699-P2699</x:f>
        <x:v>-0.22000000000000064</x:v>
      </x:c>
      <x:c r="S2699" s="10" t="n">
        <x:f>IF(K2699&gt;0,R2699/K2699,"")</x:f>
        <x:v>-0.016296296296296343</x:v>
      </x:c>
    </x:row>
    <x:row r="2700">
      <x:c r="A2700" s="7" t="n">
        <x:v>2696</x:v>
      </x:c>
      <x:c r="B2700" s="7" t="str">
        <x:v>Tata</x:v>
      </x:c>
      <x:c r="C2700" s="7" t="str">
        <x:v>Nexon</x:v>
      </x:c>
      <x:c r="D2700" s="7" t="str">
        <x:v>Creative DCA</x:v>
      </x:c>
      <x:c r="E2700" s="7" t="str">
        <x:v>Petrol</x:v>
      </x:c>
      <x:c r="F2700" s="7" t="str">
        <x:v>Automatic</x:v>
      </x:c>
      <x:c r="G2700" s="7" t="str">
        <x:v>Compact SUV</x:v>
      </x:c>
      <x:c r="H2700" s="7" t="n">
        <x:v>1199</x:v>
      </x:c>
      <x:c r="I2700" s="7" t="n">
        <x:v>118</x:v>
      </x:c>
      <x:c r="J2700" s="9" t="n">
        <x:v>17.2</x:v>
      </x:c>
      <x:c r="K2700" s="9" t="n">
        <x:v>13.5</x:v>
      </x:c>
      <x:c r="L2700" s="7" t="n">
        <x:v>2026</x:v>
      </x:c>
      <x:c r="M2700" s="11" t="n">
        <x:v>8608</x:v>
      </x:c>
      <x:c r="N2700" s="7" t="n">
        <x:v>2</x:v>
      </x:c>
      <x:c r="O2700" s="7" t="n">
        <x:v>0</x:v>
      </x:c>
      <x:c r="P2700" s="9" t="n">
        <x:v>12.78</x:v>
      </x:c>
      <x:c r="Q2700" s="7" t="n">
        <x:f>'Guide'!$B$5-L2700</x:f>
        <x:v>0</x:v>
      </x:c>
      <x:c r="R2700" s="9" t="n">
        <x:f>K2700-P2700</x:f>
        <x:v>0.7200000000000006</x:v>
      </x:c>
      <x:c r="S2700" s="10" t="n">
        <x:f>IF(K2700&gt;0,R2700/K2700,"")</x:f>
        <x:v>0.05333333333333338</x:v>
      </x:c>
    </x:row>
    <x:row r="2701">
      <x:c r="A2701" s="7" t="n">
        <x:v>2697</x:v>
      </x:c>
      <x:c r="B2701" s="7" t="str">
        <x:v>Tata</x:v>
      </x:c>
      <x:c r="C2701" s="7" t="str">
        <x:v>Nexon</x:v>
      </x:c>
      <x:c r="D2701" s="7" t="str">
        <x:v>Creative DCA</x:v>
      </x:c>
      <x:c r="E2701" s="7" t="str">
        <x:v>Petrol</x:v>
      </x:c>
      <x:c r="F2701" s="7" t="str">
        <x:v>Automatic</x:v>
      </x:c>
      <x:c r="G2701" s="7" t="str">
        <x:v>Compact SUV</x:v>
      </x:c>
      <x:c r="H2701" s="7" t="n">
        <x:v>1199</x:v>
      </x:c>
      <x:c r="I2701" s="7" t="n">
        <x:v>118</x:v>
      </x:c>
      <x:c r="J2701" s="9" t="n">
        <x:v>17.2</x:v>
      </x:c>
      <x:c r="K2701" s="9" t="n">
        <x:v>13.5</x:v>
      </x:c>
      <x:c r="L2701" s="7" t="n">
        <x:v>2022</x:v>
      </x:c>
      <x:c r="M2701" s="11" t="n">
        <x:v>41015</x:v>
      </x:c>
      <x:c r="N2701" s="7" t="n">
        <x:v>1</x:v>
      </x:c>
      <x:c r="O2701" s="7" t="n">
        <x:v>0</x:v>
      </x:c>
      <x:c r="P2701" s="9" t="n">
        <x:v>8.72</x:v>
      </x:c>
      <x:c r="Q2701" s="7" t="n">
        <x:f>'Guide'!$B$5-L2701</x:f>
        <x:v>4</x:v>
      </x:c>
      <x:c r="R2701" s="9" t="n">
        <x:f>K2701-P2701</x:f>
        <x:v>4.779999999999999</x:v>
      </x:c>
      <x:c r="S2701" s="10" t="n">
        <x:f>IF(K2701&gt;0,R2701/K2701,"")</x:f>
        <x:v>0.35407407407407404</x:v>
      </x:c>
    </x:row>
    <x:row r="2702">
      <x:c r="A2702" s="7" t="n">
        <x:v>2698</x:v>
      </x:c>
      <x:c r="B2702" s="7" t="str">
        <x:v>Tata</x:v>
      </x:c>
      <x:c r="C2702" s="7" t="str">
        <x:v>Nexon</x:v>
      </x:c>
      <x:c r="D2702" s="7" t="str">
        <x:v>Creative DCA</x:v>
      </x:c>
      <x:c r="E2702" s="7" t="str">
        <x:v>Petrol</x:v>
      </x:c>
      <x:c r="F2702" s="7" t="str">
        <x:v>Automatic</x:v>
      </x:c>
      <x:c r="G2702" s="7" t="str">
        <x:v>Compact SUV</x:v>
      </x:c>
      <x:c r="H2702" s="7" t="n">
        <x:v>1199</x:v>
      </x:c>
      <x:c r="I2702" s="7" t="n">
        <x:v>118</x:v>
      </x:c>
      <x:c r="J2702" s="9" t="n">
        <x:v>17.2</x:v>
      </x:c>
      <x:c r="K2702" s="9" t="n">
        <x:v>13.5</x:v>
      </x:c>
      <x:c r="L2702" s="7" t="n">
        <x:v>2024</x:v>
      </x:c>
      <x:c r="M2702" s="11" t="n">
        <x:v>31601</x:v>
      </x:c>
      <x:c r="N2702" s="7" t="n">
        <x:v>2</x:v>
      </x:c>
      <x:c r="O2702" s="7" t="n">
        <x:v>0</x:v>
      </x:c>
      <x:c r="P2702" s="9" t="n">
        <x:v>10.69</x:v>
      </x:c>
      <x:c r="Q2702" s="7" t="n">
        <x:f>'Guide'!$B$5-L2702</x:f>
        <x:v>2</x:v>
      </x:c>
      <x:c r="R2702" s="9" t="n">
        <x:f>K2702-P2702</x:f>
        <x:v>2.8100000000000005</x:v>
      </x:c>
      <x:c r="S2702" s="10" t="n">
        <x:f>IF(K2702&gt;0,R2702/K2702,"")</x:f>
        <x:v>0.2081481481481482</x:v>
      </x:c>
    </x:row>
    <x:row r="2703">
      <x:c r="A2703" s="7" t="n">
        <x:v>2699</x:v>
      </x:c>
      <x:c r="B2703" s="7" t="str">
        <x:v>Tata</x:v>
      </x:c>
      <x:c r="C2703" s="7" t="str">
        <x:v>Nexon</x:v>
      </x:c>
      <x:c r="D2703" s="7" t="str">
        <x:v>Creative DCA</x:v>
      </x:c>
      <x:c r="E2703" s="7" t="str">
        <x:v>Petrol</x:v>
      </x:c>
      <x:c r="F2703" s="7" t="str">
        <x:v>Automatic</x:v>
      </x:c>
      <x:c r="G2703" s="7" t="str">
        <x:v>Compact SUV</x:v>
      </x:c>
      <x:c r="H2703" s="7" t="n">
        <x:v>1199</x:v>
      </x:c>
      <x:c r="I2703" s="7" t="n">
        <x:v>118</x:v>
      </x:c>
      <x:c r="J2703" s="9" t="n">
        <x:v>17.2</x:v>
      </x:c>
      <x:c r="K2703" s="9" t="n">
        <x:v>13.5</x:v>
      </x:c>
      <x:c r="L2703" s="7" t="n">
        <x:v>2024</x:v>
      </x:c>
      <x:c r="M2703" s="11" t="n">
        <x:v>49291</x:v>
      </x:c>
      <x:c r="N2703" s="7" t="n">
        <x:v>1</x:v>
      </x:c>
      <x:c r="O2703" s="7" t="n">
        <x:v>0</x:v>
      </x:c>
      <x:c r="P2703" s="9" t="n">
        <x:v>10.81</x:v>
      </x:c>
      <x:c r="Q2703" s="7" t="n">
        <x:f>'Guide'!$B$5-L2703</x:f>
        <x:v>2</x:v>
      </x:c>
      <x:c r="R2703" s="9" t="n">
        <x:f>K2703-P2703</x:f>
        <x:v>2.6899999999999995</x:v>
      </x:c>
      <x:c r="S2703" s="10" t="n">
        <x:f>IF(K2703&gt;0,R2703/K2703,"")</x:f>
        <x:v>0.19925925925925922</x:v>
      </x:c>
    </x:row>
    <x:row r="2704">
      <x:c r="A2704" s="7" t="n">
        <x:v>2700</x:v>
      </x:c>
      <x:c r="B2704" s="7" t="str">
        <x:v>Tata</x:v>
      </x:c>
      <x:c r="C2704" s="7" t="str">
        <x:v>Nexon</x:v>
      </x:c>
      <x:c r="D2704" s="7" t="str">
        <x:v>Creative DCA</x:v>
      </x:c>
      <x:c r="E2704" s="7" t="str">
        <x:v>Petrol</x:v>
      </x:c>
      <x:c r="F2704" s="7" t="str">
        <x:v>Automatic</x:v>
      </x:c>
      <x:c r="G2704" s="7" t="str">
        <x:v>Compact SUV</x:v>
      </x:c>
      <x:c r="H2704" s="7" t="n">
        <x:v>1199</x:v>
      </x:c>
      <x:c r="I2704" s="7" t="n">
        <x:v>118</x:v>
      </x:c>
      <x:c r="J2704" s="9" t="n">
        <x:v>17.2</x:v>
      </x:c>
      <x:c r="K2704" s="9" t="n">
        <x:v>13.5</x:v>
      </x:c>
      <x:c r="L2704" s="7" t="n">
        <x:v>2023</x:v>
      </x:c>
      <x:c r="M2704" s="11" t="n">
        <x:v>35899</x:v>
      </x:c>
      <x:c r="N2704" s="7" t="n">
        <x:v>2</x:v>
      </x:c>
      <x:c r="O2704" s="7" t="n">
        <x:v>0</x:v>
      </x:c>
      <x:c r="P2704" s="9" t="n">
        <x:v>9.1</x:v>
      </x:c>
      <x:c r="Q2704" s="7" t="n">
        <x:f>'Guide'!$B$5-L2704</x:f>
        <x:v>3</x:v>
      </x:c>
      <x:c r="R2704" s="9" t="n">
        <x:f>K2704-P2704</x:f>
        <x:v>4.4</x:v>
      </x:c>
      <x:c r="S2704" s="10" t="n">
        <x:f>IF(K2704&gt;0,R2704/K2704,"")</x:f>
        <x:v>0.32592592592592595</x:v>
      </x:c>
    </x:row>
    <x:row r="2705">
      <x:c r="A2705" s="7" t="n">
        <x:v>2701</x:v>
      </x:c>
      <x:c r="B2705" s="7" t="str">
        <x:v>Tata</x:v>
      </x:c>
      <x:c r="C2705" s="7" t="str">
        <x:v>Nexon</x:v>
      </x:c>
      <x:c r="D2705" s="7" t="str">
        <x:v>Creative DCA</x:v>
      </x:c>
      <x:c r="E2705" s="7" t="str">
        <x:v>Petrol</x:v>
      </x:c>
      <x:c r="F2705" s="7" t="str">
        <x:v>Automatic</x:v>
      </x:c>
      <x:c r="G2705" s="7" t="str">
        <x:v>Compact SUV</x:v>
      </x:c>
      <x:c r="H2705" s="7" t="n">
        <x:v>1199</x:v>
      </x:c>
      <x:c r="I2705" s="7" t="n">
        <x:v>118</x:v>
      </x:c>
      <x:c r="J2705" s="9" t="n">
        <x:v>17.2</x:v>
      </x:c>
      <x:c r="K2705" s="9" t="n">
        <x:v>13.5</x:v>
      </x:c>
      <x:c r="L2705" s="7" t="n">
        <x:v>2025</x:v>
      </x:c>
      <x:c r="M2705" s="11" t="n">
        <x:v>12429</x:v>
      </x:c>
      <x:c r="N2705" s="7" t="n">
        <x:v>1</x:v>
      </x:c>
      <x:c r="O2705" s="7" t="n">
        <x:v>0</x:v>
      </x:c>
      <x:c r="P2705" s="9" t="n">
        <x:v>12.25</x:v>
      </x:c>
      <x:c r="Q2705" s="7" t="n">
        <x:f>'Guide'!$B$5-L2705</x:f>
        <x:v>1</x:v>
      </x:c>
      <x:c r="R2705" s="9" t="n">
        <x:f>K2705-P2705</x:f>
        <x:v>1.25</x:v>
      </x:c>
      <x:c r="S2705" s="10" t="n">
        <x:f>IF(K2705&gt;0,R2705/K2705,"")</x:f>
        <x:v>0.09259259259259259</x:v>
      </x:c>
    </x:row>
    <x:row r="2706">
      <x:c r="A2706" s="7" t="n">
        <x:v>2702</x:v>
      </x:c>
      <x:c r="B2706" s="7" t="str">
        <x:v>Tata</x:v>
      </x:c>
      <x:c r="C2706" s="7" t="str">
        <x:v>Nexon</x:v>
      </x:c>
      <x:c r="D2706" s="7" t="str">
        <x:v>Creative DCA</x:v>
      </x:c>
      <x:c r="E2706" s="7" t="str">
        <x:v>Petrol</x:v>
      </x:c>
      <x:c r="F2706" s="7" t="str">
        <x:v>Automatic</x:v>
      </x:c>
      <x:c r="G2706" s="7" t="str">
        <x:v>Compact SUV</x:v>
      </x:c>
      <x:c r="H2706" s="7" t="n">
        <x:v>1199</x:v>
      </x:c>
      <x:c r="I2706" s="7" t="n">
        <x:v>118</x:v>
      </x:c>
      <x:c r="J2706" s="9" t="n">
        <x:v>17.2</x:v>
      </x:c>
      <x:c r="K2706" s="9" t="n">
        <x:v>13.5</x:v>
      </x:c>
      <x:c r="L2706" s="7" t="n">
        <x:v>2021</x:v>
      </x:c>
      <x:c r="M2706" s="11" t="n">
        <x:v>86075</x:v>
      </x:c>
      <x:c r="N2706" s="7" t="n">
        <x:v>1</x:v>
      </x:c>
      <x:c r="O2706" s="7" t="n">
        <x:v>0</x:v>
      </x:c>
      <x:c r="P2706" s="9" t="n">
        <x:v>6.94</x:v>
      </x:c>
      <x:c r="Q2706" s="7" t="n">
        <x:f>'Guide'!$B$5-L2706</x:f>
        <x:v>5</x:v>
      </x:c>
      <x:c r="R2706" s="9" t="n">
        <x:f>K2706-P2706</x:f>
        <x:v>6.56</x:v>
      </x:c>
      <x:c r="S2706" s="10" t="n">
        <x:f>IF(K2706&gt;0,R2706/K2706,"")</x:f>
        <x:v>0.4859259259259259</x:v>
      </x:c>
    </x:row>
    <x:row r="2707">
      <x:c r="A2707" s="7" t="n">
        <x:v>2703</x:v>
      </x:c>
      <x:c r="B2707" s="7" t="str">
        <x:v>Tata</x:v>
      </x:c>
      <x:c r="C2707" s="7" t="str">
        <x:v>Nexon</x:v>
      </x:c>
      <x:c r="D2707" s="7" t="str">
        <x:v>Creative DCA</x:v>
      </x:c>
      <x:c r="E2707" s="7" t="str">
        <x:v>Petrol</x:v>
      </x:c>
      <x:c r="F2707" s="7" t="str">
        <x:v>Automatic</x:v>
      </x:c>
      <x:c r="G2707" s="7" t="str">
        <x:v>Compact SUV</x:v>
      </x:c>
      <x:c r="H2707" s="7" t="n">
        <x:v>1199</x:v>
      </x:c>
      <x:c r="I2707" s="7" t="n">
        <x:v>118</x:v>
      </x:c>
      <x:c r="J2707" s="9" t="n">
        <x:v>17.2</x:v>
      </x:c>
      <x:c r="K2707" s="9" t="n">
        <x:v>13.5</x:v>
      </x:c>
      <x:c r="L2707" s="7" t="n">
        <x:v>2025</x:v>
      </x:c>
      <x:c r="M2707" s="11" t="n">
        <x:v>18486</x:v>
      </x:c>
      <x:c r="N2707" s="7" t="n">
        <x:v>1</x:v>
      </x:c>
      <x:c r="O2707" s="7" t="n">
        <x:v>0</x:v>
      </x:c>
      <x:c r="P2707" s="9" t="n">
        <x:v>12.48</x:v>
      </x:c>
      <x:c r="Q2707" s="7" t="n">
        <x:f>'Guide'!$B$5-L2707</x:f>
        <x:v>1</x:v>
      </x:c>
      <x:c r="R2707" s="9" t="n">
        <x:f>K2707-P2707</x:f>
        <x:v>1.0199999999999996</x:v>
      </x:c>
      <x:c r="S2707" s="10" t="n">
        <x:f>IF(K2707&gt;0,R2707/K2707,"")</x:f>
        <x:v>0.07555555555555553</x:v>
      </x:c>
    </x:row>
    <x:row r="2708">
      <x:c r="A2708" s="7" t="n">
        <x:v>2704</x:v>
      </x:c>
      <x:c r="B2708" s="7" t="str">
        <x:v>Tata</x:v>
      </x:c>
      <x:c r="C2708" s="7" t="str">
        <x:v>Nexon</x:v>
      </x:c>
      <x:c r="D2708" s="7" t="str">
        <x:v>Creative DCA</x:v>
      </x:c>
      <x:c r="E2708" s="7" t="str">
        <x:v>Petrol</x:v>
      </x:c>
      <x:c r="F2708" s="7" t="str">
        <x:v>Automatic</x:v>
      </x:c>
      <x:c r="G2708" s="7" t="str">
        <x:v>Compact SUV</x:v>
      </x:c>
      <x:c r="H2708" s="7" t="n">
        <x:v>1199</x:v>
      </x:c>
      <x:c r="I2708" s="7" t="n">
        <x:v>118</x:v>
      </x:c>
      <x:c r="J2708" s="9" t="n">
        <x:v>17.2</x:v>
      </x:c>
      <x:c r="K2708" s="9" t="n">
        <x:v>13.5</x:v>
      </x:c>
      <x:c r="L2708" s="7" t="n">
        <x:v>2025</x:v>
      </x:c>
      <x:c r="M2708" s="11" t="n">
        <x:v>27838</x:v>
      </x:c>
      <x:c r="N2708" s="7" t="n">
        <x:v>3</x:v>
      </x:c>
      <x:c r="O2708" s="7" t="n">
        <x:v>0</x:v>
      </x:c>
      <x:c r="P2708" s="9" t="n">
        <x:v>11.12</x:v>
      </x:c>
      <x:c r="Q2708" s="7" t="n">
        <x:f>'Guide'!$B$5-L2708</x:f>
        <x:v>1</x:v>
      </x:c>
      <x:c r="R2708" s="9" t="n">
        <x:f>K2708-P2708</x:f>
        <x:v>2.380000000000001</x:v>
      </x:c>
      <x:c r="S2708" s="10" t="n">
        <x:f>IF(K2708&gt;0,R2708/K2708,"")</x:f>
        <x:v>0.17629629629629637</x:v>
      </x:c>
    </x:row>
    <x:row r="2709">
      <x:c r="A2709" s="7" t="n">
        <x:v>2705</x:v>
      </x:c>
      <x:c r="B2709" s="7" t="str">
        <x:v>Tata</x:v>
      </x:c>
      <x:c r="C2709" s="7" t="str">
        <x:v>Nexon</x:v>
      </x:c>
      <x:c r="D2709" s="7" t="str">
        <x:v>Creative DCA</x:v>
      </x:c>
      <x:c r="E2709" s="7" t="str">
        <x:v>Petrol</x:v>
      </x:c>
      <x:c r="F2709" s="7" t="str">
        <x:v>Automatic</x:v>
      </x:c>
      <x:c r="G2709" s="7" t="str">
        <x:v>Compact SUV</x:v>
      </x:c>
      <x:c r="H2709" s="7" t="n">
        <x:v>1199</x:v>
      </x:c>
      <x:c r="I2709" s="7" t="n">
        <x:v>118</x:v>
      </x:c>
      <x:c r="J2709" s="9" t="n">
        <x:v>17.2</x:v>
      </x:c>
      <x:c r="K2709" s="9" t="n">
        <x:v>13.5</x:v>
      </x:c>
      <x:c r="L2709" s="7" t="n">
        <x:v>2026</x:v>
      </x:c>
      <x:c r="M2709" s="11" t="n">
        <x:v>5501</x:v>
      </x:c>
      <x:c r="N2709" s="7" t="n">
        <x:v>1</x:v>
      </x:c>
      <x:c r="O2709" s="7" t="n">
        <x:v>0</x:v>
      </x:c>
      <x:c r="P2709" s="9" t="n">
        <x:v>13.62</x:v>
      </x:c>
      <x:c r="Q2709" s="7" t="n">
        <x:f>'Guide'!$B$5-L2709</x:f>
        <x:v>0</x:v>
      </x:c>
      <x:c r="R2709" s="9" t="n">
        <x:f>K2709-P2709</x:f>
        <x:v>-0.11999999999999922</x:v>
      </x:c>
      <x:c r="S2709" s="10" t="n">
        <x:f>IF(K2709&gt;0,R2709/K2709,"")</x:f>
        <x:v>-0.008888888888888832</x:v>
      </x:c>
    </x:row>
    <x:row r="2710">
      <x:c r="A2710" s="7" t="n">
        <x:v>2706</x:v>
      </x:c>
      <x:c r="B2710" s="7" t="str">
        <x:v>Tata</x:v>
      </x:c>
      <x:c r="C2710" s="7" t="str">
        <x:v>Nexon</x:v>
      </x:c>
      <x:c r="D2710" s="7" t="str">
        <x:v>Creative DCA</x:v>
      </x:c>
      <x:c r="E2710" s="7" t="str">
        <x:v>Petrol</x:v>
      </x:c>
      <x:c r="F2710" s="7" t="str">
        <x:v>Automatic</x:v>
      </x:c>
      <x:c r="G2710" s="7" t="str">
        <x:v>Compact SUV</x:v>
      </x:c>
      <x:c r="H2710" s="7" t="n">
        <x:v>1199</x:v>
      </x:c>
      <x:c r="I2710" s="7" t="n">
        <x:v>118</x:v>
      </x:c>
      <x:c r="J2710" s="9" t="n">
        <x:v>17.2</x:v>
      </x:c>
      <x:c r="K2710" s="9" t="n">
        <x:v>13.5</x:v>
      </x:c>
      <x:c r="L2710" s="7" t="n">
        <x:v>2021</x:v>
      </x:c>
      <x:c r="M2710" s="11" t="n">
        <x:v>47069</x:v>
      </x:c>
      <x:c r="N2710" s="7" t="n">
        <x:v>1</x:v>
      </x:c>
      <x:c r="O2710" s="7" t="n">
        <x:v>0</x:v>
      </x:c>
      <x:c r="P2710" s="9" t="n">
        <x:v>7.52</x:v>
      </x:c>
      <x:c r="Q2710" s="7" t="n">
        <x:f>'Guide'!$B$5-L2710</x:f>
        <x:v>5</x:v>
      </x:c>
      <x:c r="R2710" s="9" t="n">
        <x:f>K2710-P2710</x:f>
        <x:v>5.98</x:v>
      </x:c>
      <x:c r="S2710" s="10" t="n">
        <x:f>IF(K2710&gt;0,R2710/K2710,"")</x:f>
        <x:v>0.442962962962963</x:v>
      </x:c>
    </x:row>
    <x:row r="2711">
      <x:c r="A2711" s="7" t="n">
        <x:v>2707</x:v>
      </x:c>
      <x:c r="B2711" s="7" t="str">
        <x:v>Tata</x:v>
      </x:c>
      <x:c r="C2711" s="7" t="str">
        <x:v>Nexon</x:v>
      </x:c>
      <x:c r="D2711" s="7" t="str">
        <x:v>Creative DCA</x:v>
      </x:c>
      <x:c r="E2711" s="7" t="str">
        <x:v>Petrol</x:v>
      </x:c>
      <x:c r="F2711" s="7" t="str">
        <x:v>Automatic</x:v>
      </x:c>
      <x:c r="G2711" s="7" t="str">
        <x:v>Compact SUV</x:v>
      </x:c>
      <x:c r="H2711" s="7" t="n">
        <x:v>1199</x:v>
      </x:c>
      <x:c r="I2711" s="7" t="n">
        <x:v>118</x:v>
      </x:c>
      <x:c r="J2711" s="9" t="n">
        <x:v>17.2</x:v>
      </x:c>
      <x:c r="K2711" s="9" t="n">
        <x:v>13.5</x:v>
      </x:c>
      <x:c r="L2711" s="7" t="n">
        <x:v>2026</x:v>
      </x:c>
      <x:c r="M2711" s="11" t="n">
        <x:v>7107</x:v>
      </x:c>
      <x:c r="N2711" s="7" t="n">
        <x:v>2</x:v>
      </x:c>
      <x:c r="O2711" s="7" t="n">
        <x:v>0</x:v>
      </x:c>
      <x:c r="P2711" s="9" t="n">
        <x:v>13.38</x:v>
      </x:c>
      <x:c r="Q2711" s="7" t="n">
        <x:f>'Guide'!$B$5-L2711</x:f>
        <x:v>0</x:v>
      </x:c>
      <x:c r="R2711" s="9" t="n">
        <x:f>K2711-P2711</x:f>
        <x:v>0.11999999999999922</x:v>
      </x:c>
      <x:c r="S2711" s="10" t="n">
        <x:f>IF(K2711&gt;0,R2711/K2711,"")</x:f>
        <x:v>0.008888888888888832</x:v>
      </x:c>
    </x:row>
    <x:row r="2712">
      <x:c r="A2712" s="7" t="n">
        <x:v>2708</x:v>
      </x:c>
      <x:c r="B2712" s="7" t="str">
        <x:v>Tata</x:v>
      </x:c>
      <x:c r="C2712" s="7" t="str">
        <x:v>Nexon</x:v>
      </x:c>
      <x:c r="D2712" s="7" t="str">
        <x:v>Creative DCA</x:v>
      </x:c>
      <x:c r="E2712" s="7" t="str">
        <x:v>Petrol</x:v>
      </x:c>
      <x:c r="F2712" s="7" t="str">
        <x:v>Automatic</x:v>
      </x:c>
      <x:c r="G2712" s="7" t="str">
        <x:v>Compact SUV</x:v>
      </x:c>
      <x:c r="H2712" s="7" t="n">
        <x:v>1199</x:v>
      </x:c>
      <x:c r="I2712" s="7" t="n">
        <x:v>118</x:v>
      </x:c>
      <x:c r="J2712" s="9" t="n">
        <x:v>17.2</x:v>
      </x:c>
      <x:c r="K2712" s="9" t="n">
        <x:v>13.5</x:v>
      </x:c>
      <x:c r="L2712" s="7" t="n">
        <x:v>2024</x:v>
      </x:c>
      <x:c r="M2712" s="11" t="n">
        <x:v>45656</x:v>
      </x:c>
      <x:c r="N2712" s="7" t="n">
        <x:v>1</x:v>
      </x:c>
      <x:c r="O2712" s="7" t="n">
        <x:v>0</x:v>
      </x:c>
      <x:c r="P2712" s="9" t="n">
        <x:v>10.46</x:v>
      </x:c>
      <x:c r="Q2712" s="7" t="n">
        <x:f>'Guide'!$B$5-L2712</x:f>
        <x:v>2</x:v>
      </x:c>
      <x:c r="R2712" s="9" t="n">
        <x:f>K2712-P2712</x:f>
        <x:v>3.039999999999999</x:v>
      </x:c>
      <x:c r="S2712" s="10" t="n">
        <x:f>IF(K2712&gt;0,R2712/K2712,"")</x:f>
        <x:v>0.22518518518518513</x:v>
      </x:c>
    </x:row>
    <x:row r="2713">
      <x:c r="A2713" s="7" t="n">
        <x:v>2709</x:v>
      </x:c>
      <x:c r="B2713" s="7" t="str">
        <x:v>Tata</x:v>
      </x:c>
      <x:c r="C2713" s="7" t="str">
        <x:v>Nexon</x:v>
      </x:c>
      <x:c r="D2713" s="7" t="str">
        <x:v>Creative DCA</x:v>
      </x:c>
      <x:c r="E2713" s="7" t="str">
        <x:v>Petrol</x:v>
      </x:c>
      <x:c r="F2713" s="7" t="str">
        <x:v>Automatic</x:v>
      </x:c>
      <x:c r="G2713" s="7" t="str">
        <x:v>Compact SUV</x:v>
      </x:c>
      <x:c r="H2713" s="7" t="n">
        <x:v>1199</x:v>
      </x:c>
      <x:c r="I2713" s="7" t="n">
        <x:v>118</x:v>
      </x:c>
      <x:c r="J2713" s="9" t="n">
        <x:v>17.2</x:v>
      </x:c>
      <x:c r="K2713" s="9" t="n">
        <x:v>13.5</x:v>
      </x:c>
      <x:c r="L2713" s="7" t="n">
        <x:v>2022</x:v>
      </x:c>
      <x:c r="M2713" s="11" t="n">
        <x:v>39829</x:v>
      </x:c>
      <x:c r="N2713" s="7" t="n">
        <x:v>1</x:v>
      </x:c>
      <x:c r="O2713" s="7" t="n">
        <x:v>0</x:v>
      </x:c>
      <x:c r="P2713" s="9" t="n">
        <x:v>8.28</x:v>
      </x:c>
      <x:c r="Q2713" s="7" t="n">
        <x:f>'Guide'!$B$5-L2713</x:f>
        <x:v>4</x:v>
      </x:c>
      <x:c r="R2713" s="9" t="n">
        <x:f>K2713-P2713</x:f>
        <x:v>5.220000000000001</x:v>
      </x:c>
      <x:c r="S2713" s="10" t="n">
        <x:f>IF(K2713&gt;0,R2713/K2713,"")</x:f>
        <x:v>0.3866666666666667</x:v>
      </x:c>
    </x:row>
    <x:row r="2714">
      <x:c r="A2714" s="7" t="n">
        <x:v>2710</x:v>
      </x:c>
      <x:c r="B2714" s="7" t="str">
        <x:v>Tata</x:v>
      </x:c>
      <x:c r="C2714" s="7" t="str">
        <x:v>Nexon</x:v>
      </x:c>
      <x:c r="D2714" s="7" t="str">
        <x:v>Creative DCA</x:v>
      </x:c>
      <x:c r="E2714" s="7" t="str">
        <x:v>Petrol</x:v>
      </x:c>
      <x:c r="F2714" s="7" t="str">
        <x:v>Automatic</x:v>
      </x:c>
      <x:c r="G2714" s="7" t="str">
        <x:v>Compact SUV</x:v>
      </x:c>
      <x:c r="H2714" s="7" t="n">
        <x:v>1199</x:v>
      </x:c>
      <x:c r="I2714" s="7" t="n">
        <x:v>118</x:v>
      </x:c>
      <x:c r="J2714" s="9" t="n">
        <x:v>17.2</x:v>
      </x:c>
      <x:c r="K2714" s="9" t="n">
        <x:v>13.5</x:v>
      </x:c>
      <x:c r="L2714" s="7" t="n">
        <x:v>2026</x:v>
      </x:c>
      <x:c r="M2714" s="11" t="n">
        <x:v>6639</x:v>
      </x:c>
      <x:c r="N2714" s="7" t="n">
        <x:v>1</x:v>
      </x:c>
      <x:c r="O2714" s="7" t="n">
        <x:v>0</x:v>
      </x:c>
      <x:c r="P2714" s="9" t="n">
        <x:v>13.75</x:v>
      </x:c>
      <x:c r="Q2714" s="7" t="n">
        <x:f>'Guide'!$B$5-L2714</x:f>
        <x:v>0</x:v>
      </x:c>
      <x:c r="R2714" s="9" t="n">
        <x:f>K2714-P2714</x:f>
        <x:v>-0.25</x:v>
      </x:c>
      <x:c r="S2714" s="10" t="n">
        <x:f>IF(K2714&gt;0,R2714/K2714,"")</x:f>
        <x:v>-0.018518518518518517</x:v>
      </x:c>
    </x:row>
    <x:row r="2715">
      <x:c r="A2715" s="7" t="n">
        <x:v>2711</x:v>
      </x:c>
      <x:c r="B2715" s="7" t="str">
        <x:v>Tata</x:v>
      </x:c>
      <x:c r="C2715" s="7" t="str">
        <x:v>Nexon</x:v>
      </x:c>
      <x:c r="D2715" s="7" t="str">
        <x:v>Creative DCA</x:v>
      </x:c>
      <x:c r="E2715" s="7" t="str">
        <x:v>Petrol</x:v>
      </x:c>
      <x:c r="F2715" s="7" t="str">
        <x:v>Automatic</x:v>
      </x:c>
      <x:c r="G2715" s="7" t="str">
        <x:v>Compact SUV</x:v>
      </x:c>
      <x:c r="H2715" s="7" t="n">
        <x:v>1199</x:v>
      </x:c>
      <x:c r="I2715" s="7" t="n">
        <x:v>118</x:v>
      </x:c>
      <x:c r="J2715" s="9" t="n">
        <x:v>17.2</x:v>
      </x:c>
      <x:c r="K2715" s="9" t="n">
        <x:v>13.5</x:v>
      </x:c>
      <x:c r="L2715" s="7" t="n">
        <x:v>2020</x:v>
      </x:c>
      <x:c r="M2715" s="11" t="n">
        <x:v>94665</x:v>
      </x:c>
      <x:c r="N2715" s="7" t="n">
        <x:v>1</x:v>
      </x:c>
      <x:c r="O2715" s="7" t="n">
        <x:v>0</x:v>
      </x:c>
      <x:c r="P2715" s="9" t="n">
        <x:v>5.32</x:v>
      </x:c>
      <x:c r="Q2715" s="7" t="n">
        <x:f>'Guide'!$B$5-L2715</x:f>
        <x:v>6</x:v>
      </x:c>
      <x:c r="R2715" s="9" t="n">
        <x:f>K2715-P2715</x:f>
        <x:v>8.18</x:v>
      </x:c>
      <x:c r="S2715" s="10" t="n">
        <x:f>IF(K2715&gt;0,R2715/K2715,"")</x:f>
        <x:v>0.6059259259259259</x:v>
      </x:c>
    </x:row>
    <x:row r="2716">
      <x:c r="A2716" s="7" t="n">
        <x:v>2712</x:v>
      </x:c>
      <x:c r="B2716" s="7" t="str">
        <x:v>Tata</x:v>
      </x:c>
      <x:c r="C2716" s="7" t="str">
        <x:v>Nexon</x:v>
      </x:c>
      <x:c r="D2716" s="7" t="str">
        <x:v>Creative DCA</x:v>
      </x:c>
      <x:c r="E2716" s="7" t="str">
        <x:v>Petrol</x:v>
      </x:c>
      <x:c r="F2716" s="7" t="str">
        <x:v>Automatic</x:v>
      </x:c>
      <x:c r="G2716" s="7" t="str">
        <x:v>Compact SUV</x:v>
      </x:c>
      <x:c r="H2716" s="7" t="n">
        <x:v>1199</x:v>
      </x:c>
      <x:c r="I2716" s="7" t="n">
        <x:v>118</x:v>
      </x:c>
      <x:c r="J2716" s="9" t="n">
        <x:v>17.2</x:v>
      </x:c>
      <x:c r="K2716" s="9" t="n">
        <x:v>13.5</x:v>
      </x:c>
      <x:c r="L2716" s="7" t="n">
        <x:v>2025</x:v>
      </x:c>
      <x:c r="M2716" s="11" t="n">
        <x:v>27340</x:v>
      </x:c>
      <x:c r="N2716" s="7" t="n">
        <x:v>1</x:v>
      </x:c>
      <x:c r="O2716" s="7" t="n">
        <x:v>0</x:v>
      </x:c>
      <x:c r="P2716" s="9" t="n">
        <x:v>11.86</x:v>
      </x:c>
      <x:c r="Q2716" s="7" t="n">
        <x:f>'Guide'!$B$5-L2716</x:f>
        <x:v>1</x:v>
      </x:c>
      <x:c r="R2716" s="9" t="n">
        <x:f>K2716-P2716</x:f>
        <x:v>1.6400000000000006</x:v>
      </x:c>
      <x:c r="S2716" s="10" t="n">
        <x:f>IF(K2716&gt;0,R2716/K2716,"")</x:f>
        <x:v>0.12148148148148152</x:v>
      </x:c>
    </x:row>
    <x:row r="2717">
      <x:c r="A2717" s="7" t="n">
        <x:v>2713</x:v>
      </x:c>
      <x:c r="B2717" s="7" t="str">
        <x:v>Tata</x:v>
      </x:c>
      <x:c r="C2717" s="7" t="str">
        <x:v>Nexon</x:v>
      </x:c>
      <x:c r="D2717" s="7" t="str">
        <x:v>Creative DCA</x:v>
      </x:c>
      <x:c r="E2717" s="7" t="str">
        <x:v>Petrol</x:v>
      </x:c>
      <x:c r="F2717" s="7" t="str">
        <x:v>Automatic</x:v>
      </x:c>
      <x:c r="G2717" s="7" t="str">
        <x:v>Compact SUV</x:v>
      </x:c>
      <x:c r="H2717" s="7" t="n">
        <x:v>1199</x:v>
      </x:c>
      <x:c r="I2717" s="7" t="n">
        <x:v>118</x:v>
      </x:c>
      <x:c r="J2717" s="9" t="n">
        <x:v>17.2</x:v>
      </x:c>
      <x:c r="K2717" s="9" t="n">
        <x:v>13.5</x:v>
      </x:c>
      <x:c r="L2717" s="7" t="n">
        <x:v>2023</x:v>
      </x:c>
      <x:c r="M2717" s="11" t="n">
        <x:v>45132</x:v>
      </x:c>
      <x:c r="N2717" s="7" t="n">
        <x:v>1</x:v>
      </x:c>
      <x:c r="O2717" s="7" t="n">
        <x:v>0</x:v>
      </x:c>
      <x:c r="P2717" s="9" t="n">
        <x:v>9.18</x:v>
      </x:c>
      <x:c r="Q2717" s="7" t="n">
        <x:f>'Guide'!$B$5-L2717</x:f>
        <x:v>3</x:v>
      </x:c>
      <x:c r="R2717" s="9" t="n">
        <x:f>K2717-P2717</x:f>
        <x:v>4.32</x:v>
      </x:c>
      <x:c r="S2717" s="10" t="n">
        <x:f>IF(K2717&gt;0,R2717/K2717,"")</x:f>
        <x:v>0.32</x:v>
      </x:c>
    </x:row>
    <x:row r="2718">
      <x:c r="A2718" s="7" t="n">
        <x:v>2714</x:v>
      </x:c>
      <x:c r="B2718" s="7" t="str">
        <x:v>Tata</x:v>
      </x:c>
      <x:c r="C2718" s="7" t="str">
        <x:v>Nexon</x:v>
      </x:c>
      <x:c r="D2718" s="7" t="str">
        <x:v>Creative DCA</x:v>
      </x:c>
      <x:c r="E2718" s="7" t="str">
        <x:v>Petrol</x:v>
      </x:c>
      <x:c r="F2718" s="7" t="str">
        <x:v>Automatic</x:v>
      </x:c>
      <x:c r="G2718" s="7" t="str">
        <x:v>Compact SUV</x:v>
      </x:c>
      <x:c r="H2718" s="7" t="n">
        <x:v>1199</x:v>
      </x:c>
      <x:c r="I2718" s="7" t="n">
        <x:v>118</x:v>
      </x:c>
      <x:c r="J2718" s="9" t="n">
        <x:v>17.2</x:v>
      </x:c>
      <x:c r="K2718" s="9" t="n">
        <x:v>13.5</x:v>
      </x:c>
      <x:c r="L2718" s="7" t="n">
        <x:v>2021</x:v>
      </x:c>
      <x:c r="M2718" s="11" t="n">
        <x:v>47606</x:v>
      </x:c>
      <x:c r="N2718" s="7" t="n">
        <x:v>3</x:v>
      </x:c>
      <x:c r="O2718" s="7" t="n">
        <x:v>0</x:v>
      </x:c>
      <x:c r="P2718" s="9" t="n">
        <x:v>6.29</x:v>
      </x:c>
      <x:c r="Q2718" s="7" t="n">
        <x:f>'Guide'!$B$5-L2718</x:f>
        <x:v>5</x:v>
      </x:c>
      <x:c r="R2718" s="9" t="n">
        <x:f>K2718-P2718</x:f>
        <x:v>7.21</x:v>
      </x:c>
      <x:c r="S2718" s="10" t="n">
        <x:f>IF(K2718&gt;0,R2718/K2718,"")</x:f>
        <x:v>0.534074074074074</x:v>
      </x:c>
    </x:row>
    <x:row r="2719">
      <x:c r="A2719" s="7" t="n">
        <x:v>2715</x:v>
      </x:c>
      <x:c r="B2719" s="7" t="str">
        <x:v>Tata</x:v>
      </x:c>
      <x:c r="C2719" s="7" t="str">
        <x:v>Nexon</x:v>
      </x:c>
      <x:c r="D2719" s="7" t="str">
        <x:v>Creative DCA</x:v>
      </x:c>
      <x:c r="E2719" s="7" t="str">
        <x:v>Petrol</x:v>
      </x:c>
      <x:c r="F2719" s="7" t="str">
        <x:v>Automatic</x:v>
      </x:c>
      <x:c r="G2719" s="7" t="str">
        <x:v>Compact SUV</x:v>
      </x:c>
      <x:c r="H2719" s="7" t="n">
        <x:v>1199</x:v>
      </x:c>
      <x:c r="I2719" s="7" t="n">
        <x:v>118</x:v>
      </x:c>
      <x:c r="J2719" s="9" t="n">
        <x:v>17.2</x:v>
      </x:c>
      <x:c r="K2719" s="9" t="n">
        <x:v>13.5</x:v>
      </x:c>
      <x:c r="L2719" s="7" t="n">
        <x:v>2020</x:v>
      </x:c>
      <x:c r="M2719" s="11" t="n">
        <x:v>126313</x:v>
      </x:c>
      <x:c r="N2719" s="7" t="n">
        <x:v>1</x:v>
      </x:c>
      <x:c r="O2719" s="7" t="n">
        <x:v>0</x:v>
      </x:c>
      <x:c r="P2719" s="9" t="n">
        <x:v>4.98</x:v>
      </x:c>
      <x:c r="Q2719" s="7" t="n">
        <x:f>'Guide'!$B$5-L2719</x:f>
        <x:v>6</x:v>
      </x:c>
      <x:c r="R2719" s="9" t="n">
        <x:f>K2719-P2719</x:f>
        <x:v>8.52</x:v>
      </x:c>
      <x:c r="S2719" s="10" t="n">
        <x:f>IF(K2719&gt;0,R2719/K2719,"")</x:f>
        <x:v>0.6311111111111111</x:v>
      </x:c>
    </x:row>
    <x:row r="2720">
      <x:c r="A2720" s="7" t="n">
        <x:v>2716</x:v>
      </x:c>
      <x:c r="B2720" s="7" t="str">
        <x:v>Tata</x:v>
      </x:c>
      <x:c r="C2720" s="7" t="str">
        <x:v>Nexon</x:v>
      </x:c>
      <x:c r="D2720" s="7" t="str">
        <x:v>Creative DCA</x:v>
      </x:c>
      <x:c r="E2720" s="7" t="str">
        <x:v>Petrol</x:v>
      </x:c>
      <x:c r="F2720" s="7" t="str">
        <x:v>Automatic</x:v>
      </x:c>
      <x:c r="G2720" s="7" t="str">
        <x:v>Compact SUV</x:v>
      </x:c>
      <x:c r="H2720" s="7" t="n">
        <x:v>1199</x:v>
      </x:c>
      <x:c r="I2720" s="7" t="n">
        <x:v>118</x:v>
      </x:c>
      <x:c r="J2720" s="9" t="n">
        <x:v>17.2</x:v>
      </x:c>
      <x:c r="K2720" s="9" t="n">
        <x:v>13.5</x:v>
      </x:c>
      <x:c r="L2720" s="7" t="n">
        <x:v>2025</x:v>
      </x:c>
      <x:c r="M2720" s="11" t="n">
        <x:v>18398</x:v>
      </x:c>
      <x:c r="N2720" s="7" t="n">
        <x:v>1</x:v>
      </x:c>
      <x:c r="O2720" s="7" t="n">
        <x:v>1</x:v>
      </x:c>
      <x:c r="P2720" s="9" t="n">
        <x:v>11.64</x:v>
      </x:c>
      <x:c r="Q2720" s="7" t="n">
        <x:f>'Guide'!$B$5-L2720</x:f>
        <x:v>1</x:v>
      </x:c>
      <x:c r="R2720" s="9" t="n">
        <x:f>K2720-P2720</x:f>
        <x:v>1.8599999999999994</x:v>
      </x:c>
      <x:c r="S2720" s="10" t="n">
        <x:f>IF(K2720&gt;0,R2720/K2720,"")</x:f>
        <x:v>0.13777777777777775</x:v>
      </x:c>
    </x:row>
    <x:row r="2721">
      <x:c r="A2721" s="7" t="n">
        <x:v>2717</x:v>
      </x:c>
      <x:c r="B2721" s="7" t="str">
        <x:v>Tata</x:v>
      </x:c>
      <x:c r="C2721" s="7" t="str">
        <x:v>Nexon</x:v>
      </x:c>
      <x:c r="D2721" s="7" t="str">
        <x:v>Creative DCA</x:v>
      </x:c>
      <x:c r="E2721" s="7" t="str">
        <x:v>Petrol</x:v>
      </x:c>
      <x:c r="F2721" s="7" t="str">
        <x:v>Automatic</x:v>
      </x:c>
      <x:c r="G2721" s="7" t="str">
        <x:v>Compact SUV</x:v>
      </x:c>
      <x:c r="H2721" s="7" t="n">
        <x:v>1199</x:v>
      </x:c>
      <x:c r="I2721" s="7" t="n">
        <x:v>118</x:v>
      </x:c>
      <x:c r="J2721" s="9" t="n">
        <x:v>17.2</x:v>
      </x:c>
      <x:c r="K2721" s="9" t="n">
        <x:v>13.5</x:v>
      </x:c>
      <x:c r="L2721" s="7" t="n">
        <x:v>2020</x:v>
      </x:c>
      <x:c r="M2721" s="11" t="n">
        <x:v>62240</x:v>
      </x:c>
      <x:c r="N2721" s="7" t="n">
        <x:v>1</x:v>
      </x:c>
      <x:c r="O2721" s="7" t="n">
        <x:v>0</x:v>
      </x:c>
      <x:c r="P2721" s="9" t="n">
        <x:v>5.97</x:v>
      </x:c>
      <x:c r="Q2721" s="7" t="n">
        <x:f>'Guide'!$B$5-L2721</x:f>
        <x:v>6</x:v>
      </x:c>
      <x:c r="R2721" s="9" t="n">
        <x:f>K2721-P2721</x:f>
        <x:v>7.53</x:v>
      </x:c>
      <x:c r="S2721" s="10" t="n">
        <x:f>IF(K2721&gt;0,R2721/K2721,"")</x:f>
        <x:v>0.5577777777777778</x:v>
      </x:c>
    </x:row>
    <x:row r="2722">
      <x:c r="A2722" s="7" t="n">
        <x:v>2718</x:v>
      </x:c>
      <x:c r="B2722" s="7" t="str">
        <x:v>Tata</x:v>
      </x:c>
      <x:c r="C2722" s="7" t="str">
        <x:v>Nexon</x:v>
      </x:c>
      <x:c r="D2722" s="7" t="str">
        <x:v>Creative DCA</x:v>
      </x:c>
      <x:c r="E2722" s="7" t="str">
        <x:v>Petrol</x:v>
      </x:c>
      <x:c r="F2722" s="7" t="str">
        <x:v>Automatic</x:v>
      </x:c>
      <x:c r="G2722" s="7" t="str">
        <x:v>Compact SUV</x:v>
      </x:c>
      <x:c r="H2722" s="7" t="n">
        <x:v>1199</x:v>
      </x:c>
      <x:c r="I2722" s="7" t="n">
        <x:v>118</x:v>
      </x:c>
      <x:c r="J2722" s="9" t="n">
        <x:v>17.2</x:v>
      </x:c>
      <x:c r="K2722" s="9" t="n">
        <x:v>13.5</x:v>
      </x:c>
      <x:c r="L2722" s="7" t="n">
        <x:v>2021</x:v>
      </x:c>
      <x:c r="M2722" s="11" t="n">
        <x:v>82086</x:v>
      </x:c>
      <x:c r="N2722" s="7" t="n">
        <x:v>2</x:v>
      </x:c>
      <x:c r="O2722" s="7" t="n">
        <x:v>1</x:v>
      </x:c>
      <x:c r="P2722" s="9" t="n">
        <x:v>5.61</x:v>
      </x:c>
      <x:c r="Q2722" s="7" t="n">
        <x:f>'Guide'!$B$5-L2722</x:f>
        <x:v>5</x:v>
      </x:c>
      <x:c r="R2722" s="9" t="n">
        <x:f>K2722-P2722</x:f>
        <x:v>7.89</x:v>
      </x:c>
      <x:c r="S2722" s="10" t="n">
        <x:f>IF(K2722&gt;0,R2722/K2722,"")</x:f>
        <x:v>0.5844444444444444</x:v>
      </x:c>
    </x:row>
    <x:row r="2723">
      <x:c r="A2723" s="7" t="n">
        <x:v>2719</x:v>
      </x:c>
      <x:c r="B2723" s="7" t="str">
        <x:v>Tata</x:v>
      </x:c>
      <x:c r="C2723" s="7" t="str">
        <x:v>Nexon</x:v>
      </x:c>
      <x:c r="D2723" s="7" t="str">
        <x:v>Creative DCA</x:v>
      </x:c>
      <x:c r="E2723" s="7" t="str">
        <x:v>Petrol</x:v>
      </x:c>
      <x:c r="F2723" s="7" t="str">
        <x:v>Automatic</x:v>
      </x:c>
      <x:c r="G2723" s="7" t="str">
        <x:v>Compact SUV</x:v>
      </x:c>
      <x:c r="H2723" s="7" t="n">
        <x:v>1199</x:v>
      </x:c>
      <x:c r="I2723" s="7" t="n">
        <x:v>118</x:v>
      </x:c>
      <x:c r="J2723" s="9" t="n">
        <x:v>17.2</x:v>
      </x:c>
      <x:c r="K2723" s="9" t="n">
        <x:v>13.5</x:v>
      </x:c>
      <x:c r="L2723" s="7" t="n">
        <x:v>2025</x:v>
      </x:c>
      <x:c r="M2723" s="11" t="n">
        <x:v>28228</x:v>
      </x:c>
      <x:c r="N2723" s="7" t="n">
        <x:v>1</x:v>
      </x:c>
      <x:c r="O2723" s="7" t="n">
        <x:v>0</x:v>
      </x:c>
      <x:c r="P2723" s="9" t="n">
        <x:v>12.3</x:v>
      </x:c>
      <x:c r="Q2723" s="7" t="n">
        <x:f>'Guide'!$B$5-L2723</x:f>
        <x:v>1</x:v>
      </x:c>
      <x:c r="R2723" s="9" t="n">
        <x:f>K2723-P2723</x:f>
        <x:v>1.1999999999999993</x:v>
      </x:c>
      <x:c r="S2723" s="10" t="n">
        <x:f>IF(K2723&gt;0,R2723/K2723,"")</x:f>
        <x:v>0.08888888888888884</x:v>
      </x:c>
    </x:row>
    <x:row r="2724">
      <x:c r="A2724" s="7" t="n">
        <x:v>2720</x:v>
      </x:c>
      <x:c r="B2724" s="7" t="str">
        <x:v>Tata</x:v>
      </x:c>
      <x:c r="C2724" s="7" t="str">
        <x:v>Nexon</x:v>
      </x:c>
      <x:c r="D2724" s="7" t="str">
        <x:v>Creative DCA</x:v>
      </x:c>
      <x:c r="E2724" s="7" t="str">
        <x:v>Petrol</x:v>
      </x:c>
      <x:c r="F2724" s="7" t="str">
        <x:v>Automatic</x:v>
      </x:c>
      <x:c r="G2724" s="7" t="str">
        <x:v>Compact SUV</x:v>
      </x:c>
      <x:c r="H2724" s="7" t="n">
        <x:v>1199</x:v>
      </x:c>
      <x:c r="I2724" s="7" t="n">
        <x:v>118</x:v>
      </x:c>
      <x:c r="J2724" s="9" t="n">
        <x:v>17.2</x:v>
      </x:c>
      <x:c r="K2724" s="9" t="n">
        <x:v>13.5</x:v>
      </x:c>
      <x:c r="L2724" s="7" t="n">
        <x:v>2025</x:v>
      </x:c>
      <x:c r="M2724" s="11" t="n">
        <x:v>28912</x:v>
      </x:c>
      <x:c r="N2724" s="7" t="n">
        <x:v>1</x:v>
      </x:c>
      <x:c r="O2724" s="7" t="n">
        <x:v>0</x:v>
      </x:c>
      <x:c r="P2724" s="9" t="n">
        <x:v>11.83</x:v>
      </x:c>
      <x:c r="Q2724" s="7" t="n">
        <x:f>'Guide'!$B$5-L2724</x:f>
        <x:v>1</x:v>
      </x:c>
      <x:c r="R2724" s="9" t="n">
        <x:f>K2724-P2724</x:f>
        <x:v>1.67</x:v>
      </x:c>
      <x:c r="S2724" s="10" t="n">
        <x:f>IF(K2724&gt;0,R2724/K2724,"")</x:f>
        <x:v>0.1237037037037037</x:v>
      </x:c>
    </x:row>
    <x:row r="2725">
      <x:c r="A2725" s="7" t="n">
        <x:v>2721</x:v>
      </x:c>
      <x:c r="B2725" s="7" t="str">
        <x:v>Tata</x:v>
      </x:c>
      <x:c r="C2725" s="7" t="str">
        <x:v>Nexon</x:v>
      </x:c>
      <x:c r="D2725" s="7" t="str">
        <x:v>Creative DCA</x:v>
      </x:c>
      <x:c r="E2725" s="7" t="str">
        <x:v>Petrol</x:v>
      </x:c>
      <x:c r="F2725" s="7" t="str">
        <x:v>Automatic</x:v>
      </x:c>
      <x:c r="G2725" s="7" t="str">
        <x:v>Compact SUV</x:v>
      </x:c>
      <x:c r="H2725" s="7" t="n">
        <x:v>1199</x:v>
      </x:c>
      <x:c r="I2725" s="7" t="n">
        <x:v>118</x:v>
      </x:c>
      <x:c r="J2725" s="9" t="n">
        <x:v>17.2</x:v>
      </x:c>
      <x:c r="K2725" s="9" t="n">
        <x:v>13.5</x:v>
      </x:c>
      <x:c r="L2725" s="7" t="n">
        <x:v>2022</x:v>
      </x:c>
      <x:c r="M2725" s="11" t="n">
        <x:v>80344</x:v>
      </x:c>
      <x:c r="N2725" s="7" t="n">
        <x:v>2</x:v>
      </x:c>
      <x:c r="O2725" s="7" t="n">
        <x:v>0</x:v>
      </x:c>
      <x:c r="P2725" s="9" t="n">
        <x:v>7.63</x:v>
      </x:c>
      <x:c r="Q2725" s="7" t="n">
        <x:f>'Guide'!$B$5-L2725</x:f>
        <x:v>4</x:v>
      </x:c>
      <x:c r="R2725" s="9" t="n">
        <x:f>K2725-P2725</x:f>
        <x:v>5.87</x:v>
      </x:c>
      <x:c r="S2725" s="10" t="n">
        <x:f>IF(K2725&gt;0,R2725/K2725,"")</x:f>
        <x:v>0.4348148148148148</x:v>
      </x:c>
    </x:row>
    <x:row r="2726">
      <x:c r="A2726" s="7" t="n">
        <x:v>2722</x:v>
      </x:c>
      <x:c r="B2726" s="7" t="str">
        <x:v>Tata</x:v>
      </x:c>
      <x:c r="C2726" s="7" t="str">
        <x:v>Nexon</x:v>
      </x:c>
      <x:c r="D2726" s="7" t="str">
        <x:v>Creative DCA</x:v>
      </x:c>
      <x:c r="E2726" s="7" t="str">
        <x:v>Petrol</x:v>
      </x:c>
      <x:c r="F2726" s="7" t="str">
        <x:v>Automatic</x:v>
      </x:c>
      <x:c r="G2726" s="7" t="str">
        <x:v>Compact SUV</x:v>
      </x:c>
      <x:c r="H2726" s="7" t="n">
        <x:v>1199</x:v>
      </x:c>
      <x:c r="I2726" s="7" t="n">
        <x:v>118</x:v>
      </x:c>
      <x:c r="J2726" s="9" t="n">
        <x:v>17.2</x:v>
      </x:c>
      <x:c r="K2726" s="9" t="n">
        <x:v>13.5</x:v>
      </x:c>
      <x:c r="L2726" s="7" t="n">
        <x:v>2023</x:v>
      </x:c>
      <x:c r="M2726" s="11" t="n">
        <x:v>47704</x:v>
      </x:c>
      <x:c r="N2726" s="7" t="n">
        <x:v>1</x:v>
      </x:c>
      <x:c r="O2726" s="7" t="n">
        <x:v>0</x:v>
      </x:c>
      <x:c r="P2726" s="9" t="n">
        <x:v>9.43</x:v>
      </x:c>
      <x:c r="Q2726" s="7" t="n">
        <x:f>'Guide'!$B$5-L2726</x:f>
        <x:v>3</x:v>
      </x:c>
      <x:c r="R2726" s="9" t="n">
        <x:f>K2726-P2726</x:f>
        <x:v>4.07</x:v>
      </x:c>
      <x:c r="S2726" s="10" t="n">
        <x:f>IF(K2726&gt;0,R2726/K2726,"")</x:f>
        <x:v>0.3014814814814815</x:v>
      </x:c>
    </x:row>
    <x:row r="2727">
      <x:c r="A2727" s="7" t="n">
        <x:v>2723</x:v>
      </x:c>
      <x:c r="B2727" s="7" t="str">
        <x:v>Tata</x:v>
      </x:c>
      <x:c r="C2727" s="7" t="str">
        <x:v>Nexon</x:v>
      </x:c>
      <x:c r="D2727" s="7" t="str">
        <x:v>Creative DCA</x:v>
      </x:c>
      <x:c r="E2727" s="7" t="str">
        <x:v>Petrol</x:v>
      </x:c>
      <x:c r="F2727" s="7" t="str">
        <x:v>Automatic</x:v>
      </x:c>
      <x:c r="G2727" s="7" t="str">
        <x:v>Compact SUV</x:v>
      </x:c>
      <x:c r="H2727" s="7" t="n">
        <x:v>1199</x:v>
      </x:c>
      <x:c r="I2727" s="7" t="n">
        <x:v>118</x:v>
      </x:c>
      <x:c r="J2727" s="9" t="n">
        <x:v>17.2</x:v>
      </x:c>
      <x:c r="K2727" s="9" t="n">
        <x:v>13.5</x:v>
      </x:c>
      <x:c r="L2727" s="7" t="n">
        <x:v>2023</x:v>
      </x:c>
      <x:c r="M2727" s="11" t="n">
        <x:v>50159</x:v>
      </x:c>
      <x:c r="N2727" s="7" t="n">
        <x:v>2</x:v>
      </x:c>
      <x:c r="O2727" s="7" t="n">
        <x:v>0</x:v>
      </x:c>
      <x:c r="P2727" s="9" t="n">
        <x:v>9.36</x:v>
      </x:c>
      <x:c r="Q2727" s="7" t="n">
        <x:f>'Guide'!$B$5-L2727</x:f>
        <x:v>3</x:v>
      </x:c>
      <x:c r="R2727" s="9" t="n">
        <x:f>K2727-P2727</x:f>
        <x:v>4.140000000000001</x:v>
      </x:c>
      <x:c r="S2727" s="10" t="n">
        <x:f>IF(K2727&gt;0,R2727/K2727,"")</x:f>
        <x:v>0.3066666666666667</x:v>
      </x:c>
    </x:row>
    <x:row r="2728">
      <x:c r="A2728" s="7" t="n">
        <x:v>2724</x:v>
      </x:c>
      <x:c r="B2728" s="7" t="str">
        <x:v>Tata</x:v>
      </x:c>
      <x:c r="C2728" s="7" t="str">
        <x:v>Nexon</x:v>
      </x:c>
      <x:c r="D2728" s="7" t="str">
        <x:v>Creative DCA</x:v>
      </x:c>
      <x:c r="E2728" s="7" t="str">
        <x:v>Petrol</x:v>
      </x:c>
      <x:c r="F2728" s="7" t="str">
        <x:v>Automatic</x:v>
      </x:c>
      <x:c r="G2728" s="7" t="str">
        <x:v>Compact SUV</x:v>
      </x:c>
      <x:c r="H2728" s="7" t="n">
        <x:v>1199</x:v>
      </x:c>
      <x:c r="I2728" s="7" t="n">
        <x:v>118</x:v>
      </x:c>
      <x:c r="J2728" s="9" t="n">
        <x:v>17.2</x:v>
      </x:c>
      <x:c r="K2728" s="9" t="n">
        <x:v>13.5</x:v>
      </x:c>
      <x:c r="L2728" s="7" t="n">
        <x:v>2026</x:v>
      </x:c>
      <x:c r="M2728" s="11" t="n">
        <x:v>6302</x:v>
      </x:c>
      <x:c r="N2728" s="7" t="n">
        <x:v>1</x:v>
      </x:c>
      <x:c r="O2728" s="7" t="n">
        <x:v>0</x:v>
      </x:c>
      <x:c r="P2728" s="9" t="n">
        <x:v>13.23</x:v>
      </x:c>
      <x:c r="Q2728" s="7" t="n">
        <x:f>'Guide'!$B$5-L2728</x:f>
        <x:v>0</x:v>
      </x:c>
      <x:c r="R2728" s="9" t="n">
        <x:f>K2728-P2728</x:f>
        <x:v>0.2699999999999996</x:v>
      </x:c>
      <x:c r="S2728" s="10" t="n">
        <x:f>IF(K2728&gt;0,R2728/K2728,"")</x:f>
        <x:v>0.01999999999999997</x:v>
      </x:c>
    </x:row>
    <x:row r="2729">
      <x:c r="A2729" s="7" t="n">
        <x:v>2725</x:v>
      </x:c>
      <x:c r="B2729" s="7" t="str">
        <x:v>Tata</x:v>
      </x:c>
      <x:c r="C2729" s="7" t="str">
        <x:v>Nexon</x:v>
      </x:c>
      <x:c r="D2729" s="7" t="str">
        <x:v>Creative DCA</x:v>
      </x:c>
      <x:c r="E2729" s="7" t="str">
        <x:v>Petrol</x:v>
      </x:c>
      <x:c r="F2729" s="7" t="str">
        <x:v>Automatic</x:v>
      </x:c>
      <x:c r="G2729" s="7" t="str">
        <x:v>Compact SUV</x:v>
      </x:c>
      <x:c r="H2729" s="7" t="n">
        <x:v>1199</x:v>
      </x:c>
      <x:c r="I2729" s="7" t="n">
        <x:v>118</x:v>
      </x:c>
      <x:c r="J2729" s="9" t="n">
        <x:v>17.2</x:v>
      </x:c>
      <x:c r="K2729" s="9" t="n">
        <x:v>13.5</x:v>
      </x:c>
      <x:c r="L2729" s="7" t="n">
        <x:v>2022</x:v>
      </x:c>
      <x:c r="M2729" s="11" t="n">
        <x:v>54111</x:v>
      </x:c>
      <x:c r="N2729" s="7" t="n">
        <x:v>2</x:v>
      </x:c>
      <x:c r="O2729" s="7" t="n">
        <x:v>0</x:v>
      </x:c>
      <x:c r="P2729" s="9" t="n">
        <x:v>7.73</x:v>
      </x:c>
      <x:c r="Q2729" s="7" t="n">
        <x:f>'Guide'!$B$5-L2729</x:f>
        <x:v>4</x:v>
      </x:c>
      <x:c r="R2729" s="9" t="n">
        <x:f>K2729-P2729</x:f>
        <x:v>5.77</x:v>
      </x:c>
      <x:c r="S2729" s="10" t="n">
        <x:f>IF(K2729&gt;0,R2729/K2729,"")</x:f>
        <x:v>0.4274074074074074</x:v>
      </x:c>
    </x:row>
    <x:row r="2730">
      <x:c r="A2730" s="7" t="n">
        <x:v>2726</x:v>
      </x:c>
      <x:c r="B2730" s="7" t="str">
        <x:v>Tata</x:v>
      </x:c>
      <x:c r="C2730" s="7" t="str">
        <x:v>Nexon</x:v>
      </x:c>
      <x:c r="D2730" s="7" t="str">
        <x:v>Creative DCA</x:v>
      </x:c>
      <x:c r="E2730" s="7" t="str">
        <x:v>Petrol</x:v>
      </x:c>
      <x:c r="F2730" s="7" t="str">
        <x:v>Automatic</x:v>
      </x:c>
      <x:c r="G2730" s="7" t="str">
        <x:v>Compact SUV</x:v>
      </x:c>
      <x:c r="H2730" s="7" t="n">
        <x:v>1199</x:v>
      </x:c>
      <x:c r="I2730" s="7" t="n">
        <x:v>118</x:v>
      </x:c>
      <x:c r="J2730" s="9" t="n">
        <x:v>17.2</x:v>
      </x:c>
      <x:c r="K2730" s="9" t="n">
        <x:v>13.5</x:v>
      </x:c>
      <x:c r="L2730" s="7" t="n">
        <x:v>2022</x:v>
      </x:c>
      <x:c r="M2730" s="11" t="n">
        <x:v>78909</x:v>
      </x:c>
      <x:c r="N2730" s="7" t="n">
        <x:v>2</x:v>
      </x:c>
      <x:c r="O2730" s="7" t="n">
        <x:v>0</x:v>
      </x:c>
      <x:c r="P2730" s="9" t="n">
        <x:v>7.47</x:v>
      </x:c>
      <x:c r="Q2730" s="7" t="n">
        <x:f>'Guide'!$B$5-L2730</x:f>
        <x:v>4</x:v>
      </x:c>
      <x:c r="R2730" s="9" t="n">
        <x:f>K2730-P2730</x:f>
        <x:v>6.03</x:v>
      </x:c>
      <x:c r="S2730" s="10" t="n">
        <x:f>IF(K2730&gt;0,R2730/K2730,"")</x:f>
        <x:v>0.4466666666666667</x:v>
      </x:c>
    </x:row>
    <x:row r="2731">
      <x:c r="A2731" s="7" t="n">
        <x:v>2727</x:v>
      </x:c>
      <x:c r="B2731" s="7" t="str">
        <x:v>Tata</x:v>
      </x:c>
      <x:c r="C2731" s="7" t="str">
        <x:v>Nexon</x:v>
      </x:c>
      <x:c r="D2731" s="7" t="str">
        <x:v>Creative DCA</x:v>
      </x:c>
      <x:c r="E2731" s="7" t="str">
        <x:v>Petrol</x:v>
      </x:c>
      <x:c r="F2731" s="7" t="str">
        <x:v>Automatic</x:v>
      </x:c>
      <x:c r="G2731" s="7" t="str">
        <x:v>Compact SUV</x:v>
      </x:c>
      <x:c r="H2731" s="7" t="n">
        <x:v>1199</x:v>
      </x:c>
      <x:c r="I2731" s="7" t="n">
        <x:v>118</x:v>
      </x:c>
      <x:c r="J2731" s="9" t="n">
        <x:v>17.2</x:v>
      </x:c>
      <x:c r="K2731" s="9" t="n">
        <x:v>13.5</x:v>
      </x:c>
      <x:c r="L2731" s="7" t="n">
        <x:v>2022</x:v>
      </x:c>
      <x:c r="M2731" s="11" t="n">
        <x:v>66383</x:v>
      </x:c>
      <x:c r="N2731" s="7" t="n">
        <x:v>1</x:v>
      </x:c>
      <x:c r="O2731" s="7" t="n">
        <x:v>0</x:v>
      </x:c>
      <x:c r="P2731" s="9" t="n">
        <x:v>8.04</x:v>
      </x:c>
      <x:c r="Q2731" s="7" t="n">
        <x:f>'Guide'!$B$5-L2731</x:f>
        <x:v>4</x:v>
      </x:c>
      <x:c r="R2731" s="9" t="n">
        <x:f>K2731-P2731</x:f>
        <x:v>5.460000000000001</x:v>
      </x:c>
      <x:c r="S2731" s="10" t="n">
        <x:f>IF(K2731&gt;0,R2731/K2731,"")</x:f>
        <x:v>0.4044444444444445</x:v>
      </x:c>
    </x:row>
    <x:row r="2732">
      <x:c r="A2732" s="7" t="n">
        <x:v>2728</x:v>
      </x:c>
      <x:c r="B2732" s="7" t="str">
        <x:v>Tata</x:v>
      </x:c>
      <x:c r="C2732" s="7" t="str">
        <x:v>Nexon</x:v>
      </x:c>
      <x:c r="D2732" s="7" t="str">
        <x:v>Creative DCA</x:v>
      </x:c>
      <x:c r="E2732" s="7" t="str">
        <x:v>Petrol</x:v>
      </x:c>
      <x:c r="F2732" s="7" t="str">
        <x:v>Automatic</x:v>
      </x:c>
      <x:c r="G2732" s="7" t="str">
        <x:v>Compact SUV</x:v>
      </x:c>
      <x:c r="H2732" s="7" t="n">
        <x:v>1199</x:v>
      </x:c>
      <x:c r="I2732" s="7" t="n">
        <x:v>118</x:v>
      </x:c>
      <x:c r="J2732" s="9" t="n">
        <x:v>17.2</x:v>
      </x:c>
      <x:c r="K2732" s="9" t="n">
        <x:v>13.5</x:v>
      </x:c>
      <x:c r="L2732" s="7" t="n">
        <x:v>2026</x:v>
      </x:c>
      <x:c r="M2732" s="11" t="n">
        <x:v>6598</x:v>
      </x:c>
      <x:c r="N2732" s="7" t="n">
        <x:v>2</x:v>
      </x:c>
      <x:c r="O2732" s="7" t="n">
        <x:v>0</x:v>
      </x:c>
      <x:c r="P2732" s="9" t="n">
        <x:v>12.72</x:v>
      </x:c>
      <x:c r="Q2732" s="7" t="n">
        <x:f>'Guide'!$B$5-L2732</x:f>
        <x:v>0</x:v>
      </x:c>
      <x:c r="R2732" s="9" t="n">
        <x:f>K2732-P2732</x:f>
        <x:v>0.7799999999999994</x:v>
      </x:c>
      <x:c r="S2732" s="10" t="n">
        <x:f>IF(K2732&gt;0,R2732/K2732,"")</x:f>
        <x:v>0.057777777777777733</x:v>
      </x:c>
    </x:row>
    <x:row r="2733">
      <x:c r="A2733" s="7" t="n">
        <x:v>2729</x:v>
      </x:c>
      <x:c r="B2733" s="7" t="str">
        <x:v>Tata</x:v>
      </x:c>
      <x:c r="C2733" s="7" t="str">
        <x:v>Nexon</x:v>
      </x:c>
      <x:c r="D2733" s="7" t="str">
        <x:v>Creative DCA</x:v>
      </x:c>
      <x:c r="E2733" s="7" t="str">
        <x:v>Petrol</x:v>
      </x:c>
      <x:c r="F2733" s="7" t="str">
        <x:v>Automatic</x:v>
      </x:c>
      <x:c r="G2733" s="7" t="str">
        <x:v>Compact SUV</x:v>
      </x:c>
      <x:c r="H2733" s="7" t="n">
        <x:v>1199</x:v>
      </x:c>
      <x:c r="I2733" s="7" t="n">
        <x:v>118</x:v>
      </x:c>
      <x:c r="J2733" s="9" t="n">
        <x:v>17.2</x:v>
      </x:c>
      <x:c r="K2733" s="9" t="n">
        <x:v>13.5</x:v>
      </x:c>
      <x:c r="L2733" s="7" t="n">
        <x:v>2021</x:v>
      </x:c>
      <x:c r="M2733" s="11" t="n">
        <x:v>103904</x:v>
      </x:c>
      <x:c r="N2733" s="7" t="n">
        <x:v>1</x:v>
      </x:c>
      <x:c r="O2733" s="7" t="n">
        <x:v>0</x:v>
      </x:c>
      <x:c r="P2733" s="9" t="n">
        <x:v>6.54</x:v>
      </x:c>
      <x:c r="Q2733" s="7" t="n">
        <x:f>'Guide'!$B$5-L2733</x:f>
        <x:v>5</x:v>
      </x:c>
      <x:c r="R2733" s="9" t="n">
        <x:f>K2733-P2733</x:f>
        <x:v>6.96</x:v>
      </x:c>
      <x:c r="S2733" s="10" t="n">
        <x:f>IF(K2733&gt;0,R2733/K2733,"")</x:f>
        <x:v>0.5155555555555555</x:v>
      </x:c>
    </x:row>
    <x:row r="2734">
      <x:c r="A2734" s="7" t="n">
        <x:v>2730</x:v>
      </x:c>
      <x:c r="B2734" s="7" t="str">
        <x:v>Tata</x:v>
      </x:c>
      <x:c r="C2734" s="7" t="str">
        <x:v>Nexon</x:v>
      </x:c>
      <x:c r="D2734" s="7" t="str">
        <x:v>Creative DCA</x:v>
      </x:c>
      <x:c r="E2734" s="7" t="str">
        <x:v>Petrol</x:v>
      </x:c>
      <x:c r="F2734" s="7" t="str">
        <x:v>Automatic</x:v>
      </x:c>
      <x:c r="G2734" s="7" t="str">
        <x:v>Compact SUV</x:v>
      </x:c>
      <x:c r="H2734" s="7" t="n">
        <x:v>1199</x:v>
      </x:c>
      <x:c r="I2734" s="7" t="n">
        <x:v>118</x:v>
      </x:c>
      <x:c r="J2734" s="9" t="n">
        <x:v>17.2</x:v>
      </x:c>
      <x:c r="K2734" s="9" t="n">
        <x:v>13.5</x:v>
      </x:c>
      <x:c r="L2734" s="7" t="n">
        <x:v>2025</x:v>
      </x:c>
      <x:c r="M2734" s="11" t="n">
        <x:v>13220</x:v>
      </x:c>
      <x:c r="N2734" s="7" t="n">
        <x:v>1</x:v>
      </x:c>
      <x:c r="O2734" s="7" t="n">
        <x:v>0</x:v>
      </x:c>
      <x:c r="P2734" s="9" t="n">
        <x:v>12.34</x:v>
      </x:c>
      <x:c r="Q2734" s="7" t="n">
        <x:f>'Guide'!$B$5-L2734</x:f>
        <x:v>1</x:v>
      </x:c>
      <x:c r="R2734" s="9" t="n">
        <x:f>K2734-P2734</x:f>
        <x:v>1.1600000000000001</x:v>
      </x:c>
      <x:c r="S2734" s="10" t="n">
        <x:f>IF(K2734&gt;0,R2734/K2734,"")</x:f>
        <x:v>0.08592592592592593</x:v>
      </x:c>
    </x:row>
    <x:row r="2735">
      <x:c r="A2735" s="7" t="n">
        <x:v>2731</x:v>
      </x:c>
      <x:c r="B2735" s="7" t="str">
        <x:v>Tata</x:v>
      </x:c>
      <x:c r="C2735" s="7" t="str">
        <x:v>Nexon</x:v>
      </x:c>
      <x:c r="D2735" s="7" t="str">
        <x:v>Creative DCA</x:v>
      </x:c>
      <x:c r="E2735" s="7" t="str">
        <x:v>Petrol</x:v>
      </x:c>
      <x:c r="F2735" s="7" t="str">
        <x:v>Automatic</x:v>
      </x:c>
      <x:c r="G2735" s="7" t="str">
        <x:v>Compact SUV</x:v>
      </x:c>
      <x:c r="H2735" s="7" t="n">
        <x:v>1199</x:v>
      </x:c>
      <x:c r="I2735" s="7" t="n">
        <x:v>118</x:v>
      </x:c>
      <x:c r="J2735" s="9" t="n">
        <x:v>17.2</x:v>
      </x:c>
      <x:c r="K2735" s="9" t="n">
        <x:v>13.5</x:v>
      </x:c>
      <x:c r="L2735" s="7" t="n">
        <x:v>2021</x:v>
      </x:c>
      <x:c r="M2735" s="11" t="n">
        <x:v>97008</x:v>
      </x:c>
      <x:c r="N2735" s="7" t="n">
        <x:v>2</x:v>
      </x:c>
      <x:c r="O2735" s="7" t="n">
        <x:v>1</x:v>
      </x:c>
      <x:c r="P2735" s="9" t="n">
        <x:v>5.22</x:v>
      </x:c>
      <x:c r="Q2735" s="7" t="n">
        <x:f>'Guide'!$B$5-L2735</x:f>
        <x:v>5</x:v>
      </x:c>
      <x:c r="R2735" s="9" t="n">
        <x:f>K2735-P2735</x:f>
        <x:v>8.280000000000001</x:v>
      </x:c>
      <x:c r="S2735" s="10" t="n">
        <x:f>IF(K2735&gt;0,R2735/K2735,"")</x:f>
        <x:v>0.6133333333333334</x:v>
      </x:c>
    </x:row>
    <x:row r="2736">
      <x:c r="A2736" s="7" t="n">
        <x:v>2732</x:v>
      </x:c>
      <x:c r="B2736" s="7" t="str">
        <x:v>Tata</x:v>
      </x:c>
      <x:c r="C2736" s="7" t="str">
        <x:v>Nexon</x:v>
      </x:c>
      <x:c r="D2736" s="7" t="str">
        <x:v>Creative DCA</x:v>
      </x:c>
      <x:c r="E2736" s="7" t="str">
        <x:v>Petrol</x:v>
      </x:c>
      <x:c r="F2736" s="7" t="str">
        <x:v>Automatic</x:v>
      </x:c>
      <x:c r="G2736" s="7" t="str">
        <x:v>Compact SUV</x:v>
      </x:c>
      <x:c r="H2736" s="7" t="n">
        <x:v>1199</x:v>
      </x:c>
      <x:c r="I2736" s="7" t="n">
        <x:v>118</x:v>
      </x:c>
      <x:c r="J2736" s="9" t="n">
        <x:v>17.2</x:v>
      </x:c>
      <x:c r="K2736" s="9" t="n">
        <x:v>13.5</x:v>
      </x:c>
      <x:c r="L2736" s="7" t="n">
        <x:v>2020</x:v>
      </x:c>
      <x:c r="M2736" s="11" t="n">
        <x:v>87585</x:v>
      </x:c>
      <x:c r="N2736" s="7" t="n">
        <x:v>1</x:v>
      </x:c>
      <x:c r="O2736" s="7" t="n">
        <x:v>0</x:v>
      </x:c>
      <x:c r="P2736" s="9" t="n">
        <x:v>5.9</x:v>
      </x:c>
      <x:c r="Q2736" s="7" t="n">
        <x:f>'Guide'!$B$5-L2736</x:f>
        <x:v>6</x:v>
      </x:c>
      <x:c r="R2736" s="9" t="n">
        <x:f>K2736-P2736</x:f>
        <x:v>7.6</x:v>
      </x:c>
      <x:c r="S2736" s="10" t="n">
        <x:f>IF(K2736&gt;0,R2736/K2736,"")</x:f>
        <x:v>0.5629629629629629</x:v>
      </x:c>
    </x:row>
    <x:row r="2737">
      <x:c r="A2737" s="7" t="n">
        <x:v>2733</x:v>
      </x:c>
      <x:c r="B2737" s="7" t="str">
        <x:v>Tata</x:v>
      </x:c>
      <x:c r="C2737" s="7" t="str">
        <x:v>Nexon</x:v>
      </x:c>
      <x:c r="D2737" s="7" t="str">
        <x:v>Creative DCA</x:v>
      </x:c>
      <x:c r="E2737" s="7" t="str">
        <x:v>Petrol</x:v>
      </x:c>
      <x:c r="F2737" s="7" t="str">
        <x:v>Automatic</x:v>
      </x:c>
      <x:c r="G2737" s="7" t="str">
        <x:v>Compact SUV</x:v>
      </x:c>
      <x:c r="H2737" s="7" t="n">
        <x:v>1199</x:v>
      </x:c>
      <x:c r="I2737" s="7" t="n">
        <x:v>118</x:v>
      </x:c>
      <x:c r="J2737" s="9" t="n">
        <x:v>17.2</x:v>
      </x:c>
      <x:c r="K2737" s="9" t="n">
        <x:v>13.5</x:v>
      </x:c>
      <x:c r="L2737" s="7" t="n">
        <x:v>2026</x:v>
      </x:c>
      <x:c r="M2737" s="11" t="n">
        <x:v>6522</x:v>
      </x:c>
      <x:c r="N2737" s="7" t="n">
        <x:v>3</x:v>
      </x:c>
      <x:c r="O2737" s="7" t="n">
        <x:v>0</x:v>
      </x:c>
      <x:c r="P2737" s="9" t="n">
        <x:v>12.57</x:v>
      </x:c>
      <x:c r="Q2737" s="7" t="n">
        <x:f>'Guide'!$B$5-L2737</x:f>
        <x:v>0</x:v>
      </x:c>
      <x:c r="R2737" s="9" t="n">
        <x:f>K2737-P2737</x:f>
        <x:v>0.9299999999999997</x:v>
      </x:c>
      <x:c r="S2737" s="10" t="n">
        <x:f>IF(K2737&gt;0,R2737/K2737,"")</x:f>
        <x:v>0.06888888888888887</x:v>
      </x:c>
    </x:row>
    <x:row r="2738">
      <x:c r="A2738" s="7" t="n">
        <x:v>2734</x:v>
      </x:c>
      <x:c r="B2738" s="7" t="str">
        <x:v>Tata</x:v>
      </x:c>
      <x:c r="C2738" s="7" t="str">
        <x:v>Nexon</x:v>
      </x:c>
      <x:c r="D2738" s="7" t="str">
        <x:v>Creative DCA</x:v>
      </x:c>
      <x:c r="E2738" s="7" t="str">
        <x:v>Petrol</x:v>
      </x:c>
      <x:c r="F2738" s="7" t="str">
        <x:v>Automatic</x:v>
      </x:c>
      <x:c r="G2738" s="7" t="str">
        <x:v>Compact SUV</x:v>
      </x:c>
      <x:c r="H2738" s="7" t="n">
        <x:v>1199</x:v>
      </x:c>
      <x:c r="I2738" s="7" t="n">
        <x:v>118</x:v>
      </x:c>
      <x:c r="J2738" s="9" t="n">
        <x:v>17.2</x:v>
      </x:c>
      <x:c r="K2738" s="9" t="n">
        <x:v>13.5</x:v>
      </x:c>
      <x:c r="L2738" s="7" t="n">
        <x:v>2025</x:v>
      </x:c>
      <x:c r="M2738" s="11" t="n">
        <x:v>25730</x:v>
      </x:c>
      <x:c r="N2738" s="7" t="n">
        <x:v>1</x:v>
      </x:c>
      <x:c r="O2738" s="7" t="n">
        <x:v>0</x:v>
      </x:c>
      <x:c r="P2738" s="9" t="n">
        <x:v>12.35</x:v>
      </x:c>
      <x:c r="Q2738" s="7" t="n">
        <x:f>'Guide'!$B$5-L2738</x:f>
        <x:v>1</x:v>
      </x:c>
      <x:c r="R2738" s="9" t="n">
        <x:f>K2738-P2738</x:f>
        <x:v>1.1500000000000004</x:v>
      </x:c>
      <x:c r="S2738" s="10" t="n">
        <x:f>IF(K2738&gt;0,R2738/K2738,"")</x:f>
        <x:v>0.08518518518518521</x:v>
      </x:c>
    </x:row>
    <x:row r="2739">
      <x:c r="A2739" s="7" t="n">
        <x:v>2735</x:v>
      </x:c>
      <x:c r="B2739" s="7" t="str">
        <x:v>Tata</x:v>
      </x:c>
      <x:c r="C2739" s="7" t="str">
        <x:v>Nexon</x:v>
      </x:c>
      <x:c r="D2739" s="7" t="str">
        <x:v>Creative DCA</x:v>
      </x:c>
      <x:c r="E2739" s="7" t="str">
        <x:v>Petrol</x:v>
      </x:c>
      <x:c r="F2739" s="7" t="str">
        <x:v>Automatic</x:v>
      </x:c>
      <x:c r="G2739" s="7" t="str">
        <x:v>Compact SUV</x:v>
      </x:c>
      <x:c r="H2739" s="7" t="n">
        <x:v>1199</x:v>
      </x:c>
      <x:c r="I2739" s="7" t="n">
        <x:v>118</x:v>
      </x:c>
      <x:c r="J2739" s="9" t="n">
        <x:v>17.2</x:v>
      </x:c>
      <x:c r="K2739" s="9" t="n">
        <x:v>13.5</x:v>
      </x:c>
      <x:c r="L2739" s="7" t="n">
        <x:v>2023</x:v>
      </x:c>
      <x:c r="M2739" s="11" t="n">
        <x:v>48804</x:v>
      </x:c>
      <x:c r="N2739" s="7" t="n">
        <x:v>1</x:v>
      </x:c>
      <x:c r="O2739" s="7" t="n">
        <x:v>0</x:v>
      </x:c>
      <x:c r="P2739" s="9" t="n">
        <x:v>9.85</x:v>
      </x:c>
      <x:c r="Q2739" s="7" t="n">
        <x:f>'Guide'!$B$5-L2739</x:f>
        <x:v>3</x:v>
      </x:c>
      <x:c r="R2739" s="9" t="n">
        <x:f>K2739-P2739</x:f>
        <x:v>3.6500000000000004</x:v>
      </x:c>
      <x:c r="S2739" s="10" t="n">
        <x:f>IF(K2739&gt;0,R2739/K2739,"")</x:f>
        <x:v>0.27037037037037037</x:v>
      </x:c>
    </x:row>
    <x:row r="2740">
      <x:c r="A2740" s="7" t="n">
        <x:v>2736</x:v>
      </x:c>
      <x:c r="B2740" s="7" t="str">
        <x:v>Tata</x:v>
      </x:c>
      <x:c r="C2740" s="7" t="str">
        <x:v>Nexon</x:v>
      </x:c>
      <x:c r="D2740" s="7" t="str">
        <x:v>Creative DCA</x:v>
      </x:c>
      <x:c r="E2740" s="7" t="str">
        <x:v>Petrol</x:v>
      </x:c>
      <x:c r="F2740" s="7" t="str">
        <x:v>Automatic</x:v>
      </x:c>
      <x:c r="G2740" s="7" t="str">
        <x:v>Compact SUV</x:v>
      </x:c>
      <x:c r="H2740" s="7" t="n">
        <x:v>1199</x:v>
      </x:c>
      <x:c r="I2740" s="7" t="n">
        <x:v>118</x:v>
      </x:c>
      <x:c r="J2740" s="9" t="n">
        <x:v>17.2</x:v>
      </x:c>
      <x:c r="K2740" s="9" t="n">
        <x:v>13.5</x:v>
      </x:c>
      <x:c r="L2740" s="7" t="n">
        <x:v>2022</x:v>
      </x:c>
      <x:c r="M2740" s="11" t="n">
        <x:v>43080</x:v>
      </x:c>
      <x:c r="N2740" s="7" t="n">
        <x:v>1</x:v>
      </x:c>
      <x:c r="O2740" s="7" t="n">
        <x:v>0</x:v>
      </x:c>
      <x:c r="P2740" s="9" t="n">
        <x:v>8.26</x:v>
      </x:c>
      <x:c r="Q2740" s="7" t="n">
        <x:f>'Guide'!$B$5-L2740</x:f>
        <x:v>4</x:v>
      </x:c>
      <x:c r="R2740" s="9" t="n">
        <x:f>K2740-P2740</x:f>
        <x:v>5.24</x:v>
      </x:c>
      <x:c r="S2740" s="10" t="n">
        <x:f>IF(K2740&gt;0,R2740/K2740,"")</x:f>
        <x:v>0.3881481481481482</x:v>
      </x:c>
    </x:row>
    <x:row r="2741">
      <x:c r="A2741" s="7" t="n">
        <x:v>2737</x:v>
      </x:c>
      <x:c r="B2741" s="7" t="str">
        <x:v>Tata</x:v>
      </x:c>
      <x:c r="C2741" s="7" t="str">
        <x:v>Nexon</x:v>
      </x:c>
      <x:c r="D2741" s="7" t="str">
        <x:v>Creative DCA</x:v>
      </x:c>
      <x:c r="E2741" s="7" t="str">
        <x:v>Petrol</x:v>
      </x:c>
      <x:c r="F2741" s="7" t="str">
        <x:v>Automatic</x:v>
      </x:c>
      <x:c r="G2741" s="7" t="str">
        <x:v>Compact SUV</x:v>
      </x:c>
      <x:c r="H2741" s="7" t="n">
        <x:v>1199</x:v>
      </x:c>
      <x:c r="I2741" s="7" t="n">
        <x:v>118</x:v>
      </x:c>
      <x:c r="J2741" s="9" t="n">
        <x:v>17.2</x:v>
      </x:c>
      <x:c r="K2741" s="9" t="n">
        <x:v>13.5</x:v>
      </x:c>
      <x:c r="L2741" s="7" t="n">
        <x:v>2025</x:v>
      </x:c>
      <x:c r="M2741" s="11" t="n">
        <x:v>19869</x:v>
      </x:c>
      <x:c r="N2741" s="7" t="n">
        <x:v>1</x:v>
      </x:c>
      <x:c r="O2741" s="7" t="n">
        <x:v>0</x:v>
      </x:c>
      <x:c r="P2741" s="9" t="n">
        <x:v>12.04</x:v>
      </x:c>
      <x:c r="Q2741" s="7" t="n">
        <x:f>'Guide'!$B$5-L2741</x:f>
        <x:v>1</x:v>
      </x:c>
      <x:c r="R2741" s="9" t="n">
        <x:f>K2741-P2741</x:f>
        <x:v>1.4600000000000009</x:v>
      </x:c>
      <x:c r="S2741" s="10" t="n">
        <x:f>IF(K2741&gt;0,R2741/K2741,"")</x:f>
        <x:v>0.10814814814814822</x:v>
      </x:c>
    </x:row>
    <x:row r="2742">
      <x:c r="A2742" s="7" t="n">
        <x:v>2738</x:v>
      </x:c>
      <x:c r="B2742" s="7" t="str">
        <x:v>Tata</x:v>
      </x:c>
      <x:c r="C2742" s="7" t="str">
        <x:v>Nexon</x:v>
      </x:c>
      <x:c r="D2742" s="7" t="str">
        <x:v>Creative DCA</x:v>
      </x:c>
      <x:c r="E2742" s="7" t="str">
        <x:v>Petrol</x:v>
      </x:c>
      <x:c r="F2742" s="7" t="str">
        <x:v>Automatic</x:v>
      </x:c>
      <x:c r="G2742" s="7" t="str">
        <x:v>Compact SUV</x:v>
      </x:c>
      <x:c r="H2742" s="7" t="n">
        <x:v>1199</x:v>
      </x:c>
      <x:c r="I2742" s="7" t="n">
        <x:v>118</x:v>
      </x:c>
      <x:c r="J2742" s="9" t="n">
        <x:v>17.2</x:v>
      </x:c>
      <x:c r="K2742" s="9" t="n">
        <x:v>13.5</x:v>
      </x:c>
      <x:c r="L2742" s="7" t="n">
        <x:v>2025</x:v>
      </x:c>
      <x:c r="M2742" s="11" t="n">
        <x:v>25202</x:v>
      </x:c>
      <x:c r="N2742" s="7" t="n">
        <x:v>1</x:v>
      </x:c>
      <x:c r="O2742" s="7" t="n">
        <x:v>0</x:v>
      </x:c>
      <x:c r="P2742" s="9" t="n">
        <x:v>12.32</x:v>
      </x:c>
      <x:c r="Q2742" s="7" t="n">
        <x:f>'Guide'!$B$5-L2742</x:f>
        <x:v>1</x:v>
      </x:c>
      <x:c r="R2742" s="9" t="n">
        <x:f>K2742-P2742</x:f>
        <x:v>1.1799999999999997</x:v>
      </x:c>
      <x:c r="S2742" s="10" t="n">
        <x:f>IF(K2742&gt;0,R2742/K2742,"")</x:f>
        <x:v>0.08740740740740739</x:v>
      </x:c>
    </x:row>
    <x:row r="2743">
      <x:c r="A2743" s="7" t="n">
        <x:v>2739</x:v>
      </x:c>
      <x:c r="B2743" s="7" t="str">
        <x:v>Tata</x:v>
      </x:c>
      <x:c r="C2743" s="7" t="str">
        <x:v>Nexon</x:v>
      </x:c>
      <x:c r="D2743" s="7" t="str">
        <x:v>Creative DCA</x:v>
      </x:c>
      <x:c r="E2743" s="7" t="str">
        <x:v>Petrol</x:v>
      </x:c>
      <x:c r="F2743" s="7" t="str">
        <x:v>Automatic</x:v>
      </x:c>
      <x:c r="G2743" s="7" t="str">
        <x:v>Compact SUV</x:v>
      </x:c>
      <x:c r="H2743" s="7" t="n">
        <x:v>1199</x:v>
      </x:c>
      <x:c r="I2743" s="7" t="n">
        <x:v>118</x:v>
      </x:c>
      <x:c r="J2743" s="9" t="n">
        <x:v>17.2</x:v>
      </x:c>
      <x:c r="K2743" s="9" t="n">
        <x:v>13.5</x:v>
      </x:c>
      <x:c r="L2743" s="7" t="n">
        <x:v>2024</x:v>
      </x:c>
      <x:c r="M2743" s="11" t="n">
        <x:v>29942</x:v>
      </x:c>
      <x:c r="N2743" s="7" t="n">
        <x:v>1</x:v>
      </x:c>
      <x:c r="O2743" s="7" t="n">
        <x:v>0</x:v>
      </x:c>
      <x:c r="P2743" s="9" t="n">
        <x:v>10.6</x:v>
      </x:c>
      <x:c r="Q2743" s="7" t="n">
        <x:f>'Guide'!$B$5-L2743</x:f>
        <x:v>2</x:v>
      </x:c>
      <x:c r="R2743" s="9" t="n">
        <x:f>K2743-P2743</x:f>
        <x:v>2.9000000000000004</x:v>
      </x:c>
      <x:c r="S2743" s="10" t="n">
        <x:f>IF(K2743&gt;0,R2743/K2743,"")</x:f>
        <x:v>0.21481481481481485</x:v>
      </x:c>
    </x:row>
    <x:row r="2744">
      <x:c r="A2744" s="7" t="n">
        <x:v>2740</x:v>
      </x:c>
      <x:c r="B2744" s="7" t="str">
        <x:v>Tata</x:v>
      </x:c>
      <x:c r="C2744" s="7" t="str">
        <x:v>Nexon</x:v>
      </x:c>
      <x:c r="D2744" s="7" t="str">
        <x:v>Creative DCA</x:v>
      </x:c>
      <x:c r="E2744" s="7" t="str">
        <x:v>Petrol</x:v>
      </x:c>
      <x:c r="F2744" s="7" t="str">
        <x:v>Automatic</x:v>
      </x:c>
      <x:c r="G2744" s="7" t="str">
        <x:v>Compact SUV</x:v>
      </x:c>
      <x:c r="H2744" s="7" t="n">
        <x:v>1199</x:v>
      </x:c>
      <x:c r="I2744" s="7" t="n">
        <x:v>118</x:v>
      </x:c>
      <x:c r="J2744" s="9" t="n">
        <x:v>17.2</x:v>
      </x:c>
      <x:c r="K2744" s="9" t="n">
        <x:v>13.5</x:v>
      </x:c>
      <x:c r="L2744" s="7" t="n">
        <x:v>2021</x:v>
      </x:c>
      <x:c r="M2744" s="11" t="n">
        <x:v>87959</x:v>
      </x:c>
      <x:c r="N2744" s="7" t="n">
        <x:v>1</x:v>
      </x:c>
      <x:c r="O2744" s="7" t="n">
        <x:v>0</x:v>
      </x:c>
      <x:c r="P2744" s="9" t="n">
        <x:v>6.46</x:v>
      </x:c>
      <x:c r="Q2744" s="7" t="n">
        <x:f>'Guide'!$B$5-L2744</x:f>
        <x:v>5</x:v>
      </x:c>
      <x:c r="R2744" s="9" t="n">
        <x:f>K2744-P2744</x:f>
        <x:v>7.04</x:v>
      </x:c>
      <x:c r="S2744" s="10" t="n">
        <x:f>IF(K2744&gt;0,R2744/K2744,"")</x:f>
        <x:v>0.5214814814814814</x:v>
      </x:c>
    </x:row>
    <x:row r="2745">
      <x:c r="A2745" s="7" t="n">
        <x:v>2741</x:v>
      </x:c>
      <x:c r="B2745" s="7" t="str">
        <x:v>Tata</x:v>
      </x:c>
      <x:c r="C2745" s="7" t="str">
        <x:v>Nexon</x:v>
      </x:c>
      <x:c r="D2745" s="7" t="str">
        <x:v>Creative DCA</x:v>
      </x:c>
      <x:c r="E2745" s="7" t="str">
        <x:v>Petrol</x:v>
      </x:c>
      <x:c r="F2745" s="7" t="str">
        <x:v>Automatic</x:v>
      </x:c>
      <x:c r="G2745" s="7" t="str">
        <x:v>Compact SUV</x:v>
      </x:c>
      <x:c r="H2745" s="7" t="n">
        <x:v>1199</x:v>
      </x:c>
      <x:c r="I2745" s="7" t="n">
        <x:v>118</x:v>
      </x:c>
      <x:c r="J2745" s="9" t="n">
        <x:v>17.2</x:v>
      </x:c>
      <x:c r="K2745" s="9" t="n">
        <x:v>13.5</x:v>
      </x:c>
      <x:c r="L2745" s="7" t="n">
        <x:v>2022</x:v>
      </x:c>
      <x:c r="M2745" s="11" t="n">
        <x:v>59521</x:v>
      </x:c>
      <x:c r="N2745" s="7" t="n">
        <x:v>1</x:v>
      </x:c>
      <x:c r="O2745" s="7" t="n">
        <x:v>0</x:v>
      </x:c>
      <x:c r="P2745" s="9" t="n">
        <x:v>8.59</x:v>
      </x:c>
      <x:c r="Q2745" s="7" t="n">
        <x:f>'Guide'!$B$5-L2745</x:f>
        <x:v>4</x:v>
      </x:c>
      <x:c r="R2745" s="9" t="n">
        <x:f>K2745-P2745</x:f>
        <x:v>4.91</x:v>
      </x:c>
      <x:c r="S2745" s="10" t="n">
        <x:f>IF(K2745&gt;0,R2745/K2745,"")</x:f>
        <x:v>0.3637037037037037</x:v>
      </x:c>
    </x:row>
    <x:row r="2746">
      <x:c r="A2746" s="7" t="n">
        <x:v>2742</x:v>
      </x:c>
      <x:c r="B2746" s="7" t="str">
        <x:v>Tata</x:v>
      </x:c>
      <x:c r="C2746" s="7" t="str">
        <x:v>Nexon</x:v>
      </x:c>
      <x:c r="D2746" s="7" t="str">
        <x:v>Creative DCA</x:v>
      </x:c>
      <x:c r="E2746" s="7" t="str">
        <x:v>Petrol</x:v>
      </x:c>
      <x:c r="F2746" s="7" t="str">
        <x:v>Automatic</x:v>
      </x:c>
      <x:c r="G2746" s="7" t="str">
        <x:v>Compact SUV</x:v>
      </x:c>
      <x:c r="H2746" s="7" t="n">
        <x:v>1199</x:v>
      </x:c>
      <x:c r="I2746" s="7" t="n">
        <x:v>118</x:v>
      </x:c>
      <x:c r="J2746" s="9" t="n">
        <x:v>17.2</x:v>
      </x:c>
      <x:c r="K2746" s="9" t="n">
        <x:v>13.5</x:v>
      </x:c>
      <x:c r="L2746" s="7" t="n">
        <x:v>2022</x:v>
      </x:c>
      <x:c r="M2746" s="11" t="n">
        <x:v>88054</x:v>
      </x:c>
      <x:c r="N2746" s="7" t="n">
        <x:v>1</x:v>
      </x:c>
      <x:c r="O2746" s="7" t="n">
        <x:v>0</x:v>
      </x:c>
      <x:c r="P2746" s="9" t="n">
        <x:v>7.91</x:v>
      </x:c>
      <x:c r="Q2746" s="7" t="n">
        <x:f>'Guide'!$B$5-L2746</x:f>
        <x:v>4</x:v>
      </x:c>
      <x:c r="R2746" s="9" t="n">
        <x:f>K2746-P2746</x:f>
        <x:v>5.59</x:v>
      </x:c>
      <x:c r="S2746" s="10" t="n">
        <x:f>IF(K2746&gt;0,R2746/K2746,"")</x:f>
        <x:v>0.41407407407407404</x:v>
      </x:c>
    </x:row>
    <x:row r="2747">
      <x:c r="A2747" s="7" t="n">
        <x:v>2743</x:v>
      </x:c>
      <x:c r="B2747" s="7" t="str">
        <x:v>Tata</x:v>
      </x:c>
      <x:c r="C2747" s="7" t="str">
        <x:v>Nexon</x:v>
      </x:c>
      <x:c r="D2747" s="7" t="str">
        <x:v>Creative DCA</x:v>
      </x:c>
      <x:c r="E2747" s="7" t="str">
        <x:v>Petrol</x:v>
      </x:c>
      <x:c r="F2747" s="7" t="str">
        <x:v>Automatic</x:v>
      </x:c>
      <x:c r="G2747" s="7" t="str">
        <x:v>Compact SUV</x:v>
      </x:c>
      <x:c r="H2747" s="7" t="n">
        <x:v>1199</x:v>
      </x:c>
      <x:c r="I2747" s="7" t="n">
        <x:v>118</x:v>
      </x:c>
      <x:c r="J2747" s="9" t="n">
        <x:v>17.2</x:v>
      </x:c>
      <x:c r="K2747" s="9" t="n">
        <x:v>13.5</x:v>
      </x:c>
      <x:c r="L2747" s="7" t="n">
        <x:v>2026</x:v>
      </x:c>
      <x:c r="M2747" s="11" t="n">
        <x:v>5654</x:v>
      </x:c>
      <x:c r="N2747" s="7" t="n">
        <x:v>2</x:v>
      </x:c>
      <x:c r="O2747" s="7" t="n">
        <x:v>0</x:v>
      </x:c>
      <x:c r="P2747" s="9" t="n">
        <x:v>12.99</x:v>
      </x:c>
      <x:c r="Q2747" s="7" t="n">
        <x:f>'Guide'!$B$5-L2747</x:f>
        <x:v>0</x:v>
      </x:c>
      <x:c r="R2747" s="9" t="n">
        <x:f>K2747-P2747</x:f>
        <x:v>0.5099999999999998</x:v>
      </x:c>
      <x:c r="S2747" s="10" t="n">
        <x:f>IF(K2747&gt;0,R2747/K2747,"")</x:f>
        <x:v>0.037777777777777764</x:v>
      </x:c>
    </x:row>
    <x:row r="2748">
      <x:c r="A2748" s="7" t="n">
        <x:v>2744</x:v>
      </x:c>
      <x:c r="B2748" s="7" t="str">
        <x:v>Tata</x:v>
      </x:c>
      <x:c r="C2748" s="7" t="str">
        <x:v>Nexon</x:v>
      </x:c>
      <x:c r="D2748" s="7" t="str">
        <x:v>Creative DCA</x:v>
      </x:c>
      <x:c r="E2748" s="7" t="str">
        <x:v>Petrol</x:v>
      </x:c>
      <x:c r="F2748" s="7" t="str">
        <x:v>Automatic</x:v>
      </x:c>
      <x:c r="G2748" s="7" t="str">
        <x:v>Compact SUV</x:v>
      </x:c>
      <x:c r="H2748" s="7" t="n">
        <x:v>1199</x:v>
      </x:c>
      <x:c r="I2748" s="7" t="n">
        <x:v>118</x:v>
      </x:c>
      <x:c r="J2748" s="9" t="n">
        <x:v>17.2</x:v>
      </x:c>
      <x:c r="K2748" s="9" t="n">
        <x:v>13.5</x:v>
      </x:c>
      <x:c r="L2748" s="7" t="n">
        <x:v>2024</x:v>
      </x:c>
      <x:c r="M2748" s="11" t="n">
        <x:v>36261</x:v>
      </x:c>
      <x:c r="N2748" s="7" t="n">
        <x:v>1</x:v>
      </x:c>
      <x:c r="O2748" s="7" t="n">
        <x:v>0</x:v>
      </x:c>
      <x:c r="P2748" s="9" t="n">
        <x:v>11.04</x:v>
      </x:c>
      <x:c r="Q2748" s="7" t="n">
        <x:f>'Guide'!$B$5-L2748</x:f>
        <x:v>2</x:v>
      </x:c>
      <x:c r="R2748" s="9" t="n">
        <x:f>K2748-P2748</x:f>
        <x:v>2.460000000000001</x:v>
      </x:c>
      <x:c r="S2748" s="10" t="n">
        <x:f>IF(K2748&gt;0,R2748/K2748,"")</x:f>
        <x:v>0.18222222222222229</x:v>
      </x:c>
    </x:row>
    <x:row r="2749">
      <x:c r="A2749" s="7" t="n">
        <x:v>2745</x:v>
      </x:c>
      <x:c r="B2749" s="7" t="str">
        <x:v>Tata</x:v>
      </x:c>
      <x:c r="C2749" s="7" t="str">
        <x:v>Nexon</x:v>
      </x:c>
      <x:c r="D2749" s="7" t="str">
        <x:v>Creative DCA</x:v>
      </x:c>
      <x:c r="E2749" s="7" t="str">
        <x:v>Petrol</x:v>
      </x:c>
      <x:c r="F2749" s="7" t="str">
        <x:v>Automatic</x:v>
      </x:c>
      <x:c r="G2749" s="7" t="str">
        <x:v>Compact SUV</x:v>
      </x:c>
      <x:c r="H2749" s="7" t="n">
        <x:v>1199</x:v>
      </x:c>
      <x:c r="I2749" s="7" t="n">
        <x:v>118</x:v>
      </x:c>
      <x:c r="J2749" s="9" t="n">
        <x:v>17.2</x:v>
      </x:c>
      <x:c r="K2749" s="9" t="n">
        <x:v>13.5</x:v>
      </x:c>
      <x:c r="L2749" s="7" t="n">
        <x:v>2026</x:v>
      </x:c>
      <x:c r="M2749" s="11" t="n">
        <x:v>6280</x:v>
      </x:c>
      <x:c r="N2749" s="7" t="n">
        <x:v>1</x:v>
      </x:c>
      <x:c r="O2749" s="7" t="n">
        <x:v>0</x:v>
      </x:c>
      <x:c r="P2749" s="9" t="n">
        <x:v>13.51</x:v>
      </x:c>
      <x:c r="Q2749" s="7" t="n">
        <x:f>'Guide'!$B$5-L2749</x:f>
        <x:v>0</x:v>
      </x:c>
      <x:c r="R2749" s="9" t="n">
        <x:f>K2749-P2749</x:f>
        <x:v>-0.009999999999999787</x:v>
      </x:c>
      <x:c r="S2749" s="10" t="n">
        <x:f>IF(K2749&gt;0,R2749/K2749,"")</x:f>
        <x:v>-0.000740740740740725</x:v>
      </x:c>
    </x:row>
    <x:row r="2750">
      <x:c r="A2750" s="7" t="n">
        <x:v>2746</x:v>
      </x:c>
      <x:c r="B2750" s="7" t="str">
        <x:v>Tata</x:v>
      </x:c>
      <x:c r="C2750" s="7" t="str">
        <x:v>Nexon</x:v>
      </x:c>
      <x:c r="D2750" s="7" t="str">
        <x:v>Creative DCA</x:v>
      </x:c>
      <x:c r="E2750" s="7" t="str">
        <x:v>Petrol</x:v>
      </x:c>
      <x:c r="F2750" s="7" t="str">
        <x:v>Automatic</x:v>
      </x:c>
      <x:c r="G2750" s="7" t="str">
        <x:v>Compact SUV</x:v>
      </x:c>
      <x:c r="H2750" s="7" t="n">
        <x:v>1199</x:v>
      </x:c>
      <x:c r="I2750" s="7" t="n">
        <x:v>118</x:v>
      </x:c>
      <x:c r="J2750" s="9" t="n">
        <x:v>17.2</x:v>
      </x:c>
      <x:c r="K2750" s="9" t="n">
        <x:v>13.5</x:v>
      </x:c>
      <x:c r="L2750" s="7" t="n">
        <x:v>2022</x:v>
      </x:c>
      <x:c r="M2750" s="11" t="n">
        <x:v>60098</x:v>
      </x:c>
      <x:c r="N2750" s="7" t="n">
        <x:v>2</x:v>
      </x:c>
      <x:c r="O2750" s="7" t="n">
        <x:v>0</x:v>
      </x:c>
      <x:c r="P2750" s="9" t="n">
        <x:v>8.04</x:v>
      </x:c>
      <x:c r="Q2750" s="7" t="n">
        <x:f>'Guide'!$B$5-L2750</x:f>
        <x:v>4</x:v>
      </x:c>
      <x:c r="R2750" s="9" t="n">
        <x:f>K2750-P2750</x:f>
        <x:v>5.460000000000001</x:v>
      </x:c>
      <x:c r="S2750" s="10" t="n">
        <x:f>IF(K2750&gt;0,R2750/K2750,"")</x:f>
        <x:v>0.4044444444444445</x:v>
      </x:c>
    </x:row>
    <x:row r="2751">
      <x:c r="A2751" s="7" t="n">
        <x:v>2747</x:v>
      </x:c>
      <x:c r="B2751" s="7" t="str">
        <x:v>Tata</x:v>
      </x:c>
      <x:c r="C2751" s="7" t="str">
        <x:v>Nexon</x:v>
      </x:c>
      <x:c r="D2751" s="7" t="str">
        <x:v>Creative DCA</x:v>
      </x:c>
      <x:c r="E2751" s="7" t="str">
        <x:v>Petrol</x:v>
      </x:c>
      <x:c r="F2751" s="7" t="str">
        <x:v>Automatic</x:v>
      </x:c>
      <x:c r="G2751" s="7" t="str">
        <x:v>Compact SUV</x:v>
      </x:c>
      <x:c r="H2751" s="7" t="n">
        <x:v>1199</x:v>
      </x:c>
      <x:c r="I2751" s="7" t="n">
        <x:v>118</x:v>
      </x:c>
      <x:c r="J2751" s="9" t="n">
        <x:v>17.2</x:v>
      </x:c>
      <x:c r="K2751" s="9" t="n">
        <x:v>13.5</x:v>
      </x:c>
      <x:c r="L2751" s="7" t="n">
        <x:v>2023</x:v>
      </x:c>
      <x:c r="M2751" s="11" t="n">
        <x:v>54073</x:v>
      </x:c>
      <x:c r="N2751" s="7" t="n">
        <x:v>2</x:v>
      </x:c>
      <x:c r="O2751" s="7" t="n">
        <x:v>0</x:v>
      </x:c>
      <x:c r="P2751" s="9" t="n">
        <x:v>9.29</x:v>
      </x:c>
      <x:c r="Q2751" s="7" t="n">
        <x:f>'Guide'!$B$5-L2751</x:f>
        <x:v>3</x:v>
      </x:c>
      <x:c r="R2751" s="9" t="n">
        <x:f>K2751-P2751</x:f>
        <x:v>4.210000000000001</x:v>
      </x:c>
      <x:c r="S2751" s="10" t="n">
        <x:f>IF(K2751&gt;0,R2751/K2751,"")</x:f>
        <x:v>0.31185185185185194</x:v>
      </x:c>
    </x:row>
    <x:row r="2752">
      <x:c r="A2752" s="7" t="n">
        <x:v>2748</x:v>
      </x:c>
      <x:c r="B2752" s="7" t="str">
        <x:v>Tata</x:v>
      </x:c>
      <x:c r="C2752" s="7" t="str">
        <x:v>Nexon</x:v>
      </x:c>
      <x:c r="D2752" s="7" t="str">
        <x:v>Creative DCA</x:v>
      </x:c>
      <x:c r="E2752" s="7" t="str">
        <x:v>Petrol</x:v>
      </x:c>
      <x:c r="F2752" s="7" t="str">
        <x:v>Automatic</x:v>
      </x:c>
      <x:c r="G2752" s="7" t="str">
        <x:v>Compact SUV</x:v>
      </x:c>
      <x:c r="H2752" s="7" t="n">
        <x:v>1199</x:v>
      </x:c>
      <x:c r="I2752" s="7" t="n">
        <x:v>118</x:v>
      </x:c>
      <x:c r="J2752" s="9" t="n">
        <x:v>17.2</x:v>
      </x:c>
      <x:c r="K2752" s="9" t="n">
        <x:v>13.5</x:v>
      </x:c>
      <x:c r="L2752" s="7" t="n">
        <x:v>2026</x:v>
      </x:c>
      <x:c r="M2752" s="11" t="n">
        <x:v>7934</x:v>
      </x:c>
      <x:c r="N2752" s="7" t="n">
        <x:v>1</x:v>
      </x:c>
      <x:c r="O2752" s="7" t="n">
        <x:v>0</x:v>
      </x:c>
      <x:c r="P2752" s="9" t="n">
        <x:v>12.97</x:v>
      </x:c>
      <x:c r="Q2752" s="7" t="n">
        <x:f>'Guide'!$B$5-L2752</x:f>
        <x:v>0</x:v>
      </x:c>
      <x:c r="R2752" s="9" t="n">
        <x:f>K2752-P2752</x:f>
        <x:v>0.5299999999999994</x:v>
      </x:c>
      <x:c r="S2752" s="10" t="n">
        <x:f>IF(K2752&gt;0,R2752/K2752,"")</x:f>
        <x:v>0.03925925925925921</x:v>
      </x:c>
    </x:row>
    <x:row r="2753">
      <x:c r="A2753" s="7" t="n">
        <x:v>2749</x:v>
      </x:c>
      <x:c r="B2753" s="7" t="str">
        <x:v>Tata</x:v>
      </x:c>
      <x:c r="C2753" s="7" t="str">
        <x:v>Nexon</x:v>
      </x:c>
      <x:c r="D2753" s="7" t="str">
        <x:v>Creative DCA</x:v>
      </x:c>
      <x:c r="E2753" s="7" t="str">
        <x:v>Petrol</x:v>
      </x:c>
      <x:c r="F2753" s="7" t="str">
        <x:v>Automatic</x:v>
      </x:c>
      <x:c r="G2753" s="7" t="str">
        <x:v>Compact SUV</x:v>
      </x:c>
      <x:c r="H2753" s="7" t="n">
        <x:v>1199</x:v>
      </x:c>
      <x:c r="I2753" s="7" t="n">
        <x:v>118</x:v>
      </x:c>
      <x:c r="J2753" s="9" t="n">
        <x:v>17.2</x:v>
      </x:c>
      <x:c r="K2753" s="9" t="n">
        <x:v>13.5</x:v>
      </x:c>
      <x:c r="L2753" s="7" t="n">
        <x:v>2020</x:v>
      </x:c>
      <x:c r="M2753" s="11" t="n">
        <x:v>53217</x:v>
      </x:c>
      <x:c r="N2753" s="7" t="n">
        <x:v>2</x:v>
      </x:c>
      <x:c r="O2753" s="7" t="n">
        <x:v>0</x:v>
      </x:c>
      <x:c r="P2753" s="9" t="n">
        <x:v>5.5</x:v>
      </x:c>
      <x:c r="Q2753" s="7" t="n">
        <x:f>'Guide'!$B$5-L2753</x:f>
        <x:v>6</x:v>
      </x:c>
      <x:c r="R2753" s="9" t="n">
        <x:f>K2753-P2753</x:f>
        <x:v>8</x:v>
      </x:c>
      <x:c r="S2753" s="10" t="n">
        <x:f>IF(K2753&gt;0,R2753/K2753,"")</x:f>
        <x:v>0.5925925925925926</x:v>
      </x:c>
    </x:row>
    <x:row r="2754">
      <x:c r="A2754" s="7" t="n">
        <x:v>2750</x:v>
      </x:c>
      <x:c r="B2754" s="7" t="str">
        <x:v>Tata</x:v>
      </x:c>
      <x:c r="C2754" s="7" t="str">
        <x:v>Nexon</x:v>
      </x:c>
      <x:c r="D2754" s="7" t="str">
        <x:v>Creative DCA</x:v>
      </x:c>
      <x:c r="E2754" s="7" t="str">
        <x:v>Petrol</x:v>
      </x:c>
      <x:c r="F2754" s="7" t="str">
        <x:v>Automatic</x:v>
      </x:c>
      <x:c r="G2754" s="7" t="str">
        <x:v>Compact SUV</x:v>
      </x:c>
      <x:c r="H2754" s="7" t="n">
        <x:v>1199</x:v>
      </x:c>
      <x:c r="I2754" s="7" t="n">
        <x:v>118</x:v>
      </x:c>
      <x:c r="J2754" s="9" t="n">
        <x:v>17.2</x:v>
      </x:c>
      <x:c r="K2754" s="9" t="n">
        <x:v>13.5</x:v>
      </x:c>
      <x:c r="L2754" s="7" t="n">
        <x:v>2023</x:v>
      </x:c>
      <x:c r="M2754" s="11" t="n">
        <x:v>62825</x:v>
      </x:c>
      <x:c r="N2754" s="7" t="n">
        <x:v>1</x:v>
      </x:c>
      <x:c r="O2754" s="7" t="n">
        <x:v>0</x:v>
      </x:c>
      <x:c r="P2754" s="9" t="n">
        <x:v>9.33</x:v>
      </x:c>
      <x:c r="Q2754" s="7" t="n">
        <x:f>'Guide'!$B$5-L2754</x:f>
        <x:v>3</x:v>
      </x:c>
      <x:c r="R2754" s="9" t="n">
        <x:f>K2754-P2754</x:f>
        <x:v>4.17</x:v>
      </x:c>
      <x:c r="S2754" s="10" t="n">
        <x:f>IF(K2754&gt;0,R2754/K2754,"")</x:f>
        <x:v>0.3088888888888889</x:v>
      </x:c>
    </x:row>
    <x:row r="2755">
      <x:c r="A2755" s="7" t="n">
        <x:v>2751</x:v>
      </x:c>
      <x:c r="B2755" s="7" t="str">
        <x:v>Tata</x:v>
      </x:c>
      <x:c r="C2755" s="7" t="str">
        <x:v>Nexon</x:v>
      </x:c>
      <x:c r="D2755" s="7" t="str">
        <x:v>Creative DCA</x:v>
      </x:c>
      <x:c r="E2755" s="7" t="str">
        <x:v>Petrol</x:v>
      </x:c>
      <x:c r="F2755" s="7" t="str">
        <x:v>Automatic</x:v>
      </x:c>
      <x:c r="G2755" s="7" t="str">
        <x:v>Compact SUV</x:v>
      </x:c>
      <x:c r="H2755" s="7" t="n">
        <x:v>1199</x:v>
      </x:c>
      <x:c r="I2755" s="7" t="n">
        <x:v>118</x:v>
      </x:c>
      <x:c r="J2755" s="9" t="n">
        <x:v>17.2</x:v>
      </x:c>
      <x:c r="K2755" s="9" t="n">
        <x:v>13.5</x:v>
      </x:c>
      <x:c r="L2755" s="7" t="n">
        <x:v>2025</x:v>
      </x:c>
      <x:c r="M2755" s="11" t="n">
        <x:v>29025</x:v>
      </x:c>
      <x:c r="N2755" s="7" t="n">
        <x:v>1</x:v>
      </x:c>
      <x:c r="O2755" s="7" t="n">
        <x:v>0</x:v>
      </x:c>
      <x:c r="P2755" s="9" t="n">
        <x:v>12.02</x:v>
      </x:c>
      <x:c r="Q2755" s="7" t="n">
        <x:f>'Guide'!$B$5-L2755</x:f>
        <x:v>1</x:v>
      </x:c>
      <x:c r="R2755" s="9" t="n">
        <x:f>K2755-P2755</x:f>
        <x:v>1.4800000000000004</x:v>
      </x:c>
      <x:c r="S2755" s="10" t="n">
        <x:f>IF(K2755&gt;0,R2755/K2755,"")</x:f>
        <x:v>0.10962962962962966</x:v>
      </x:c>
    </x:row>
    <x:row r="2756">
      <x:c r="A2756" s="7" t="n">
        <x:v>2752</x:v>
      </x:c>
      <x:c r="B2756" s="7" t="str">
        <x:v>Tata</x:v>
      </x:c>
      <x:c r="C2756" s="7" t="str">
        <x:v>Nexon</x:v>
      </x:c>
      <x:c r="D2756" s="7" t="str">
        <x:v>Creative DCA</x:v>
      </x:c>
      <x:c r="E2756" s="7" t="str">
        <x:v>Petrol</x:v>
      </x:c>
      <x:c r="F2756" s="7" t="str">
        <x:v>Automatic</x:v>
      </x:c>
      <x:c r="G2756" s="7" t="str">
        <x:v>Compact SUV</x:v>
      </x:c>
      <x:c r="H2756" s="7" t="n">
        <x:v>1199</x:v>
      </x:c>
      <x:c r="I2756" s="7" t="n">
        <x:v>118</x:v>
      </x:c>
      <x:c r="J2756" s="9" t="n">
        <x:v>17.2</x:v>
      </x:c>
      <x:c r="K2756" s="9" t="n">
        <x:v>13.5</x:v>
      </x:c>
      <x:c r="L2756" s="7" t="n">
        <x:v>2023</x:v>
      </x:c>
      <x:c r="M2756" s="11" t="n">
        <x:v>42180</x:v>
      </x:c>
      <x:c r="N2756" s="7" t="n">
        <x:v>1</x:v>
      </x:c>
      <x:c r="O2756" s="7" t="n">
        <x:v>0</x:v>
      </x:c>
      <x:c r="P2756" s="9" t="n">
        <x:v>9.61</x:v>
      </x:c>
      <x:c r="Q2756" s="7" t="n">
        <x:f>'Guide'!$B$5-L2756</x:f>
        <x:v>3</x:v>
      </x:c>
      <x:c r="R2756" s="9" t="n">
        <x:f>K2756-P2756</x:f>
        <x:v>3.8900000000000006</x:v>
      </x:c>
      <x:c r="S2756" s="10" t="n">
        <x:f>IF(K2756&gt;0,R2756/K2756,"")</x:f>
        <x:v>0.2881481481481482</x:v>
      </x:c>
    </x:row>
    <x:row r="2757">
      <x:c r="A2757" s="7" t="n">
        <x:v>2753</x:v>
      </x:c>
      <x:c r="B2757" s="7" t="str">
        <x:v>Tata</x:v>
      </x:c>
      <x:c r="C2757" s="7" t="str">
        <x:v>Nexon</x:v>
      </x:c>
      <x:c r="D2757" s="7" t="str">
        <x:v>Creative DCA</x:v>
      </x:c>
      <x:c r="E2757" s="7" t="str">
        <x:v>Petrol</x:v>
      </x:c>
      <x:c r="F2757" s="7" t="str">
        <x:v>Automatic</x:v>
      </x:c>
      <x:c r="G2757" s="7" t="str">
        <x:v>Compact SUV</x:v>
      </x:c>
      <x:c r="H2757" s="7" t="n">
        <x:v>1199</x:v>
      </x:c>
      <x:c r="I2757" s="7" t="n">
        <x:v>118</x:v>
      </x:c>
      <x:c r="J2757" s="9" t="n">
        <x:v>17.2</x:v>
      </x:c>
      <x:c r="K2757" s="9" t="n">
        <x:v>13.5</x:v>
      </x:c>
      <x:c r="L2757" s="7" t="n">
        <x:v>2026</x:v>
      </x:c>
      <x:c r="M2757" s="11" t="n">
        <x:v>6680</x:v>
      </x:c>
      <x:c r="N2757" s="7" t="n">
        <x:v>1</x:v>
      </x:c>
      <x:c r="O2757" s="7" t="n">
        <x:v>0</x:v>
      </x:c>
      <x:c r="P2757" s="9" t="n">
        <x:v>13.7</x:v>
      </x:c>
      <x:c r="Q2757" s="7" t="n">
        <x:f>'Guide'!$B$5-L2757</x:f>
        <x:v>0</x:v>
      </x:c>
      <x:c r="R2757" s="9" t="n">
        <x:f>K2757-P2757</x:f>
        <x:v>-0.1999999999999993</x:v>
      </x:c>
      <x:c r="S2757" s="10" t="n">
        <x:f>IF(K2757&gt;0,R2757/K2757,"")</x:f>
        <x:v>-0.014814814814814762</x:v>
      </x:c>
    </x:row>
    <x:row r="2758">
      <x:c r="A2758" s="7" t="n">
        <x:v>2754</x:v>
      </x:c>
      <x:c r="B2758" s="7" t="str">
        <x:v>Tata</x:v>
      </x:c>
      <x:c r="C2758" s="7" t="str">
        <x:v>Nexon</x:v>
      </x:c>
      <x:c r="D2758" s="7" t="str">
        <x:v>Creative DCA</x:v>
      </x:c>
      <x:c r="E2758" s="7" t="str">
        <x:v>Petrol</x:v>
      </x:c>
      <x:c r="F2758" s="7" t="str">
        <x:v>Automatic</x:v>
      </x:c>
      <x:c r="G2758" s="7" t="str">
        <x:v>Compact SUV</x:v>
      </x:c>
      <x:c r="H2758" s="7" t="n">
        <x:v>1199</x:v>
      </x:c>
      <x:c r="I2758" s="7" t="n">
        <x:v>118</x:v>
      </x:c>
      <x:c r="J2758" s="9" t="n">
        <x:v>17.2</x:v>
      </x:c>
      <x:c r="K2758" s="9" t="n">
        <x:v>13.5</x:v>
      </x:c>
      <x:c r="L2758" s="7" t="n">
        <x:v>2023</x:v>
      </x:c>
      <x:c r="M2758" s="11" t="n">
        <x:v>69661</x:v>
      </x:c>
      <x:c r="N2758" s="7" t="n">
        <x:v>1</x:v>
      </x:c>
      <x:c r="O2758" s="7" t="n">
        <x:v>0</x:v>
      </x:c>
      <x:c r="P2758" s="9" t="n">
        <x:v>9.14</x:v>
      </x:c>
      <x:c r="Q2758" s="7" t="n">
        <x:f>'Guide'!$B$5-L2758</x:f>
        <x:v>3</x:v>
      </x:c>
      <x:c r="R2758" s="9" t="n">
        <x:f>K2758-P2758</x:f>
        <x:v>4.359999999999999</x:v>
      </x:c>
      <x:c r="S2758" s="10" t="n">
        <x:f>IF(K2758&gt;0,R2758/K2758,"")</x:f>
        <x:v>0.3229629629629629</x:v>
      </x:c>
    </x:row>
    <x:row r="2759">
      <x:c r="A2759" s="7" t="n">
        <x:v>2755</x:v>
      </x:c>
      <x:c r="B2759" s="7" t="str">
        <x:v>Tata</x:v>
      </x:c>
      <x:c r="C2759" s="7" t="str">
        <x:v>Nexon</x:v>
      </x:c>
      <x:c r="D2759" s="7" t="str">
        <x:v>Creative DCA</x:v>
      </x:c>
      <x:c r="E2759" s="7" t="str">
        <x:v>Petrol</x:v>
      </x:c>
      <x:c r="F2759" s="7" t="str">
        <x:v>Automatic</x:v>
      </x:c>
      <x:c r="G2759" s="7" t="str">
        <x:v>Compact SUV</x:v>
      </x:c>
      <x:c r="H2759" s="7" t="n">
        <x:v>1199</x:v>
      </x:c>
      <x:c r="I2759" s="7" t="n">
        <x:v>118</x:v>
      </x:c>
      <x:c r="J2759" s="9" t="n">
        <x:v>17.2</x:v>
      </x:c>
      <x:c r="K2759" s="9" t="n">
        <x:v>13.5</x:v>
      </x:c>
      <x:c r="L2759" s="7" t="n">
        <x:v>2025</x:v>
      </x:c>
      <x:c r="M2759" s="11" t="n">
        <x:v>25093</x:v>
      </x:c>
      <x:c r="N2759" s="7" t="n">
        <x:v>1</x:v>
      </x:c>
      <x:c r="O2759" s="7" t="n">
        <x:v>0</x:v>
      </x:c>
      <x:c r="P2759" s="9" t="n">
        <x:v>11.78</x:v>
      </x:c>
      <x:c r="Q2759" s="7" t="n">
        <x:f>'Guide'!$B$5-L2759</x:f>
        <x:v>1</x:v>
      </x:c>
      <x:c r="R2759" s="9" t="n">
        <x:f>K2759-P2759</x:f>
        <x:v>1.7200000000000006</x:v>
      </x:c>
      <x:c r="S2759" s="10" t="n">
        <x:f>IF(K2759&gt;0,R2759/K2759,"")</x:f>
        <x:v>0.12740740740740744</x:v>
      </x:c>
    </x:row>
    <x:row r="2760">
      <x:c r="A2760" s="7" t="n">
        <x:v>2756</x:v>
      </x:c>
      <x:c r="B2760" s="7" t="str">
        <x:v>Tata</x:v>
      </x:c>
      <x:c r="C2760" s="7" t="str">
        <x:v>Nexon</x:v>
      </x:c>
      <x:c r="D2760" s="7" t="str">
        <x:v>Creative DCA</x:v>
      </x:c>
      <x:c r="E2760" s="7" t="str">
        <x:v>Petrol</x:v>
      </x:c>
      <x:c r="F2760" s="7" t="str">
        <x:v>Automatic</x:v>
      </x:c>
      <x:c r="G2760" s="7" t="str">
        <x:v>Compact SUV</x:v>
      </x:c>
      <x:c r="H2760" s="7" t="n">
        <x:v>1199</x:v>
      </x:c>
      <x:c r="I2760" s="7" t="n">
        <x:v>118</x:v>
      </x:c>
      <x:c r="J2760" s="9" t="n">
        <x:v>17.2</x:v>
      </x:c>
      <x:c r="K2760" s="9" t="n">
        <x:v>13.5</x:v>
      </x:c>
      <x:c r="L2760" s="7" t="n">
        <x:v>2025</x:v>
      </x:c>
      <x:c r="M2760" s="11" t="n">
        <x:v>14356</x:v>
      </x:c>
      <x:c r="N2760" s="7" t="n">
        <x:v>1</x:v>
      </x:c>
      <x:c r="O2760" s="7" t="n">
        <x:v>0</x:v>
      </x:c>
      <x:c r="P2760" s="9" t="n">
        <x:v>11.83</x:v>
      </x:c>
      <x:c r="Q2760" s="7" t="n">
        <x:f>'Guide'!$B$5-L2760</x:f>
        <x:v>1</x:v>
      </x:c>
      <x:c r="R2760" s="9" t="n">
        <x:f>K2760-P2760</x:f>
        <x:v>1.67</x:v>
      </x:c>
      <x:c r="S2760" s="10" t="n">
        <x:f>IF(K2760&gt;0,R2760/K2760,"")</x:f>
        <x:v>0.1237037037037037</x:v>
      </x:c>
    </x:row>
    <x:row r="2761">
      <x:c r="A2761" s="7" t="n">
        <x:v>2757</x:v>
      </x:c>
      <x:c r="B2761" s="7" t="str">
        <x:v>Tata</x:v>
      </x:c>
      <x:c r="C2761" s="7" t="str">
        <x:v>Nexon</x:v>
      </x:c>
      <x:c r="D2761" s="7" t="str">
        <x:v>Creative DCA</x:v>
      </x:c>
      <x:c r="E2761" s="7" t="str">
        <x:v>Petrol</x:v>
      </x:c>
      <x:c r="F2761" s="7" t="str">
        <x:v>Automatic</x:v>
      </x:c>
      <x:c r="G2761" s="7" t="str">
        <x:v>Compact SUV</x:v>
      </x:c>
      <x:c r="H2761" s="7" t="n">
        <x:v>1199</x:v>
      </x:c>
      <x:c r="I2761" s="7" t="n">
        <x:v>118</x:v>
      </x:c>
      <x:c r="J2761" s="9" t="n">
        <x:v>17.2</x:v>
      </x:c>
      <x:c r="K2761" s="9" t="n">
        <x:v>13.5</x:v>
      </x:c>
      <x:c r="L2761" s="7" t="n">
        <x:v>2022</x:v>
      </x:c>
      <x:c r="M2761" s="11" t="n">
        <x:v>37036</x:v>
      </x:c>
      <x:c r="N2761" s="7" t="n">
        <x:v>1</x:v>
      </x:c>
      <x:c r="O2761" s="7" t="n">
        <x:v>1</x:v>
      </x:c>
      <x:c r="P2761" s="9" t="n">
        <x:v>7.94</x:v>
      </x:c>
      <x:c r="Q2761" s="7" t="n">
        <x:f>'Guide'!$B$5-L2761</x:f>
        <x:v>4</x:v>
      </x:c>
      <x:c r="R2761" s="9" t="n">
        <x:f>K2761-P2761</x:f>
        <x:v>5.56</x:v>
      </x:c>
      <x:c r="S2761" s="10" t="n">
        <x:f>IF(K2761&gt;0,R2761/K2761,"")</x:f>
        <x:v>0.4118518518518518</x:v>
      </x:c>
    </x:row>
    <x:row r="2762">
      <x:c r="A2762" s="7" t="n">
        <x:v>2758</x:v>
      </x:c>
      <x:c r="B2762" s="7" t="str">
        <x:v>Tata</x:v>
      </x:c>
      <x:c r="C2762" s="7" t="str">
        <x:v>Nexon</x:v>
      </x:c>
      <x:c r="D2762" s="7" t="str">
        <x:v>Creative DCA</x:v>
      </x:c>
      <x:c r="E2762" s="7" t="str">
        <x:v>Petrol</x:v>
      </x:c>
      <x:c r="F2762" s="7" t="str">
        <x:v>Automatic</x:v>
      </x:c>
      <x:c r="G2762" s="7" t="str">
        <x:v>Compact SUV</x:v>
      </x:c>
      <x:c r="H2762" s="7" t="n">
        <x:v>1199</x:v>
      </x:c>
      <x:c r="I2762" s="7" t="n">
        <x:v>118</x:v>
      </x:c>
      <x:c r="J2762" s="9" t="n">
        <x:v>17.2</x:v>
      </x:c>
      <x:c r="K2762" s="9" t="n">
        <x:v>13.5</x:v>
      </x:c>
      <x:c r="L2762" s="7" t="n">
        <x:v>2026</x:v>
      </x:c>
      <x:c r="M2762" s="11" t="n">
        <x:v>9504</x:v>
      </x:c>
      <x:c r="N2762" s="7" t="n">
        <x:v>1</x:v>
      </x:c>
      <x:c r="O2762" s="7" t="n">
        <x:v>0</x:v>
      </x:c>
      <x:c r="P2762" s="9" t="n">
        <x:v>13.52</x:v>
      </x:c>
      <x:c r="Q2762" s="7" t="n">
        <x:f>'Guide'!$B$5-L2762</x:f>
        <x:v>0</x:v>
      </x:c>
      <x:c r="R2762" s="9" t="n">
        <x:f>K2762-P2762</x:f>
        <x:v>-0.019999999999999574</x:v>
      </x:c>
      <x:c r="S2762" s="10" t="n">
        <x:f>IF(K2762&gt;0,R2762/K2762,"")</x:f>
        <x:v>-0.00148148148148145</x:v>
      </x:c>
    </x:row>
    <x:row r="2763">
      <x:c r="A2763" s="7" t="n">
        <x:v>2759</x:v>
      </x:c>
      <x:c r="B2763" s="7" t="str">
        <x:v>Tata</x:v>
      </x:c>
      <x:c r="C2763" s="7" t="str">
        <x:v>Nexon</x:v>
      </x:c>
      <x:c r="D2763" s="7" t="str">
        <x:v>Creative DCA</x:v>
      </x:c>
      <x:c r="E2763" s="7" t="str">
        <x:v>Petrol</x:v>
      </x:c>
      <x:c r="F2763" s="7" t="str">
        <x:v>Automatic</x:v>
      </x:c>
      <x:c r="G2763" s="7" t="str">
        <x:v>Compact SUV</x:v>
      </x:c>
      <x:c r="H2763" s="7" t="n">
        <x:v>1199</x:v>
      </x:c>
      <x:c r="I2763" s="7" t="n">
        <x:v>118</x:v>
      </x:c>
      <x:c r="J2763" s="9" t="n">
        <x:v>17.2</x:v>
      </x:c>
      <x:c r="K2763" s="9" t="n">
        <x:v>13.5</x:v>
      </x:c>
      <x:c r="L2763" s="7" t="n">
        <x:v>2026</x:v>
      </x:c>
      <x:c r="M2763" s="11" t="n">
        <x:v>4485</x:v>
      </x:c>
      <x:c r="N2763" s="7" t="n">
        <x:v>1</x:v>
      </x:c>
      <x:c r="O2763" s="7" t="n">
        <x:v>0</x:v>
      </x:c>
      <x:c r="P2763" s="9" t="n">
        <x:v>13.4</x:v>
      </x:c>
      <x:c r="Q2763" s="7" t="n">
        <x:f>'Guide'!$B$5-L2763</x:f>
        <x:v>0</x:v>
      </x:c>
      <x:c r="R2763" s="9" t="n">
        <x:f>K2763-P2763</x:f>
        <x:v>0.09999999999999964</x:v>
      </x:c>
      <x:c r="S2763" s="10" t="n">
        <x:f>IF(K2763&gt;0,R2763/K2763,"")</x:f>
        <x:v>0.007407407407407381</x:v>
      </x:c>
    </x:row>
    <x:row r="2764">
      <x:c r="A2764" s="7" t="n">
        <x:v>2760</x:v>
      </x:c>
      <x:c r="B2764" s="7" t="str">
        <x:v>Tata</x:v>
      </x:c>
      <x:c r="C2764" s="7" t="str">
        <x:v>Nexon</x:v>
      </x:c>
      <x:c r="D2764" s="7" t="str">
        <x:v>Creative DCA</x:v>
      </x:c>
      <x:c r="E2764" s="7" t="str">
        <x:v>Petrol</x:v>
      </x:c>
      <x:c r="F2764" s="7" t="str">
        <x:v>Automatic</x:v>
      </x:c>
      <x:c r="G2764" s="7" t="str">
        <x:v>Compact SUV</x:v>
      </x:c>
      <x:c r="H2764" s="7" t="n">
        <x:v>1199</x:v>
      </x:c>
      <x:c r="I2764" s="7" t="n">
        <x:v>118</x:v>
      </x:c>
      <x:c r="J2764" s="9" t="n">
        <x:v>17.2</x:v>
      </x:c>
      <x:c r="K2764" s="9" t="n">
        <x:v>13.5</x:v>
      </x:c>
      <x:c r="L2764" s="7" t="n">
        <x:v>2020</x:v>
      </x:c>
      <x:c r="M2764" s="11" t="n">
        <x:v>52160</x:v>
      </x:c>
      <x:c r="N2764" s="7" t="n">
        <x:v>1</x:v>
      </x:c>
      <x:c r="O2764" s="7" t="n">
        <x:v>0</x:v>
      </x:c>
      <x:c r="P2764" s="9" t="n">
        <x:v>6.39</x:v>
      </x:c>
      <x:c r="Q2764" s="7" t="n">
        <x:f>'Guide'!$B$5-L2764</x:f>
        <x:v>6</x:v>
      </x:c>
      <x:c r="R2764" s="9" t="n">
        <x:f>K2764-P2764</x:f>
        <x:v>7.11</x:v>
      </x:c>
      <x:c r="S2764" s="10" t="n">
        <x:f>IF(K2764&gt;0,R2764/K2764,"")</x:f>
        <x:v>0.5266666666666667</x:v>
      </x:c>
    </x:row>
    <x:row r="2765">
      <x:c r="A2765" s="7" t="n">
        <x:v>2761</x:v>
      </x:c>
      <x:c r="B2765" s="7" t="str">
        <x:v>Tata</x:v>
      </x:c>
      <x:c r="C2765" s="7" t="str">
        <x:v>Nexon</x:v>
      </x:c>
      <x:c r="D2765" s="7" t="str">
        <x:v>Creative DCA</x:v>
      </x:c>
      <x:c r="E2765" s="7" t="str">
        <x:v>Petrol</x:v>
      </x:c>
      <x:c r="F2765" s="7" t="str">
        <x:v>Automatic</x:v>
      </x:c>
      <x:c r="G2765" s="7" t="str">
        <x:v>Compact SUV</x:v>
      </x:c>
      <x:c r="H2765" s="7" t="n">
        <x:v>1199</x:v>
      </x:c>
      <x:c r="I2765" s="7" t="n">
        <x:v>118</x:v>
      </x:c>
      <x:c r="J2765" s="9" t="n">
        <x:v>17.2</x:v>
      </x:c>
      <x:c r="K2765" s="9" t="n">
        <x:v>13.5</x:v>
      </x:c>
      <x:c r="L2765" s="7" t="n">
        <x:v>2026</x:v>
      </x:c>
      <x:c r="M2765" s="11" t="n">
        <x:v>7949</x:v>
      </x:c>
      <x:c r="N2765" s="7" t="n">
        <x:v>1</x:v>
      </x:c>
      <x:c r="O2765" s="7" t="n">
        <x:v>0</x:v>
      </x:c>
      <x:c r="P2765" s="9" t="n">
        <x:v>13.06</x:v>
      </x:c>
      <x:c r="Q2765" s="7" t="n">
        <x:f>'Guide'!$B$5-L2765</x:f>
        <x:v>0</x:v>
      </x:c>
      <x:c r="R2765" s="9" t="n">
        <x:f>K2765-P2765</x:f>
        <x:v>0.4399999999999995</x:v>
      </x:c>
      <x:c r="S2765" s="10" t="n">
        <x:f>IF(K2765&gt;0,R2765/K2765,"")</x:f>
        <x:v>0.032592592592592555</x:v>
      </x:c>
    </x:row>
    <x:row r="2766">
      <x:c r="A2766" s="7" t="n">
        <x:v>2762</x:v>
      </x:c>
      <x:c r="B2766" s="7" t="str">
        <x:v>Tata</x:v>
      </x:c>
      <x:c r="C2766" s="7" t="str">
        <x:v>Nexon</x:v>
      </x:c>
      <x:c r="D2766" s="7" t="str">
        <x:v>Creative DCA</x:v>
      </x:c>
      <x:c r="E2766" s="7" t="str">
        <x:v>Petrol</x:v>
      </x:c>
      <x:c r="F2766" s="7" t="str">
        <x:v>Automatic</x:v>
      </x:c>
      <x:c r="G2766" s="7" t="str">
        <x:v>Compact SUV</x:v>
      </x:c>
      <x:c r="H2766" s="7" t="n">
        <x:v>1199</x:v>
      </x:c>
      <x:c r="I2766" s="7" t="n">
        <x:v>118</x:v>
      </x:c>
      <x:c r="J2766" s="9" t="n">
        <x:v>17.2</x:v>
      </x:c>
      <x:c r="K2766" s="9" t="n">
        <x:v>13.5</x:v>
      </x:c>
      <x:c r="L2766" s="7" t="n">
        <x:v>2025</x:v>
      </x:c>
      <x:c r="M2766" s="11" t="n">
        <x:v>25555</x:v>
      </x:c>
      <x:c r="N2766" s="7" t="n">
        <x:v>2</x:v>
      </x:c>
      <x:c r="O2766" s="7" t="n">
        <x:v>0</x:v>
      </x:c>
      <x:c r="P2766" s="9" t="n">
        <x:v>11.94</x:v>
      </x:c>
      <x:c r="Q2766" s="7" t="n">
        <x:f>'Guide'!$B$5-L2766</x:f>
        <x:v>1</x:v>
      </x:c>
      <x:c r="R2766" s="9" t="n">
        <x:f>K2766-P2766</x:f>
        <x:v>1.5600000000000005</x:v>
      </x:c>
      <x:c r="S2766" s="10" t="n">
        <x:f>IF(K2766&gt;0,R2766/K2766,"")</x:f>
        <x:v>0.11555555555555559</x:v>
      </x:c>
    </x:row>
    <x:row r="2767">
      <x:c r="A2767" s="7" t="n">
        <x:v>2763</x:v>
      </x:c>
      <x:c r="B2767" s="7" t="str">
        <x:v>Tata</x:v>
      </x:c>
      <x:c r="C2767" s="7" t="str">
        <x:v>Nexon</x:v>
      </x:c>
      <x:c r="D2767" s="7" t="str">
        <x:v>Creative DCA</x:v>
      </x:c>
      <x:c r="E2767" s="7" t="str">
        <x:v>Petrol</x:v>
      </x:c>
      <x:c r="F2767" s="7" t="str">
        <x:v>Automatic</x:v>
      </x:c>
      <x:c r="G2767" s="7" t="str">
        <x:v>Compact SUV</x:v>
      </x:c>
      <x:c r="H2767" s="7" t="n">
        <x:v>1199</x:v>
      </x:c>
      <x:c r="I2767" s="7" t="n">
        <x:v>118</x:v>
      </x:c>
      <x:c r="J2767" s="9" t="n">
        <x:v>17.2</x:v>
      </x:c>
      <x:c r="K2767" s="9" t="n">
        <x:v>13.5</x:v>
      </x:c>
      <x:c r="L2767" s="7" t="n">
        <x:v>2021</x:v>
      </x:c>
      <x:c r="M2767" s="11" t="n">
        <x:v>102936</x:v>
      </x:c>
      <x:c r="N2767" s="7" t="n">
        <x:v>2</x:v>
      </x:c>
      <x:c r="O2767" s="7" t="n">
        <x:v>1</x:v>
      </x:c>
      <x:c r="P2767" s="9" t="n">
        <x:v>5.01</x:v>
      </x:c>
      <x:c r="Q2767" s="7" t="n">
        <x:f>'Guide'!$B$5-L2767</x:f>
        <x:v>5</x:v>
      </x:c>
      <x:c r="R2767" s="9" t="n">
        <x:f>K2767-P2767</x:f>
        <x:v>8.49</x:v>
      </x:c>
      <x:c r="S2767" s="10" t="n">
        <x:f>IF(K2767&gt;0,R2767/K2767,"")</x:f>
        <x:v>0.6288888888888889</x:v>
      </x:c>
    </x:row>
    <x:row r="2768">
      <x:c r="A2768" s="7" t="n">
        <x:v>2764</x:v>
      </x:c>
      <x:c r="B2768" s="7" t="str">
        <x:v>Tata</x:v>
      </x:c>
      <x:c r="C2768" s="7" t="str">
        <x:v>Nexon</x:v>
      </x:c>
      <x:c r="D2768" s="7" t="str">
        <x:v>Creative DCA</x:v>
      </x:c>
      <x:c r="E2768" s="7" t="str">
        <x:v>Petrol</x:v>
      </x:c>
      <x:c r="F2768" s="7" t="str">
        <x:v>Automatic</x:v>
      </x:c>
      <x:c r="G2768" s="7" t="str">
        <x:v>Compact SUV</x:v>
      </x:c>
      <x:c r="H2768" s="7" t="n">
        <x:v>1199</x:v>
      </x:c>
      <x:c r="I2768" s="7" t="n">
        <x:v>118</x:v>
      </x:c>
      <x:c r="J2768" s="9" t="n">
        <x:v>17.2</x:v>
      </x:c>
      <x:c r="K2768" s="9" t="n">
        <x:v>13.5</x:v>
      </x:c>
      <x:c r="L2768" s="7" t="n">
        <x:v>2026</x:v>
      </x:c>
      <x:c r="M2768" s="11" t="n">
        <x:v>5949</x:v>
      </x:c>
      <x:c r="N2768" s="7" t="n">
        <x:v>1</x:v>
      </x:c>
      <x:c r="O2768" s="7" t="n">
        <x:v>0</x:v>
      </x:c>
      <x:c r="P2768" s="9" t="n">
        <x:v>13.68</x:v>
      </x:c>
      <x:c r="Q2768" s="7" t="n">
        <x:f>'Guide'!$B$5-L2768</x:f>
        <x:v>0</x:v>
      </x:c>
      <x:c r="R2768" s="9" t="n">
        <x:f>K2768-P2768</x:f>
        <x:v>-0.17999999999999972</x:v>
      </x:c>
      <x:c r="S2768" s="10" t="n">
        <x:f>IF(K2768&gt;0,R2768/K2768,"")</x:f>
        <x:v>-0.013333333333333312</x:v>
      </x:c>
    </x:row>
    <x:row r="2769">
      <x:c r="A2769" s="7" t="n">
        <x:v>2765</x:v>
      </x:c>
      <x:c r="B2769" s="7" t="str">
        <x:v>Tata</x:v>
      </x:c>
      <x:c r="C2769" s="7" t="str">
        <x:v>Nexon</x:v>
      </x:c>
      <x:c r="D2769" s="7" t="str">
        <x:v>Creative DCA</x:v>
      </x:c>
      <x:c r="E2769" s="7" t="str">
        <x:v>Petrol</x:v>
      </x:c>
      <x:c r="F2769" s="7" t="str">
        <x:v>Automatic</x:v>
      </x:c>
      <x:c r="G2769" s="7" t="str">
        <x:v>Compact SUV</x:v>
      </x:c>
      <x:c r="H2769" s="7" t="n">
        <x:v>1199</x:v>
      </x:c>
      <x:c r="I2769" s="7" t="n">
        <x:v>118</x:v>
      </x:c>
      <x:c r="J2769" s="9" t="n">
        <x:v>17.2</x:v>
      </x:c>
      <x:c r="K2769" s="9" t="n">
        <x:v>13.5</x:v>
      </x:c>
      <x:c r="L2769" s="7" t="n">
        <x:v>2024</x:v>
      </x:c>
      <x:c r="M2769" s="11" t="n">
        <x:v>31111</x:v>
      </x:c>
      <x:c r="N2769" s="7" t="n">
        <x:v>2</x:v>
      </x:c>
      <x:c r="O2769" s="7" t="n">
        <x:v>0</x:v>
      </x:c>
      <x:c r="P2769" s="9" t="n">
        <x:v>10.56</x:v>
      </x:c>
      <x:c r="Q2769" s="7" t="n">
        <x:f>'Guide'!$B$5-L2769</x:f>
        <x:v>2</x:v>
      </x:c>
      <x:c r="R2769" s="9" t="n">
        <x:f>K2769-P2769</x:f>
        <x:v>2.9399999999999995</x:v>
      </x:c>
      <x:c r="S2769" s="10" t="n">
        <x:f>IF(K2769&gt;0,R2769/K2769,"")</x:f>
        <x:v>0.21777777777777774</x:v>
      </x:c>
    </x:row>
    <x:row r="2770">
      <x:c r="A2770" s="7" t="n">
        <x:v>2766</x:v>
      </x:c>
      <x:c r="B2770" s="7" t="str">
        <x:v>Tata</x:v>
      </x:c>
      <x:c r="C2770" s="7" t="str">
        <x:v>Nexon</x:v>
      </x:c>
      <x:c r="D2770" s="7" t="str">
        <x:v>Creative DCA</x:v>
      </x:c>
      <x:c r="E2770" s="7" t="str">
        <x:v>Petrol</x:v>
      </x:c>
      <x:c r="F2770" s="7" t="str">
        <x:v>Automatic</x:v>
      </x:c>
      <x:c r="G2770" s="7" t="str">
        <x:v>Compact SUV</x:v>
      </x:c>
      <x:c r="H2770" s="7" t="n">
        <x:v>1199</x:v>
      </x:c>
      <x:c r="I2770" s="7" t="n">
        <x:v>118</x:v>
      </x:c>
      <x:c r="J2770" s="9" t="n">
        <x:v>17.2</x:v>
      </x:c>
      <x:c r="K2770" s="9" t="n">
        <x:v>13.5</x:v>
      </x:c>
      <x:c r="L2770" s="7" t="n">
        <x:v>2020</x:v>
      </x:c>
      <x:c r="M2770" s="11" t="n">
        <x:v>73516</x:v>
      </x:c>
      <x:c r="N2770" s="7" t="n">
        <x:v>1</x:v>
      </x:c>
      <x:c r="O2770" s="7" t="n">
        <x:v>0</x:v>
      </x:c>
      <x:c r="P2770" s="9" t="n">
        <x:v>6.11</x:v>
      </x:c>
      <x:c r="Q2770" s="7" t="n">
        <x:f>'Guide'!$B$5-L2770</x:f>
        <x:v>6</x:v>
      </x:c>
      <x:c r="R2770" s="9" t="n">
        <x:f>K2770-P2770</x:f>
        <x:v>7.39</x:v>
      </x:c>
      <x:c r="S2770" s="10" t="n">
        <x:f>IF(K2770&gt;0,R2770/K2770,"")</x:f>
        <x:v>0.5474074074074073</x:v>
      </x:c>
    </x:row>
    <x:row r="2771">
      <x:c r="A2771" s="7" t="n">
        <x:v>2767</x:v>
      </x:c>
      <x:c r="B2771" s="7" t="str">
        <x:v>Tata</x:v>
      </x:c>
      <x:c r="C2771" s="7" t="str">
        <x:v>Nexon</x:v>
      </x:c>
      <x:c r="D2771" s="7" t="str">
        <x:v>Creative DCA</x:v>
      </x:c>
      <x:c r="E2771" s="7" t="str">
        <x:v>Petrol</x:v>
      </x:c>
      <x:c r="F2771" s="7" t="str">
        <x:v>Automatic</x:v>
      </x:c>
      <x:c r="G2771" s="7" t="str">
        <x:v>Compact SUV</x:v>
      </x:c>
      <x:c r="H2771" s="7" t="n">
        <x:v>1199</x:v>
      </x:c>
      <x:c r="I2771" s="7" t="n">
        <x:v>118</x:v>
      </x:c>
      <x:c r="J2771" s="9" t="n">
        <x:v>17.2</x:v>
      </x:c>
      <x:c r="K2771" s="9" t="n">
        <x:v>13.5</x:v>
      </x:c>
      <x:c r="L2771" s="7" t="n">
        <x:v>2023</x:v>
      </x:c>
      <x:c r="M2771" s="11" t="n">
        <x:v>30078</x:v>
      </x:c>
      <x:c r="N2771" s="7" t="n">
        <x:v>1</x:v>
      </x:c>
      <x:c r="O2771" s="7" t="n">
        <x:v>0</x:v>
      </x:c>
      <x:c r="P2771" s="9" t="n">
        <x:v>9.73</x:v>
      </x:c>
      <x:c r="Q2771" s="7" t="n">
        <x:f>'Guide'!$B$5-L2771</x:f>
        <x:v>3</x:v>
      </x:c>
      <x:c r="R2771" s="9" t="n">
        <x:f>K2771-P2771</x:f>
        <x:v>3.7699999999999996</x:v>
      </x:c>
      <x:c r="S2771" s="10" t="n">
        <x:f>IF(K2771&gt;0,R2771/K2771,"")</x:f>
        <x:v>0.2792592592592592</x:v>
      </x:c>
    </x:row>
    <x:row r="2772">
      <x:c r="A2772" s="7" t="n">
        <x:v>2768</x:v>
      </x:c>
      <x:c r="B2772" s="7" t="str">
        <x:v>Tata</x:v>
      </x:c>
      <x:c r="C2772" s="7" t="str">
        <x:v>Nexon</x:v>
      </x:c>
      <x:c r="D2772" s="7" t="str">
        <x:v>Creative DCA</x:v>
      </x:c>
      <x:c r="E2772" s="7" t="str">
        <x:v>Petrol</x:v>
      </x:c>
      <x:c r="F2772" s="7" t="str">
        <x:v>Automatic</x:v>
      </x:c>
      <x:c r="G2772" s="7" t="str">
        <x:v>Compact SUV</x:v>
      </x:c>
      <x:c r="H2772" s="7" t="n">
        <x:v>1199</x:v>
      </x:c>
      <x:c r="I2772" s="7" t="n">
        <x:v>118</x:v>
      </x:c>
      <x:c r="J2772" s="9" t="n">
        <x:v>17.2</x:v>
      </x:c>
      <x:c r="K2772" s="9" t="n">
        <x:v>13.5</x:v>
      </x:c>
      <x:c r="L2772" s="7" t="n">
        <x:v>2023</x:v>
      </x:c>
      <x:c r="M2772" s="11" t="n">
        <x:v>57994</x:v>
      </x:c>
      <x:c r="N2772" s="7" t="n">
        <x:v>1</x:v>
      </x:c>
      <x:c r="O2772" s="7" t="n">
        <x:v>0</x:v>
      </x:c>
      <x:c r="P2772" s="9" t="n">
        <x:v>9.04</x:v>
      </x:c>
      <x:c r="Q2772" s="7" t="n">
        <x:f>'Guide'!$B$5-L2772</x:f>
        <x:v>3</x:v>
      </x:c>
      <x:c r="R2772" s="9" t="n">
        <x:f>K2772-P2772</x:f>
        <x:v>4.460000000000001</x:v>
      </x:c>
      <x:c r="S2772" s="10" t="n">
        <x:f>IF(K2772&gt;0,R2772/K2772,"")</x:f>
        <x:v>0.3303703703703704</x:v>
      </x:c>
    </x:row>
    <x:row r="2773">
      <x:c r="A2773" s="7" t="n">
        <x:v>2769</x:v>
      </x:c>
      <x:c r="B2773" s="7" t="str">
        <x:v>Tata</x:v>
      </x:c>
      <x:c r="C2773" s="7" t="str">
        <x:v>Nexon</x:v>
      </x:c>
      <x:c r="D2773" s="7" t="str">
        <x:v>Creative DCA</x:v>
      </x:c>
      <x:c r="E2773" s="7" t="str">
        <x:v>Petrol</x:v>
      </x:c>
      <x:c r="F2773" s="7" t="str">
        <x:v>Automatic</x:v>
      </x:c>
      <x:c r="G2773" s="7" t="str">
        <x:v>Compact SUV</x:v>
      </x:c>
      <x:c r="H2773" s="7" t="n">
        <x:v>1199</x:v>
      </x:c>
      <x:c r="I2773" s="7" t="n">
        <x:v>118</x:v>
      </x:c>
      <x:c r="J2773" s="9" t="n">
        <x:v>17.2</x:v>
      </x:c>
      <x:c r="K2773" s="9" t="n">
        <x:v>13.5</x:v>
      </x:c>
      <x:c r="L2773" s="7" t="n">
        <x:v>2025</x:v>
      </x:c>
      <x:c r="M2773" s="11" t="n">
        <x:v>21439</x:v>
      </x:c>
      <x:c r="N2773" s="7" t="n">
        <x:v>1</x:v>
      </x:c>
      <x:c r="O2773" s="7" t="n">
        <x:v>0</x:v>
      </x:c>
      <x:c r="P2773" s="9" t="n">
        <x:v>11.88</x:v>
      </x:c>
      <x:c r="Q2773" s="7" t="n">
        <x:f>'Guide'!$B$5-L2773</x:f>
        <x:v>1</x:v>
      </x:c>
      <x:c r="R2773" s="9" t="n">
        <x:f>K2773-P2773</x:f>
        <x:v>1.6199999999999992</x:v>
      </x:c>
      <x:c r="S2773" s="10" t="n">
        <x:f>IF(K2773&gt;0,R2773/K2773,"")</x:f>
        <x:v>0.11999999999999994</x:v>
      </x:c>
    </x:row>
    <x:row r="2774">
      <x:c r="A2774" s="7" t="n">
        <x:v>2770</x:v>
      </x:c>
      <x:c r="B2774" s="7" t="str">
        <x:v>Tata</x:v>
      </x:c>
      <x:c r="C2774" s="7" t="str">
        <x:v>Nexon</x:v>
      </x:c>
      <x:c r="D2774" s="7" t="str">
        <x:v>Creative DCA</x:v>
      </x:c>
      <x:c r="E2774" s="7" t="str">
        <x:v>Petrol</x:v>
      </x:c>
      <x:c r="F2774" s="7" t="str">
        <x:v>Automatic</x:v>
      </x:c>
      <x:c r="G2774" s="7" t="str">
        <x:v>Compact SUV</x:v>
      </x:c>
      <x:c r="H2774" s="7" t="n">
        <x:v>1199</x:v>
      </x:c>
      <x:c r="I2774" s="7" t="n">
        <x:v>118</x:v>
      </x:c>
      <x:c r="J2774" s="9" t="n">
        <x:v>17.2</x:v>
      </x:c>
      <x:c r="K2774" s="9" t="n">
        <x:v>13.5</x:v>
      </x:c>
      <x:c r="L2774" s="7" t="n">
        <x:v>2026</x:v>
      </x:c>
      <x:c r="M2774" s="11" t="n">
        <x:v>6738</x:v>
      </x:c>
      <x:c r="N2774" s="7" t="n">
        <x:v>3</x:v>
      </x:c>
      <x:c r="O2774" s="7" t="n">
        <x:v>0</x:v>
      </x:c>
      <x:c r="P2774" s="9" t="n">
        <x:v>12.7</x:v>
      </x:c>
      <x:c r="Q2774" s="7" t="n">
        <x:f>'Guide'!$B$5-L2774</x:f>
        <x:v>0</x:v>
      </x:c>
      <x:c r="R2774" s="9" t="n">
        <x:f>K2774-P2774</x:f>
        <x:v>0.8000000000000007</x:v>
      </x:c>
      <x:c r="S2774" s="10" t="n">
        <x:f>IF(K2774&gt;0,R2774/K2774,"")</x:f>
        <x:v>0.05925925925925931</x:v>
      </x:c>
    </x:row>
    <x:row r="2775">
      <x:c r="A2775" s="7" t="n">
        <x:v>2771</x:v>
      </x:c>
      <x:c r="B2775" s="7" t="str">
        <x:v>Tata</x:v>
      </x:c>
      <x:c r="C2775" s="7" t="str">
        <x:v>Nexon</x:v>
      </x:c>
      <x:c r="D2775" s="7" t="str">
        <x:v>Creative DCA</x:v>
      </x:c>
      <x:c r="E2775" s="7" t="str">
        <x:v>Petrol</x:v>
      </x:c>
      <x:c r="F2775" s="7" t="str">
        <x:v>Automatic</x:v>
      </x:c>
      <x:c r="G2775" s="7" t="str">
        <x:v>Compact SUV</x:v>
      </x:c>
      <x:c r="H2775" s="7" t="n">
        <x:v>1199</x:v>
      </x:c>
      <x:c r="I2775" s="7" t="n">
        <x:v>118</x:v>
      </x:c>
      <x:c r="J2775" s="9" t="n">
        <x:v>17.2</x:v>
      </x:c>
      <x:c r="K2775" s="9" t="n">
        <x:v>13.5</x:v>
      </x:c>
      <x:c r="L2775" s="7" t="n">
        <x:v>2022</x:v>
      </x:c>
      <x:c r="M2775" s="11" t="n">
        <x:v>55115</x:v>
      </x:c>
      <x:c r="N2775" s="7" t="n">
        <x:v>2</x:v>
      </x:c>
      <x:c r="O2775" s="7" t="n">
        <x:v>0</x:v>
      </x:c>
      <x:c r="P2775" s="9" t="n">
        <x:v>7.91</x:v>
      </x:c>
      <x:c r="Q2775" s="7" t="n">
        <x:f>'Guide'!$B$5-L2775</x:f>
        <x:v>4</x:v>
      </x:c>
      <x:c r="R2775" s="9" t="n">
        <x:f>K2775-P2775</x:f>
        <x:v>5.59</x:v>
      </x:c>
      <x:c r="S2775" s="10" t="n">
        <x:f>IF(K2775&gt;0,R2775/K2775,"")</x:f>
        <x:v>0.41407407407407404</x:v>
      </x:c>
    </x:row>
    <x:row r="2776">
      <x:c r="A2776" s="7" t="n">
        <x:v>2772</x:v>
      </x:c>
      <x:c r="B2776" s="7" t="str">
        <x:v>Tata</x:v>
      </x:c>
      <x:c r="C2776" s="7" t="str">
        <x:v>Nexon</x:v>
      </x:c>
      <x:c r="D2776" s="7" t="str">
        <x:v>Creative DCA</x:v>
      </x:c>
      <x:c r="E2776" s="7" t="str">
        <x:v>Petrol</x:v>
      </x:c>
      <x:c r="F2776" s="7" t="str">
        <x:v>Automatic</x:v>
      </x:c>
      <x:c r="G2776" s="7" t="str">
        <x:v>Compact SUV</x:v>
      </x:c>
      <x:c r="H2776" s="7" t="n">
        <x:v>1199</x:v>
      </x:c>
      <x:c r="I2776" s="7" t="n">
        <x:v>118</x:v>
      </x:c>
      <x:c r="J2776" s="9" t="n">
        <x:v>17.2</x:v>
      </x:c>
      <x:c r="K2776" s="9" t="n">
        <x:v>13.5</x:v>
      </x:c>
      <x:c r="L2776" s="7" t="n">
        <x:v>2020</x:v>
      </x:c>
      <x:c r="M2776" s="11" t="n">
        <x:v>92094</x:v>
      </x:c>
      <x:c r="N2776" s="7" t="n">
        <x:v>1</x:v>
      </x:c>
      <x:c r="O2776" s="7" t="n">
        <x:v>0</x:v>
      </x:c>
      <x:c r="P2776" s="9" t="n">
        <x:v>5.21</x:v>
      </x:c>
      <x:c r="Q2776" s="7" t="n">
        <x:f>'Guide'!$B$5-L2776</x:f>
        <x:v>6</x:v>
      </x:c>
      <x:c r="R2776" s="9" t="n">
        <x:f>K2776-P2776</x:f>
        <x:v>8.29</x:v>
      </x:c>
      <x:c r="S2776" s="10" t="n">
        <x:f>IF(K2776&gt;0,R2776/K2776,"")</x:f>
        <x:v>0.614074074074074</x:v>
      </x:c>
    </x:row>
    <x:row r="2777">
      <x:c r="A2777" s="7" t="n">
        <x:v>2773</x:v>
      </x:c>
      <x:c r="B2777" s="7" t="str">
        <x:v>Tata</x:v>
      </x:c>
      <x:c r="C2777" s="7" t="str">
        <x:v>Nexon</x:v>
      </x:c>
      <x:c r="D2777" s="7" t="str">
        <x:v>Creative DCA</x:v>
      </x:c>
      <x:c r="E2777" s="7" t="str">
        <x:v>Petrol</x:v>
      </x:c>
      <x:c r="F2777" s="7" t="str">
        <x:v>Automatic</x:v>
      </x:c>
      <x:c r="G2777" s="7" t="str">
        <x:v>Compact SUV</x:v>
      </x:c>
      <x:c r="H2777" s="7" t="n">
        <x:v>1199</x:v>
      </x:c>
      <x:c r="I2777" s="7" t="n">
        <x:v>118</x:v>
      </x:c>
      <x:c r="J2777" s="9" t="n">
        <x:v>17.2</x:v>
      </x:c>
      <x:c r="K2777" s="9" t="n">
        <x:v>13.5</x:v>
      </x:c>
      <x:c r="L2777" s="7" t="n">
        <x:v>2026</x:v>
      </x:c>
      <x:c r="M2777" s="11" t="n">
        <x:v>6538</x:v>
      </x:c>
      <x:c r="N2777" s="7" t="n">
        <x:v>2</x:v>
      </x:c>
      <x:c r="O2777" s="7" t="n">
        <x:v>0</x:v>
      </x:c>
      <x:c r="P2777" s="9" t="n">
        <x:v>13.29</x:v>
      </x:c>
      <x:c r="Q2777" s="7" t="n">
        <x:f>'Guide'!$B$5-L2777</x:f>
        <x:v>0</x:v>
      </x:c>
      <x:c r="R2777" s="9" t="n">
        <x:f>K2777-P2777</x:f>
        <x:v>0.21000000000000085</x:v>
      </x:c>
      <x:c r="S2777" s="10" t="n">
        <x:f>IF(K2777&gt;0,R2777/K2777,"")</x:f>
        <x:v>0.01555555555555562</x:v>
      </x:c>
    </x:row>
    <x:row r="2778">
      <x:c r="A2778" s="7" t="n">
        <x:v>2774</x:v>
      </x:c>
      <x:c r="B2778" s="7" t="str">
        <x:v>Tata</x:v>
      </x:c>
      <x:c r="C2778" s="7" t="str">
        <x:v>Nexon</x:v>
      </x:c>
      <x:c r="D2778" s="7" t="str">
        <x:v>Creative DCA</x:v>
      </x:c>
      <x:c r="E2778" s="7" t="str">
        <x:v>Petrol</x:v>
      </x:c>
      <x:c r="F2778" s="7" t="str">
        <x:v>Automatic</x:v>
      </x:c>
      <x:c r="G2778" s="7" t="str">
        <x:v>Compact SUV</x:v>
      </x:c>
      <x:c r="H2778" s="7" t="n">
        <x:v>1199</x:v>
      </x:c>
      <x:c r="I2778" s="7" t="n">
        <x:v>118</x:v>
      </x:c>
      <x:c r="J2778" s="9" t="n">
        <x:v>17.2</x:v>
      </x:c>
      <x:c r="K2778" s="9" t="n">
        <x:v>13.5</x:v>
      </x:c>
      <x:c r="L2778" s="7" t="n">
        <x:v>2022</x:v>
      </x:c>
      <x:c r="M2778" s="11" t="n">
        <x:v>69199</x:v>
      </x:c>
      <x:c r="N2778" s="7" t="n">
        <x:v>1</x:v>
      </x:c>
      <x:c r="O2778" s="7" t="n">
        <x:v>0</x:v>
      </x:c>
      <x:c r="P2778" s="9" t="n">
        <x:v>8.11</x:v>
      </x:c>
      <x:c r="Q2778" s="7" t="n">
        <x:f>'Guide'!$B$5-L2778</x:f>
        <x:v>4</x:v>
      </x:c>
      <x:c r="R2778" s="9" t="n">
        <x:f>K2778-P2778</x:f>
        <x:v>5.390000000000001</x:v>
      </x:c>
      <x:c r="S2778" s="10" t="n">
        <x:f>IF(K2778&gt;0,R2778/K2778,"")</x:f>
        <x:v>0.3992592592592593</x:v>
      </x:c>
    </x:row>
    <x:row r="2779">
      <x:c r="A2779" s="7" t="n">
        <x:v>2775</x:v>
      </x:c>
      <x:c r="B2779" s="7" t="str">
        <x:v>Tata</x:v>
      </x:c>
      <x:c r="C2779" s="7" t="str">
        <x:v>Nexon</x:v>
      </x:c>
      <x:c r="D2779" s="7" t="str">
        <x:v>Creative DCA</x:v>
      </x:c>
      <x:c r="E2779" s="7" t="str">
        <x:v>Petrol</x:v>
      </x:c>
      <x:c r="F2779" s="7" t="str">
        <x:v>Automatic</x:v>
      </x:c>
      <x:c r="G2779" s="7" t="str">
        <x:v>Compact SUV</x:v>
      </x:c>
      <x:c r="H2779" s="7" t="n">
        <x:v>1199</x:v>
      </x:c>
      <x:c r="I2779" s="7" t="n">
        <x:v>118</x:v>
      </x:c>
      <x:c r="J2779" s="9" t="n">
        <x:v>17.2</x:v>
      </x:c>
      <x:c r="K2779" s="9" t="n">
        <x:v>13.5</x:v>
      </x:c>
      <x:c r="L2779" s="7" t="n">
        <x:v>2023</x:v>
      </x:c>
      <x:c r="M2779" s="11" t="n">
        <x:v>28349</x:v>
      </x:c>
      <x:c r="N2779" s="7" t="n">
        <x:v>1</x:v>
      </x:c>
      <x:c r="O2779" s="7" t="n">
        <x:v>0</x:v>
      </x:c>
      <x:c r="P2779" s="9" t="n">
        <x:v>9.44</x:v>
      </x:c>
      <x:c r="Q2779" s="7" t="n">
        <x:f>'Guide'!$B$5-L2779</x:f>
        <x:v>3</x:v>
      </x:c>
      <x:c r="R2779" s="9" t="n">
        <x:f>K2779-P2779</x:f>
        <x:v>4.0600000000000005</x:v>
      </x:c>
      <x:c r="S2779" s="10" t="n">
        <x:f>IF(K2779&gt;0,R2779/K2779,"")</x:f>
        <x:v>0.30074074074074075</x:v>
      </x:c>
    </x:row>
    <x:row r="2780">
      <x:c r="A2780" s="7" t="n">
        <x:v>2776</x:v>
      </x:c>
      <x:c r="B2780" s="7" t="str">
        <x:v>Tata</x:v>
      </x:c>
      <x:c r="C2780" s="7" t="str">
        <x:v>Nexon</x:v>
      </x:c>
      <x:c r="D2780" s="7" t="str">
        <x:v>Creative DCA</x:v>
      </x:c>
      <x:c r="E2780" s="7" t="str">
        <x:v>Petrol</x:v>
      </x:c>
      <x:c r="F2780" s="7" t="str">
        <x:v>Automatic</x:v>
      </x:c>
      <x:c r="G2780" s="7" t="str">
        <x:v>Compact SUV</x:v>
      </x:c>
      <x:c r="H2780" s="7" t="n">
        <x:v>1199</x:v>
      </x:c>
      <x:c r="I2780" s="7" t="n">
        <x:v>118</x:v>
      </x:c>
      <x:c r="J2780" s="9" t="n">
        <x:v>17.2</x:v>
      </x:c>
      <x:c r="K2780" s="9" t="n">
        <x:v>13.5</x:v>
      </x:c>
      <x:c r="L2780" s="7" t="n">
        <x:v>2024</x:v>
      </x:c>
      <x:c r="M2780" s="11" t="n">
        <x:v>38044</x:v>
      </x:c>
      <x:c r="N2780" s="7" t="n">
        <x:v>1</x:v>
      </x:c>
      <x:c r="O2780" s="7" t="n">
        <x:v>1</x:v>
      </x:c>
      <x:c r="P2780" s="9" t="n">
        <x:v>10.31</x:v>
      </x:c>
      <x:c r="Q2780" s="7" t="n">
        <x:f>'Guide'!$B$5-L2780</x:f>
        <x:v>2</x:v>
      </x:c>
      <x:c r="R2780" s="9" t="n">
        <x:f>K2780-P2780</x:f>
        <x:v>3.1899999999999995</x:v>
      </x:c>
      <x:c r="S2780" s="10" t="n">
        <x:f>IF(K2780&gt;0,R2780/K2780,"")</x:f>
        <x:v>0.23629629629629625</x:v>
      </x:c>
    </x:row>
    <x:row r="2781">
      <x:c r="A2781" s="7" t="n">
        <x:v>2777</x:v>
      </x:c>
      <x:c r="B2781" s="7" t="str">
        <x:v>Tata</x:v>
      </x:c>
      <x:c r="C2781" s="7" t="str">
        <x:v>Nexon</x:v>
      </x:c>
      <x:c r="D2781" s="7" t="str">
        <x:v>Creative DCA</x:v>
      </x:c>
      <x:c r="E2781" s="7" t="str">
        <x:v>Petrol</x:v>
      </x:c>
      <x:c r="F2781" s="7" t="str">
        <x:v>Automatic</x:v>
      </x:c>
      <x:c r="G2781" s="7" t="str">
        <x:v>Compact SUV</x:v>
      </x:c>
      <x:c r="H2781" s="7" t="n">
        <x:v>1199</x:v>
      </x:c>
      <x:c r="I2781" s="7" t="n">
        <x:v>118</x:v>
      </x:c>
      <x:c r="J2781" s="9" t="n">
        <x:v>17.2</x:v>
      </x:c>
      <x:c r="K2781" s="9" t="n">
        <x:v>13.5</x:v>
      </x:c>
      <x:c r="L2781" s="7" t="n">
        <x:v>2025</x:v>
      </x:c>
      <x:c r="M2781" s="11" t="n">
        <x:v>17854</x:v>
      </x:c>
      <x:c r="N2781" s="7" t="n">
        <x:v>1</x:v>
      </x:c>
      <x:c r="O2781" s="7" t="n">
        <x:v>0</x:v>
      </x:c>
      <x:c r="P2781" s="9" t="n">
        <x:v>12.18</x:v>
      </x:c>
      <x:c r="Q2781" s="7" t="n">
        <x:f>'Guide'!$B$5-L2781</x:f>
        <x:v>1</x:v>
      </x:c>
      <x:c r="R2781" s="9" t="n">
        <x:f>K2781-P2781</x:f>
        <x:v>1.3200000000000003</x:v>
      </x:c>
      <x:c r="S2781" s="10" t="n">
        <x:f>IF(K2781&gt;0,R2781/K2781,"")</x:f>
        <x:v>0.0977777777777778</x:v>
      </x:c>
    </x:row>
    <x:row r="2782">
      <x:c r="A2782" s="7" t="n">
        <x:v>2778</x:v>
      </x:c>
      <x:c r="B2782" s="7" t="str">
        <x:v>Tata</x:v>
      </x:c>
      <x:c r="C2782" s="7" t="str">
        <x:v>Nexon</x:v>
      </x:c>
      <x:c r="D2782" s="7" t="str">
        <x:v>Creative DCA</x:v>
      </x:c>
      <x:c r="E2782" s="7" t="str">
        <x:v>Petrol</x:v>
      </x:c>
      <x:c r="F2782" s="7" t="str">
        <x:v>Automatic</x:v>
      </x:c>
      <x:c r="G2782" s="7" t="str">
        <x:v>Compact SUV</x:v>
      </x:c>
      <x:c r="H2782" s="7" t="n">
        <x:v>1199</x:v>
      </x:c>
      <x:c r="I2782" s="7" t="n">
        <x:v>118</x:v>
      </x:c>
      <x:c r="J2782" s="9" t="n">
        <x:v>17.2</x:v>
      </x:c>
      <x:c r="K2782" s="9" t="n">
        <x:v>13.5</x:v>
      </x:c>
      <x:c r="L2782" s="7" t="n">
        <x:v>2023</x:v>
      </x:c>
      <x:c r="M2782" s="11" t="n">
        <x:v>37677</x:v>
      </x:c>
      <x:c r="N2782" s="7" t="n">
        <x:v>1</x:v>
      </x:c>
      <x:c r="O2782" s="7" t="n">
        <x:v>0</x:v>
      </x:c>
      <x:c r="P2782" s="9" t="n">
        <x:v>9.44</x:v>
      </x:c>
      <x:c r="Q2782" s="7" t="n">
        <x:f>'Guide'!$B$5-L2782</x:f>
        <x:v>3</x:v>
      </x:c>
      <x:c r="R2782" s="9" t="n">
        <x:f>K2782-P2782</x:f>
        <x:v>4.0600000000000005</x:v>
      </x:c>
      <x:c r="S2782" s="10" t="n">
        <x:f>IF(K2782&gt;0,R2782/K2782,"")</x:f>
        <x:v>0.30074074074074075</x:v>
      </x:c>
    </x:row>
    <x:row r="2783">
      <x:c r="A2783" s="7" t="n">
        <x:v>2779</x:v>
      </x:c>
      <x:c r="B2783" s="7" t="str">
        <x:v>Tata</x:v>
      </x:c>
      <x:c r="C2783" s="7" t="str">
        <x:v>Nexon</x:v>
      </x:c>
      <x:c r="D2783" s="7" t="str">
        <x:v>Creative DCA</x:v>
      </x:c>
      <x:c r="E2783" s="7" t="str">
        <x:v>Petrol</x:v>
      </x:c>
      <x:c r="F2783" s="7" t="str">
        <x:v>Automatic</x:v>
      </x:c>
      <x:c r="G2783" s="7" t="str">
        <x:v>Compact SUV</x:v>
      </x:c>
      <x:c r="H2783" s="7" t="n">
        <x:v>1199</x:v>
      </x:c>
      <x:c r="I2783" s="7" t="n">
        <x:v>118</x:v>
      </x:c>
      <x:c r="J2783" s="9" t="n">
        <x:v>17.2</x:v>
      </x:c>
      <x:c r="K2783" s="9" t="n">
        <x:v>13.5</x:v>
      </x:c>
      <x:c r="L2783" s="7" t="n">
        <x:v>2020</x:v>
      </x:c>
      <x:c r="M2783" s="11" t="n">
        <x:v>125525</x:v>
      </x:c>
      <x:c r="N2783" s="7" t="n">
        <x:v>1</x:v>
      </x:c>
      <x:c r="O2783" s="7" t="n">
        <x:v>1</x:v>
      </x:c>
      <x:c r="P2783" s="9" t="n">
        <x:v>3.89</x:v>
      </x:c>
      <x:c r="Q2783" s="7" t="n">
        <x:f>'Guide'!$B$5-L2783</x:f>
        <x:v>6</x:v>
      </x:c>
      <x:c r="R2783" s="9" t="n">
        <x:f>K2783-P2783</x:f>
        <x:v>9.61</x:v>
      </x:c>
      <x:c r="S2783" s="10" t="n">
        <x:f>IF(K2783&gt;0,R2783/K2783,"")</x:f>
        <x:v>0.7118518518518518</x:v>
      </x:c>
    </x:row>
    <x:row r="2784">
      <x:c r="A2784" s="7" t="n">
        <x:v>2780</x:v>
      </x:c>
      <x:c r="B2784" s="7" t="str">
        <x:v>Tata</x:v>
      </x:c>
      <x:c r="C2784" s="7" t="str">
        <x:v>Nexon</x:v>
      </x:c>
      <x:c r="D2784" s="7" t="str">
        <x:v>Creative DCA</x:v>
      </x:c>
      <x:c r="E2784" s="7" t="str">
        <x:v>Petrol</x:v>
      </x:c>
      <x:c r="F2784" s="7" t="str">
        <x:v>Automatic</x:v>
      </x:c>
      <x:c r="G2784" s="7" t="str">
        <x:v>Compact SUV</x:v>
      </x:c>
      <x:c r="H2784" s="7" t="n">
        <x:v>1199</x:v>
      </x:c>
      <x:c r="I2784" s="7" t="n">
        <x:v>118</x:v>
      </x:c>
      <x:c r="J2784" s="9" t="n">
        <x:v>17.2</x:v>
      </x:c>
      <x:c r="K2784" s="9" t="n">
        <x:v>13.5</x:v>
      </x:c>
      <x:c r="L2784" s="7" t="n">
        <x:v>2023</x:v>
      </x:c>
      <x:c r="M2784" s="11" t="n">
        <x:v>29136</x:v>
      </x:c>
      <x:c r="N2784" s="7" t="n">
        <x:v>1</x:v>
      </x:c>
      <x:c r="O2784" s="7" t="n">
        <x:v>0</x:v>
      </x:c>
      <x:c r="P2784" s="9" t="n">
        <x:v>10</x:v>
      </x:c>
      <x:c r="Q2784" s="7" t="n">
        <x:f>'Guide'!$B$5-L2784</x:f>
        <x:v>3</x:v>
      </x:c>
      <x:c r="R2784" s="9" t="n">
        <x:f>K2784-P2784</x:f>
        <x:v>3.5</x:v>
      </x:c>
      <x:c r="S2784" s="10" t="n">
        <x:f>IF(K2784&gt;0,R2784/K2784,"")</x:f>
        <x:v>0.25925925925925924</x:v>
      </x:c>
    </x:row>
    <x:row r="2785">
      <x:c r="A2785" s="7" t="n">
        <x:v>2781</x:v>
      </x:c>
      <x:c r="B2785" s="7" t="str">
        <x:v>Tata</x:v>
      </x:c>
      <x:c r="C2785" s="7" t="str">
        <x:v>Nexon</x:v>
      </x:c>
      <x:c r="D2785" s="7" t="str">
        <x:v>Creative DCA</x:v>
      </x:c>
      <x:c r="E2785" s="7" t="str">
        <x:v>Petrol</x:v>
      </x:c>
      <x:c r="F2785" s="7" t="str">
        <x:v>Automatic</x:v>
      </x:c>
      <x:c r="G2785" s="7" t="str">
        <x:v>Compact SUV</x:v>
      </x:c>
      <x:c r="H2785" s="7" t="n">
        <x:v>1199</x:v>
      </x:c>
      <x:c r="I2785" s="7" t="n">
        <x:v>118</x:v>
      </x:c>
      <x:c r="J2785" s="9" t="n">
        <x:v>17.2</x:v>
      </x:c>
      <x:c r="K2785" s="9" t="n">
        <x:v>13.5</x:v>
      </x:c>
      <x:c r="L2785" s="7" t="n">
        <x:v>2021</x:v>
      </x:c>
      <x:c r="M2785" s="11" t="n">
        <x:v>67718</x:v>
      </x:c>
      <x:c r="N2785" s="7" t="n">
        <x:v>1</x:v>
      </x:c>
      <x:c r="O2785" s="7" t="n">
        <x:v>0</x:v>
      </x:c>
      <x:c r="P2785" s="9" t="n">
        <x:v>6.88</x:v>
      </x:c>
      <x:c r="Q2785" s="7" t="n">
        <x:f>'Guide'!$B$5-L2785</x:f>
        <x:v>5</x:v>
      </x:c>
      <x:c r="R2785" s="9" t="n">
        <x:f>K2785-P2785</x:f>
        <x:v>6.62</x:v>
      </x:c>
      <x:c r="S2785" s="10" t="n">
        <x:f>IF(K2785&gt;0,R2785/K2785,"")</x:f>
        <x:v>0.4903703703703704</x:v>
      </x:c>
    </x:row>
    <x:row r="2786">
      <x:c r="A2786" s="7" t="n">
        <x:v>2782</x:v>
      </x:c>
      <x:c r="B2786" s="7" t="str">
        <x:v>Tata</x:v>
      </x:c>
      <x:c r="C2786" s="7" t="str">
        <x:v>Nexon</x:v>
      </x:c>
      <x:c r="D2786" s="7" t="str">
        <x:v>Creative DCA</x:v>
      </x:c>
      <x:c r="E2786" s="7" t="str">
        <x:v>Petrol</x:v>
      </x:c>
      <x:c r="F2786" s="7" t="str">
        <x:v>Automatic</x:v>
      </x:c>
      <x:c r="G2786" s="7" t="str">
        <x:v>Compact SUV</x:v>
      </x:c>
      <x:c r="H2786" s="7" t="n">
        <x:v>1199</x:v>
      </x:c>
      <x:c r="I2786" s="7" t="n">
        <x:v>118</x:v>
      </x:c>
      <x:c r="J2786" s="9" t="n">
        <x:v>17.2</x:v>
      </x:c>
      <x:c r="K2786" s="9" t="n">
        <x:v>13.5</x:v>
      </x:c>
      <x:c r="L2786" s="7" t="n">
        <x:v>2023</x:v>
      </x:c>
      <x:c r="M2786" s="11" t="n">
        <x:v>59059</x:v>
      </x:c>
      <x:c r="N2786" s="7" t="n">
        <x:v>1</x:v>
      </x:c>
      <x:c r="O2786" s="7" t="n">
        <x:v>0</x:v>
      </x:c>
      <x:c r="P2786" s="9" t="n">
        <x:v>9.63</x:v>
      </x:c>
      <x:c r="Q2786" s="7" t="n">
        <x:f>'Guide'!$B$5-L2786</x:f>
        <x:v>3</x:v>
      </x:c>
      <x:c r="R2786" s="9" t="n">
        <x:f>K2786-P2786</x:f>
        <x:v>3.869999999999999</x:v>
      </x:c>
      <x:c r="S2786" s="10" t="n">
        <x:f>IF(K2786&gt;0,R2786/K2786,"")</x:f>
        <x:v>0.2866666666666666</x:v>
      </x:c>
    </x:row>
    <x:row r="2787">
      <x:c r="A2787" s="7" t="n">
        <x:v>2783</x:v>
      </x:c>
      <x:c r="B2787" s="7" t="str">
        <x:v>Tata</x:v>
      </x:c>
      <x:c r="C2787" s="7" t="str">
        <x:v>Nexon</x:v>
      </x:c>
      <x:c r="D2787" s="7" t="str">
        <x:v>Creative DCA</x:v>
      </x:c>
      <x:c r="E2787" s="7" t="str">
        <x:v>Petrol</x:v>
      </x:c>
      <x:c r="F2787" s="7" t="str">
        <x:v>Automatic</x:v>
      </x:c>
      <x:c r="G2787" s="7" t="str">
        <x:v>Compact SUV</x:v>
      </x:c>
      <x:c r="H2787" s="7" t="n">
        <x:v>1199</x:v>
      </x:c>
      <x:c r="I2787" s="7" t="n">
        <x:v>118</x:v>
      </x:c>
      <x:c r="J2787" s="9" t="n">
        <x:v>17.2</x:v>
      </x:c>
      <x:c r="K2787" s="9" t="n">
        <x:v>13.5</x:v>
      </x:c>
      <x:c r="L2787" s="7" t="n">
        <x:v>2024</x:v>
      </x:c>
      <x:c r="M2787" s="11" t="n">
        <x:v>29961</x:v>
      </x:c>
      <x:c r="N2787" s="7" t="n">
        <x:v>1</x:v>
      </x:c>
      <x:c r="O2787" s="7" t="n">
        <x:v>0</x:v>
      </x:c>
      <x:c r="P2787" s="9" t="n">
        <x:v>10.96</x:v>
      </x:c>
      <x:c r="Q2787" s="7" t="n">
        <x:f>'Guide'!$B$5-L2787</x:f>
        <x:v>2</x:v>
      </x:c>
      <x:c r="R2787" s="9" t="n">
        <x:f>K2787-P2787</x:f>
        <x:v>2.539999999999999</x:v>
      </x:c>
      <x:c r="S2787" s="10" t="n">
        <x:f>IF(K2787&gt;0,R2787/K2787,"")</x:f>
        <x:v>0.1881481481481481</x:v>
      </x:c>
    </x:row>
    <x:row r="2788">
      <x:c r="A2788" s="7" t="n">
        <x:v>2784</x:v>
      </x:c>
      <x:c r="B2788" s="7" t="str">
        <x:v>Tata</x:v>
      </x:c>
      <x:c r="C2788" s="7" t="str">
        <x:v>Nexon</x:v>
      </x:c>
      <x:c r="D2788" s="7" t="str">
        <x:v>Creative DCA</x:v>
      </x:c>
      <x:c r="E2788" s="7" t="str">
        <x:v>Petrol</x:v>
      </x:c>
      <x:c r="F2788" s="7" t="str">
        <x:v>Automatic</x:v>
      </x:c>
      <x:c r="G2788" s="7" t="str">
        <x:v>Compact SUV</x:v>
      </x:c>
      <x:c r="H2788" s="7" t="n">
        <x:v>1199</x:v>
      </x:c>
      <x:c r="I2788" s="7" t="n">
        <x:v>118</x:v>
      </x:c>
      <x:c r="J2788" s="9" t="n">
        <x:v>17.2</x:v>
      </x:c>
      <x:c r="K2788" s="9" t="n">
        <x:v>13.5</x:v>
      </x:c>
      <x:c r="L2788" s="7" t="n">
        <x:v>2022</x:v>
      </x:c>
      <x:c r="M2788" s="11" t="n">
        <x:v>84446</x:v>
      </x:c>
      <x:c r="N2788" s="7" t="n">
        <x:v>1</x:v>
      </x:c>
      <x:c r="O2788" s="7" t="n">
        <x:v>0</x:v>
      </x:c>
      <x:c r="P2788" s="9" t="n">
        <x:v>7.64</x:v>
      </x:c>
      <x:c r="Q2788" s="7" t="n">
        <x:f>'Guide'!$B$5-L2788</x:f>
        <x:v>4</x:v>
      </x:c>
      <x:c r="R2788" s="9" t="n">
        <x:f>K2788-P2788</x:f>
        <x:v>5.86</x:v>
      </x:c>
      <x:c r="S2788" s="10" t="n">
        <x:f>IF(K2788&gt;0,R2788/K2788,"")</x:f>
        <x:v>0.4340740740740741</x:v>
      </x:c>
    </x:row>
    <x:row r="2789">
      <x:c r="A2789" s="7" t="n">
        <x:v>2785</x:v>
      </x:c>
      <x:c r="B2789" s="7" t="str">
        <x:v>Tata</x:v>
      </x:c>
      <x:c r="C2789" s="7" t="str">
        <x:v>Nexon</x:v>
      </x:c>
      <x:c r="D2789" s="7" t="str">
        <x:v>Creative DCA</x:v>
      </x:c>
      <x:c r="E2789" s="7" t="str">
        <x:v>Petrol</x:v>
      </x:c>
      <x:c r="F2789" s="7" t="str">
        <x:v>Automatic</x:v>
      </x:c>
      <x:c r="G2789" s="7" t="str">
        <x:v>Compact SUV</x:v>
      </x:c>
      <x:c r="H2789" s="7" t="n">
        <x:v>1199</x:v>
      </x:c>
      <x:c r="I2789" s="7" t="n">
        <x:v>118</x:v>
      </x:c>
      <x:c r="J2789" s="9" t="n">
        <x:v>17.2</x:v>
      </x:c>
      <x:c r="K2789" s="9" t="n">
        <x:v>13.5</x:v>
      </x:c>
      <x:c r="L2789" s="7" t="n">
        <x:v>2020</x:v>
      </x:c>
      <x:c r="M2789" s="11" t="n">
        <x:v>78010</x:v>
      </x:c>
      <x:c r="N2789" s="7" t="n">
        <x:v>3</x:v>
      </x:c>
      <x:c r="O2789" s="7" t="n">
        <x:v>1</x:v>
      </x:c>
      <x:c r="P2789" s="9" t="n">
        <x:v>3.93</x:v>
      </x:c>
      <x:c r="Q2789" s="7" t="n">
        <x:f>'Guide'!$B$5-L2789</x:f>
        <x:v>6</x:v>
      </x:c>
      <x:c r="R2789" s="9" t="n">
        <x:f>K2789-P2789</x:f>
        <x:v>9.57</x:v>
      </x:c>
      <x:c r="S2789" s="10" t="n">
        <x:f>IF(K2789&gt;0,R2789/K2789,"")</x:f>
        <x:v>0.7088888888888889</x:v>
      </x:c>
    </x:row>
    <x:row r="2790">
      <x:c r="A2790" s="7" t="n">
        <x:v>2786</x:v>
      </x:c>
      <x:c r="B2790" s="7" t="str">
        <x:v>Tata</x:v>
      </x:c>
      <x:c r="C2790" s="7" t="str">
        <x:v>Nexon</x:v>
      </x:c>
      <x:c r="D2790" s="7" t="str">
        <x:v>Creative DCA</x:v>
      </x:c>
      <x:c r="E2790" s="7" t="str">
        <x:v>Petrol</x:v>
      </x:c>
      <x:c r="F2790" s="7" t="str">
        <x:v>Automatic</x:v>
      </x:c>
      <x:c r="G2790" s="7" t="str">
        <x:v>Compact SUV</x:v>
      </x:c>
      <x:c r="H2790" s="7" t="n">
        <x:v>1199</x:v>
      </x:c>
      <x:c r="I2790" s="7" t="n">
        <x:v>118</x:v>
      </x:c>
      <x:c r="J2790" s="9" t="n">
        <x:v>17.2</x:v>
      </x:c>
      <x:c r="K2790" s="9" t="n">
        <x:v>13.5</x:v>
      </x:c>
      <x:c r="L2790" s="7" t="n">
        <x:v>2022</x:v>
      </x:c>
      <x:c r="M2790" s="11" t="n">
        <x:v>75665</x:v>
      </x:c>
      <x:c r="N2790" s="7" t="n">
        <x:v>1</x:v>
      </x:c>
      <x:c r="O2790" s="7" t="n">
        <x:v>0</x:v>
      </x:c>
      <x:c r="P2790" s="9" t="n">
        <x:v>7.84</x:v>
      </x:c>
      <x:c r="Q2790" s="7" t="n">
        <x:f>'Guide'!$B$5-L2790</x:f>
        <x:v>4</x:v>
      </x:c>
      <x:c r="R2790" s="9" t="n">
        <x:f>K2790-P2790</x:f>
        <x:v>5.66</x:v>
      </x:c>
      <x:c r="S2790" s="10" t="n">
        <x:f>IF(K2790&gt;0,R2790/K2790,"")</x:f>
        <x:v>0.4192592592592593</x:v>
      </x:c>
    </x:row>
    <x:row r="2791">
      <x:c r="A2791" s="7" t="n">
        <x:v>2787</x:v>
      </x:c>
      <x:c r="B2791" s="7" t="str">
        <x:v>Tata</x:v>
      </x:c>
      <x:c r="C2791" s="7" t="str">
        <x:v>Nexon</x:v>
      </x:c>
      <x:c r="D2791" s="7" t="str">
        <x:v>Creative DCA</x:v>
      </x:c>
      <x:c r="E2791" s="7" t="str">
        <x:v>Petrol</x:v>
      </x:c>
      <x:c r="F2791" s="7" t="str">
        <x:v>Automatic</x:v>
      </x:c>
      <x:c r="G2791" s="7" t="str">
        <x:v>Compact SUV</x:v>
      </x:c>
      <x:c r="H2791" s="7" t="n">
        <x:v>1199</x:v>
      </x:c>
      <x:c r="I2791" s="7" t="n">
        <x:v>118</x:v>
      </x:c>
      <x:c r="J2791" s="9" t="n">
        <x:v>17.2</x:v>
      </x:c>
      <x:c r="K2791" s="9" t="n">
        <x:v>13.5</x:v>
      </x:c>
      <x:c r="L2791" s="7" t="n">
        <x:v>2020</x:v>
      </x:c>
      <x:c r="M2791" s="11" t="n">
        <x:v>95409</x:v>
      </x:c>
      <x:c r="N2791" s="7" t="n">
        <x:v>1</x:v>
      </x:c>
      <x:c r="O2791" s="7" t="n">
        <x:v>0</x:v>
      </x:c>
      <x:c r="P2791" s="9" t="n">
        <x:v>5.15</x:v>
      </x:c>
      <x:c r="Q2791" s="7" t="n">
        <x:f>'Guide'!$B$5-L2791</x:f>
        <x:v>6</x:v>
      </x:c>
      <x:c r="R2791" s="9" t="n">
        <x:f>K2791-P2791</x:f>
        <x:v>8.35</x:v>
      </x:c>
      <x:c r="S2791" s="10" t="n">
        <x:f>IF(K2791&gt;0,R2791/K2791,"")</x:f>
        <x:v>0.6185185185185185</x:v>
      </x:c>
    </x:row>
    <x:row r="2792">
      <x:c r="A2792" s="7" t="n">
        <x:v>2788</x:v>
      </x:c>
      <x:c r="B2792" s="7" t="str">
        <x:v>Tata</x:v>
      </x:c>
      <x:c r="C2792" s="7" t="str">
        <x:v>Nexon</x:v>
      </x:c>
      <x:c r="D2792" s="7" t="str">
        <x:v>Creative DCA</x:v>
      </x:c>
      <x:c r="E2792" s="7" t="str">
        <x:v>Petrol</x:v>
      </x:c>
      <x:c r="F2792" s="7" t="str">
        <x:v>Automatic</x:v>
      </x:c>
      <x:c r="G2792" s="7" t="str">
        <x:v>Compact SUV</x:v>
      </x:c>
      <x:c r="H2792" s="7" t="n">
        <x:v>1199</x:v>
      </x:c>
      <x:c r="I2792" s="7" t="n">
        <x:v>118</x:v>
      </x:c>
      <x:c r="J2792" s="9" t="n">
        <x:v>17.2</x:v>
      </x:c>
      <x:c r="K2792" s="9" t="n">
        <x:v>13.5</x:v>
      </x:c>
      <x:c r="L2792" s="7" t="n">
        <x:v>2026</x:v>
      </x:c>
      <x:c r="M2792" s="11" t="n">
        <x:v>7520</x:v>
      </x:c>
      <x:c r="N2792" s="7" t="n">
        <x:v>1</x:v>
      </x:c>
      <x:c r="O2792" s="7" t="n">
        <x:v>0</x:v>
      </x:c>
      <x:c r="P2792" s="9" t="n">
        <x:v>13.18</x:v>
      </x:c>
      <x:c r="Q2792" s="7" t="n">
        <x:f>'Guide'!$B$5-L2792</x:f>
        <x:v>0</x:v>
      </x:c>
      <x:c r="R2792" s="9" t="n">
        <x:f>K2792-P2792</x:f>
        <x:v>0.3200000000000003</x:v>
      </x:c>
      <x:c r="S2792" s="10" t="n">
        <x:f>IF(K2792&gt;0,R2792/K2792,"")</x:f>
        <x:v>0.023703703703703723</x:v>
      </x:c>
    </x:row>
    <x:row r="2793">
      <x:c r="A2793" s="7" t="n">
        <x:v>2789</x:v>
      </x:c>
      <x:c r="B2793" s="7" t="str">
        <x:v>Tata</x:v>
      </x:c>
      <x:c r="C2793" s="7" t="str">
        <x:v>Nexon</x:v>
      </x:c>
      <x:c r="D2793" s="7" t="str">
        <x:v>Creative DCA</x:v>
      </x:c>
      <x:c r="E2793" s="7" t="str">
        <x:v>Petrol</x:v>
      </x:c>
      <x:c r="F2793" s="7" t="str">
        <x:v>Automatic</x:v>
      </x:c>
      <x:c r="G2793" s="7" t="str">
        <x:v>Compact SUV</x:v>
      </x:c>
      <x:c r="H2793" s="7" t="n">
        <x:v>1199</x:v>
      </x:c>
      <x:c r="I2793" s="7" t="n">
        <x:v>118</x:v>
      </x:c>
      <x:c r="J2793" s="9" t="n">
        <x:v>17.2</x:v>
      </x:c>
      <x:c r="K2793" s="9" t="n">
        <x:v>13.5</x:v>
      </x:c>
      <x:c r="L2793" s="7" t="n">
        <x:v>2020</x:v>
      </x:c>
      <x:c r="M2793" s="11" t="n">
        <x:v>95567</x:v>
      </x:c>
      <x:c r="N2793" s="7" t="n">
        <x:v>1</x:v>
      </x:c>
      <x:c r="O2793" s="7" t="n">
        <x:v>0</x:v>
      </x:c>
      <x:c r="P2793" s="9" t="n">
        <x:v>5.35</x:v>
      </x:c>
      <x:c r="Q2793" s="7" t="n">
        <x:f>'Guide'!$B$5-L2793</x:f>
        <x:v>6</x:v>
      </x:c>
      <x:c r="R2793" s="9" t="n">
        <x:f>K2793-P2793</x:f>
        <x:v>8.15</x:v>
      </x:c>
      <x:c r="S2793" s="10" t="n">
        <x:f>IF(K2793&gt;0,R2793/K2793,"")</x:f>
        <x:v>0.6037037037037037</x:v>
      </x:c>
    </x:row>
    <x:row r="2794">
      <x:c r="A2794" s="7" t="n">
        <x:v>2790</x:v>
      </x:c>
      <x:c r="B2794" s="7" t="str">
        <x:v>Tata</x:v>
      </x:c>
      <x:c r="C2794" s="7" t="str">
        <x:v>Nexon</x:v>
      </x:c>
      <x:c r="D2794" s="7" t="str">
        <x:v>Creative DCA</x:v>
      </x:c>
      <x:c r="E2794" s="7" t="str">
        <x:v>Petrol</x:v>
      </x:c>
      <x:c r="F2794" s="7" t="str">
        <x:v>Automatic</x:v>
      </x:c>
      <x:c r="G2794" s="7" t="str">
        <x:v>Compact SUV</x:v>
      </x:c>
      <x:c r="H2794" s="7" t="n">
        <x:v>1199</x:v>
      </x:c>
      <x:c r="I2794" s="7" t="n">
        <x:v>118</x:v>
      </x:c>
      <x:c r="J2794" s="9" t="n">
        <x:v>17.2</x:v>
      </x:c>
      <x:c r="K2794" s="9" t="n">
        <x:v>13.5</x:v>
      </x:c>
      <x:c r="L2794" s="7" t="n">
        <x:v>2023</x:v>
      </x:c>
      <x:c r="M2794" s="11" t="n">
        <x:v>66707</x:v>
      </x:c>
      <x:c r="N2794" s="7" t="n">
        <x:v>1</x:v>
      </x:c>
      <x:c r="O2794" s="7" t="n">
        <x:v>0</x:v>
      </x:c>
      <x:c r="P2794" s="9" t="n">
        <x:v>8.88</x:v>
      </x:c>
      <x:c r="Q2794" s="7" t="n">
        <x:f>'Guide'!$B$5-L2794</x:f>
        <x:v>3</x:v>
      </x:c>
      <x:c r="R2794" s="9" t="n">
        <x:f>K2794-P2794</x:f>
        <x:v>4.619999999999999</x:v>
      </x:c>
      <x:c r="S2794" s="10" t="n">
        <x:f>IF(K2794&gt;0,R2794/K2794,"")</x:f>
        <x:v>0.34222222222222215</x:v>
      </x:c>
    </x:row>
    <x:row r="2795">
      <x:c r="A2795" s="7" t="n">
        <x:v>2791</x:v>
      </x:c>
      <x:c r="B2795" s="7" t="str">
        <x:v>Tata</x:v>
      </x:c>
      <x:c r="C2795" s="7" t="str">
        <x:v>Nexon</x:v>
      </x:c>
      <x:c r="D2795" s="7" t="str">
        <x:v>Creative DCA</x:v>
      </x:c>
      <x:c r="E2795" s="7" t="str">
        <x:v>Petrol</x:v>
      </x:c>
      <x:c r="F2795" s="7" t="str">
        <x:v>Automatic</x:v>
      </x:c>
      <x:c r="G2795" s="7" t="str">
        <x:v>Compact SUV</x:v>
      </x:c>
      <x:c r="H2795" s="7" t="n">
        <x:v>1199</x:v>
      </x:c>
      <x:c r="I2795" s="7" t="n">
        <x:v>118</x:v>
      </x:c>
      <x:c r="J2795" s="9" t="n">
        <x:v>17.2</x:v>
      </x:c>
      <x:c r="K2795" s="9" t="n">
        <x:v>13.5</x:v>
      </x:c>
      <x:c r="L2795" s="7" t="n">
        <x:v>2024</x:v>
      </x:c>
      <x:c r="M2795" s="11" t="n">
        <x:v>47745</x:v>
      </x:c>
      <x:c r="N2795" s="7" t="n">
        <x:v>1</x:v>
      </x:c>
      <x:c r="O2795" s="7" t="n">
        <x:v>0</x:v>
      </x:c>
      <x:c r="P2795" s="9" t="n">
        <x:v>10.94</x:v>
      </x:c>
      <x:c r="Q2795" s="7" t="n">
        <x:f>'Guide'!$B$5-L2795</x:f>
        <x:v>2</x:v>
      </x:c>
      <x:c r="R2795" s="9" t="n">
        <x:f>K2795-P2795</x:f>
        <x:v>2.5600000000000005</x:v>
      </x:c>
      <x:c r="S2795" s="10" t="n">
        <x:f>IF(K2795&gt;0,R2795/K2795,"")</x:f>
        <x:v>0.18962962962962968</x:v>
      </x:c>
    </x:row>
    <x:row r="2796">
      <x:c r="A2796" s="7" t="n">
        <x:v>2792</x:v>
      </x:c>
      <x:c r="B2796" s="7" t="str">
        <x:v>Tata</x:v>
      </x:c>
      <x:c r="C2796" s="7" t="str">
        <x:v>Nexon</x:v>
      </x:c>
      <x:c r="D2796" s="7" t="str">
        <x:v>Creative DCA</x:v>
      </x:c>
      <x:c r="E2796" s="7" t="str">
        <x:v>Petrol</x:v>
      </x:c>
      <x:c r="F2796" s="7" t="str">
        <x:v>Automatic</x:v>
      </x:c>
      <x:c r="G2796" s="7" t="str">
        <x:v>Compact SUV</x:v>
      </x:c>
      <x:c r="H2796" s="7" t="n">
        <x:v>1199</x:v>
      </x:c>
      <x:c r="I2796" s="7" t="n">
        <x:v>118</x:v>
      </x:c>
      <x:c r="J2796" s="9" t="n">
        <x:v>17.2</x:v>
      </x:c>
      <x:c r="K2796" s="9" t="n">
        <x:v>13.5</x:v>
      </x:c>
      <x:c r="L2796" s="7" t="n">
        <x:v>2023</x:v>
      </x:c>
      <x:c r="M2796" s="11" t="n">
        <x:v>65792</x:v>
      </x:c>
      <x:c r="N2796" s="7" t="n">
        <x:v>2</x:v>
      </x:c>
      <x:c r="O2796" s="7" t="n">
        <x:v>0</x:v>
      </x:c>
      <x:c r="P2796" s="9" t="n">
        <x:v>8.74</x:v>
      </x:c>
      <x:c r="Q2796" s="7" t="n">
        <x:f>'Guide'!$B$5-L2796</x:f>
        <x:v>3</x:v>
      </x:c>
      <x:c r="R2796" s="9" t="n">
        <x:f>K2796-P2796</x:f>
        <x:v>4.76</x:v>
      </x:c>
      <x:c r="S2796" s="10" t="n">
        <x:f>IF(K2796&gt;0,R2796/K2796,"")</x:f>
        <x:v>0.35259259259259257</x:v>
      </x:c>
    </x:row>
    <x:row r="2797">
      <x:c r="A2797" s="7" t="n">
        <x:v>2793</x:v>
      </x:c>
      <x:c r="B2797" s="7" t="str">
        <x:v>Tata</x:v>
      </x:c>
      <x:c r="C2797" s="7" t="str">
        <x:v>Nexon</x:v>
      </x:c>
      <x:c r="D2797" s="7" t="str">
        <x:v>Creative DCA</x:v>
      </x:c>
      <x:c r="E2797" s="7" t="str">
        <x:v>Petrol</x:v>
      </x:c>
      <x:c r="F2797" s="7" t="str">
        <x:v>Automatic</x:v>
      </x:c>
      <x:c r="G2797" s="7" t="str">
        <x:v>Compact SUV</x:v>
      </x:c>
      <x:c r="H2797" s="7" t="n">
        <x:v>1199</x:v>
      </x:c>
      <x:c r="I2797" s="7" t="n">
        <x:v>118</x:v>
      </x:c>
      <x:c r="J2797" s="9" t="n">
        <x:v>17.2</x:v>
      </x:c>
      <x:c r="K2797" s="9" t="n">
        <x:v>13.5</x:v>
      </x:c>
      <x:c r="L2797" s="7" t="n">
        <x:v>2025</x:v>
      </x:c>
      <x:c r="M2797" s="11" t="n">
        <x:v>29948</x:v>
      </x:c>
      <x:c r="N2797" s="7" t="n">
        <x:v>1</x:v>
      </x:c>
      <x:c r="O2797" s="7" t="n">
        <x:v>0</x:v>
      </x:c>
      <x:c r="P2797" s="9" t="n">
        <x:v>11.92</x:v>
      </x:c>
      <x:c r="Q2797" s="7" t="n">
        <x:f>'Guide'!$B$5-L2797</x:f>
        <x:v>1</x:v>
      </x:c>
      <x:c r="R2797" s="9" t="n">
        <x:f>K2797-P2797</x:f>
        <x:v>1.58</x:v>
      </x:c>
      <x:c r="S2797" s="10" t="n">
        <x:f>IF(K2797&gt;0,R2797/K2797,"")</x:f>
        <x:v>0.11703703703703704</x:v>
      </x:c>
    </x:row>
    <x:row r="2798">
      <x:c r="A2798" s="7" t="n">
        <x:v>2794</x:v>
      </x:c>
      <x:c r="B2798" s="7" t="str">
        <x:v>Tata</x:v>
      </x:c>
      <x:c r="C2798" s="7" t="str">
        <x:v>Nexon</x:v>
      </x:c>
      <x:c r="D2798" s="7" t="str">
        <x:v>Creative DCA</x:v>
      </x:c>
      <x:c r="E2798" s="7" t="str">
        <x:v>Petrol</x:v>
      </x:c>
      <x:c r="F2798" s="7" t="str">
        <x:v>Automatic</x:v>
      </x:c>
      <x:c r="G2798" s="7" t="str">
        <x:v>Compact SUV</x:v>
      </x:c>
      <x:c r="H2798" s="7" t="n">
        <x:v>1199</x:v>
      </x:c>
      <x:c r="I2798" s="7" t="n">
        <x:v>118</x:v>
      </x:c>
      <x:c r="J2798" s="9" t="n">
        <x:v>17.2</x:v>
      </x:c>
      <x:c r="K2798" s="9" t="n">
        <x:v>13.5</x:v>
      </x:c>
      <x:c r="L2798" s="7" t="n">
        <x:v>2021</x:v>
      </x:c>
      <x:c r="M2798" s="11" t="n">
        <x:v>60329</x:v>
      </x:c>
      <x:c r="N2798" s="7" t="n">
        <x:v>1</x:v>
      </x:c>
      <x:c r="O2798" s="7" t="n">
        <x:v>0</x:v>
      </x:c>
      <x:c r="P2798" s="9" t="n">
        <x:v>7.05</x:v>
      </x:c>
      <x:c r="Q2798" s="7" t="n">
        <x:f>'Guide'!$B$5-L2798</x:f>
        <x:v>5</x:v>
      </x:c>
      <x:c r="R2798" s="9" t="n">
        <x:f>K2798-P2798</x:f>
        <x:v>6.45</x:v>
      </x:c>
      <x:c r="S2798" s="10" t="n">
        <x:f>IF(K2798&gt;0,R2798/K2798,"")</x:f>
        <x:v>0.4777777777777778</x:v>
      </x:c>
    </x:row>
    <x:row r="2799">
      <x:c r="A2799" s="7" t="n">
        <x:v>2795</x:v>
      </x:c>
      <x:c r="B2799" s="7" t="str">
        <x:v>Tata</x:v>
      </x:c>
      <x:c r="C2799" s="7" t="str">
        <x:v>Nexon</x:v>
      </x:c>
      <x:c r="D2799" s="7" t="str">
        <x:v>Creative DCA</x:v>
      </x:c>
      <x:c r="E2799" s="7" t="str">
        <x:v>Petrol</x:v>
      </x:c>
      <x:c r="F2799" s="7" t="str">
        <x:v>Automatic</x:v>
      </x:c>
      <x:c r="G2799" s="7" t="str">
        <x:v>Compact SUV</x:v>
      </x:c>
      <x:c r="H2799" s="7" t="n">
        <x:v>1199</x:v>
      </x:c>
      <x:c r="I2799" s="7" t="n">
        <x:v>118</x:v>
      </x:c>
      <x:c r="J2799" s="9" t="n">
        <x:v>17.2</x:v>
      </x:c>
      <x:c r="K2799" s="9" t="n">
        <x:v>13.5</x:v>
      </x:c>
      <x:c r="L2799" s="7" t="n">
        <x:v>2026</x:v>
      </x:c>
      <x:c r="M2799" s="11" t="n">
        <x:v>6590</x:v>
      </x:c>
      <x:c r="N2799" s="7" t="n">
        <x:v>2</x:v>
      </x:c>
      <x:c r="O2799" s="7" t="n">
        <x:v>0</x:v>
      </x:c>
      <x:c r="P2799" s="9" t="n">
        <x:v>12.85</x:v>
      </x:c>
      <x:c r="Q2799" s="7" t="n">
        <x:f>'Guide'!$B$5-L2799</x:f>
        <x:v>0</x:v>
      </x:c>
      <x:c r="R2799" s="9" t="n">
        <x:f>K2799-P2799</x:f>
        <x:v>0.6500000000000004</x:v>
      </x:c>
      <x:c r="S2799" s="10" t="n">
        <x:f>IF(K2799&gt;0,R2799/K2799,"")</x:f>
        <x:v>0.048148148148148176</x:v>
      </x:c>
    </x:row>
    <x:row r="2800">
      <x:c r="A2800" s="7" t="n">
        <x:v>2796</x:v>
      </x:c>
      <x:c r="B2800" s="7" t="str">
        <x:v>Tata</x:v>
      </x:c>
      <x:c r="C2800" s="7" t="str">
        <x:v>Nexon</x:v>
      </x:c>
      <x:c r="D2800" s="7" t="str">
        <x:v>Creative DCA</x:v>
      </x:c>
      <x:c r="E2800" s="7" t="str">
        <x:v>Petrol</x:v>
      </x:c>
      <x:c r="F2800" s="7" t="str">
        <x:v>Automatic</x:v>
      </x:c>
      <x:c r="G2800" s="7" t="str">
        <x:v>Compact SUV</x:v>
      </x:c>
      <x:c r="H2800" s="7" t="n">
        <x:v>1199</x:v>
      </x:c>
      <x:c r="I2800" s="7" t="n">
        <x:v>118</x:v>
      </x:c>
      <x:c r="J2800" s="9" t="n">
        <x:v>17.2</x:v>
      </x:c>
      <x:c r="K2800" s="9" t="n">
        <x:v>13.5</x:v>
      </x:c>
      <x:c r="L2800" s="7" t="n">
        <x:v>2026</x:v>
      </x:c>
      <x:c r="M2800" s="11" t="n">
        <x:v>4330</x:v>
      </x:c>
      <x:c r="N2800" s="7" t="n">
        <x:v>1</x:v>
      </x:c>
      <x:c r="O2800" s="7" t="n">
        <x:v>0</x:v>
      </x:c>
      <x:c r="P2800" s="9" t="n">
        <x:v>13.04</x:v>
      </x:c>
      <x:c r="Q2800" s="7" t="n">
        <x:f>'Guide'!$B$5-L2800</x:f>
        <x:v>0</x:v>
      </x:c>
      <x:c r="R2800" s="9" t="n">
        <x:f>K2800-P2800</x:f>
        <x:v>0.46000000000000085</x:v>
      </x:c>
      <x:c r="S2800" s="10" t="n">
        <x:f>IF(K2800&gt;0,R2800/K2800,"")</x:f>
        <x:v>0.03407407407407414</x:v>
      </x:c>
    </x:row>
    <x:row r="2801">
      <x:c r="A2801" s="7" t="n">
        <x:v>2797</x:v>
      </x:c>
      <x:c r="B2801" s="7" t="str">
        <x:v>Tata</x:v>
      </x:c>
      <x:c r="C2801" s="7" t="str">
        <x:v>Nexon</x:v>
      </x:c>
      <x:c r="D2801" s="7" t="str">
        <x:v>Creative DCA</x:v>
      </x:c>
      <x:c r="E2801" s="7" t="str">
        <x:v>Petrol</x:v>
      </x:c>
      <x:c r="F2801" s="7" t="str">
        <x:v>Automatic</x:v>
      </x:c>
      <x:c r="G2801" s="7" t="str">
        <x:v>Compact SUV</x:v>
      </x:c>
      <x:c r="H2801" s="7" t="n">
        <x:v>1199</x:v>
      </x:c>
      <x:c r="I2801" s="7" t="n">
        <x:v>118</x:v>
      </x:c>
      <x:c r="J2801" s="9" t="n">
        <x:v>17.2</x:v>
      </x:c>
      <x:c r="K2801" s="9" t="n">
        <x:v>13.5</x:v>
      </x:c>
      <x:c r="L2801" s="7" t="n">
        <x:v>2020</x:v>
      </x:c>
      <x:c r="M2801" s="11" t="n">
        <x:v>66240</x:v>
      </x:c>
      <x:c r="N2801" s="7" t="n">
        <x:v>3</x:v>
      </x:c>
      <x:c r="O2801" s="7" t="n">
        <x:v>0</x:v>
      </x:c>
      <x:c r="P2801" s="9" t="n">
        <x:v>5.52</x:v>
      </x:c>
      <x:c r="Q2801" s="7" t="n">
        <x:f>'Guide'!$B$5-L2801</x:f>
        <x:v>6</x:v>
      </x:c>
      <x:c r="R2801" s="9" t="n">
        <x:f>K2801-P2801</x:f>
        <x:v>7.98</x:v>
      </x:c>
      <x:c r="S2801" s="10" t="n">
        <x:f>IF(K2801&gt;0,R2801/K2801,"")</x:f>
        <x:v>0.5911111111111111</x:v>
      </x:c>
    </x:row>
    <x:row r="2802">
      <x:c r="A2802" s="7" t="n">
        <x:v>2798</x:v>
      </x:c>
      <x:c r="B2802" s="7" t="str">
        <x:v>Tata</x:v>
      </x:c>
      <x:c r="C2802" s="7" t="str">
        <x:v>Nexon</x:v>
      </x:c>
      <x:c r="D2802" s="7" t="str">
        <x:v>Creative DCA</x:v>
      </x:c>
      <x:c r="E2802" s="7" t="str">
        <x:v>Petrol</x:v>
      </x:c>
      <x:c r="F2802" s="7" t="str">
        <x:v>Automatic</x:v>
      </x:c>
      <x:c r="G2802" s="7" t="str">
        <x:v>Compact SUV</x:v>
      </x:c>
      <x:c r="H2802" s="7" t="n">
        <x:v>1199</x:v>
      </x:c>
      <x:c r="I2802" s="7" t="n">
        <x:v>118</x:v>
      </x:c>
      <x:c r="J2802" s="9" t="n">
        <x:v>17.2</x:v>
      </x:c>
      <x:c r="K2802" s="9" t="n">
        <x:v>13.5</x:v>
      </x:c>
      <x:c r="L2802" s="7" t="n">
        <x:v>2025</x:v>
      </x:c>
      <x:c r="M2802" s="11" t="n">
        <x:v>21580</x:v>
      </x:c>
      <x:c r="N2802" s="7" t="n">
        <x:v>1</x:v>
      </x:c>
      <x:c r="O2802" s="7" t="n">
        <x:v>1</x:v>
      </x:c>
      <x:c r="P2802" s="9" t="n">
        <x:v>11.64</x:v>
      </x:c>
      <x:c r="Q2802" s="7" t="n">
        <x:f>'Guide'!$B$5-L2802</x:f>
        <x:v>1</x:v>
      </x:c>
      <x:c r="R2802" s="9" t="n">
        <x:f>K2802-P2802</x:f>
        <x:v>1.8599999999999994</x:v>
      </x:c>
      <x:c r="S2802" s="10" t="n">
        <x:f>IF(K2802&gt;0,R2802/K2802,"")</x:f>
        <x:v>0.13777777777777775</x:v>
      </x:c>
    </x:row>
    <x:row r="2803">
      <x:c r="A2803" s="7" t="n">
        <x:v>2799</x:v>
      </x:c>
      <x:c r="B2803" s="7" t="str">
        <x:v>Tata</x:v>
      </x:c>
      <x:c r="C2803" s="7" t="str">
        <x:v>Nexon</x:v>
      </x:c>
      <x:c r="D2803" s="7" t="str">
        <x:v>Creative DCA</x:v>
      </x:c>
      <x:c r="E2803" s="7" t="str">
        <x:v>Petrol</x:v>
      </x:c>
      <x:c r="F2803" s="7" t="str">
        <x:v>Automatic</x:v>
      </x:c>
      <x:c r="G2803" s="7" t="str">
        <x:v>Compact SUV</x:v>
      </x:c>
      <x:c r="H2803" s="7" t="n">
        <x:v>1199</x:v>
      </x:c>
      <x:c r="I2803" s="7" t="n">
        <x:v>118</x:v>
      </x:c>
      <x:c r="J2803" s="9" t="n">
        <x:v>17.2</x:v>
      </x:c>
      <x:c r="K2803" s="9" t="n">
        <x:v>13.5</x:v>
      </x:c>
      <x:c r="L2803" s="7" t="n">
        <x:v>2023</x:v>
      </x:c>
      <x:c r="M2803" s="11" t="n">
        <x:v>33637</x:v>
      </x:c>
      <x:c r="N2803" s="7" t="n">
        <x:v>2</x:v>
      </x:c>
      <x:c r="O2803" s="7" t="n">
        <x:v>0</x:v>
      </x:c>
      <x:c r="P2803" s="9" t="n">
        <x:v>9.59</x:v>
      </x:c>
      <x:c r="Q2803" s="7" t="n">
        <x:f>'Guide'!$B$5-L2803</x:f>
        <x:v>3</x:v>
      </x:c>
      <x:c r="R2803" s="9" t="n">
        <x:f>K2803-P2803</x:f>
        <x:v>3.91</x:v>
      </x:c>
      <x:c r="S2803" s="10" t="n">
        <x:f>IF(K2803&gt;0,R2803/K2803,"")</x:f>
        <x:v>0.2896296296296296</x:v>
      </x:c>
    </x:row>
    <x:row r="2804">
      <x:c r="A2804" s="7" t="n">
        <x:v>2800</x:v>
      </x:c>
      <x:c r="B2804" s="7" t="str">
        <x:v>Tata</x:v>
      </x:c>
      <x:c r="C2804" s="7" t="str">
        <x:v>Nexon</x:v>
      </x:c>
      <x:c r="D2804" s="7" t="str">
        <x:v>Creative DCA</x:v>
      </x:c>
      <x:c r="E2804" s="7" t="str">
        <x:v>Petrol</x:v>
      </x:c>
      <x:c r="F2804" s="7" t="str">
        <x:v>Automatic</x:v>
      </x:c>
      <x:c r="G2804" s="7" t="str">
        <x:v>Compact SUV</x:v>
      </x:c>
      <x:c r="H2804" s="7" t="n">
        <x:v>1199</x:v>
      </x:c>
      <x:c r="I2804" s="7" t="n">
        <x:v>118</x:v>
      </x:c>
      <x:c r="J2804" s="9" t="n">
        <x:v>17.2</x:v>
      </x:c>
      <x:c r="K2804" s="9" t="n">
        <x:v>13.5</x:v>
      </x:c>
      <x:c r="L2804" s="7" t="n">
        <x:v>2023</x:v>
      </x:c>
      <x:c r="M2804" s="11" t="n">
        <x:v>54866</x:v>
      </x:c>
      <x:c r="N2804" s="7" t="n">
        <x:v>2</x:v>
      </x:c>
      <x:c r="O2804" s="7" t="n">
        <x:v>0</x:v>
      </x:c>
      <x:c r="P2804" s="9" t="n">
        <x:v>8.7</x:v>
      </x:c>
      <x:c r="Q2804" s="7" t="n">
        <x:f>'Guide'!$B$5-L2804</x:f>
        <x:v>3</x:v>
      </x:c>
      <x:c r="R2804" s="9" t="n">
        <x:f>K2804-P2804</x:f>
        <x:v>4.800000000000001</x:v>
      </x:c>
      <x:c r="S2804" s="10" t="n">
        <x:f>IF(K2804&gt;0,R2804/K2804,"")</x:f>
        <x:v>0.3555555555555556</x:v>
      </x:c>
    </x:row>
    <x:row r="2805">
      <x:c r="A2805" s="7" t="n">
        <x:v>2801</x:v>
      </x:c>
      <x:c r="B2805" s="7" t="str">
        <x:v>Tata</x:v>
      </x:c>
      <x:c r="C2805" s="7" t="str">
        <x:v>Nexon</x:v>
      </x:c>
      <x:c r="D2805" s="7" t="str">
        <x:v>Pure Diesel</x:v>
      </x:c>
      <x:c r="E2805" s="7" t="str">
        <x:v>Diesel</x:v>
      </x:c>
      <x:c r="F2805" s="7" t="str">
        <x:v>Manual</x:v>
      </x:c>
      <x:c r="G2805" s="7" t="str">
        <x:v>Compact SUV</x:v>
      </x:c>
      <x:c r="H2805" s="7" t="n">
        <x:v>1497</x:v>
      </x:c>
      <x:c r="I2805" s="7" t="n">
        <x:v>113</x:v>
      </x:c>
      <x:c r="J2805" s="9" t="n">
        <x:v>23.2</x:v>
      </x:c>
      <x:c r="K2805" s="9" t="n">
        <x:v>12.5</x:v>
      </x:c>
      <x:c r="L2805" s="7" t="n">
        <x:v>2025</x:v>
      </x:c>
      <x:c r="M2805" s="11" t="n">
        <x:v>21133</x:v>
      </x:c>
      <x:c r="N2805" s="7" t="n">
        <x:v>1</x:v>
      </x:c>
      <x:c r="O2805" s="7" t="n">
        <x:v>0</x:v>
      </x:c>
      <x:c r="P2805" s="9" t="n">
        <x:v>11.12</x:v>
      </x:c>
      <x:c r="Q2805" s="7" t="n">
        <x:f>'Guide'!$B$5-L2805</x:f>
        <x:v>1</x:v>
      </x:c>
      <x:c r="R2805" s="9" t="n">
        <x:f>K2805-P2805</x:f>
        <x:v>1.3800000000000008</x:v>
      </x:c>
      <x:c r="S2805" s="10" t="n">
        <x:f>IF(K2805&gt;0,R2805/K2805,"")</x:f>
        <x:v>0.11040000000000007</x:v>
      </x:c>
    </x:row>
    <x:row r="2806">
      <x:c r="A2806" s="7" t="n">
        <x:v>2802</x:v>
      </x:c>
      <x:c r="B2806" s="7" t="str">
        <x:v>Tata</x:v>
      </x:c>
      <x:c r="C2806" s="7" t="str">
        <x:v>Nexon</x:v>
      </x:c>
      <x:c r="D2806" s="7" t="str">
        <x:v>Pure Diesel</x:v>
      </x:c>
      <x:c r="E2806" s="7" t="str">
        <x:v>Diesel</x:v>
      </x:c>
      <x:c r="F2806" s="7" t="str">
        <x:v>Manual</x:v>
      </x:c>
      <x:c r="G2806" s="7" t="str">
        <x:v>Compact SUV</x:v>
      </x:c>
      <x:c r="H2806" s="7" t="n">
        <x:v>1497</x:v>
      </x:c>
      <x:c r="I2806" s="7" t="n">
        <x:v>113</x:v>
      </x:c>
      <x:c r="J2806" s="9" t="n">
        <x:v>23.2</x:v>
      </x:c>
      <x:c r="K2806" s="9" t="n">
        <x:v>12.5</x:v>
      </x:c>
      <x:c r="L2806" s="7" t="n">
        <x:v>2026</x:v>
      </x:c>
      <x:c r="M2806" s="11" t="n">
        <x:v>6249</x:v>
      </x:c>
      <x:c r="N2806" s="7" t="n">
        <x:v>1</x:v>
      </x:c>
      <x:c r="O2806" s="7" t="n">
        <x:v>0</x:v>
      </x:c>
      <x:c r="P2806" s="9" t="n">
        <x:v>12.44</x:v>
      </x:c>
      <x:c r="Q2806" s="7" t="n">
        <x:f>'Guide'!$B$5-L2806</x:f>
        <x:v>0</x:v>
      </x:c>
      <x:c r="R2806" s="9" t="n">
        <x:f>K2806-P2806</x:f>
        <x:v>0.0600000000000005</x:v>
      </x:c>
      <x:c r="S2806" s="10" t="n">
        <x:f>IF(K2806&gt;0,R2806/K2806,"")</x:f>
        <x:v>0.0048000000000000395</x:v>
      </x:c>
    </x:row>
    <x:row r="2807">
      <x:c r="A2807" s="7" t="n">
        <x:v>2803</x:v>
      </x:c>
      <x:c r="B2807" s="7" t="str">
        <x:v>Tata</x:v>
      </x:c>
      <x:c r="C2807" s="7" t="str">
        <x:v>Nexon</x:v>
      </x:c>
      <x:c r="D2807" s="7" t="str">
        <x:v>Pure Diesel</x:v>
      </x:c>
      <x:c r="E2807" s="7" t="str">
        <x:v>Diesel</x:v>
      </x:c>
      <x:c r="F2807" s="7" t="str">
        <x:v>Manual</x:v>
      </x:c>
      <x:c r="G2807" s="7" t="str">
        <x:v>Compact SUV</x:v>
      </x:c>
      <x:c r="H2807" s="7" t="n">
        <x:v>1497</x:v>
      </x:c>
      <x:c r="I2807" s="7" t="n">
        <x:v>113</x:v>
      </x:c>
      <x:c r="J2807" s="9" t="n">
        <x:v>23.2</x:v>
      </x:c>
      <x:c r="K2807" s="9" t="n">
        <x:v>12.5</x:v>
      </x:c>
      <x:c r="L2807" s="7" t="n">
        <x:v>2021</x:v>
      </x:c>
      <x:c r="M2807" s="11" t="n">
        <x:v>105784</x:v>
      </x:c>
      <x:c r="N2807" s="7" t="n">
        <x:v>1</x:v>
      </x:c>
      <x:c r="O2807" s="7" t="n">
        <x:v>0</x:v>
      </x:c>
      <x:c r="P2807" s="9" t="n">
        <x:v>5.87</x:v>
      </x:c>
      <x:c r="Q2807" s="7" t="n">
        <x:f>'Guide'!$B$5-L2807</x:f>
        <x:v>5</x:v>
      </x:c>
      <x:c r="R2807" s="9" t="n">
        <x:f>K2807-P2807</x:f>
        <x:v>6.63</x:v>
      </x:c>
      <x:c r="S2807" s="10" t="n">
        <x:f>IF(K2807&gt;0,R2807/K2807,"")</x:f>
        <x:v>0.5304</x:v>
      </x:c>
    </x:row>
    <x:row r="2808">
      <x:c r="A2808" s="7" t="n">
        <x:v>2804</x:v>
      </x:c>
      <x:c r="B2808" s="7" t="str">
        <x:v>Tata</x:v>
      </x:c>
      <x:c r="C2808" s="7" t="str">
        <x:v>Nexon</x:v>
      </x:c>
      <x:c r="D2808" s="7" t="str">
        <x:v>Pure Diesel</x:v>
      </x:c>
      <x:c r="E2808" s="7" t="str">
        <x:v>Diesel</x:v>
      </x:c>
      <x:c r="F2808" s="7" t="str">
        <x:v>Manual</x:v>
      </x:c>
      <x:c r="G2808" s="7" t="str">
        <x:v>Compact SUV</x:v>
      </x:c>
      <x:c r="H2808" s="7" t="n">
        <x:v>1497</x:v>
      </x:c>
      <x:c r="I2808" s="7" t="n">
        <x:v>113</x:v>
      </x:c>
      <x:c r="J2808" s="9" t="n">
        <x:v>23.2</x:v>
      </x:c>
      <x:c r="K2808" s="9" t="n">
        <x:v>12.5</x:v>
      </x:c>
      <x:c r="L2808" s="7" t="n">
        <x:v>2024</x:v>
      </x:c>
      <x:c r="M2808" s="11" t="n">
        <x:v>26136</x:v>
      </x:c>
      <x:c r="N2808" s="7" t="n">
        <x:v>2</x:v>
      </x:c>
      <x:c r="O2808" s="7" t="n">
        <x:v>0</x:v>
      </x:c>
      <x:c r="P2808" s="9" t="n">
        <x:v>9.56</x:v>
      </x:c>
      <x:c r="Q2808" s="7" t="n">
        <x:f>'Guide'!$B$5-L2808</x:f>
        <x:v>2</x:v>
      </x:c>
      <x:c r="R2808" s="9" t="n">
        <x:f>K2808-P2808</x:f>
        <x:v>2.9399999999999995</x:v>
      </x:c>
      <x:c r="S2808" s="10" t="n">
        <x:f>IF(K2808&gt;0,R2808/K2808,"")</x:f>
        <x:v>0.23519999999999996</x:v>
      </x:c>
    </x:row>
    <x:row r="2809">
      <x:c r="A2809" s="7" t="n">
        <x:v>2805</x:v>
      </x:c>
      <x:c r="B2809" s="7" t="str">
        <x:v>Tata</x:v>
      </x:c>
      <x:c r="C2809" s="7" t="str">
        <x:v>Nexon</x:v>
      </x:c>
      <x:c r="D2809" s="7" t="str">
        <x:v>Pure Diesel</x:v>
      </x:c>
      <x:c r="E2809" s="7" t="str">
        <x:v>Diesel</x:v>
      </x:c>
      <x:c r="F2809" s="7" t="str">
        <x:v>Manual</x:v>
      </x:c>
      <x:c r="G2809" s="7" t="str">
        <x:v>Compact SUV</x:v>
      </x:c>
      <x:c r="H2809" s="7" t="n">
        <x:v>1497</x:v>
      </x:c>
      <x:c r="I2809" s="7" t="n">
        <x:v>113</x:v>
      </x:c>
      <x:c r="J2809" s="9" t="n">
        <x:v>23.2</x:v>
      </x:c>
      <x:c r="K2809" s="9" t="n">
        <x:v>12.5</x:v>
      </x:c>
      <x:c r="L2809" s="7" t="n">
        <x:v>2025</x:v>
      </x:c>
      <x:c r="M2809" s="11" t="n">
        <x:v>25002</x:v>
      </x:c>
      <x:c r="N2809" s="7" t="n">
        <x:v>1</x:v>
      </x:c>
      <x:c r="O2809" s="7" t="n">
        <x:v>0</x:v>
      </x:c>
      <x:c r="P2809" s="9" t="n">
        <x:v>11.21</x:v>
      </x:c>
      <x:c r="Q2809" s="7" t="n">
        <x:f>'Guide'!$B$5-L2809</x:f>
        <x:v>1</x:v>
      </x:c>
      <x:c r="R2809" s="9" t="n">
        <x:f>K2809-P2809</x:f>
        <x:v>1.2899999999999991</x:v>
      </x:c>
      <x:c r="S2809" s="10" t="n">
        <x:f>IF(K2809&gt;0,R2809/K2809,"")</x:f>
        <x:v>0.10319999999999993</x:v>
      </x:c>
    </x:row>
    <x:row r="2810">
      <x:c r="A2810" s="7" t="n">
        <x:v>2806</x:v>
      </x:c>
      <x:c r="B2810" s="7" t="str">
        <x:v>Tata</x:v>
      </x:c>
      <x:c r="C2810" s="7" t="str">
        <x:v>Nexon</x:v>
      </x:c>
      <x:c r="D2810" s="7" t="str">
        <x:v>Pure Diesel</x:v>
      </x:c>
      <x:c r="E2810" s="7" t="str">
        <x:v>Diesel</x:v>
      </x:c>
      <x:c r="F2810" s="7" t="str">
        <x:v>Manual</x:v>
      </x:c>
      <x:c r="G2810" s="7" t="str">
        <x:v>Compact SUV</x:v>
      </x:c>
      <x:c r="H2810" s="7" t="n">
        <x:v>1497</x:v>
      </x:c>
      <x:c r="I2810" s="7" t="n">
        <x:v>113</x:v>
      </x:c>
      <x:c r="J2810" s="9" t="n">
        <x:v>23.2</x:v>
      </x:c>
      <x:c r="K2810" s="9" t="n">
        <x:v>12.5</x:v>
      </x:c>
      <x:c r="L2810" s="7" t="n">
        <x:v>2022</x:v>
      </x:c>
      <x:c r="M2810" s="11" t="n">
        <x:v>83334</x:v>
      </x:c>
      <x:c r="N2810" s="7" t="n">
        <x:v>2</x:v>
      </x:c>
      <x:c r="O2810" s="7" t="n">
        <x:v>1</x:v>
      </x:c>
      <x:c r="P2810" s="9" t="n">
        <x:v>5.99</x:v>
      </x:c>
      <x:c r="Q2810" s="7" t="n">
        <x:f>'Guide'!$B$5-L2810</x:f>
        <x:v>4</x:v>
      </x:c>
      <x:c r="R2810" s="9" t="n">
        <x:f>K2810-P2810</x:f>
        <x:v>6.51</x:v>
      </x:c>
      <x:c r="S2810" s="10" t="n">
        <x:f>IF(K2810&gt;0,R2810/K2810,"")</x:f>
        <x:v>0.5207999999999999</x:v>
      </x:c>
    </x:row>
    <x:row r="2811">
      <x:c r="A2811" s="7" t="n">
        <x:v>2807</x:v>
      </x:c>
      <x:c r="B2811" s="7" t="str">
        <x:v>Tata</x:v>
      </x:c>
      <x:c r="C2811" s="7" t="str">
        <x:v>Nexon</x:v>
      </x:c>
      <x:c r="D2811" s="7" t="str">
        <x:v>Pure Diesel</x:v>
      </x:c>
      <x:c r="E2811" s="7" t="str">
        <x:v>Diesel</x:v>
      </x:c>
      <x:c r="F2811" s="7" t="str">
        <x:v>Manual</x:v>
      </x:c>
      <x:c r="G2811" s="7" t="str">
        <x:v>Compact SUV</x:v>
      </x:c>
      <x:c r="H2811" s="7" t="n">
        <x:v>1497</x:v>
      </x:c>
      <x:c r="I2811" s="7" t="n">
        <x:v>113</x:v>
      </x:c>
      <x:c r="J2811" s="9" t="n">
        <x:v>23.2</x:v>
      </x:c>
      <x:c r="K2811" s="9" t="n">
        <x:v>12.5</x:v>
      </x:c>
      <x:c r="L2811" s="7" t="n">
        <x:v>2023</x:v>
      </x:c>
      <x:c r="M2811" s="11" t="n">
        <x:v>57951</x:v>
      </x:c>
      <x:c r="N2811" s="7" t="n">
        <x:v>2</x:v>
      </x:c>
      <x:c r="O2811" s="7" t="n">
        <x:v>0</x:v>
      </x:c>
      <x:c r="P2811" s="9" t="n">
        <x:v>7.84</x:v>
      </x:c>
      <x:c r="Q2811" s="7" t="n">
        <x:f>'Guide'!$B$5-L2811</x:f>
        <x:v>3</x:v>
      </x:c>
      <x:c r="R2811" s="9" t="n">
        <x:f>K2811-P2811</x:f>
        <x:v>4.66</x:v>
      </x:c>
      <x:c r="S2811" s="10" t="n">
        <x:f>IF(K2811&gt;0,R2811/K2811,"")</x:f>
        <x:v>0.3728</x:v>
      </x:c>
    </x:row>
    <x:row r="2812">
      <x:c r="A2812" s="7" t="n">
        <x:v>2808</x:v>
      </x:c>
      <x:c r="B2812" s="7" t="str">
        <x:v>Tata</x:v>
      </x:c>
      <x:c r="C2812" s="7" t="str">
        <x:v>Nexon</x:v>
      </x:c>
      <x:c r="D2812" s="7" t="str">
        <x:v>Pure Diesel</x:v>
      </x:c>
      <x:c r="E2812" s="7" t="str">
        <x:v>Diesel</x:v>
      </x:c>
      <x:c r="F2812" s="7" t="str">
        <x:v>Manual</x:v>
      </x:c>
      <x:c r="G2812" s="7" t="str">
        <x:v>Compact SUV</x:v>
      </x:c>
      <x:c r="H2812" s="7" t="n">
        <x:v>1497</x:v>
      </x:c>
      <x:c r="I2812" s="7" t="n">
        <x:v>113</x:v>
      </x:c>
      <x:c r="J2812" s="9" t="n">
        <x:v>23.2</x:v>
      </x:c>
      <x:c r="K2812" s="9" t="n">
        <x:v>12.5</x:v>
      </x:c>
      <x:c r="L2812" s="7" t="n">
        <x:v>2025</x:v>
      </x:c>
      <x:c r="M2812" s="11" t="n">
        <x:v>20327</x:v>
      </x:c>
      <x:c r="N2812" s="7" t="n">
        <x:v>2</x:v>
      </x:c>
      <x:c r="O2812" s="7" t="n">
        <x:v>0</x:v>
      </x:c>
      <x:c r="P2812" s="9" t="n">
        <x:v>11.13</x:v>
      </x:c>
      <x:c r="Q2812" s="7" t="n">
        <x:f>'Guide'!$B$5-L2812</x:f>
        <x:v>1</x:v>
      </x:c>
      <x:c r="R2812" s="9" t="n">
        <x:f>K2812-P2812</x:f>
        <x:v>1.3699999999999992</x:v>
      </x:c>
      <x:c r="S2812" s="10" t="n">
        <x:f>IF(K2812&gt;0,R2812/K2812,"")</x:f>
        <x:v>0.10959999999999993</x:v>
      </x:c>
    </x:row>
    <x:row r="2813">
      <x:c r="A2813" s="7" t="n">
        <x:v>2809</x:v>
      </x:c>
      <x:c r="B2813" s="7" t="str">
        <x:v>Tata</x:v>
      </x:c>
      <x:c r="C2813" s="7" t="str">
        <x:v>Nexon</x:v>
      </x:c>
      <x:c r="D2813" s="7" t="str">
        <x:v>Pure Diesel</x:v>
      </x:c>
      <x:c r="E2813" s="7" t="str">
        <x:v>Diesel</x:v>
      </x:c>
      <x:c r="F2813" s="7" t="str">
        <x:v>Manual</x:v>
      </x:c>
      <x:c r="G2813" s="7" t="str">
        <x:v>Compact SUV</x:v>
      </x:c>
      <x:c r="H2813" s="7" t="n">
        <x:v>1497</x:v>
      </x:c>
      <x:c r="I2813" s="7" t="n">
        <x:v>113</x:v>
      </x:c>
      <x:c r="J2813" s="9" t="n">
        <x:v>23.2</x:v>
      </x:c>
      <x:c r="K2813" s="9" t="n">
        <x:v>12.5</x:v>
      </x:c>
      <x:c r="L2813" s="7" t="n">
        <x:v>2020</x:v>
      </x:c>
      <x:c r="M2813" s="11" t="n">
        <x:v>129435</x:v>
      </x:c>
      <x:c r="N2813" s="7" t="n">
        <x:v>1</x:v>
      </x:c>
      <x:c r="O2813" s="7" t="n">
        <x:v>0</x:v>
      </x:c>
      <x:c r="P2813" s="9" t="n">
        <x:v>4.79</x:v>
      </x:c>
      <x:c r="Q2813" s="7" t="n">
        <x:f>'Guide'!$B$5-L2813</x:f>
        <x:v>6</x:v>
      </x:c>
      <x:c r="R2813" s="9" t="n">
        <x:f>K2813-P2813</x:f>
        <x:v>7.71</x:v>
      </x:c>
      <x:c r="S2813" s="10" t="n">
        <x:f>IF(K2813&gt;0,R2813/K2813,"")</x:f>
        <x:v>0.6168</x:v>
      </x:c>
    </x:row>
    <x:row r="2814">
      <x:c r="A2814" s="7" t="n">
        <x:v>2810</x:v>
      </x:c>
      <x:c r="B2814" s="7" t="str">
        <x:v>Tata</x:v>
      </x:c>
      <x:c r="C2814" s="7" t="str">
        <x:v>Nexon</x:v>
      </x:c>
      <x:c r="D2814" s="7" t="str">
        <x:v>Pure Diesel</x:v>
      </x:c>
      <x:c r="E2814" s="7" t="str">
        <x:v>Diesel</x:v>
      </x:c>
      <x:c r="F2814" s="7" t="str">
        <x:v>Manual</x:v>
      </x:c>
      <x:c r="G2814" s="7" t="str">
        <x:v>Compact SUV</x:v>
      </x:c>
      <x:c r="H2814" s="7" t="n">
        <x:v>1497</x:v>
      </x:c>
      <x:c r="I2814" s="7" t="n">
        <x:v>113</x:v>
      </x:c>
      <x:c r="J2814" s="9" t="n">
        <x:v>23.2</x:v>
      </x:c>
      <x:c r="K2814" s="9" t="n">
        <x:v>12.5</x:v>
      </x:c>
      <x:c r="L2814" s="7" t="n">
        <x:v>2025</x:v>
      </x:c>
      <x:c r="M2814" s="11" t="n">
        <x:v>24700</x:v>
      </x:c>
      <x:c r="N2814" s="7" t="n">
        <x:v>1</x:v>
      </x:c>
      <x:c r="O2814" s="7" t="n">
        <x:v>0</x:v>
      </x:c>
      <x:c r="P2814" s="9" t="n">
        <x:v>10.9</x:v>
      </x:c>
      <x:c r="Q2814" s="7" t="n">
        <x:f>'Guide'!$B$5-L2814</x:f>
        <x:v>1</x:v>
      </x:c>
      <x:c r="R2814" s="9" t="n">
        <x:f>K2814-P2814</x:f>
        <x:v>1.5999999999999996</x:v>
      </x:c>
      <x:c r="S2814" s="10" t="n">
        <x:f>IF(K2814&gt;0,R2814/K2814,"")</x:f>
        <x:v>0.12799999999999997</x:v>
      </x:c>
    </x:row>
    <x:row r="2815">
      <x:c r="A2815" s="7" t="n">
        <x:v>2811</x:v>
      </x:c>
      <x:c r="B2815" s="7" t="str">
        <x:v>Tata</x:v>
      </x:c>
      <x:c r="C2815" s="7" t="str">
        <x:v>Nexon</x:v>
      </x:c>
      <x:c r="D2815" s="7" t="str">
        <x:v>Pure Diesel</x:v>
      </x:c>
      <x:c r="E2815" s="7" t="str">
        <x:v>Diesel</x:v>
      </x:c>
      <x:c r="F2815" s="7" t="str">
        <x:v>Manual</x:v>
      </x:c>
      <x:c r="G2815" s="7" t="str">
        <x:v>Compact SUV</x:v>
      </x:c>
      <x:c r="H2815" s="7" t="n">
        <x:v>1497</x:v>
      </x:c>
      <x:c r="I2815" s="7" t="n">
        <x:v>113</x:v>
      </x:c>
      <x:c r="J2815" s="9" t="n">
        <x:v>23.2</x:v>
      </x:c>
      <x:c r="K2815" s="9" t="n">
        <x:v>12.5</x:v>
      </x:c>
      <x:c r="L2815" s="7" t="n">
        <x:v>2021</x:v>
      </x:c>
      <x:c r="M2815" s="11" t="n">
        <x:v>65400</x:v>
      </x:c>
      <x:c r="N2815" s="7" t="n">
        <x:v>1</x:v>
      </x:c>
      <x:c r="O2815" s="7" t="n">
        <x:v>0</x:v>
      </x:c>
      <x:c r="P2815" s="9" t="n">
        <x:v>6.46</x:v>
      </x:c>
      <x:c r="Q2815" s="7" t="n">
        <x:f>'Guide'!$B$5-L2815</x:f>
        <x:v>5</x:v>
      </x:c>
      <x:c r="R2815" s="9" t="n">
        <x:f>K2815-P2815</x:f>
        <x:v>6.04</x:v>
      </x:c>
      <x:c r="S2815" s="10" t="n">
        <x:f>IF(K2815&gt;0,R2815/K2815,"")</x:f>
        <x:v>0.4832</x:v>
      </x:c>
    </x:row>
    <x:row r="2816">
      <x:c r="A2816" s="7" t="n">
        <x:v>2812</x:v>
      </x:c>
      <x:c r="B2816" s="7" t="str">
        <x:v>Tata</x:v>
      </x:c>
      <x:c r="C2816" s="7" t="str">
        <x:v>Nexon</x:v>
      </x:c>
      <x:c r="D2816" s="7" t="str">
        <x:v>Pure Diesel</x:v>
      </x:c>
      <x:c r="E2816" s="7" t="str">
        <x:v>Diesel</x:v>
      </x:c>
      <x:c r="F2816" s="7" t="str">
        <x:v>Manual</x:v>
      </x:c>
      <x:c r="G2816" s="7" t="str">
        <x:v>Compact SUV</x:v>
      </x:c>
      <x:c r="H2816" s="7" t="n">
        <x:v>1497</x:v>
      </x:c>
      <x:c r="I2816" s="7" t="n">
        <x:v>113</x:v>
      </x:c>
      <x:c r="J2816" s="9" t="n">
        <x:v>23.2</x:v>
      </x:c>
      <x:c r="K2816" s="9" t="n">
        <x:v>12.5</x:v>
      </x:c>
      <x:c r="L2816" s="7" t="n">
        <x:v>2022</x:v>
      </x:c>
      <x:c r="M2816" s="11" t="n">
        <x:v>87788</x:v>
      </x:c>
      <x:c r="N2816" s="7" t="n">
        <x:v>1</x:v>
      </x:c>
      <x:c r="O2816" s="7" t="n">
        <x:v>1</x:v>
      </x:c>
      <x:c r="P2816" s="9" t="n">
        <x:v>6.18</x:v>
      </x:c>
      <x:c r="Q2816" s="7" t="n">
        <x:f>'Guide'!$B$5-L2816</x:f>
        <x:v>4</x:v>
      </x:c>
      <x:c r="R2816" s="9" t="n">
        <x:f>K2816-P2816</x:f>
        <x:v>6.32</x:v>
      </x:c>
      <x:c r="S2816" s="10" t="n">
        <x:f>IF(K2816&gt;0,R2816/K2816,"")</x:f>
        <x:v>0.5056</x:v>
      </x:c>
    </x:row>
    <x:row r="2817">
      <x:c r="A2817" s="7" t="n">
        <x:v>2813</x:v>
      </x:c>
      <x:c r="B2817" s="7" t="str">
        <x:v>Tata</x:v>
      </x:c>
      <x:c r="C2817" s="7" t="str">
        <x:v>Nexon</x:v>
      </x:c>
      <x:c r="D2817" s="7" t="str">
        <x:v>Pure Diesel</x:v>
      </x:c>
      <x:c r="E2817" s="7" t="str">
        <x:v>Diesel</x:v>
      </x:c>
      <x:c r="F2817" s="7" t="str">
        <x:v>Manual</x:v>
      </x:c>
      <x:c r="G2817" s="7" t="str">
        <x:v>Compact SUV</x:v>
      </x:c>
      <x:c r="H2817" s="7" t="n">
        <x:v>1497</x:v>
      </x:c>
      <x:c r="I2817" s="7" t="n">
        <x:v>113</x:v>
      </x:c>
      <x:c r="J2817" s="9" t="n">
        <x:v>23.2</x:v>
      </x:c>
      <x:c r="K2817" s="9" t="n">
        <x:v>12.5</x:v>
      </x:c>
      <x:c r="L2817" s="7" t="n">
        <x:v>2024</x:v>
      </x:c>
      <x:c r="M2817" s="11" t="n">
        <x:v>27365</x:v>
      </x:c>
      <x:c r="N2817" s="7" t="n">
        <x:v>1</x:v>
      </x:c>
      <x:c r="O2817" s="7" t="n">
        <x:v>0</x:v>
      </x:c>
      <x:c r="P2817" s="9" t="n">
        <x:v>10.25</x:v>
      </x:c>
      <x:c r="Q2817" s="7" t="n">
        <x:f>'Guide'!$B$5-L2817</x:f>
        <x:v>2</x:v>
      </x:c>
      <x:c r="R2817" s="9" t="n">
        <x:f>K2817-P2817</x:f>
        <x:v>2.25</x:v>
      </x:c>
      <x:c r="S2817" s="10" t="n">
        <x:f>IF(K2817&gt;0,R2817/K2817,"")</x:f>
        <x:v>0.18</x:v>
      </x:c>
    </x:row>
    <x:row r="2818">
      <x:c r="A2818" s="7" t="n">
        <x:v>2814</x:v>
      </x:c>
      <x:c r="B2818" s="7" t="str">
        <x:v>Tata</x:v>
      </x:c>
      <x:c r="C2818" s="7" t="str">
        <x:v>Nexon</x:v>
      </x:c>
      <x:c r="D2818" s="7" t="str">
        <x:v>Pure Diesel</x:v>
      </x:c>
      <x:c r="E2818" s="7" t="str">
        <x:v>Diesel</x:v>
      </x:c>
      <x:c r="F2818" s="7" t="str">
        <x:v>Manual</x:v>
      </x:c>
      <x:c r="G2818" s="7" t="str">
        <x:v>Compact SUV</x:v>
      </x:c>
      <x:c r="H2818" s="7" t="n">
        <x:v>1497</x:v>
      </x:c>
      <x:c r="I2818" s="7" t="n">
        <x:v>113</x:v>
      </x:c>
      <x:c r="J2818" s="9" t="n">
        <x:v>23.2</x:v>
      </x:c>
      <x:c r="K2818" s="9" t="n">
        <x:v>12.5</x:v>
      </x:c>
      <x:c r="L2818" s="7" t="n">
        <x:v>2021</x:v>
      </x:c>
      <x:c r="M2818" s="11" t="n">
        <x:v>104959</x:v>
      </x:c>
      <x:c r="N2818" s="7" t="n">
        <x:v>2</x:v>
      </x:c>
      <x:c r="O2818" s="7" t="n">
        <x:v>1</x:v>
      </x:c>
      <x:c r="P2818" s="9" t="n">
        <x:v>4.46</x:v>
      </x:c>
      <x:c r="Q2818" s="7" t="n">
        <x:f>'Guide'!$B$5-L2818</x:f>
        <x:v>5</x:v>
      </x:c>
      <x:c r="R2818" s="9" t="n">
        <x:f>K2818-P2818</x:f>
        <x:v>8.04</x:v>
      </x:c>
      <x:c r="S2818" s="10" t="n">
        <x:f>IF(K2818&gt;0,R2818/K2818,"")</x:f>
        <x:v>0.6431999999999999</x:v>
      </x:c>
    </x:row>
    <x:row r="2819">
      <x:c r="A2819" s="7" t="n">
        <x:v>2815</x:v>
      </x:c>
      <x:c r="B2819" s="7" t="str">
        <x:v>Tata</x:v>
      </x:c>
      <x:c r="C2819" s="7" t="str">
        <x:v>Nexon</x:v>
      </x:c>
      <x:c r="D2819" s="7" t="str">
        <x:v>Pure Diesel</x:v>
      </x:c>
      <x:c r="E2819" s="7" t="str">
        <x:v>Diesel</x:v>
      </x:c>
      <x:c r="F2819" s="7" t="str">
        <x:v>Manual</x:v>
      </x:c>
      <x:c r="G2819" s="7" t="str">
        <x:v>Compact SUV</x:v>
      </x:c>
      <x:c r="H2819" s="7" t="n">
        <x:v>1497</x:v>
      </x:c>
      <x:c r="I2819" s="7" t="n">
        <x:v>113</x:v>
      </x:c>
      <x:c r="J2819" s="9" t="n">
        <x:v>23.2</x:v>
      </x:c>
      <x:c r="K2819" s="9" t="n">
        <x:v>12.5</x:v>
      </x:c>
      <x:c r="L2819" s="7" t="n">
        <x:v>2025</x:v>
      </x:c>
      <x:c r="M2819" s="11" t="n">
        <x:v>14427</x:v>
      </x:c>
      <x:c r="N2819" s="7" t="n">
        <x:v>3</x:v>
      </x:c>
      <x:c r="O2819" s="7" t="n">
        <x:v>0</x:v>
      </x:c>
      <x:c r="P2819" s="9" t="n">
        <x:v>10.38</x:v>
      </x:c>
      <x:c r="Q2819" s="7" t="n">
        <x:f>'Guide'!$B$5-L2819</x:f>
        <x:v>1</x:v>
      </x:c>
      <x:c r="R2819" s="9" t="n">
        <x:f>K2819-P2819</x:f>
        <x:v>2.119999999999999</x:v>
      </x:c>
      <x:c r="S2819" s="10" t="n">
        <x:f>IF(K2819&gt;0,R2819/K2819,"")</x:f>
        <x:v>0.16959999999999995</x:v>
      </x:c>
    </x:row>
    <x:row r="2820">
      <x:c r="A2820" s="7" t="n">
        <x:v>2816</x:v>
      </x:c>
      <x:c r="B2820" s="7" t="str">
        <x:v>Tata</x:v>
      </x:c>
      <x:c r="C2820" s="7" t="str">
        <x:v>Nexon</x:v>
      </x:c>
      <x:c r="D2820" s="7" t="str">
        <x:v>Pure Diesel</x:v>
      </x:c>
      <x:c r="E2820" s="7" t="str">
        <x:v>Diesel</x:v>
      </x:c>
      <x:c r="F2820" s="7" t="str">
        <x:v>Manual</x:v>
      </x:c>
      <x:c r="G2820" s="7" t="str">
        <x:v>Compact SUV</x:v>
      </x:c>
      <x:c r="H2820" s="7" t="n">
        <x:v>1497</x:v>
      </x:c>
      <x:c r="I2820" s="7" t="n">
        <x:v>113</x:v>
      </x:c>
      <x:c r="J2820" s="9" t="n">
        <x:v>23.2</x:v>
      </x:c>
      <x:c r="K2820" s="9" t="n">
        <x:v>12.5</x:v>
      </x:c>
      <x:c r="L2820" s="7" t="n">
        <x:v>2026</x:v>
      </x:c>
      <x:c r="M2820" s="11" t="n">
        <x:v>5624</x:v>
      </x:c>
      <x:c r="N2820" s="7" t="n">
        <x:v>1</x:v>
      </x:c>
      <x:c r="O2820" s="7" t="n">
        <x:v>0</x:v>
      </x:c>
      <x:c r="P2820" s="9" t="n">
        <x:v>12.42</x:v>
      </x:c>
      <x:c r="Q2820" s="7" t="n">
        <x:f>'Guide'!$B$5-L2820</x:f>
        <x:v>0</x:v>
      </x:c>
      <x:c r="R2820" s="9" t="n">
        <x:f>K2820-P2820</x:f>
        <x:v>0.08000000000000007</x:v>
      </x:c>
      <x:c r="S2820" s="10" t="n">
        <x:f>IF(K2820&gt;0,R2820/K2820,"")</x:f>
        <x:v>0.0064000000000000055</x:v>
      </x:c>
    </x:row>
    <x:row r="2821">
      <x:c r="A2821" s="7" t="n">
        <x:v>2817</x:v>
      </x:c>
      <x:c r="B2821" s="7" t="str">
        <x:v>Tata</x:v>
      </x:c>
      <x:c r="C2821" s="7" t="str">
        <x:v>Nexon</x:v>
      </x:c>
      <x:c r="D2821" s="7" t="str">
        <x:v>Pure Diesel</x:v>
      </x:c>
      <x:c r="E2821" s="7" t="str">
        <x:v>Diesel</x:v>
      </x:c>
      <x:c r="F2821" s="7" t="str">
        <x:v>Manual</x:v>
      </x:c>
      <x:c r="G2821" s="7" t="str">
        <x:v>Compact SUV</x:v>
      </x:c>
      <x:c r="H2821" s="7" t="n">
        <x:v>1497</x:v>
      </x:c>
      <x:c r="I2821" s="7" t="n">
        <x:v>113</x:v>
      </x:c>
      <x:c r="J2821" s="9" t="n">
        <x:v>23.2</x:v>
      </x:c>
      <x:c r="K2821" s="9" t="n">
        <x:v>12.5</x:v>
      </x:c>
      <x:c r="L2821" s="7" t="n">
        <x:v>2022</x:v>
      </x:c>
      <x:c r="M2821" s="11" t="n">
        <x:v>60521</x:v>
      </x:c>
      <x:c r="N2821" s="7" t="n">
        <x:v>2</x:v>
      </x:c>
      <x:c r="O2821" s="7" t="n">
        <x:v>0</x:v>
      </x:c>
      <x:c r="P2821" s="9" t="n">
        <x:v>6.87</x:v>
      </x:c>
      <x:c r="Q2821" s="7" t="n">
        <x:f>'Guide'!$B$5-L2821</x:f>
        <x:v>4</x:v>
      </x:c>
      <x:c r="R2821" s="9" t="n">
        <x:f>K2821-P2821</x:f>
        <x:v>5.63</x:v>
      </x:c>
      <x:c r="S2821" s="10" t="n">
        <x:f>IF(K2821&gt;0,R2821/K2821,"")</x:f>
        <x:v>0.45039999999999997</x:v>
      </x:c>
    </x:row>
    <x:row r="2822">
      <x:c r="A2822" s="7" t="n">
        <x:v>2818</x:v>
      </x:c>
      <x:c r="B2822" s="7" t="str">
        <x:v>Tata</x:v>
      </x:c>
      <x:c r="C2822" s="7" t="str">
        <x:v>Nexon</x:v>
      </x:c>
      <x:c r="D2822" s="7" t="str">
        <x:v>Pure Diesel</x:v>
      </x:c>
      <x:c r="E2822" s="7" t="str">
        <x:v>Diesel</x:v>
      </x:c>
      <x:c r="F2822" s="7" t="str">
        <x:v>Manual</x:v>
      </x:c>
      <x:c r="G2822" s="7" t="str">
        <x:v>Compact SUV</x:v>
      </x:c>
      <x:c r="H2822" s="7" t="n">
        <x:v>1497</x:v>
      </x:c>
      <x:c r="I2822" s="7" t="n">
        <x:v>113</x:v>
      </x:c>
      <x:c r="J2822" s="9" t="n">
        <x:v>23.2</x:v>
      </x:c>
      <x:c r="K2822" s="9" t="n">
        <x:v>12.5</x:v>
      </x:c>
      <x:c r="L2822" s="7" t="n">
        <x:v>2025</x:v>
      </x:c>
      <x:c r="M2822" s="11" t="n">
        <x:v>21225</x:v>
      </x:c>
      <x:c r="N2822" s="7" t="n">
        <x:v>1</x:v>
      </x:c>
      <x:c r="O2822" s="7" t="n">
        <x:v>1</x:v>
      </x:c>
      <x:c r="P2822" s="9" t="n">
        <x:v>10.61</x:v>
      </x:c>
      <x:c r="Q2822" s="7" t="n">
        <x:f>'Guide'!$B$5-L2822</x:f>
        <x:v>1</x:v>
      </x:c>
      <x:c r="R2822" s="9" t="n">
        <x:f>K2822-P2822</x:f>
        <x:v>1.8900000000000006</x:v>
      </x:c>
      <x:c r="S2822" s="10" t="n">
        <x:f>IF(K2822&gt;0,R2822/K2822,"")</x:f>
        <x:v>0.15120000000000006</x:v>
      </x:c>
    </x:row>
    <x:row r="2823">
      <x:c r="A2823" s="7" t="n">
        <x:v>2819</x:v>
      </x:c>
      <x:c r="B2823" s="7" t="str">
        <x:v>Tata</x:v>
      </x:c>
      <x:c r="C2823" s="7" t="str">
        <x:v>Nexon</x:v>
      </x:c>
      <x:c r="D2823" s="7" t="str">
        <x:v>Pure Diesel</x:v>
      </x:c>
      <x:c r="E2823" s="7" t="str">
        <x:v>Diesel</x:v>
      </x:c>
      <x:c r="F2823" s="7" t="str">
        <x:v>Manual</x:v>
      </x:c>
      <x:c r="G2823" s="7" t="str">
        <x:v>Compact SUV</x:v>
      </x:c>
      <x:c r="H2823" s="7" t="n">
        <x:v>1497</x:v>
      </x:c>
      <x:c r="I2823" s="7" t="n">
        <x:v>113</x:v>
      </x:c>
      <x:c r="J2823" s="9" t="n">
        <x:v>23.2</x:v>
      </x:c>
      <x:c r="K2823" s="9" t="n">
        <x:v>12.5</x:v>
      </x:c>
      <x:c r="L2823" s="7" t="n">
        <x:v>2022</x:v>
      </x:c>
      <x:c r="M2823" s="11" t="n">
        <x:v>43962</x:v>
      </x:c>
      <x:c r="N2823" s="7" t="n">
        <x:v>1</x:v>
      </x:c>
      <x:c r="O2823" s="7" t="n">
        <x:v>0</x:v>
      </x:c>
      <x:c r="P2823" s="9" t="n">
        <x:v>7.96</x:v>
      </x:c>
      <x:c r="Q2823" s="7" t="n">
        <x:f>'Guide'!$B$5-L2823</x:f>
        <x:v>4</x:v>
      </x:c>
      <x:c r="R2823" s="9" t="n">
        <x:f>K2823-P2823</x:f>
        <x:v>4.54</x:v>
      </x:c>
      <x:c r="S2823" s="10" t="n">
        <x:f>IF(K2823&gt;0,R2823/K2823,"")</x:f>
        <x:v>0.3632</x:v>
      </x:c>
    </x:row>
    <x:row r="2824">
      <x:c r="A2824" s="7" t="n">
        <x:v>2820</x:v>
      </x:c>
      <x:c r="B2824" s="7" t="str">
        <x:v>Tata</x:v>
      </x:c>
      <x:c r="C2824" s="7" t="str">
        <x:v>Nexon</x:v>
      </x:c>
      <x:c r="D2824" s="7" t="str">
        <x:v>Pure Diesel</x:v>
      </x:c>
      <x:c r="E2824" s="7" t="str">
        <x:v>Diesel</x:v>
      </x:c>
      <x:c r="F2824" s="7" t="str">
        <x:v>Manual</x:v>
      </x:c>
      <x:c r="G2824" s="7" t="str">
        <x:v>Compact SUV</x:v>
      </x:c>
      <x:c r="H2824" s="7" t="n">
        <x:v>1497</x:v>
      </x:c>
      <x:c r="I2824" s="7" t="n">
        <x:v>113</x:v>
      </x:c>
      <x:c r="J2824" s="9" t="n">
        <x:v>23.2</x:v>
      </x:c>
      <x:c r="K2824" s="9" t="n">
        <x:v>12.5</x:v>
      </x:c>
      <x:c r="L2824" s="7" t="n">
        <x:v>2026</x:v>
      </x:c>
      <x:c r="M2824" s="11" t="n">
        <x:v>9996</x:v>
      </x:c>
      <x:c r="N2824" s="7" t="n">
        <x:v>1</x:v>
      </x:c>
      <x:c r="O2824" s="7" t="n">
        <x:v>0</x:v>
      </x:c>
      <x:c r="P2824" s="9" t="n">
        <x:v>12.11</x:v>
      </x:c>
      <x:c r="Q2824" s="7" t="n">
        <x:f>'Guide'!$B$5-L2824</x:f>
        <x:v>0</x:v>
      </x:c>
      <x:c r="R2824" s="9" t="n">
        <x:f>K2824-P2824</x:f>
        <x:v>0.39000000000000057</x:v>
      </x:c>
      <x:c r="S2824" s="10" t="n">
        <x:f>IF(K2824&gt;0,R2824/K2824,"")</x:f>
        <x:v>0.031200000000000047</x:v>
      </x:c>
    </x:row>
    <x:row r="2825">
      <x:c r="A2825" s="7" t="n">
        <x:v>2821</x:v>
      </x:c>
      <x:c r="B2825" s="7" t="str">
        <x:v>Tata</x:v>
      </x:c>
      <x:c r="C2825" s="7" t="str">
        <x:v>Nexon</x:v>
      </x:c>
      <x:c r="D2825" s="7" t="str">
        <x:v>Pure Diesel</x:v>
      </x:c>
      <x:c r="E2825" s="7" t="str">
        <x:v>Diesel</x:v>
      </x:c>
      <x:c r="F2825" s="7" t="str">
        <x:v>Manual</x:v>
      </x:c>
      <x:c r="G2825" s="7" t="str">
        <x:v>Compact SUV</x:v>
      </x:c>
      <x:c r="H2825" s="7" t="n">
        <x:v>1497</x:v>
      </x:c>
      <x:c r="I2825" s="7" t="n">
        <x:v>113</x:v>
      </x:c>
      <x:c r="J2825" s="9" t="n">
        <x:v>23.2</x:v>
      </x:c>
      <x:c r="K2825" s="9" t="n">
        <x:v>12.5</x:v>
      </x:c>
      <x:c r="L2825" s="7" t="n">
        <x:v>2020</x:v>
      </x:c>
      <x:c r="M2825" s="11" t="n">
        <x:v>75181</x:v>
      </x:c>
      <x:c r="N2825" s="7" t="n">
        <x:v>1</x:v>
      </x:c>
      <x:c r="O2825" s="7" t="n">
        <x:v>0</x:v>
      </x:c>
      <x:c r="P2825" s="9" t="n">
        <x:v>5.66</x:v>
      </x:c>
      <x:c r="Q2825" s="7" t="n">
        <x:f>'Guide'!$B$5-L2825</x:f>
        <x:v>6</x:v>
      </x:c>
      <x:c r="R2825" s="9" t="n">
        <x:f>K2825-P2825</x:f>
        <x:v>6.84</x:v>
      </x:c>
      <x:c r="S2825" s="10" t="n">
        <x:f>IF(K2825&gt;0,R2825/K2825,"")</x:f>
        <x:v>0.5472</x:v>
      </x:c>
    </x:row>
    <x:row r="2826">
      <x:c r="A2826" s="7" t="n">
        <x:v>2822</x:v>
      </x:c>
      <x:c r="B2826" s="7" t="str">
        <x:v>Tata</x:v>
      </x:c>
      <x:c r="C2826" s="7" t="str">
        <x:v>Nexon</x:v>
      </x:c>
      <x:c r="D2826" s="7" t="str">
        <x:v>Pure Diesel</x:v>
      </x:c>
      <x:c r="E2826" s="7" t="str">
        <x:v>Diesel</x:v>
      </x:c>
      <x:c r="F2826" s="7" t="str">
        <x:v>Manual</x:v>
      </x:c>
      <x:c r="G2826" s="7" t="str">
        <x:v>Compact SUV</x:v>
      </x:c>
      <x:c r="H2826" s="7" t="n">
        <x:v>1497</x:v>
      </x:c>
      <x:c r="I2826" s="7" t="n">
        <x:v>113</x:v>
      </x:c>
      <x:c r="J2826" s="9" t="n">
        <x:v>23.2</x:v>
      </x:c>
      <x:c r="K2826" s="9" t="n">
        <x:v>12.5</x:v>
      </x:c>
      <x:c r="L2826" s="7" t="n">
        <x:v>2026</x:v>
      </x:c>
      <x:c r="M2826" s="11" t="n">
        <x:v>5248</x:v>
      </x:c>
      <x:c r="N2826" s="7" t="n">
        <x:v>2</x:v>
      </x:c>
      <x:c r="O2826" s="7" t="n">
        <x:v>0</x:v>
      </x:c>
      <x:c r="P2826" s="9" t="n">
        <x:v>11.71</x:v>
      </x:c>
      <x:c r="Q2826" s="7" t="n">
        <x:f>'Guide'!$B$5-L2826</x:f>
        <x:v>0</x:v>
      </x:c>
      <x:c r="R2826" s="9" t="n">
        <x:f>K2826-P2826</x:f>
        <x:v>0.7899999999999991</x:v>
      </x:c>
      <x:c r="S2826" s="10" t="n">
        <x:f>IF(K2826&gt;0,R2826/K2826,"")</x:f>
        <x:v>0.06319999999999994</x:v>
      </x:c>
    </x:row>
    <x:row r="2827">
      <x:c r="A2827" s="7" t="n">
        <x:v>2823</x:v>
      </x:c>
      <x:c r="B2827" s="7" t="str">
        <x:v>Tata</x:v>
      </x:c>
      <x:c r="C2827" s="7" t="str">
        <x:v>Nexon</x:v>
      </x:c>
      <x:c r="D2827" s="7" t="str">
        <x:v>Pure Diesel</x:v>
      </x:c>
      <x:c r="E2827" s="7" t="str">
        <x:v>Diesel</x:v>
      </x:c>
      <x:c r="F2827" s="7" t="str">
        <x:v>Manual</x:v>
      </x:c>
      <x:c r="G2827" s="7" t="str">
        <x:v>Compact SUV</x:v>
      </x:c>
      <x:c r="H2827" s="7" t="n">
        <x:v>1497</x:v>
      </x:c>
      <x:c r="I2827" s="7" t="n">
        <x:v>113</x:v>
      </x:c>
      <x:c r="J2827" s="9" t="n">
        <x:v>23.2</x:v>
      </x:c>
      <x:c r="K2827" s="9" t="n">
        <x:v>12.5</x:v>
      </x:c>
      <x:c r="L2827" s="7" t="n">
        <x:v>2025</x:v>
      </x:c>
      <x:c r="M2827" s="11" t="n">
        <x:v>22770</x:v>
      </x:c>
      <x:c r="N2827" s="7" t="n">
        <x:v>1</x:v>
      </x:c>
      <x:c r="O2827" s="7" t="n">
        <x:v>0</x:v>
      </x:c>
      <x:c r="P2827" s="9" t="n">
        <x:v>11.43</x:v>
      </x:c>
      <x:c r="Q2827" s="7" t="n">
        <x:f>'Guide'!$B$5-L2827</x:f>
        <x:v>1</x:v>
      </x:c>
      <x:c r="R2827" s="9" t="n">
        <x:f>K2827-P2827</x:f>
        <x:v>1.0700000000000003</x:v>
      </x:c>
      <x:c r="S2827" s="10" t="n">
        <x:f>IF(K2827&gt;0,R2827/K2827,"")</x:f>
        <x:v>0.08560000000000002</x:v>
      </x:c>
    </x:row>
    <x:row r="2828">
      <x:c r="A2828" s="7" t="n">
        <x:v>2824</x:v>
      </x:c>
      <x:c r="B2828" s="7" t="str">
        <x:v>Tata</x:v>
      </x:c>
      <x:c r="C2828" s="7" t="str">
        <x:v>Nexon</x:v>
      </x:c>
      <x:c r="D2828" s="7" t="str">
        <x:v>Pure Diesel</x:v>
      </x:c>
      <x:c r="E2828" s="7" t="str">
        <x:v>Diesel</x:v>
      </x:c>
      <x:c r="F2828" s="7" t="str">
        <x:v>Manual</x:v>
      </x:c>
      <x:c r="G2828" s="7" t="str">
        <x:v>Compact SUV</x:v>
      </x:c>
      <x:c r="H2828" s="7" t="n">
        <x:v>1497</x:v>
      </x:c>
      <x:c r="I2828" s="7" t="n">
        <x:v>113</x:v>
      </x:c>
      <x:c r="J2828" s="9" t="n">
        <x:v>23.2</x:v>
      </x:c>
      <x:c r="K2828" s="9" t="n">
        <x:v>12.5</x:v>
      </x:c>
      <x:c r="L2828" s="7" t="n">
        <x:v>2025</x:v>
      </x:c>
      <x:c r="M2828" s="11" t="n">
        <x:v>29648</x:v>
      </x:c>
      <x:c r="N2828" s="7" t="n">
        <x:v>1</x:v>
      </x:c>
      <x:c r="O2828" s="7" t="n">
        <x:v>0</x:v>
      </x:c>
      <x:c r="P2828" s="9" t="n">
        <x:v>11.45</x:v>
      </x:c>
      <x:c r="Q2828" s="7" t="n">
        <x:f>'Guide'!$B$5-L2828</x:f>
        <x:v>1</x:v>
      </x:c>
      <x:c r="R2828" s="9" t="n">
        <x:f>K2828-P2828</x:f>
        <x:v>1.0500000000000007</x:v>
      </x:c>
      <x:c r="S2828" s="10" t="n">
        <x:f>IF(K2828&gt;0,R2828/K2828,"")</x:f>
        <x:v>0.08400000000000006</x:v>
      </x:c>
    </x:row>
    <x:row r="2829">
      <x:c r="A2829" s="7" t="n">
        <x:v>2825</x:v>
      </x:c>
      <x:c r="B2829" s="7" t="str">
        <x:v>Tata</x:v>
      </x:c>
      <x:c r="C2829" s="7" t="str">
        <x:v>Nexon</x:v>
      </x:c>
      <x:c r="D2829" s="7" t="str">
        <x:v>Pure Diesel</x:v>
      </x:c>
      <x:c r="E2829" s="7" t="str">
        <x:v>Diesel</x:v>
      </x:c>
      <x:c r="F2829" s="7" t="str">
        <x:v>Manual</x:v>
      </x:c>
      <x:c r="G2829" s="7" t="str">
        <x:v>Compact SUV</x:v>
      </x:c>
      <x:c r="H2829" s="7" t="n">
        <x:v>1497</x:v>
      </x:c>
      <x:c r="I2829" s="7" t="n">
        <x:v>113</x:v>
      </x:c>
      <x:c r="J2829" s="9" t="n">
        <x:v>23.2</x:v>
      </x:c>
      <x:c r="K2829" s="9" t="n">
        <x:v>12.5</x:v>
      </x:c>
      <x:c r="L2829" s="7" t="n">
        <x:v>2026</x:v>
      </x:c>
      <x:c r="M2829" s="11" t="n">
        <x:v>6183</x:v>
      </x:c>
      <x:c r="N2829" s="7" t="n">
        <x:v>3</x:v>
      </x:c>
      <x:c r="O2829" s="7" t="n">
        <x:v>0</x:v>
      </x:c>
      <x:c r="P2829" s="9" t="n">
        <x:v>11.27</x:v>
      </x:c>
      <x:c r="Q2829" s="7" t="n">
        <x:f>'Guide'!$B$5-L2829</x:f>
        <x:v>0</x:v>
      </x:c>
      <x:c r="R2829" s="9" t="n">
        <x:f>K2829-P2829</x:f>
        <x:v>1.2300000000000004</x:v>
      </x:c>
      <x:c r="S2829" s="10" t="n">
        <x:f>IF(K2829&gt;0,R2829/K2829,"")</x:f>
        <x:v>0.09840000000000003</x:v>
      </x:c>
    </x:row>
    <x:row r="2830">
      <x:c r="A2830" s="7" t="n">
        <x:v>2826</x:v>
      </x:c>
      <x:c r="B2830" s="7" t="str">
        <x:v>Tata</x:v>
      </x:c>
      <x:c r="C2830" s="7" t="str">
        <x:v>Nexon</x:v>
      </x:c>
      <x:c r="D2830" s="7" t="str">
        <x:v>Pure Diesel</x:v>
      </x:c>
      <x:c r="E2830" s="7" t="str">
        <x:v>Diesel</x:v>
      </x:c>
      <x:c r="F2830" s="7" t="str">
        <x:v>Manual</x:v>
      </x:c>
      <x:c r="G2830" s="7" t="str">
        <x:v>Compact SUV</x:v>
      </x:c>
      <x:c r="H2830" s="7" t="n">
        <x:v>1497</x:v>
      </x:c>
      <x:c r="I2830" s="7" t="n">
        <x:v>113</x:v>
      </x:c>
      <x:c r="J2830" s="9" t="n">
        <x:v>23.2</x:v>
      </x:c>
      <x:c r="K2830" s="9" t="n">
        <x:v>12.5</x:v>
      </x:c>
      <x:c r="L2830" s="7" t="n">
        <x:v>2023</x:v>
      </x:c>
      <x:c r="M2830" s="11" t="n">
        <x:v>62251</x:v>
      </x:c>
      <x:c r="N2830" s="7" t="n">
        <x:v>1</x:v>
      </x:c>
      <x:c r="O2830" s="7" t="n">
        <x:v>0</x:v>
      </x:c>
      <x:c r="P2830" s="9" t="n">
        <x:v>8.78</x:v>
      </x:c>
      <x:c r="Q2830" s="7" t="n">
        <x:f>'Guide'!$B$5-L2830</x:f>
        <x:v>3</x:v>
      </x:c>
      <x:c r="R2830" s="9" t="n">
        <x:f>K2830-P2830</x:f>
        <x:v>3.7200000000000006</x:v>
      </x:c>
      <x:c r="S2830" s="10" t="n">
        <x:f>IF(K2830&gt;0,R2830/K2830,"")</x:f>
        <x:v>0.29760000000000003</x:v>
      </x:c>
    </x:row>
    <x:row r="2831">
      <x:c r="A2831" s="7" t="n">
        <x:v>2827</x:v>
      </x:c>
      <x:c r="B2831" s="7" t="str">
        <x:v>Tata</x:v>
      </x:c>
      <x:c r="C2831" s="7" t="str">
        <x:v>Nexon</x:v>
      </x:c>
      <x:c r="D2831" s="7" t="str">
        <x:v>Pure Diesel</x:v>
      </x:c>
      <x:c r="E2831" s="7" t="str">
        <x:v>Diesel</x:v>
      </x:c>
      <x:c r="F2831" s="7" t="str">
        <x:v>Manual</x:v>
      </x:c>
      <x:c r="G2831" s="7" t="str">
        <x:v>Compact SUV</x:v>
      </x:c>
      <x:c r="H2831" s="7" t="n">
        <x:v>1497</x:v>
      </x:c>
      <x:c r="I2831" s="7" t="n">
        <x:v>113</x:v>
      </x:c>
      <x:c r="J2831" s="9" t="n">
        <x:v>23.2</x:v>
      </x:c>
      <x:c r="K2831" s="9" t="n">
        <x:v>12.5</x:v>
      </x:c>
      <x:c r="L2831" s="7" t="n">
        <x:v>2021</x:v>
      </x:c>
      <x:c r="M2831" s="11" t="n">
        <x:v>70759</x:v>
      </x:c>
      <x:c r="N2831" s="7" t="n">
        <x:v>1</x:v>
      </x:c>
      <x:c r="O2831" s="7" t="n">
        <x:v>1</x:v>
      </x:c>
      <x:c r="P2831" s="9" t="n">
        <x:v>5.71</x:v>
      </x:c>
      <x:c r="Q2831" s="7" t="n">
        <x:f>'Guide'!$B$5-L2831</x:f>
        <x:v>5</x:v>
      </x:c>
      <x:c r="R2831" s="9" t="n">
        <x:f>K2831-P2831</x:f>
        <x:v>6.79</x:v>
      </x:c>
      <x:c r="S2831" s="10" t="n">
        <x:f>IF(K2831&gt;0,R2831/K2831,"")</x:f>
        <x:v>0.5432</x:v>
      </x:c>
    </x:row>
    <x:row r="2832">
      <x:c r="A2832" s="7" t="n">
        <x:v>2828</x:v>
      </x:c>
      <x:c r="B2832" s="7" t="str">
        <x:v>Tata</x:v>
      </x:c>
      <x:c r="C2832" s="7" t="str">
        <x:v>Nexon</x:v>
      </x:c>
      <x:c r="D2832" s="7" t="str">
        <x:v>Pure Diesel</x:v>
      </x:c>
      <x:c r="E2832" s="7" t="str">
        <x:v>Diesel</x:v>
      </x:c>
      <x:c r="F2832" s="7" t="str">
        <x:v>Manual</x:v>
      </x:c>
      <x:c r="G2832" s="7" t="str">
        <x:v>Compact SUV</x:v>
      </x:c>
      <x:c r="H2832" s="7" t="n">
        <x:v>1497</x:v>
      </x:c>
      <x:c r="I2832" s="7" t="n">
        <x:v>113</x:v>
      </x:c>
      <x:c r="J2832" s="9" t="n">
        <x:v>23.2</x:v>
      </x:c>
      <x:c r="K2832" s="9" t="n">
        <x:v>12.5</x:v>
      </x:c>
      <x:c r="L2832" s="7" t="n">
        <x:v>2020</x:v>
      </x:c>
      <x:c r="M2832" s="11" t="n">
        <x:v>107806</x:v>
      </x:c>
      <x:c r="N2832" s="7" t="n">
        <x:v>1</x:v>
      </x:c>
      <x:c r="O2832" s="7" t="n">
        <x:v>0</x:v>
      </x:c>
      <x:c r="P2832" s="9" t="n">
        <x:v>4.96</x:v>
      </x:c>
      <x:c r="Q2832" s="7" t="n">
        <x:f>'Guide'!$B$5-L2832</x:f>
        <x:v>6</x:v>
      </x:c>
      <x:c r="R2832" s="9" t="n">
        <x:f>K2832-P2832</x:f>
        <x:v>7.54</x:v>
      </x:c>
      <x:c r="S2832" s="10" t="n">
        <x:f>IF(K2832&gt;0,R2832/K2832,"")</x:f>
        <x:v>0.6032</x:v>
      </x:c>
    </x:row>
    <x:row r="2833">
      <x:c r="A2833" s="7" t="n">
        <x:v>2829</x:v>
      </x:c>
      <x:c r="B2833" s="7" t="str">
        <x:v>Tata</x:v>
      </x:c>
      <x:c r="C2833" s="7" t="str">
        <x:v>Nexon</x:v>
      </x:c>
      <x:c r="D2833" s="7" t="str">
        <x:v>Pure Diesel</x:v>
      </x:c>
      <x:c r="E2833" s="7" t="str">
        <x:v>Diesel</x:v>
      </x:c>
      <x:c r="F2833" s="7" t="str">
        <x:v>Manual</x:v>
      </x:c>
      <x:c r="G2833" s="7" t="str">
        <x:v>Compact SUV</x:v>
      </x:c>
      <x:c r="H2833" s="7" t="n">
        <x:v>1497</x:v>
      </x:c>
      <x:c r="I2833" s="7" t="n">
        <x:v>113</x:v>
      </x:c>
      <x:c r="J2833" s="9" t="n">
        <x:v>23.2</x:v>
      </x:c>
      <x:c r="K2833" s="9" t="n">
        <x:v>12.5</x:v>
      </x:c>
      <x:c r="L2833" s="7" t="n">
        <x:v>2026</x:v>
      </x:c>
      <x:c r="M2833" s="11" t="n">
        <x:v>4711</x:v>
      </x:c>
      <x:c r="N2833" s="7" t="n">
        <x:v>1</x:v>
      </x:c>
      <x:c r="O2833" s="7" t="n">
        <x:v>1</x:v>
      </x:c>
      <x:c r="P2833" s="9" t="n">
        <x:v>11.58</x:v>
      </x:c>
      <x:c r="Q2833" s="7" t="n">
        <x:f>'Guide'!$B$5-L2833</x:f>
        <x:v>0</x:v>
      </x:c>
      <x:c r="R2833" s="9" t="n">
        <x:f>K2833-P2833</x:f>
        <x:v>0.9199999999999999</x:v>
      </x:c>
      <x:c r="S2833" s="10" t="n">
        <x:f>IF(K2833&gt;0,R2833/K2833,"")</x:f>
        <x:v>0.0736</x:v>
      </x:c>
    </x:row>
    <x:row r="2834">
      <x:c r="A2834" s="7" t="n">
        <x:v>2830</x:v>
      </x:c>
      <x:c r="B2834" s="7" t="str">
        <x:v>Tata</x:v>
      </x:c>
      <x:c r="C2834" s="7" t="str">
        <x:v>Nexon</x:v>
      </x:c>
      <x:c r="D2834" s="7" t="str">
        <x:v>Pure Diesel</x:v>
      </x:c>
      <x:c r="E2834" s="7" t="str">
        <x:v>Diesel</x:v>
      </x:c>
      <x:c r="F2834" s="7" t="str">
        <x:v>Manual</x:v>
      </x:c>
      <x:c r="G2834" s="7" t="str">
        <x:v>Compact SUV</x:v>
      </x:c>
      <x:c r="H2834" s="7" t="n">
        <x:v>1497</x:v>
      </x:c>
      <x:c r="I2834" s="7" t="n">
        <x:v>113</x:v>
      </x:c>
      <x:c r="J2834" s="9" t="n">
        <x:v>23.2</x:v>
      </x:c>
      <x:c r="K2834" s="9" t="n">
        <x:v>12.5</x:v>
      </x:c>
      <x:c r="L2834" s="7" t="n">
        <x:v>2023</x:v>
      </x:c>
      <x:c r="M2834" s="11" t="n">
        <x:v>40893</x:v>
      </x:c>
      <x:c r="N2834" s="7" t="n">
        <x:v>1</x:v>
      </x:c>
      <x:c r="O2834" s="7" t="n">
        <x:v>0</x:v>
      </x:c>
      <x:c r="P2834" s="9" t="n">
        <x:v>8.51</x:v>
      </x:c>
      <x:c r="Q2834" s="7" t="n">
        <x:f>'Guide'!$B$5-L2834</x:f>
        <x:v>3</x:v>
      </x:c>
      <x:c r="R2834" s="9" t="n">
        <x:f>K2834-P2834</x:f>
        <x:v>3.99</x:v>
      </x:c>
      <x:c r="S2834" s="10" t="n">
        <x:f>IF(K2834&gt;0,R2834/K2834,"")</x:f>
        <x:v>0.31920000000000004</x:v>
      </x:c>
    </x:row>
    <x:row r="2835">
      <x:c r="A2835" s="7" t="n">
        <x:v>2831</x:v>
      </x:c>
      <x:c r="B2835" s="7" t="str">
        <x:v>Tata</x:v>
      </x:c>
      <x:c r="C2835" s="7" t="str">
        <x:v>Nexon</x:v>
      </x:c>
      <x:c r="D2835" s="7" t="str">
        <x:v>Pure Diesel</x:v>
      </x:c>
      <x:c r="E2835" s="7" t="str">
        <x:v>Diesel</x:v>
      </x:c>
      <x:c r="F2835" s="7" t="str">
        <x:v>Manual</x:v>
      </x:c>
      <x:c r="G2835" s="7" t="str">
        <x:v>Compact SUV</x:v>
      </x:c>
      <x:c r="H2835" s="7" t="n">
        <x:v>1497</x:v>
      </x:c>
      <x:c r="I2835" s="7" t="n">
        <x:v>113</x:v>
      </x:c>
      <x:c r="J2835" s="9" t="n">
        <x:v>23.2</x:v>
      </x:c>
      <x:c r="K2835" s="9" t="n">
        <x:v>12.5</x:v>
      </x:c>
      <x:c r="L2835" s="7" t="n">
        <x:v>2025</x:v>
      </x:c>
      <x:c r="M2835" s="11" t="n">
        <x:v>19679</x:v>
      </x:c>
      <x:c r="N2835" s="7" t="n">
        <x:v>1</x:v>
      </x:c>
      <x:c r="O2835" s="7" t="n">
        <x:v>0</x:v>
      </x:c>
      <x:c r="P2835" s="9" t="n">
        <x:v>10.83</x:v>
      </x:c>
      <x:c r="Q2835" s="7" t="n">
        <x:f>'Guide'!$B$5-L2835</x:f>
        <x:v>1</x:v>
      </x:c>
      <x:c r="R2835" s="9" t="n">
        <x:f>K2835-P2835</x:f>
        <x:v>1.67</x:v>
      </x:c>
      <x:c r="S2835" s="10" t="n">
        <x:f>IF(K2835&gt;0,R2835/K2835,"")</x:f>
        <x:v>0.1336</x:v>
      </x:c>
    </x:row>
    <x:row r="2836">
      <x:c r="A2836" s="7" t="n">
        <x:v>2832</x:v>
      </x:c>
      <x:c r="B2836" s="7" t="str">
        <x:v>Tata</x:v>
      </x:c>
      <x:c r="C2836" s="7" t="str">
        <x:v>Nexon</x:v>
      </x:c>
      <x:c r="D2836" s="7" t="str">
        <x:v>Pure Diesel</x:v>
      </x:c>
      <x:c r="E2836" s="7" t="str">
        <x:v>Diesel</x:v>
      </x:c>
      <x:c r="F2836" s="7" t="str">
        <x:v>Manual</x:v>
      </x:c>
      <x:c r="G2836" s="7" t="str">
        <x:v>Compact SUV</x:v>
      </x:c>
      <x:c r="H2836" s="7" t="n">
        <x:v>1497</x:v>
      </x:c>
      <x:c r="I2836" s="7" t="n">
        <x:v>113</x:v>
      </x:c>
      <x:c r="J2836" s="9" t="n">
        <x:v>23.2</x:v>
      </x:c>
      <x:c r="K2836" s="9" t="n">
        <x:v>12.5</x:v>
      </x:c>
      <x:c r="L2836" s="7" t="n">
        <x:v>2022</x:v>
      </x:c>
      <x:c r="M2836" s="11" t="n">
        <x:v>79904</x:v>
      </x:c>
      <x:c r="N2836" s="7" t="n">
        <x:v>1</x:v>
      </x:c>
      <x:c r="O2836" s="7" t="n">
        <x:v>0</x:v>
      </x:c>
      <x:c r="P2836" s="9" t="n">
        <x:v>7.4</x:v>
      </x:c>
      <x:c r="Q2836" s="7" t="n">
        <x:f>'Guide'!$B$5-L2836</x:f>
        <x:v>4</x:v>
      </x:c>
      <x:c r="R2836" s="9" t="n">
        <x:f>K2836-P2836</x:f>
        <x:v>5.1</x:v>
      </x:c>
      <x:c r="S2836" s="10" t="n">
        <x:f>IF(K2836&gt;0,R2836/K2836,"")</x:f>
        <x:v>0.408</x:v>
      </x:c>
    </x:row>
    <x:row r="2837">
      <x:c r="A2837" s="7" t="n">
        <x:v>2833</x:v>
      </x:c>
      <x:c r="B2837" s="7" t="str">
        <x:v>Tata</x:v>
      </x:c>
      <x:c r="C2837" s="7" t="str">
        <x:v>Nexon</x:v>
      </x:c>
      <x:c r="D2837" s="7" t="str">
        <x:v>Pure Diesel</x:v>
      </x:c>
      <x:c r="E2837" s="7" t="str">
        <x:v>Diesel</x:v>
      </x:c>
      <x:c r="F2837" s="7" t="str">
        <x:v>Manual</x:v>
      </x:c>
      <x:c r="G2837" s="7" t="str">
        <x:v>Compact SUV</x:v>
      </x:c>
      <x:c r="H2837" s="7" t="n">
        <x:v>1497</x:v>
      </x:c>
      <x:c r="I2837" s="7" t="n">
        <x:v>113</x:v>
      </x:c>
      <x:c r="J2837" s="9" t="n">
        <x:v>23.2</x:v>
      </x:c>
      <x:c r="K2837" s="9" t="n">
        <x:v>12.5</x:v>
      </x:c>
      <x:c r="L2837" s="7" t="n">
        <x:v>2023</x:v>
      </x:c>
      <x:c r="M2837" s="11" t="n">
        <x:v>68002</x:v>
      </x:c>
      <x:c r="N2837" s="7" t="n">
        <x:v>1</x:v>
      </x:c>
      <x:c r="O2837" s="7" t="n">
        <x:v>0</x:v>
      </x:c>
      <x:c r="P2837" s="9" t="n">
        <x:v>8.36</x:v>
      </x:c>
      <x:c r="Q2837" s="7" t="n">
        <x:f>'Guide'!$B$5-L2837</x:f>
        <x:v>3</x:v>
      </x:c>
      <x:c r="R2837" s="9" t="n">
        <x:f>K2837-P2837</x:f>
        <x:v>4.140000000000001</x:v>
      </x:c>
      <x:c r="S2837" s="10" t="n">
        <x:f>IF(K2837&gt;0,R2837/K2837,"")</x:f>
        <x:v>0.33120000000000005</x:v>
      </x:c>
    </x:row>
    <x:row r="2838">
      <x:c r="A2838" s="7" t="n">
        <x:v>2834</x:v>
      </x:c>
      <x:c r="B2838" s="7" t="str">
        <x:v>Tata</x:v>
      </x:c>
      <x:c r="C2838" s="7" t="str">
        <x:v>Nexon</x:v>
      </x:c>
      <x:c r="D2838" s="7" t="str">
        <x:v>Pure Diesel</x:v>
      </x:c>
      <x:c r="E2838" s="7" t="str">
        <x:v>Diesel</x:v>
      </x:c>
      <x:c r="F2838" s="7" t="str">
        <x:v>Manual</x:v>
      </x:c>
      <x:c r="G2838" s="7" t="str">
        <x:v>Compact SUV</x:v>
      </x:c>
      <x:c r="H2838" s="7" t="n">
        <x:v>1497</x:v>
      </x:c>
      <x:c r="I2838" s="7" t="n">
        <x:v>113</x:v>
      </x:c>
      <x:c r="J2838" s="9" t="n">
        <x:v>23.2</x:v>
      </x:c>
      <x:c r="K2838" s="9" t="n">
        <x:v>12.5</x:v>
      </x:c>
      <x:c r="L2838" s="7" t="n">
        <x:v>2026</x:v>
      </x:c>
      <x:c r="M2838" s="11" t="n">
        <x:v>5203</x:v>
      </x:c>
      <x:c r="N2838" s="7" t="n">
        <x:v>2</x:v>
      </x:c>
      <x:c r="O2838" s="7" t="n">
        <x:v>0</x:v>
      </x:c>
      <x:c r="P2838" s="9" t="n">
        <x:v>12.28</x:v>
      </x:c>
      <x:c r="Q2838" s="7" t="n">
        <x:f>'Guide'!$B$5-L2838</x:f>
        <x:v>0</x:v>
      </x:c>
      <x:c r="R2838" s="9" t="n">
        <x:f>K2838-P2838</x:f>
        <x:v>0.22000000000000064</x:v>
      </x:c>
      <x:c r="S2838" s="10" t="n">
        <x:f>IF(K2838&gt;0,R2838/K2838,"")</x:f>
        <x:v>0.01760000000000005</x:v>
      </x:c>
    </x:row>
    <x:row r="2839">
      <x:c r="A2839" s="7" t="n">
        <x:v>2835</x:v>
      </x:c>
      <x:c r="B2839" s="7" t="str">
        <x:v>Tata</x:v>
      </x:c>
      <x:c r="C2839" s="7" t="str">
        <x:v>Nexon</x:v>
      </x:c>
      <x:c r="D2839" s="7" t="str">
        <x:v>Pure Diesel</x:v>
      </x:c>
      <x:c r="E2839" s="7" t="str">
        <x:v>Diesel</x:v>
      </x:c>
      <x:c r="F2839" s="7" t="str">
        <x:v>Manual</x:v>
      </x:c>
      <x:c r="G2839" s="7" t="str">
        <x:v>Compact SUV</x:v>
      </x:c>
      <x:c r="H2839" s="7" t="n">
        <x:v>1497</x:v>
      </x:c>
      <x:c r="I2839" s="7" t="n">
        <x:v>113</x:v>
      </x:c>
      <x:c r="J2839" s="9" t="n">
        <x:v>23.2</x:v>
      </x:c>
      <x:c r="K2839" s="9" t="n">
        <x:v>12.5</x:v>
      </x:c>
      <x:c r="L2839" s="7" t="n">
        <x:v>2026</x:v>
      </x:c>
      <x:c r="M2839" s="11" t="n">
        <x:v>4586</x:v>
      </x:c>
      <x:c r="N2839" s="7" t="n">
        <x:v>1</x:v>
      </x:c>
      <x:c r="O2839" s="7" t="n">
        <x:v>0</x:v>
      </x:c>
      <x:c r="P2839" s="9" t="n">
        <x:v>12.22</x:v>
      </x:c>
      <x:c r="Q2839" s="7" t="n">
        <x:f>'Guide'!$B$5-L2839</x:f>
        <x:v>0</x:v>
      </x:c>
      <x:c r="R2839" s="9" t="n">
        <x:f>K2839-P2839</x:f>
        <x:v>0.27999999999999936</x:v>
      </x:c>
      <x:c r="S2839" s="10" t="n">
        <x:f>IF(K2839&gt;0,R2839/K2839,"")</x:f>
        <x:v>0.022399999999999948</x:v>
      </x:c>
    </x:row>
    <x:row r="2840">
      <x:c r="A2840" s="7" t="n">
        <x:v>2836</x:v>
      </x:c>
      <x:c r="B2840" s="7" t="str">
        <x:v>Tata</x:v>
      </x:c>
      <x:c r="C2840" s="7" t="str">
        <x:v>Nexon</x:v>
      </x:c>
      <x:c r="D2840" s="7" t="str">
        <x:v>Pure Diesel</x:v>
      </x:c>
      <x:c r="E2840" s="7" t="str">
        <x:v>Diesel</x:v>
      </x:c>
      <x:c r="F2840" s="7" t="str">
        <x:v>Manual</x:v>
      </x:c>
      <x:c r="G2840" s="7" t="str">
        <x:v>Compact SUV</x:v>
      </x:c>
      <x:c r="H2840" s="7" t="n">
        <x:v>1497</x:v>
      </x:c>
      <x:c r="I2840" s="7" t="n">
        <x:v>113</x:v>
      </x:c>
      <x:c r="J2840" s="9" t="n">
        <x:v>23.2</x:v>
      </x:c>
      <x:c r="K2840" s="9" t="n">
        <x:v>12.5</x:v>
      </x:c>
      <x:c r="L2840" s="7" t="n">
        <x:v>2022</x:v>
      </x:c>
      <x:c r="M2840" s="11" t="n">
        <x:v>41511</x:v>
      </x:c>
      <x:c r="N2840" s="7" t="n">
        <x:v>3</x:v>
      </x:c>
      <x:c r="O2840" s="7" t="n">
        <x:v>0</x:v>
      </x:c>
      <x:c r="P2840" s="9" t="n">
        <x:v>6.88</x:v>
      </x:c>
      <x:c r="Q2840" s="7" t="n">
        <x:f>'Guide'!$B$5-L2840</x:f>
        <x:v>4</x:v>
      </x:c>
      <x:c r="R2840" s="9" t="n">
        <x:f>K2840-P2840</x:f>
        <x:v>5.62</x:v>
      </x:c>
      <x:c r="S2840" s="10" t="n">
        <x:f>IF(K2840&gt;0,R2840/K2840,"")</x:f>
        <x:v>0.4496</x:v>
      </x:c>
    </x:row>
    <x:row r="2841">
      <x:c r="A2841" s="7" t="n">
        <x:v>2837</x:v>
      </x:c>
      <x:c r="B2841" s="7" t="str">
        <x:v>Tata</x:v>
      </x:c>
      <x:c r="C2841" s="7" t="str">
        <x:v>Nexon</x:v>
      </x:c>
      <x:c r="D2841" s="7" t="str">
        <x:v>Pure Diesel</x:v>
      </x:c>
      <x:c r="E2841" s="7" t="str">
        <x:v>Diesel</x:v>
      </x:c>
      <x:c r="F2841" s="7" t="str">
        <x:v>Manual</x:v>
      </x:c>
      <x:c r="G2841" s="7" t="str">
        <x:v>Compact SUV</x:v>
      </x:c>
      <x:c r="H2841" s="7" t="n">
        <x:v>1497</x:v>
      </x:c>
      <x:c r="I2841" s="7" t="n">
        <x:v>113</x:v>
      </x:c>
      <x:c r="J2841" s="9" t="n">
        <x:v>23.2</x:v>
      </x:c>
      <x:c r="K2841" s="9" t="n">
        <x:v>12.5</x:v>
      </x:c>
      <x:c r="L2841" s="7" t="n">
        <x:v>2022</x:v>
      </x:c>
      <x:c r="M2841" s="11" t="n">
        <x:v>70633</x:v>
      </x:c>
      <x:c r="N2841" s="7" t="n">
        <x:v>2</x:v>
      </x:c>
      <x:c r="O2841" s="7" t="n">
        <x:v>1</x:v>
      </x:c>
      <x:c r="P2841" s="9" t="n">
        <x:v>6.51</x:v>
      </x:c>
      <x:c r="Q2841" s="7" t="n">
        <x:f>'Guide'!$B$5-L2841</x:f>
        <x:v>4</x:v>
      </x:c>
      <x:c r="R2841" s="9" t="n">
        <x:f>K2841-P2841</x:f>
        <x:v>5.99</x:v>
      </x:c>
      <x:c r="S2841" s="10" t="n">
        <x:f>IF(K2841&gt;0,R2841/K2841,"")</x:f>
        <x:v>0.4792</x:v>
      </x:c>
    </x:row>
    <x:row r="2842">
      <x:c r="A2842" s="7" t="n">
        <x:v>2838</x:v>
      </x:c>
      <x:c r="B2842" s="7" t="str">
        <x:v>Tata</x:v>
      </x:c>
      <x:c r="C2842" s="7" t="str">
        <x:v>Nexon</x:v>
      </x:c>
      <x:c r="D2842" s="7" t="str">
        <x:v>Pure Diesel</x:v>
      </x:c>
      <x:c r="E2842" s="7" t="str">
        <x:v>Diesel</x:v>
      </x:c>
      <x:c r="F2842" s="7" t="str">
        <x:v>Manual</x:v>
      </x:c>
      <x:c r="G2842" s="7" t="str">
        <x:v>Compact SUV</x:v>
      </x:c>
      <x:c r="H2842" s="7" t="n">
        <x:v>1497</x:v>
      </x:c>
      <x:c r="I2842" s="7" t="n">
        <x:v>113</x:v>
      </x:c>
      <x:c r="J2842" s="9" t="n">
        <x:v>23.2</x:v>
      </x:c>
      <x:c r="K2842" s="9" t="n">
        <x:v>12.5</x:v>
      </x:c>
      <x:c r="L2842" s="7" t="n">
        <x:v>2022</x:v>
      </x:c>
      <x:c r="M2842" s="11" t="n">
        <x:v>85804</x:v>
      </x:c>
      <x:c r="N2842" s="7" t="n">
        <x:v>1</x:v>
      </x:c>
      <x:c r="O2842" s="7" t="n">
        <x:v>0</x:v>
      </x:c>
      <x:c r="P2842" s="9" t="n">
        <x:v>7.25</x:v>
      </x:c>
      <x:c r="Q2842" s="7" t="n">
        <x:f>'Guide'!$B$5-L2842</x:f>
        <x:v>4</x:v>
      </x:c>
      <x:c r="R2842" s="9" t="n">
        <x:f>K2842-P2842</x:f>
        <x:v>5.25</x:v>
      </x:c>
      <x:c r="S2842" s="10" t="n">
        <x:f>IF(K2842&gt;0,R2842/K2842,"")</x:f>
        <x:v>0.42</x:v>
      </x:c>
    </x:row>
    <x:row r="2843">
      <x:c r="A2843" s="7" t="n">
        <x:v>2839</x:v>
      </x:c>
      <x:c r="B2843" s="7" t="str">
        <x:v>Tata</x:v>
      </x:c>
      <x:c r="C2843" s="7" t="str">
        <x:v>Nexon</x:v>
      </x:c>
      <x:c r="D2843" s="7" t="str">
        <x:v>Pure Diesel</x:v>
      </x:c>
      <x:c r="E2843" s="7" t="str">
        <x:v>Diesel</x:v>
      </x:c>
      <x:c r="F2843" s="7" t="str">
        <x:v>Manual</x:v>
      </x:c>
      <x:c r="G2843" s="7" t="str">
        <x:v>Compact SUV</x:v>
      </x:c>
      <x:c r="H2843" s="7" t="n">
        <x:v>1497</x:v>
      </x:c>
      <x:c r="I2843" s="7" t="n">
        <x:v>113</x:v>
      </x:c>
      <x:c r="J2843" s="9" t="n">
        <x:v>23.2</x:v>
      </x:c>
      <x:c r="K2843" s="9" t="n">
        <x:v>12.5</x:v>
      </x:c>
      <x:c r="L2843" s="7" t="n">
        <x:v>2025</x:v>
      </x:c>
      <x:c r="M2843" s="11" t="n">
        <x:v>29642</x:v>
      </x:c>
      <x:c r="N2843" s="7" t="n">
        <x:v>1</x:v>
      </x:c>
      <x:c r="O2843" s="7" t="n">
        <x:v>0</x:v>
      </x:c>
      <x:c r="P2843" s="9" t="n">
        <x:v>11.07</x:v>
      </x:c>
      <x:c r="Q2843" s="7" t="n">
        <x:f>'Guide'!$B$5-L2843</x:f>
        <x:v>1</x:v>
      </x:c>
      <x:c r="R2843" s="9" t="n">
        <x:f>K2843-P2843</x:f>
        <x:v>1.4299999999999997</x:v>
      </x:c>
      <x:c r="S2843" s="10" t="n">
        <x:f>IF(K2843&gt;0,R2843/K2843,"")</x:f>
        <x:v>0.11439999999999997</x:v>
      </x:c>
    </x:row>
    <x:row r="2844">
      <x:c r="A2844" s="7" t="n">
        <x:v>2840</x:v>
      </x:c>
      <x:c r="B2844" s="7" t="str">
        <x:v>Tata</x:v>
      </x:c>
      <x:c r="C2844" s="7" t="str">
        <x:v>Nexon</x:v>
      </x:c>
      <x:c r="D2844" s="7" t="str">
        <x:v>Pure Diesel</x:v>
      </x:c>
      <x:c r="E2844" s="7" t="str">
        <x:v>Diesel</x:v>
      </x:c>
      <x:c r="F2844" s="7" t="str">
        <x:v>Manual</x:v>
      </x:c>
      <x:c r="G2844" s="7" t="str">
        <x:v>Compact SUV</x:v>
      </x:c>
      <x:c r="H2844" s="7" t="n">
        <x:v>1497</x:v>
      </x:c>
      <x:c r="I2844" s="7" t="n">
        <x:v>113</x:v>
      </x:c>
      <x:c r="J2844" s="9" t="n">
        <x:v>23.2</x:v>
      </x:c>
      <x:c r="K2844" s="9" t="n">
        <x:v>12.5</x:v>
      </x:c>
      <x:c r="L2844" s="7" t="n">
        <x:v>2026</x:v>
      </x:c>
      <x:c r="M2844" s="11" t="n">
        <x:v>9998</x:v>
      </x:c>
      <x:c r="N2844" s="7" t="n">
        <x:v>2</x:v>
      </x:c>
      <x:c r="O2844" s="7" t="n">
        <x:v>0</x:v>
      </x:c>
      <x:c r="P2844" s="9" t="n">
        <x:v>12.01</x:v>
      </x:c>
      <x:c r="Q2844" s="7" t="n">
        <x:f>'Guide'!$B$5-L2844</x:f>
        <x:v>0</x:v>
      </x:c>
      <x:c r="R2844" s="9" t="n">
        <x:f>K2844-P2844</x:f>
        <x:v>0.4900000000000002</x:v>
      </x:c>
      <x:c r="S2844" s="10" t="n">
        <x:f>IF(K2844&gt;0,R2844/K2844,"")</x:f>
        <x:v>0.03920000000000002</x:v>
      </x:c>
    </x:row>
    <x:row r="2845">
      <x:c r="A2845" s="7" t="n">
        <x:v>2841</x:v>
      </x:c>
      <x:c r="B2845" s="7" t="str">
        <x:v>Tata</x:v>
      </x:c>
      <x:c r="C2845" s="7" t="str">
        <x:v>Nexon</x:v>
      </x:c>
      <x:c r="D2845" s="7" t="str">
        <x:v>Pure Diesel</x:v>
      </x:c>
      <x:c r="E2845" s="7" t="str">
        <x:v>Diesel</x:v>
      </x:c>
      <x:c r="F2845" s="7" t="str">
        <x:v>Manual</x:v>
      </x:c>
      <x:c r="G2845" s="7" t="str">
        <x:v>Compact SUV</x:v>
      </x:c>
      <x:c r="H2845" s="7" t="n">
        <x:v>1497</x:v>
      </x:c>
      <x:c r="I2845" s="7" t="n">
        <x:v>113</x:v>
      </x:c>
      <x:c r="J2845" s="9" t="n">
        <x:v>23.2</x:v>
      </x:c>
      <x:c r="K2845" s="9" t="n">
        <x:v>12.5</x:v>
      </x:c>
      <x:c r="L2845" s="7" t="n">
        <x:v>2023</x:v>
      </x:c>
      <x:c r="M2845" s="11" t="n">
        <x:v>50085</x:v>
      </x:c>
      <x:c r="N2845" s="7" t="n">
        <x:v>2</x:v>
      </x:c>
      <x:c r="O2845" s="7" t="n">
        <x:v>0</x:v>
      </x:c>
      <x:c r="P2845" s="9" t="n">
        <x:v>8.65</x:v>
      </x:c>
      <x:c r="Q2845" s="7" t="n">
        <x:f>'Guide'!$B$5-L2845</x:f>
        <x:v>3</x:v>
      </x:c>
      <x:c r="R2845" s="9" t="n">
        <x:f>K2845-P2845</x:f>
        <x:v>3.8499999999999996</x:v>
      </x:c>
      <x:c r="S2845" s="10" t="n">
        <x:f>IF(K2845&gt;0,R2845/K2845,"")</x:f>
        <x:v>0.308</x:v>
      </x:c>
    </x:row>
    <x:row r="2846">
      <x:c r="A2846" s="7" t="n">
        <x:v>2842</x:v>
      </x:c>
      <x:c r="B2846" s="7" t="str">
        <x:v>Tata</x:v>
      </x:c>
      <x:c r="C2846" s="7" t="str">
        <x:v>Nexon</x:v>
      </x:c>
      <x:c r="D2846" s="7" t="str">
        <x:v>Pure Diesel</x:v>
      </x:c>
      <x:c r="E2846" s="7" t="str">
        <x:v>Diesel</x:v>
      </x:c>
      <x:c r="F2846" s="7" t="str">
        <x:v>Manual</x:v>
      </x:c>
      <x:c r="G2846" s="7" t="str">
        <x:v>Compact SUV</x:v>
      </x:c>
      <x:c r="H2846" s="7" t="n">
        <x:v>1497</x:v>
      </x:c>
      <x:c r="I2846" s="7" t="n">
        <x:v>113</x:v>
      </x:c>
      <x:c r="J2846" s="9" t="n">
        <x:v>23.2</x:v>
      </x:c>
      <x:c r="K2846" s="9" t="n">
        <x:v>12.5</x:v>
      </x:c>
      <x:c r="L2846" s="7" t="n">
        <x:v>2022</x:v>
      </x:c>
      <x:c r="M2846" s="11" t="n">
        <x:v>36715</x:v>
      </x:c>
      <x:c r="N2846" s="7" t="n">
        <x:v>2</x:v>
      </x:c>
      <x:c r="O2846" s="7" t="n">
        <x:v>0</x:v>
      </x:c>
      <x:c r="P2846" s="9" t="n">
        <x:v>7.64</x:v>
      </x:c>
      <x:c r="Q2846" s="7" t="n">
        <x:f>'Guide'!$B$5-L2846</x:f>
        <x:v>4</x:v>
      </x:c>
      <x:c r="R2846" s="9" t="n">
        <x:f>K2846-P2846</x:f>
        <x:v>4.86</x:v>
      </x:c>
      <x:c r="S2846" s="10" t="n">
        <x:f>IF(K2846&gt;0,R2846/K2846,"")</x:f>
        <x:v>0.38880000000000003</x:v>
      </x:c>
    </x:row>
    <x:row r="2847">
      <x:c r="A2847" s="7" t="n">
        <x:v>2843</x:v>
      </x:c>
      <x:c r="B2847" s="7" t="str">
        <x:v>Tata</x:v>
      </x:c>
      <x:c r="C2847" s="7" t="str">
        <x:v>Nexon</x:v>
      </x:c>
      <x:c r="D2847" s="7" t="str">
        <x:v>Pure Diesel</x:v>
      </x:c>
      <x:c r="E2847" s="7" t="str">
        <x:v>Diesel</x:v>
      </x:c>
      <x:c r="F2847" s="7" t="str">
        <x:v>Manual</x:v>
      </x:c>
      <x:c r="G2847" s="7" t="str">
        <x:v>Compact SUV</x:v>
      </x:c>
      <x:c r="H2847" s="7" t="n">
        <x:v>1497</x:v>
      </x:c>
      <x:c r="I2847" s="7" t="n">
        <x:v>113</x:v>
      </x:c>
      <x:c r="J2847" s="9" t="n">
        <x:v>23.2</x:v>
      </x:c>
      <x:c r="K2847" s="9" t="n">
        <x:v>12.5</x:v>
      </x:c>
      <x:c r="L2847" s="7" t="n">
        <x:v>2025</x:v>
      </x:c>
      <x:c r="M2847" s="11" t="n">
        <x:v>26124</x:v>
      </x:c>
      <x:c r="N2847" s="7" t="n">
        <x:v>2</x:v>
      </x:c>
      <x:c r="O2847" s="7" t="n">
        <x:v>0</x:v>
      </x:c>
      <x:c r="P2847" s="9" t="n">
        <x:v>10.53</x:v>
      </x:c>
      <x:c r="Q2847" s="7" t="n">
        <x:f>'Guide'!$B$5-L2847</x:f>
        <x:v>1</x:v>
      </x:c>
      <x:c r="R2847" s="9" t="n">
        <x:f>K2847-P2847</x:f>
        <x:v>1.9700000000000006</x:v>
      </x:c>
      <x:c r="S2847" s="10" t="n">
        <x:f>IF(K2847&gt;0,R2847/K2847,"")</x:f>
        <x:v>0.15760000000000005</x:v>
      </x:c>
    </x:row>
    <x:row r="2848">
      <x:c r="A2848" s="7" t="n">
        <x:v>2844</x:v>
      </x:c>
      <x:c r="B2848" s="7" t="str">
        <x:v>Tata</x:v>
      </x:c>
      <x:c r="C2848" s="7" t="str">
        <x:v>Nexon</x:v>
      </x:c>
      <x:c r="D2848" s="7" t="str">
        <x:v>Pure Diesel</x:v>
      </x:c>
      <x:c r="E2848" s="7" t="str">
        <x:v>Diesel</x:v>
      </x:c>
      <x:c r="F2848" s="7" t="str">
        <x:v>Manual</x:v>
      </x:c>
      <x:c r="G2848" s="7" t="str">
        <x:v>Compact SUV</x:v>
      </x:c>
      <x:c r="H2848" s="7" t="n">
        <x:v>1497</x:v>
      </x:c>
      <x:c r="I2848" s="7" t="n">
        <x:v>113</x:v>
      </x:c>
      <x:c r="J2848" s="9" t="n">
        <x:v>23.2</x:v>
      </x:c>
      <x:c r="K2848" s="9" t="n">
        <x:v>12.5</x:v>
      </x:c>
      <x:c r="L2848" s="7" t="n">
        <x:v>2023</x:v>
      </x:c>
      <x:c r="M2848" s="11" t="n">
        <x:v>49210</x:v>
      </x:c>
      <x:c r="N2848" s="7" t="n">
        <x:v>1</x:v>
      </x:c>
      <x:c r="O2848" s="7" t="n">
        <x:v>0</x:v>
      </x:c>
      <x:c r="P2848" s="9" t="n">
        <x:v>9.03</x:v>
      </x:c>
      <x:c r="Q2848" s="7" t="n">
        <x:f>'Guide'!$B$5-L2848</x:f>
        <x:v>3</x:v>
      </x:c>
      <x:c r="R2848" s="9" t="n">
        <x:f>K2848-P2848</x:f>
        <x:v>3.4700000000000006</x:v>
      </x:c>
      <x:c r="S2848" s="10" t="n">
        <x:f>IF(K2848&gt;0,R2848/K2848,"")</x:f>
        <x:v>0.27760000000000007</x:v>
      </x:c>
    </x:row>
    <x:row r="2849">
      <x:c r="A2849" s="7" t="n">
        <x:v>2845</x:v>
      </x:c>
      <x:c r="B2849" s="7" t="str">
        <x:v>Tata</x:v>
      </x:c>
      <x:c r="C2849" s="7" t="str">
        <x:v>Nexon</x:v>
      </x:c>
      <x:c r="D2849" s="7" t="str">
        <x:v>Pure Diesel</x:v>
      </x:c>
      <x:c r="E2849" s="7" t="str">
        <x:v>Diesel</x:v>
      </x:c>
      <x:c r="F2849" s="7" t="str">
        <x:v>Manual</x:v>
      </x:c>
      <x:c r="G2849" s="7" t="str">
        <x:v>Compact SUV</x:v>
      </x:c>
      <x:c r="H2849" s="7" t="n">
        <x:v>1497</x:v>
      </x:c>
      <x:c r="I2849" s="7" t="n">
        <x:v>113</x:v>
      </x:c>
      <x:c r="J2849" s="9" t="n">
        <x:v>23.2</x:v>
      </x:c>
      <x:c r="K2849" s="9" t="n">
        <x:v>12.5</x:v>
      </x:c>
      <x:c r="L2849" s="7" t="n">
        <x:v>2020</x:v>
      </x:c>
      <x:c r="M2849" s="11" t="n">
        <x:v>53125</x:v>
      </x:c>
      <x:c r="N2849" s="7" t="n">
        <x:v>1</x:v>
      </x:c>
      <x:c r="O2849" s="7" t="n">
        <x:v>1</x:v>
      </x:c>
      <x:c r="P2849" s="9" t="n">
        <x:v>5.2</x:v>
      </x:c>
      <x:c r="Q2849" s="7" t="n">
        <x:f>'Guide'!$B$5-L2849</x:f>
        <x:v>6</x:v>
      </x:c>
      <x:c r="R2849" s="9" t="n">
        <x:f>K2849-P2849</x:f>
        <x:v>7.3</x:v>
      </x:c>
      <x:c r="S2849" s="10" t="n">
        <x:f>IF(K2849&gt;0,R2849/K2849,"")</x:f>
        <x:v>0.584</x:v>
      </x:c>
    </x:row>
    <x:row r="2850">
      <x:c r="A2850" s="7" t="n">
        <x:v>2846</x:v>
      </x:c>
      <x:c r="B2850" s="7" t="str">
        <x:v>Tata</x:v>
      </x:c>
      <x:c r="C2850" s="7" t="str">
        <x:v>Nexon</x:v>
      </x:c>
      <x:c r="D2850" s="7" t="str">
        <x:v>Pure Diesel</x:v>
      </x:c>
      <x:c r="E2850" s="7" t="str">
        <x:v>Diesel</x:v>
      </x:c>
      <x:c r="F2850" s="7" t="str">
        <x:v>Manual</x:v>
      </x:c>
      <x:c r="G2850" s="7" t="str">
        <x:v>Compact SUV</x:v>
      </x:c>
      <x:c r="H2850" s="7" t="n">
        <x:v>1497</x:v>
      </x:c>
      <x:c r="I2850" s="7" t="n">
        <x:v>113</x:v>
      </x:c>
      <x:c r="J2850" s="9" t="n">
        <x:v>23.2</x:v>
      </x:c>
      <x:c r="K2850" s="9" t="n">
        <x:v>12.5</x:v>
      </x:c>
      <x:c r="L2850" s="7" t="n">
        <x:v>2025</x:v>
      </x:c>
      <x:c r="M2850" s="11" t="n">
        <x:v>28785</x:v>
      </x:c>
      <x:c r="N2850" s="7" t="n">
        <x:v>1</x:v>
      </x:c>
      <x:c r="O2850" s="7" t="n">
        <x:v>0</x:v>
      </x:c>
      <x:c r="P2850" s="9" t="n">
        <x:v>10.81</x:v>
      </x:c>
      <x:c r="Q2850" s="7" t="n">
        <x:f>'Guide'!$B$5-L2850</x:f>
        <x:v>1</x:v>
      </x:c>
      <x:c r="R2850" s="9" t="n">
        <x:f>K2850-P2850</x:f>
        <x:v>1.6899999999999995</x:v>
      </x:c>
      <x:c r="S2850" s="10" t="n">
        <x:f>IF(K2850&gt;0,R2850/K2850,"")</x:f>
        <x:v>0.13519999999999996</x:v>
      </x:c>
    </x:row>
    <x:row r="2851">
      <x:c r="A2851" s="7" t="n">
        <x:v>2847</x:v>
      </x:c>
      <x:c r="B2851" s="7" t="str">
        <x:v>Tata</x:v>
      </x:c>
      <x:c r="C2851" s="7" t="str">
        <x:v>Nexon</x:v>
      </x:c>
      <x:c r="D2851" s="7" t="str">
        <x:v>Pure Diesel</x:v>
      </x:c>
      <x:c r="E2851" s="7" t="str">
        <x:v>Diesel</x:v>
      </x:c>
      <x:c r="F2851" s="7" t="str">
        <x:v>Manual</x:v>
      </x:c>
      <x:c r="G2851" s="7" t="str">
        <x:v>Compact SUV</x:v>
      </x:c>
      <x:c r="H2851" s="7" t="n">
        <x:v>1497</x:v>
      </x:c>
      <x:c r="I2851" s="7" t="n">
        <x:v>113</x:v>
      </x:c>
      <x:c r="J2851" s="9" t="n">
        <x:v>23.2</x:v>
      </x:c>
      <x:c r="K2851" s="9" t="n">
        <x:v>12.5</x:v>
      </x:c>
      <x:c r="L2851" s="7" t="n">
        <x:v>2022</x:v>
      </x:c>
      <x:c r="M2851" s="11" t="n">
        <x:v>81056</x:v>
      </x:c>
      <x:c r="N2851" s="7" t="n">
        <x:v>1</x:v>
      </x:c>
      <x:c r="O2851" s="7" t="n">
        <x:v>0</x:v>
      </x:c>
      <x:c r="P2851" s="9" t="n">
        <x:v>7.07</x:v>
      </x:c>
      <x:c r="Q2851" s="7" t="n">
        <x:f>'Guide'!$B$5-L2851</x:f>
        <x:v>4</x:v>
      </x:c>
      <x:c r="R2851" s="9" t="n">
        <x:f>K2851-P2851</x:f>
        <x:v>5.43</x:v>
      </x:c>
      <x:c r="S2851" s="10" t="n">
        <x:f>IF(K2851&gt;0,R2851/K2851,"")</x:f>
        <x:v>0.43439999999999995</x:v>
      </x:c>
    </x:row>
    <x:row r="2852">
      <x:c r="A2852" s="7" t="n">
        <x:v>2848</x:v>
      </x:c>
      <x:c r="B2852" s="7" t="str">
        <x:v>Tata</x:v>
      </x:c>
      <x:c r="C2852" s="7" t="str">
        <x:v>Nexon</x:v>
      </x:c>
      <x:c r="D2852" s="7" t="str">
        <x:v>Pure Diesel</x:v>
      </x:c>
      <x:c r="E2852" s="7" t="str">
        <x:v>Diesel</x:v>
      </x:c>
      <x:c r="F2852" s="7" t="str">
        <x:v>Manual</x:v>
      </x:c>
      <x:c r="G2852" s="7" t="str">
        <x:v>Compact SUV</x:v>
      </x:c>
      <x:c r="H2852" s="7" t="n">
        <x:v>1497</x:v>
      </x:c>
      <x:c r="I2852" s="7" t="n">
        <x:v>113</x:v>
      </x:c>
      <x:c r="J2852" s="9" t="n">
        <x:v>23.2</x:v>
      </x:c>
      <x:c r="K2852" s="9" t="n">
        <x:v>12.5</x:v>
      </x:c>
      <x:c r="L2852" s="7" t="n">
        <x:v>2022</x:v>
      </x:c>
      <x:c r="M2852" s="11" t="n">
        <x:v>62621</x:v>
      </x:c>
      <x:c r="N2852" s="7" t="n">
        <x:v>1</x:v>
      </x:c>
      <x:c r="O2852" s="7" t="n">
        <x:v>0</x:v>
      </x:c>
      <x:c r="P2852" s="9" t="n">
        <x:v>7.78</x:v>
      </x:c>
      <x:c r="Q2852" s="7" t="n">
        <x:f>'Guide'!$B$5-L2852</x:f>
        <x:v>4</x:v>
      </x:c>
      <x:c r="R2852" s="9" t="n">
        <x:f>K2852-P2852</x:f>
        <x:v>4.72</x:v>
      </x:c>
      <x:c r="S2852" s="10" t="n">
        <x:f>IF(K2852&gt;0,R2852/K2852,"")</x:f>
        <x:v>0.3776</x:v>
      </x:c>
    </x:row>
    <x:row r="2853">
      <x:c r="A2853" s="7" t="n">
        <x:v>2849</x:v>
      </x:c>
      <x:c r="B2853" s="7" t="str">
        <x:v>Tata</x:v>
      </x:c>
      <x:c r="C2853" s="7" t="str">
        <x:v>Nexon</x:v>
      </x:c>
      <x:c r="D2853" s="7" t="str">
        <x:v>Pure Diesel</x:v>
      </x:c>
      <x:c r="E2853" s="7" t="str">
        <x:v>Diesel</x:v>
      </x:c>
      <x:c r="F2853" s="7" t="str">
        <x:v>Manual</x:v>
      </x:c>
      <x:c r="G2853" s="7" t="str">
        <x:v>Compact SUV</x:v>
      </x:c>
      <x:c r="H2853" s="7" t="n">
        <x:v>1497</x:v>
      </x:c>
      <x:c r="I2853" s="7" t="n">
        <x:v>113</x:v>
      </x:c>
      <x:c r="J2853" s="9" t="n">
        <x:v>23.2</x:v>
      </x:c>
      <x:c r="K2853" s="9" t="n">
        <x:v>12.5</x:v>
      </x:c>
      <x:c r="L2853" s="7" t="n">
        <x:v>2026</x:v>
      </x:c>
      <x:c r="M2853" s="11" t="n">
        <x:v>8883</x:v>
      </x:c>
      <x:c r="N2853" s="7" t="n">
        <x:v>1</x:v>
      </x:c>
      <x:c r="O2853" s="7" t="n">
        <x:v>0</x:v>
      </x:c>
      <x:c r="P2853" s="9" t="n">
        <x:v>12.32</x:v>
      </x:c>
      <x:c r="Q2853" s="7" t="n">
        <x:f>'Guide'!$B$5-L2853</x:f>
        <x:v>0</x:v>
      </x:c>
      <x:c r="R2853" s="9" t="n">
        <x:f>K2853-P2853</x:f>
        <x:v>0.17999999999999972</x:v>
      </x:c>
      <x:c r="S2853" s="10" t="n">
        <x:f>IF(K2853&gt;0,R2853/K2853,"")</x:f>
        <x:v>0.014399999999999977</x:v>
      </x:c>
    </x:row>
    <x:row r="2854">
      <x:c r="A2854" s="7" t="n">
        <x:v>2850</x:v>
      </x:c>
      <x:c r="B2854" s="7" t="str">
        <x:v>Tata</x:v>
      </x:c>
      <x:c r="C2854" s="7" t="str">
        <x:v>Nexon</x:v>
      </x:c>
      <x:c r="D2854" s="7" t="str">
        <x:v>Pure Diesel</x:v>
      </x:c>
      <x:c r="E2854" s="7" t="str">
        <x:v>Diesel</x:v>
      </x:c>
      <x:c r="F2854" s="7" t="str">
        <x:v>Manual</x:v>
      </x:c>
      <x:c r="G2854" s="7" t="str">
        <x:v>Compact SUV</x:v>
      </x:c>
      <x:c r="H2854" s="7" t="n">
        <x:v>1497</x:v>
      </x:c>
      <x:c r="I2854" s="7" t="n">
        <x:v>113</x:v>
      </x:c>
      <x:c r="J2854" s="9" t="n">
        <x:v>23.2</x:v>
      </x:c>
      <x:c r="K2854" s="9" t="n">
        <x:v>12.5</x:v>
      </x:c>
      <x:c r="L2854" s="7" t="n">
        <x:v>2023</x:v>
      </x:c>
      <x:c r="M2854" s="11" t="n">
        <x:v>66637</x:v>
      </x:c>
      <x:c r="N2854" s="7" t="n">
        <x:v>1</x:v>
      </x:c>
      <x:c r="O2854" s="7" t="n">
        <x:v>0</x:v>
      </x:c>
      <x:c r="P2854" s="9" t="n">
        <x:v>8.64</x:v>
      </x:c>
      <x:c r="Q2854" s="7" t="n">
        <x:f>'Guide'!$B$5-L2854</x:f>
        <x:v>3</x:v>
      </x:c>
      <x:c r="R2854" s="9" t="n">
        <x:f>K2854-P2854</x:f>
        <x:v>3.8599999999999994</x:v>
      </x:c>
      <x:c r="S2854" s="10" t="n">
        <x:f>IF(K2854&gt;0,R2854/K2854,"")</x:f>
        <x:v>0.30879999999999996</x:v>
      </x:c>
    </x:row>
    <x:row r="2855">
      <x:c r="A2855" s="7" t="n">
        <x:v>2851</x:v>
      </x:c>
      <x:c r="B2855" s="7" t="str">
        <x:v>Tata</x:v>
      </x:c>
      <x:c r="C2855" s="7" t="str">
        <x:v>Nexon</x:v>
      </x:c>
      <x:c r="D2855" s="7" t="str">
        <x:v>Pure Diesel</x:v>
      </x:c>
      <x:c r="E2855" s="7" t="str">
        <x:v>Diesel</x:v>
      </x:c>
      <x:c r="F2855" s="7" t="str">
        <x:v>Manual</x:v>
      </x:c>
      <x:c r="G2855" s="7" t="str">
        <x:v>Compact SUV</x:v>
      </x:c>
      <x:c r="H2855" s="7" t="n">
        <x:v>1497</x:v>
      </x:c>
      <x:c r="I2855" s="7" t="n">
        <x:v>113</x:v>
      </x:c>
      <x:c r="J2855" s="9" t="n">
        <x:v>23.2</x:v>
      </x:c>
      <x:c r="K2855" s="9" t="n">
        <x:v>12.5</x:v>
      </x:c>
      <x:c r="L2855" s="7" t="n">
        <x:v>2021</x:v>
      </x:c>
      <x:c r="M2855" s="11" t="n">
        <x:v>103263</x:v>
      </x:c>
      <x:c r="N2855" s="7" t="n">
        <x:v>1</x:v>
      </x:c>
      <x:c r="O2855" s="7" t="n">
        <x:v>0</x:v>
      </x:c>
      <x:c r="P2855" s="9" t="n">
        <x:v>5.76</x:v>
      </x:c>
      <x:c r="Q2855" s="7" t="n">
        <x:f>'Guide'!$B$5-L2855</x:f>
        <x:v>5</x:v>
      </x:c>
      <x:c r="R2855" s="9" t="n">
        <x:f>K2855-P2855</x:f>
        <x:v>6.74</x:v>
      </x:c>
      <x:c r="S2855" s="10" t="n">
        <x:f>IF(K2855&gt;0,R2855/K2855,"")</x:f>
        <x:v>0.5392</x:v>
      </x:c>
    </x:row>
    <x:row r="2856">
      <x:c r="A2856" s="7" t="n">
        <x:v>2852</x:v>
      </x:c>
      <x:c r="B2856" s="7" t="str">
        <x:v>Tata</x:v>
      </x:c>
      <x:c r="C2856" s="7" t="str">
        <x:v>Nexon</x:v>
      </x:c>
      <x:c r="D2856" s="7" t="str">
        <x:v>Pure Diesel</x:v>
      </x:c>
      <x:c r="E2856" s="7" t="str">
        <x:v>Diesel</x:v>
      </x:c>
      <x:c r="F2856" s="7" t="str">
        <x:v>Manual</x:v>
      </x:c>
      <x:c r="G2856" s="7" t="str">
        <x:v>Compact SUV</x:v>
      </x:c>
      <x:c r="H2856" s="7" t="n">
        <x:v>1497</x:v>
      </x:c>
      <x:c r="I2856" s="7" t="n">
        <x:v>113</x:v>
      </x:c>
      <x:c r="J2856" s="9" t="n">
        <x:v>23.2</x:v>
      </x:c>
      <x:c r="K2856" s="9" t="n">
        <x:v>12.5</x:v>
      </x:c>
      <x:c r="L2856" s="7" t="n">
        <x:v>2025</x:v>
      </x:c>
      <x:c r="M2856" s="11" t="n">
        <x:v>29192</x:v>
      </x:c>
      <x:c r="N2856" s="7" t="n">
        <x:v>1</x:v>
      </x:c>
      <x:c r="O2856" s="7" t="n">
        <x:v>0</x:v>
      </x:c>
      <x:c r="P2856" s="9" t="n">
        <x:v>11.15</x:v>
      </x:c>
      <x:c r="Q2856" s="7" t="n">
        <x:f>'Guide'!$B$5-L2856</x:f>
        <x:v>1</x:v>
      </x:c>
      <x:c r="R2856" s="9" t="n">
        <x:f>K2856-P2856</x:f>
        <x:v>1.3499999999999996</x:v>
      </x:c>
      <x:c r="S2856" s="10" t="n">
        <x:f>IF(K2856&gt;0,R2856/K2856,"")</x:f>
        <x:v>0.10799999999999997</x:v>
      </x:c>
    </x:row>
    <x:row r="2857">
      <x:c r="A2857" s="7" t="n">
        <x:v>2853</x:v>
      </x:c>
      <x:c r="B2857" s="7" t="str">
        <x:v>Tata</x:v>
      </x:c>
      <x:c r="C2857" s="7" t="str">
        <x:v>Nexon</x:v>
      </x:c>
      <x:c r="D2857" s="7" t="str">
        <x:v>Pure Diesel</x:v>
      </x:c>
      <x:c r="E2857" s="7" t="str">
        <x:v>Diesel</x:v>
      </x:c>
      <x:c r="F2857" s="7" t="str">
        <x:v>Manual</x:v>
      </x:c>
      <x:c r="G2857" s="7" t="str">
        <x:v>Compact SUV</x:v>
      </x:c>
      <x:c r="H2857" s="7" t="n">
        <x:v>1497</x:v>
      </x:c>
      <x:c r="I2857" s="7" t="n">
        <x:v>113</x:v>
      </x:c>
      <x:c r="J2857" s="9" t="n">
        <x:v>23.2</x:v>
      </x:c>
      <x:c r="K2857" s="9" t="n">
        <x:v>12.5</x:v>
      </x:c>
      <x:c r="L2857" s="7" t="n">
        <x:v>2025</x:v>
      </x:c>
      <x:c r="M2857" s="11" t="n">
        <x:v>26823</x:v>
      </x:c>
      <x:c r="N2857" s="7" t="n">
        <x:v>1</x:v>
      </x:c>
      <x:c r="O2857" s="7" t="n">
        <x:v>0</x:v>
      </x:c>
      <x:c r="P2857" s="9" t="n">
        <x:v>11.19</x:v>
      </x:c>
      <x:c r="Q2857" s="7" t="n">
        <x:f>'Guide'!$B$5-L2857</x:f>
        <x:v>1</x:v>
      </x:c>
      <x:c r="R2857" s="9" t="n">
        <x:f>K2857-P2857</x:f>
        <x:v>1.3100000000000005</x:v>
      </x:c>
      <x:c r="S2857" s="10" t="n">
        <x:f>IF(K2857&gt;0,R2857/K2857,"")</x:f>
        <x:v>0.10480000000000005</x:v>
      </x:c>
    </x:row>
    <x:row r="2858">
      <x:c r="A2858" s="7" t="n">
        <x:v>2854</x:v>
      </x:c>
      <x:c r="B2858" s="7" t="str">
        <x:v>Tata</x:v>
      </x:c>
      <x:c r="C2858" s="7" t="str">
        <x:v>Nexon</x:v>
      </x:c>
      <x:c r="D2858" s="7" t="str">
        <x:v>Pure Diesel</x:v>
      </x:c>
      <x:c r="E2858" s="7" t="str">
        <x:v>Diesel</x:v>
      </x:c>
      <x:c r="F2858" s="7" t="str">
        <x:v>Manual</x:v>
      </x:c>
      <x:c r="G2858" s="7" t="str">
        <x:v>Compact SUV</x:v>
      </x:c>
      <x:c r="H2858" s="7" t="n">
        <x:v>1497</x:v>
      </x:c>
      <x:c r="I2858" s="7" t="n">
        <x:v>113</x:v>
      </x:c>
      <x:c r="J2858" s="9" t="n">
        <x:v>23.2</x:v>
      </x:c>
      <x:c r="K2858" s="9" t="n">
        <x:v>12.5</x:v>
      </x:c>
      <x:c r="L2858" s="7" t="n">
        <x:v>2026</x:v>
      </x:c>
      <x:c r="M2858" s="11" t="n">
        <x:v>9665</x:v>
      </x:c>
      <x:c r="N2858" s="7" t="n">
        <x:v>1</x:v>
      </x:c>
      <x:c r="O2858" s="7" t="n">
        <x:v>0</x:v>
      </x:c>
      <x:c r="P2858" s="9" t="n">
        <x:v>12.75</x:v>
      </x:c>
      <x:c r="Q2858" s="7" t="n">
        <x:f>'Guide'!$B$5-L2858</x:f>
        <x:v>0</x:v>
      </x:c>
      <x:c r="R2858" s="9" t="n">
        <x:f>K2858-P2858</x:f>
        <x:v>-0.25</x:v>
      </x:c>
      <x:c r="S2858" s="10" t="n">
        <x:f>IF(K2858&gt;0,R2858/K2858,"")</x:f>
        <x:v>-0.02</x:v>
      </x:c>
    </x:row>
    <x:row r="2859">
      <x:c r="A2859" s="7" t="n">
        <x:v>2855</x:v>
      </x:c>
      <x:c r="B2859" s="7" t="str">
        <x:v>Tata</x:v>
      </x:c>
      <x:c r="C2859" s="7" t="str">
        <x:v>Nexon</x:v>
      </x:c>
      <x:c r="D2859" s="7" t="str">
        <x:v>Pure Diesel</x:v>
      </x:c>
      <x:c r="E2859" s="7" t="str">
        <x:v>Diesel</x:v>
      </x:c>
      <x:c r="F2859" s="7" t="str">
        <x:v>Manual</x:v>
      </x:c>
      <x:c r="G2859" s="7" t="str">
        <x:v>Compact SUV</x:v>
      </x:c>
      <x:c r="H2859" s="7" t="n">
        <x:v>1497</x:v>
      </x:c>
      <x:c r="I2859" s="7" t="n">
        <x:v>113</x:v>
      </x:c>
      <x:c r="J2859" s="9" t="n">
        <x:v>23.2</x:v>
      </x:c>
      <x:c r="K2859" s="9" t="n">
        <x:v>12.5</x:v>
      </x:c>
      <x:c r="L2859" s="7" t="n">
        <x:v>2022</x:v>
      </x:c>
      <x:c r="M2859" s="11" t="n">
        <x:v>83236</x:v>
      </x:c>
      <x:c r="N2859" s="7" t="n">
        <x:v>1</x:v>
      </x:c>
      <x:c r="O2859" s="7" t="n">
        <x:v>0</x:v>
      </x:c>
      <x:c r="P2859" s="9" t="n">
        <x:v>7.25</x:v>
      </x:c>
      <x:c r="Q2859" s="7" t="n">
        <x:f>'Guide'!$B$5-L2859</x:f>
        <x:v>4</x:v>
      </x:c>
      <x:c r="R2859" s="9" t="n">
        <x:f>K2859-P2859</x:f>
        <x:v>5.25</x:v>
      </x:c>
      <x:c r="S2859" s="10" t="n">
        <x:f>IF(K2859&gt;0,R2859/K2859,"")</x:f>
        <x:v>0.42</x:v>
      </x:c>
    </x:row>
    <x:row r="2860">
      <x:c r="A2860" s="7" t="n">
        <x:v>2856</x:v>
      </x:c>
      <x:c r="B2860" s="7" t="str">
        <x:v>Tata</x:v>
      </x:c>
      <x:c r="C2860" s="7" t="str">
        <x:v>Nexon</x:v>
      </x:c>
      <x:c r="D2860" s="7" t="str">
        <x:v>Pure Diesel</x:v>
      </x:c>
      <x:c r="E2860" s="7" t="str">
        <x:v>Diesel</x:v>
      </x:c>
      <x:c r="F2860" s="7" t="str">
        <x:v>Manual</x:v>
      </x:c>
      <x:c r="G2860" s="7" t="str">
        <x:v>Compact SUV</x:v>
      </x:c>
      <x:c r="H2860" s="7" t="n">
        <x:v>1497</x:v>
      </x:c>
      <x:c r="I2860" s="7" t="n">
        <x:v>113</x:v>
      </x:c>
      <x:c r="J2860" s="9" t="n">
        <x:v>23.2</x:v>
      </x:c>
      <x:c r="K2860" s="9" t="n">
        <x:v>12.5</x:v>
      </x:c>
      <x:c r="L2860" s="7" t="n">
        <x:v>2022</x:v>
      </x:c>
      <x:c r="M2860" s="11" t="n">
        <x:v>51189</x:v>
      </x:c>
      <x:c r="N2860" s="7" t="n">
        <x:v>2</x:v>
      </x:c>
      <x:c r="O2860" s="7" t="n">
        <x:v>0</x:v>
      </x:c>
      <x:c r="P2860" s="9" t="n">
        <x:v>7.22</x:v>
      </x:c>
      <x:c r="Q2860" s="7" t="n">
        <x:f>'Guide'!$B$5-L2860</x:f>
        <x:v>4</x:v>
      </x:c>
      <x:c r="R2860" s="9" t="n">
        <x:f>K2860-P2860</x:f>
        <x:v>5.28</x:v>
      </x:c>
      <x:c r="S2860" s="10" t="n">
        <x:f>IF(K2860&gt;0,R2860/K2860,"")</x:f>
        <x:v>0.4224</x:v>
      </x:c>
    </x:row>
    <x:row r="2861">
      <x:c r="A2861" s="7" t="n">
        <x:v>2857</x:v>
      </x:c>
      <x:c r="B2861" s="7" t="str">
        <x:v>Tata</x:v>
      </x:c>
      <x:c r="C2861" s="7" t="str">
        <x:v>Nexon</x:v>
      </x:c>
      <x:c r="D2861" s="7" t="str">
        <x:v>Pure Diesel</x:v>
      </x:c>
      <x:c r="E2861" s="7" t="str">
        <x:v>Diesel</x:v>
      </x:c>
      <x:c r="F2861" s="7" t="str">
        <x:v>Manual</x:v>
      </x:c>
      <x:c r="G2861" s="7" t="str">
        <x:v>Compact SUV</x:v>
      </x:c>
      <x:c r="H2861" s="7" t="n">
        <x:v>1497</x:v>
      </x:c>
      <x:c r="I2861" s="7" t="n">
        <x:v>113</x:v>
      </x:c>
      <x:c r="J2861" s="9" t="n">
        <x:v>23.2</x:v>
      </x:c>
      <x:c r="K2861" s="9" t="n">
        <x:v>12.5</x:v>
      </x:c>
      <x:c r="L2861" s="7" t="n">
        <x:v>2026</x:v>
      </x:c>
      <x:c r="M2861" s="11" t="n">
        <x:v>7530</x:v>
      </x:c>
      <x:c r="N2861" s="7" t="n">
        <x:v>1</x:v>
      </x:c>
      <x:c r="O2861" s="7" t="n">
        <x:v>0</x:v>
      </x:c>
      <x:c r="P2861" s="9" t="n">
        <x:v>12.15</x:v>
      </x:c>
      <x:c r="Q2861" s="7" t="n">
        <x:f>'Guide'!$B$5-L2861</x:f>
        <x:v>0</x:v>
      </x:c>
      <x:c r="R2861" s="9" t="n">
        <x:f>K2861-P2861</x:f>
        <x:v>0.34999999999999964</x:v>
      </x:c>
      <x:c r="S2861" s="10" t="n">
        <x:f>IF(K2861&gt;0,R2861/K2861,"")</x:f>
        <x:v>0.027999999999999973</x:v>
      </x:c>
    </x:row>
    <x:row r="2862">
      <x:c r="A2862" s="7" t="n">
        <x:v>2858</x:v>
      </x:c>
      <x:c r="B2862" s="7" t="str">
        <x:v>Tata</x:v>
      </x:c>
      <x:c r="C2862" s="7" t="str">
        <x:v>Nexon</x:v>
      </x:c>
      <x:c r="D2862" s="7" t="str">
        <x:v>Pure Diesel</x:v>
      </x:c>
      <x:c r="E2862" s="7" t="str">
        <x:v>Diesel</x:v>
      </x:c>
      <x:c r="F2862" s="7" t="str">
        <x:v>Manual</x:v>
      </x:c>
      <x:c r="G2862" s="7" t="str">
        <x:v>Compact SUV</x:v>
      </x:c>
      <x:c r="H2862" s="7" t="n">
        <x:v>1497</x:v>
      </x:c>
      <x:c r="I2862" s="7" t="n">
        <x:v>113</x:v>
      </x:c>
      <x:c r="J2862" s="9" t="n">
        <x:v>23.2</x:v>
      </x:c>
      <x:c r="K2862" s="9" t="n">
        <x:v>12.5</x:v>
      </x:c>
      <x:c r="L2862" s="7" t="n">
        <x:v>2023</x:v>
      </x:c>
      <x:c r="M2862" s="11" t="n">
        <x:v>69996</x:v>
      </x:c>
      <x:c r="N2862" s="7" t="n">
        <x:v>1</x:v>
      </x:c>
      <x:c r="O2862" s="7" t="n">
        <x:v>0</x:v>
      </x:c>
      <x:c r="P2862" s="9" t="n">
        <x:v>8.24</x:v>
      </x:c>
      <x:c r="Q2862" s="7" t="n">
        <x:f>'Guide'!$B$5-L2862</x:f>
        <x:v>3</x:v>
      </x:c>
      <x:c r="R2862" s="9" t="n">
        <x:f>K2862-P2862</x:f>
        <x:v>4.26</x:v>
      </x:c>
      <x:c r="S2862" s="10" t="n">
        <x:f>IF(K2862&gt;0,R2862/K2862,"")</x:f>
        <x:v>0.3408</x:v>
      </x:c>
    </x:row>
    <x:row r="2863">
      <x:c r="A2863" s="7" t="n">
        <x:v>2859</x:v>
      </x:c>
      <x:c r="B2863" s="7" t="str">
        <x:v>Tata</x:v>
      </x:c>
      <x:c r="C2863" s="7" t="str">
        <x:v>Nexon</x:v>
      </x:c>
      <x:c r="D2863" s="7" t="str">
        <x:v>Pure Diesel</x:v>
      </x:c>
      <x:c r="E2863" s="7" t="str">
        <x:v>Diesel</x:v>
      </x:c>
      <x:c r="F2863" s="7" t="str">
        <x:v>Manual</x:v>
      </x:c>
      <x:c r="G2863" s="7" t="str">
        <x:v>Compact SUV</x:v>
      </x:c>
      <x:c r="H2863" s="7" t="n">
        <x:v>1497</x:v>
      </x:c>
      <x:c r="I2863" s="7" t="n">
        <x:v>113</x:v>
      </x:c>
      <x:c r="J2863" s="9" t="n">
        <x:v>23.2</x:v>
      </x:c>
      <x:c r="K2863" s="9" t="n">
        <x:v>12.5</x:v>
      </x:c>
      <x:c r="L2863" s="7" t="n">
        <x:v>2025</x:v>
      </x:c>
      <x:c r="M2863" s="11" t="n">
        <x:v>28966</x:v>
      </x:c>
      <x:c r="N2863" s="7" t="n">
        <x:v>2</x:v>
      </x:c>
      <x:c r="O2863" s="7" t="n">
        <x:v>0</x:v>
      </x:c>
      <x:c r="P2863" s="9" t="n">
        <x:v>10.79</x:v>
      </x:c>
      <x:c r="Q2863" s="7" t="n">
        <x:f>'Guide'!$B$5-L2863</x:f>
        <x:v>1</x:v>
      </x:c>
      <x:c r="R2863" s="9" t="n">
        <x:f>K2863-P2863</x:f>
        <x:v>1.7100000000000009</x:v>
      </x:c>
      <x:c r="S2863" s="10" t="n">
        <x:f>IF(K2863&gt;0,R2863/K2863,"")</x:f>
        <x:v>0.13680000000000006</x:v>
      </x:c>
    </x:row>
    <x:row r="2864">
      <x:c r="A2864" s="7" t="n">
        <x:v>2860</x:v>
      </x:c>
      <x:c r="B2864" s="7" t="str">
        <x:v>Tata</x:v>
      </x:c>
      <x:c r="C2864" s="7" t="str">
        <x:v>Nexon</x:v>
      </x:c>
      <x:c r="D2864" s="7" t="str">
        <x:v>Pure Diesel</x:v>
      </x:c>
      <x:c r="E2864" s="7" t="str">
        <x:v>Diesel</x:v>
      </x:c>
      <x:c r="F2864" s="7" t="str">
        <x:v>Manual</x:v>
      </x:c>
      <x:c r="G2864" s="7" t="str">
        <x:v>Compact SUV</x:v>
      </x:c>
      <x:c r="H2864" s="7" t="n">
        <x:v>1497</x:v>
      </x:c>
      <x:c r="I2864" s="7" t="n">
        <x:v>113</x:v>
      </x:c>
      <x:c r="J2864" s="9" t="n">
        <x:v>23.2</x:v>
      </x:c>
      <x:c r="K2864" s="9" t="n">
        <x:v>12.5</x:v>
      </x:c>
      <x:c r="L2864" s="7" t="n">
        <x:v>2023</x:v>
      </x:c>
      <x:c r="M2864" s="11" t="n">
        <x:v>30875</x:v>
      </x:c>
      <x:c r="N2864" s="7" t="n">
        <x:v>2</x:v>
      </x:c>
      <x:c r="O2864" s="7" t="n">
        <x:v>0</x:v>
      </x:c>
      <x:c r="P2864" s="9" t="n">
        <x:v>8.98</x:v>
      </x:c>
      <x:c r="Q2864" s="7" t="n">
        <x:f>'Guide'!$B$5-L2864</x:f>
        <x:v>3</x:v>
      </x:c>
      <x:c r="R2864" s="9" t="n">
        <x:f>K2864-P2864</x:f>
        <x:v>3.5199999999999996</x:v>
      </x:c>
      <x:c r="S2864" s="10" t="n">
        <x:f>IF(K2864&gt;0,R2864/K2864,"")</x:f>
        <x:v>0.28159999999999996</x:v>
      </x:c>
    </x:row>
    <x:row r="2865">
      <x:c r="A2865" s="7" t="n">
        <x:v>2861</x:v>
      </x:c>
      <x:c r="B2865" s="7" t="str">
        <x:v>Tata</x:v>
      </x:c>
      <x:c r="C2865" s="7" t="str">
        <x:v>Nexon</x:v>
      </x:c>
      <x:c r="D2865" s="7" t="str">
        <x:v>Pure Diesel</x:v>
      </x:c>
      <x:c r="E2865" s="7" t="str">
        <x:v>Diesel</x:v>
      </x:c>
      <x:c r="F2865" s="7" t="str">
        <x:v>Manual</x:v>
      </x:c>
      <x:c r="G2865" s="7" t="str">
        <x:v>Compact SUV</x:v>
      </x:c>
      <x:c r="H2865" s="7" t="n">
        <x:v>1497</x:v>
      </x:c>
      <x:c r="I2865" s="7" t="n">
        <x:v>113</x:v>
      </x:c>
      <x:c r="J2865" s="9" t="n">
        <x:v>23.2</x:v>
      </x:c>
      <x:c r="K2865" s="9" t="n">
        <x:v>12.5</x:v>
      </x:c>
      <x:c r="L2865" s="7" t="n">
        <x:v>2024</x:v>
      </x:c>
      <x:c r="M2865" s="11" t="n">
        <x:v>47565</x:v>
      </x:c>
      <x:c r="N2865" s="7" t="n">
        <x:v>1</x:v>
      </x:c>
      <x:c r="O2865" s="7" t="n">
        <x:v>0</x:v>
      </x:c>
      <x:c r="P2865" s="9" t="n">
        <x:v>9.82</x:v>
      </x:c>
      <x:c r="Q2865" s="7" t="n">
        <x:f>'Guide'!$B$5-L2865</x:f>
        <x:v>2</x:v>
      </x:c>
      <x:c r="R2865" s="9" t="n">
        <x:f>K2865-P2865</x:f>
        <x:v>2.6799999999999997</x:v>
      </x:c>
      <x:c r="S2865" s="10" t="n">
        <x:f>IF(K2865&gt;0,R2865/K2865,"")</x:f>
        <x:v>0.21439999999999998</x:v>
      </x:c>
    </x:row>
    <x:row r="2866">
      <x:c r="A2866" s="7" t="n">
        <x:v>2862</x:v>
      </x:c>
      <x:c r="B2866" s="7" t="str">
        <x:v>Tata</x:v>
      </x:c>
      <x:c r="C2866" s="7" t="str">
        <x:v>Nexon</x:v>
      </x:c>
      <x:c r="D2866" s="7" t="str">
        <x:v>Pure Diesel</x:v>
      </x:c>
      <x:c r="E2866" s="7" t="str">
        <x:v>Diesel</x:v>
      </x:c>
      <x:c r="F2866" s="7" t="str">
        <x:v>Manual</x:v>
      </x:c>
      <x:c r="G2866" s="7" t="str">
        <x:v>Compact SUV</x:v>
      </x:c>
      <x:c r="H2866" s="7" t="n">
        <x:v>1497</x:v>
      </x:c>
      <x:c r="I2866" s="7" t="n">
        <x:v>113</x:v>
      </x:c>
      <x:c r="J2866" s="9" t="n">
        <x:v>23.2</x:v>
      </x:c>
      <x:c r="K2866" s="9" t="n">
        <x:v>12.5</x:v>
      </x:c>
      <x:c r="L2866" s="7" t="n">
        <x:v>2024</x:v>
      </x:c>
      <x:c r="M2866" s="11" t="n">
        <x:v>48291</x:v>
      </x:c>
      <x:c r="N2866" s="7" t="n">
        <x:v>1</x:v>
      </x:c>
      <x:c r="O2866" s="7" t="n">
        <x:v>0</x:v>
      </x:c>
      <x:c r="P2866" s="9" t="n">
        <x:v>9.69</x:v>
      </x:c>
      <x:c r="Q2866" s="7" t="n">
        <x:f>'Guide'!$B$5-L2866</x:f>
        <x:v>2</x:v>
      </x:c>
      <x:c r="R2866" s="9" t="n">
        <x:f>K2866-P2866</x:f>
        <x:v>2.8100000000000005</x:v>
      </x:c>
      <x:c r="S2866" s="10" t="n">
        <x:f>IF(K2866&gt;0,R2866/K2866,"")</x:f>
        <x:v>0.22480000000000003</x:v>
      </x:c>
    </x:row>
    <x:row r="2867">
      <x:c r="A2867" s="7" t="n">
        <x:v>2863</x:v>
      </x:c>
      <x:c r="B2867" s="7" t="str">
        <x:v>Tata</x:v>
      </x:c>
      <x:c r="C2867" s="7" t="str">
        <x:v>Nexon</x:v>
      </x:c>
      <x:c r="D2867" s="7" t="str">
        <x:v>Pure Diesel</x:v>
      </x:c>
      <x:c r="E2867" s="7" t="str">
        <x:v>Diesel</x:v>
      </x:c>
      <x:c r="F2867" s="7" t="str">
        <x:v>Manual</x:v>
      </x:c>
      <x:c r="G2867" s="7" t="str">
        <x:v>Compact SUV</x:v>
      </x:c>
      <x:c r="H2867" s="7" t="n">
        <x:v>1497</x:v>
      </x:c>
      <x:c r="I2867" s="7" t="n">
        <x:v>113</x:v>
      </x:c>
      <x:c r="J2867" s="9" t="n">
        <x:v>23.2</x:v>
      </x:c>
      <x:c r="K2867" s="9" t="n">
        <x:v>12.5</x:v>
      </x:c>
      <x:c r="L2867" s="7" t="n">
        <x:v>2020</x:v>
      </x:c>
      <x:c r="M2867" s="11" t="n">
        <x:v>57509</x:v>
      </x:c>
      <x:c r="N2867" s="7" t="n">
        <x:v>1</x:v>
      </x:c>
      <x:c r="O2867" s="7" t="n">
        <x:v>0</x:v>
      </x:c>
      <x:c r="P2867" s="9" t="n">
        <x:v>5.74</x:v>
      </x:c>
      <x:c r="Q2867" s="7" t="n">
        <x:f>'Guide'!$B$5-L2867</x:f>
        <x:v>6</x:v>
      </x:c>
      <x:c r="R2867" s="9" t="n">
        <x:f>K2867-P2867</x:f>
        <x:v>6.76</x:v>
      </x:c>
      <x:c r="S2867" s="10" t="n">
        <x:f>IF(K2867&gt;0,R2867/K2867,"")</x:f>
        <x:v>0.5408</x:v>
      </x:c>
    </x:row>
    <x:row r="2868">
      <x:c r="A2868" s="7" t="n">
        <x:v>2864</x:v>
      </x:c>
      <x:c r="B2868" s="7" t="str">
        <x:v>Tata</x:v>
      </x:c>
      <x:c r="C2868" s="7" t="str">
        <x:v>Nexon</x:v>
      </x:c>
      <x:c r="D2868" s="7" t="str">
        <x:v>Pure Diesel</x:v>
      </x:c>
      <x:c r="E2868" s="7" t="str">
        <x:v>Diesel</x:v>
      </x:c>
      <x:c r="F2868" s="7" t="str">
        <x:v>Manual</x:v>
      </x:c>
      <x:c r="G2868" s="7" t="str">
        <x:v>Compact SUV</x:v>
      </x:c>
      <x:c r="H2868" s="7" t="n">
        <x:v>1497</x:v>
      </x:c>
      <x:c r="I2868" s="7" t="n">
        <x:v>113</x:v>
      </x:c>
      <x:c r="J2868" s="9" t="n">
        <x:v>23.2</x:v>
      </x:c>
      <x:c r="K2868" s="9" t="n">
        <x:v>12.5</x:v>
      </x:c>
      <x:c r="L2868" s="7" t="n">
        <x:v>2025</x:v>
      </x:c>
      <x:c r="M2868" s="11" t="n">
        <x:v>27174</x:v>
      </x:c>
      <x:c r="N2868" s="7" t="n">
        <x:v>2</x:v>
      </x:c>
      <x:c r="O2868" s="7" t="n">
        <x:v>1</x:v>
      </x:c>
      <x:c r="P2868" s="9" t="n">
        <x:v>9.57</x:v>
      </x:c>
      <x:c r="Q2868" s="7" t="n">
        <x:f>'Guide'!$B$5-L2868</x:f>
        <x:v>1</x:v>
      </x:c>
      <x:c r="R2868" s="9" t="n">
        <x:f>K2868-P2868</x:f>
        <x:v>2.9299999999999997</x:v>
      </x:c>
      <x:c r="S2868" s="10" t="n">
        <x:f>IF(K2868&gt;0,R2868/K2868,"")</x:f>
        <x:v>0.23439999999999997</x:v>
      </x:c>
    </x:row>
    <x:row r="2869">
      <x:c r="A2869" s="7" t="n">
        <x:v>2865</x:v>
      </x:c>
      <x:c r="B2869" s="7" t="str">
        <x:v>Tata</x:v>
      </x:c>
      <x:c r="C2869" s="7" t="str">
        <x:v>Nexon</x:v>
      </x:c>
      <x:c r="D2869" s="7" t="str">
        <x:v>Pure Diesel</x:v>
      </x:c>
      <x:c r="E2869" s="7" t="str">
        <x:v>Diesel</x:v>
      </x:c>
      <x:c r="F2869" s="7" t="str">
        <x:v>Manual</x:v>
      </x:c>
      <x:c r="G2869" s="7" t="str">
        <x:v>Compact SUV</x:v>
      </x:c>
      <x:c r="H2869" s="7" t="n">
        <x:v>1497</x:v>
      </x:c>
      <x:c r="I2869" s="7" t="n">
        <x:v>113</x:v>
      </x:c>
      <x:c r="J2869" s="9" t="n">
        <x:v>23.2</x:v>
      </x:c>
      <x:c r="K2869" s="9" t="n">
        <x:v>12.5</x:v>
      </x:c>
      <x:c r="L2869" s="7" t="n">
        <x:v>2026</x:v>
      </x:c>
      <x:c r="M2869" s="11" t="n">
        <x:v>4295</x:v>
      </x:c>
      <x:c r="N2869" s="7" t="n">
        <x:v>3</x:v>
      </x:c>
      <x:c r="O2869" s="7" t="n">
        <x:v>0</x:v>
      </x:c>
      <x:c r="P2869" s="9" t="n">
        <x:v>11.9</x:v>
      </x:c>
      <x:c r="Q2869" s="7" t="n">
        <x:f>'Guide'!$B$5-L2869</x:f>
        <x:v>0</x:v>
      </x:c>
      <x:c r="R2869" s="9" t="n">
        <x:f>K2869-P2869</x:f>
        <x:v>0.5999999999999996</x:v>
      </x:c>
      <x:c r="S2869" s="10" t="n">
        <x:f>IF(K2869&gt;0,R2869/K2869,"")</x:f>
        <x:v>0.04799999999999997</x:v>
      </x:c>
    </x:row>
    <x:row r="2870">
      <x:c r="A2870" s="7" t="n">
        <x:v>2866</x:v>
      </x:c>
      <x:c r="B2870" s="7" t="str">
        <x:v>Tata</x:v>
      </x:c>
      <x:c r="C2870" s="7" t="str">
        <x:v>Nexon</x:v>
      </x:c>
      <x:c r="D2870" s="7" t="str">
        <x:v>Pure Diesel</x:v>
      </x:c>
      <x:c r="E2870" s="7" t="str">
        <x:v>Diesel</x:v>
      </x:c>
      <x:c r="F2870" s="7" t="str">
        <x:v>Manual</x:v>
      </x:c>
      <x:c r="G2870" s="7" t="str">
        <x:v>Compact SUV</x:v>
      </x:c>
      <x:c r="H2870" s="7" t="n">
        <x:v>1497</x:v>
      </x:c>
      <x:c r="I2870" s="7" t="n">
        <x:v>113</x:v>
      </x:c>
      <x:c r="J2870" s="9" t="n">
        <x:v>23.2</x:v>
      </x:c>
      <x:c r="K2870" s="9" t="n">
        <x:v>12.5</x:v>
      </x:c>
      <x:c r="L2870" s="7" t="n">
        <x:v>2022</x:v>
      </x:c>
      <x:c r="M2870" s="11" t="n">
        <x:v>40885</x:v>
      </x:c>
      <x:c r="N2870" s="7" t="n">
        <x:v>1</x:v>
      </x:c>
      <x:c r="O2870" s="7" t="n">
        <x:v>1</x:v>
      </x:c>
      <x:c r="P2870" s="9" t="n">
        <x:v>6.69</x:v>
      </x:c>
      <x:c r="Q2870" s="7" t="n">
        <x:f>'Guide'!$B$5-L2870</x:f>
        <x:v>4</x:v>
      </x:c>
      <x:c r="R2870" s="9" t="n">
        <x:f>K2870-P2870</x:f>
        <x:v>5.81</x:v>
      </x:c>
      <x:c r="S2870" s="10" t="n">
        <x:f>IF(K2870&gt;0,R2870/K2870,"")</x:f>
        <x:v>0.4648</x:v>
      </x:c>
    </x:row>
    <x:row r="2871">
      <x:c r="A2871" s="7" t="n">
        <x:v>2867</x:v>
      </x:c>
      <x:c r="B2871" s="7" t="str">
        <x:v>Tata</x:v>
      </x:c>
      <x:c r="C2871" s="7" t="str">
        <x:v>Nexon</x:v>
      </x:c>
      <x:c r="D2871" s="7" t="str">
        <x:v>Pure Diesel</x:v>
      </x:c>
      <x:c r="E2871" s="7" t="str">
        <x:v>Diesel</x:v>
      </x:c>
      <x:c r="F2871" s="7" t="str">
        <x:v>Manual</x:v>
      </x:c>
      <x:c r="G2871" s="7" t="str">
        <x:v>Compact SUV</x:v>
      </x:c>
      <x:c r="H2871" s="7" t="n">
        <x:v>1497</x:v>
      </x:c>
      <x:c r="I2871" s="7" t="n">
        <x:v>113</x:v>
      </x:c>
      <x:c r="J2871" s="9" t="n">
        <x:v>23.2</x:v>
      </x:c>
      <x:c r="K2871" s="9" t="n">
        <x:v>12.5</x:v>
      </x:c>
      <x:c r="L2871" s="7" t="n">
        <x:v>2020</x:v>
      </x:c>
      <x:c r="M2871" s="11" t="n">
        <x:v>113141</x:v>
      </x:c>
      <x:c r="N2871" s="7" t="n">
        <x:v>1</x:v>
      </x:c>
      <x:c r="O2871" s="7" t="n">
        <x:v>0</x:v>
      </x:c>
      <x:c r="P2871" s="9" t="n">
        <x:v>4.52</x:v>
      </x:c>
      <x:c r="Q2871" s="7" t="n">
        <x:f>'Guide'!$B$5-L2871</x:f>
        <x:v>6</x:v>
      </x:c>
      <x:c r="R2871" s="9" t="n">
        <x:f>K2871-P2871</x:f>
        <x:v>7.98</x:v>
      </x:c>
      <x:c r="S2871" s="10" t="n">
        <x:f>IF(K2871&gt;0,R2871/K2871,"")</x:f>
        <x:v>0.6384000000000001</x:v>
      </x:c>
    </x:row>
    <x:row r="2872">
      <x:c r="A2872" s="7" t="n">
        <x:v>2868</x:v>
      </x:c>
      <x:c r="B2872" s="7" t="str">
        <x:v>Tata</x:v>
      </x:c>
      <x:c r="C2872" s="7" t="str">
        <x:v>Nexon</x:v>
      </x:c>
      <x:c r="D2872" s="7" t="str">
        <x:v>Pure Diesel</x:v>
      </x:c>
      <x:c r="E2872" s="7" t="str">
        <x:v>Diesel</x:v>
      </x:c>
      <x:c r="F2872" s="7" t="str">
        <x:v>Manual</x:v>
      </x:c>
      <x:c r="G2872" s="7" t="str">
        <x:v>Compact SUV</x:v>
      </x:c>
      <x:c r="H2872" s="7" t="n">
        <x:v>1497</x:v>
      </x:c>
      <x:c r="I2872" s="7" t="n">
        <x:v>113</x:v>
      </x:c>
      <x:c r="J2872" s="9" t="n">
        <x:v>23.2</x:v>
      </x:c>
      <x:c r="K2872" s="9" t="n">
        <x:v>12.5</x:v>
      </x:c>
      <x:c r="L2872" s="7" t="n">
        <x:v>2025</x:v>
      </x:c>
      <x:c r="M2872" s="11" t="n">
        <x:v>19437</x:v>
      </x:c>
      <x:c r="N2872" s="7" t="n">
        <x:v>2</x:v>
      </x:c>
      <x:c r="O2872" s="7" t="n">
        <x:v>0</x:v>
      </x:c>
      <x:c r="P2872" s="9" t="n">
        <x:v>10.63</x:v>
      </x:c>
      <x:c r="Q2872" s="7" t="n">
        <x:f>'Guide'!$B$5-L2872</x:f>
        <x:v>1</x:v>
      </x:c>
      <x:c r="R2872" s="9" t="n">
        <x:f>K2872-P2872</x:f>
        <x:v>1.8699999999999992</x:v>
      </x:c>
      <x:c r="S2872" s="10" t="n">
        <x:f>IF(K2872&gt;0,R2872/K2872,"")</x:f>
        <x:v>0.14959999999999993</x:v>
      </x:c>
    </x:row>
    <x:row r="2873">
      <x:c r="A2873" s="7" t="n">
        <x:v>2869</x:v>
      </x:c>
      <x:c r="B2873" s="7" t="str">
        <x:v>Tata</x:v>
      </x:c>
      <x:c r="C2873" s="7" t="str">
        <x:v>Nexon</x:v>
      </x:c>
      <x:c r="D2873" s="7" t="str">
        <x:v>Pure Diesel</x:v>
      </x:c>
      <x:c r="E2873" s="7" t="str">
        <x:v>Diesel</x:v>
      </x:c>
      <x:c r="F2873" s="7" t="str">
        <x:v>Manual</x:v>
      </x:c>
      <x:c r="G2873" s="7" t="str">
        <x:v>Compact SUV</x:v>
      </x:c>
      <x:c r="H2873" s="7" t="n">
        <x:v>1497</x:v>
      </x:c>
      <x:c r="I2873" s="7" t="n">
        <x:v>113</x:v>
      </x:c>
      <x:c r="J2873" s="9" t="n">
        <x:v>23.2</x:v>
      </x:c>
      <x:c r="K2873" s="9" t="n">
        <x:v>12.5</x:v>
      </x:c>
      <x:c r="L2873" s="7" t="n">
        <x:v>2023</x:v>
      </x:c>
      <x:c r="M2873" s="11" t="n">
        <x:v>47858</x:v>
      </x:c>
      <x:c r="N2873" s="7" t="n">
        <x:v>1</x:v>
      </x:c>
      <x:c r="O2873" s="7" t="n">
        <x:v>0</x:v>
      </x:c>
      <x:c r="P2873" s="9" t="n">
        <x:v>9.06</x:v>
      </x:c>
      <x:c r="Q2873" s="7" t="n">
        <x:f>'Guide'!$B$5-L2873</x:f>
        <x:v>3</x:v>
      </x:c>
      <x:c r="R2873" s="9" t="n">
        <x:f>K2873-P2873</x:f>
        <x:v>3.4399999999999995</x:v>
      </x:c>
      <x:c r="S2873" s="10" t="n">
        <x:f>IF(K2873&gt;0,R2873/K2873,"")</x:f>
        <x:v>0.27519999999999994</x:v>
      </x:c>
    </x:row>
    <x:row r="2874">
      <x:c r="A2874" s="7" t="n">
        <x:v>2870</x:v>
      </x:c>
      <x:c r="B2874" s="7" t="str">
        <x:v>Tata</x:v>
      </x:c>
      <x:c r="C2874" s="7" t="str">
        <x:v>Nexon</x:v>
      </x:c>
      <x:c r="D2874" s="7" t="str">
        <x:v>Pure Diesel</x:v>
      </x:c>
      <x:c r="E2874" s="7" t="str">
        <x:v>Diesel</x:v>
      </x:c>
      <x:c r="F2874" s="7" t="str">
        <x:v>Manual</x:v>
      </x:c>
      <x:c r="G2874" s="7" t="str">
        <x:v>Compact SUV</x:v>
      </x:c>
      <x:c r="H2874" s="7" t="n">
        <x:v>1497</x:v>
      </x:c>
      <x:c r="I2874" s="7" t="n">
        <x:v>113</x:v>
      </x:c>
      <x:c r="J2874" s="9" t="n">
        <x:v>23.2</x:v>
      </x:c>
      <x:c r="K2874" s="9" t="n">
        <x:v>12.5</x:v>
      </x:c>
      <x:c r="L2874" s="7" t="n">
        <x:v>2023</x:v>
      </x:c>
      <x:c r="M2874" s="11" t="n">
        <x:v>53235</x:v>
      </x:c>
      <x:c r="N2874" s="7" t="n">
        <x:v>1</x:v>
      </x:c>
      <x:c r="O2874" s="7" t="n">
        <x:v>0</x:v>
      </x:c>
      <x:c r="P2874" s="9" t="n">
        <x:v>8.37</x:v>
      </x:c>
      <x:c r="Q2874" s="7" t="n">
        <x:f>'Guide'!$B$5-L2874</x:f>
        <x:v>3</x:v>
      </x:c>
      <x:c r="R2874" s="9" t="n">
        <x:f>K2874-P2874</x:f>
        <x:v>4.130000000000001</x:v>
      </x:c>
      <x:c r="S2874" s="10" t="n">
        <x:f>IF(K2874&gt;0,R2874/K2874,"")</x:f>
        <x:v>0.3304000000000001</x:v>
      </x:c>
    </x:row>
    <x:row r="2875">
      <x:c r="A2875" s="7" t="n">
        <x:v>2871</x:v>
      </x:c>
      <x:c r="B2875" s="7" t="str">
        <x:v>Tata</x:v>
      </x:c>
      <x:c r="C2875" s="7" t="str">
        <x:v>Nexon</x:v>
      </x:c>
      <x:c r="D2875" s="7" t="str">
        <x:v>Pure Diesel</x:v>
      </x:c>
      <x:c r="E2875" s="7" t="str">
        <x:v>Diesel</x:v>
      </x:c>
      <x:c r="F2875" s="7" t="str">
        <x:v>Manual</x:v>
      </x:c>
      <x:c r="G2875" s="7" t="str">
        <x:v>Compact SUV</x:v>
      </x:c>
      <x:c r="H2875" s="7" t="n">
        <x:v>1497</x:v>
      </x:c>
      <x:c r="I2875" s="7" t="n">
        <x:v>113</x:v>
      </x:c>
      <x:c r="J2875" s="9" t="n">
        <x:v>23.2</x:v>
      </x:c>
      <x:c r="K2875" s="9" t="n">
        <x:v>12.5</x:v>
      </x:c>
      <x:c r="L2875" s="7" t="n">
        <x:v>2026</x:v>
      </x:c>
      <x:c r="M2875" s="11" t="n">
        <x:v>8960</x:v>
      </x:c>
      <x:c r="N2875" s="7" t="n">
        <x:v>1</x:v>
      </x:c>
      <x:c r="O2875" s="7" t="n">
        <x:v>1</x:v>
      </x:c>
      <x:c r="P2875" s="9" t="n">
        <x:v>11.5</x:v>
      </x:c>
      <x:c r="Q2875" s="7" t="n">
        <x:f>'Guide'!$B$5-L2875</x:f>
        <x:v>0</x:v>
      </x:c>
      <x:c r="R2875" s="9" t="n">
        <x:f>K2875-P2875</x:f>
        <x:v>1</x:v>
      </x:c>
      <x:c r="S2875" s="10" t="n">
        <x:f>IF(K2875&gt;0,R2875/K2875,"")</x:f>
        <x:v>0.08</x:v>
      </x:c>
    </x:row>
    <x:row r="2876">
      <x:c r="A2876" s="7" t="n">
        <x:v>2872</x:v>
      </x:c>
      <x:c r="B2876" s="7" t="str">
        <x:v>Tata</x:v>
      </x:c>
      <x:c r="C2876" s="7" t="str">
        <x:v>Nexon</x:v>
      </x:c>
      <x:c r="D2876" s="7" t="str">
        <x:v>Pure Diesel</x:v>
      </x:c>
      <x:c r="E2876" s="7" t="str">
        <x:v>Diesel</x:v>
      </x:c>
      <x:c r="F2876" s="7" t="str">
        <x:v>Manual</x:v>
      </x:c>
      <x:c r="G2876" s="7" t="str">
        <x:v>Compact SUV</x:v>
      </x:c>
      <x:c r="H2876" s="7" t="n">
        <x:v>1497</x:v>
      </x:c>
      <x:c r="I2876" s="7" t="n">
        <x:v>113</x:v>
      </x:c>
      <x:c r="J2876" s="9" t="n">
        <x:v>23.2</x:v>
      </x:c>
      <x:c r="K2876" s="9" t="n">
        <x:v>12.5</x:v>
      </x:c>
      <x:c r="L2876" s="7" t="n">
        <x:v>2026</x:v>
      </x:c>
      <x:c r="M2876" s="11" t="n">
        <x:v>7682</x:v>
      </x:c>
      <x:c r="N2876" s="7" t="n">
        <x:v>1</x:v>
      </x:c>
      <x:c r="O2876" s="7" t="n">
        <x:v>0</x:v>
      </x:c>
      <x:c r="P2876" s="9" t="n">
        <x:v>12.18</x:v>
      </x:c>
      <x:c r="Q2876" s="7" t="n">
        <x:f>'Guide'!$B$5-L2876</x:f>
        <x:v>0</x:v>
      </x:c>
      <x:c r="R2876" s="9" t="n">
        <x:f>K2876-P2876</x:f>
        <x:v>0.3200000000000003</x:v>
      </x:c>
      <x:c r="S2876" s="10" t="n">
        <x:f>IF(K2876&gt;0,R2876/K2876,"")</x:f>
        <x:v>0.025600000000000022</x:v>
      </x:c>
    </x:row>
    <x:row r="2877">
      <x:c r="A2877" s="7" t="n">
        <x:v>2873</x:v>
      </x:c>
      <x:c r="B2877" s="7" t="str">
        <x:v>Tata</x:v>
      </x:c>
      <x:c r="C2877" s="7" t="str">
        <x:v>Nexon</x:v>
      </x:c>
      <x:c r="D2877" s="7" t="str">
        <x:v>Pure Diesel</x:v>
      </x:c>
      <x:c r="E2877" s="7" t="str">
        <x:v>Diesel</x:v>
      </x:c>
      <x:c r="F2877" s="7" t="str">
        <x:v>Manual</x:v>
      </x:c>
      <x:c r="G2877" s="7" t="str">
        <x:v>Compact SUV</x:v>
      </x:c>
      <x:c r="H2877" s="7" t="n">
        <x:v>1497</x:v>
      </x:c>
      <x:c r="I2877" s="7" t="n">
        <x:v>113</x:v>
      </x:c>
      <x:c r="J2877" s="9" t="n">
        <x:v>23.2</x:v>
      </x:c>
      <x:c r="K2877" s="9" t="n">
        <x:v>12.5</x:v>
      </x:c>
      <x:c r="L2877" s="7" t="n">
        <x:v>2021</x:v>
      </x:c>
      <x:c r="M2877" s="11" t="n">
        <x:v>84394</x:v>
      </x:c>
      <x:c r="N2877" s="7" t="n">
        <x:v>1</x:v>
      </x:c>
      <x:c r="O2877" s="7" t="n">
        <x:v>0</x:v>
      </x:c>
      <x:c r="P2877" s="9" t="n">
        <x:v>6.59</x:v>
      </x:c>
      <x:c r="Q2877" s="7" t="n">
        <x:f>'Guide'!$B$5-L2877</x:f>
        <x:v>5</x:v>
      </x:c>
      <x:c r="R2877" s="9" t="n">
        <x:f>K2877-P2877</x:f>
        <x:v>5.91</x:v>
      </x:c>
      <x:c r="S2877" s="10" t="n">
        <x:f>IF(K2877&gt;0,R2877/K2877,"")</x:f>
        <x:v>0.4728</x:v>
      </x:c>
    </x:row>
    <x:row r="2878">
      <x:c r="A2878" s="7" t="n">
        <x:v>2874</x:v>
      </x:c>
      <x:c r="B2878" s="7" t="str">
        <x:v>Tata</x:v>
      </x:c>
      <x:c r="C2878" s="7" t="str">
        <x:v>Nexon</x:v>
      </x:c>
      <x:c r="D2878" s="7" t="str">
        <x:v>Pure Diesel</x:v>
      </x:c>
      <x:c r="E2878" s="7" t="str">
        <x:v>Diesel</x:v>
      </x:c>
      <x:c r="F2878" s="7" t="str">
        <x:v>Manual</x:v>
      </x:c>
      <x:c r="G2878" s="7" t="str">
        <x:v>Compact SUV</x:v>
      </x:c>
      <x:c r="H2878" s="7" t="n">
        <x:v>1497</x:v>
      </x:c>
      <x:c r="I2878" s="7" t="n">
        <x:v>113</x:v>
      </x:c>
      <x:c r="J2878" s="9" t="n">
        <x:v>23.2</x:v>
      </x:c>
      <x:c r="K2878" s="9" t="n">
        <x:v>12.5</x:v>
      </x:c>
      <x:c r="L2878" s="7" t="n">
        <x:v>2022</x:v>
      </x:c>
      <x:c r="M2878" s="11" t="n">
        <x:v>40926</x:v>
      </x:c>
      <x:c r="N2878" s="7" t="n">
        <x:v>1</x:v>
      </x:c>
      <x:c r="O2878" s="7" t="n">
        <x:v>0</x:v>
      </x:c>
      <x:c r="P2878" s="9" t="n">
        <x:v>7.97</x:v>
      </x:c>
      <x:c r="Q2878" s="7" t="n">
        <x:f>'Guide'!$B$5-L2878</x:f>
        <x:v>4</x:v>
      </x:c>
      <x:c r="R2878" s="9" t="n">
        <x:f>K2878-P2878</x:f>
        <x:v>4.53</x:v>
      </x:c>
      <x:c r="S2878" s="10" t="n">
        <x:f>IF(K2878&gt;0,R2878/K2878,"")</x:f>
        <x:v>0.3624</x:v>
      </x:c>
    </x:row>
    <x:row r="2879">
      <x:c r="A2879" s="7" t="n">
        <x:v>2875</x:v>
      </x:c>
      <x:c r="B2879" s="7" t="str">
        <x:v>Tata</x:v>
      </x:c>
      <x:c r="C2879" s="7" t="str">
        <x:v>Nexon</x:v>
      </x:c>
      <x:c r="D2879" s="7" t="str">
        <x:v>Pure Diesel</x:v>
      </x:c>
      <x:c r="E2879" s="7" t="str">
        <x:v>Diesel</x:v>
      </x:c>
      <x:c r="F2879" s="7" t="str">
        <x:v>Manual</x:v>
      </x:c>
      <x:c r="G2879" s="7" t="str">
        <x:v>Compact SUV</x:v>
      </x:c>
      <x:c r="H2879" s="7" t="n">
        <x:v>1497</x:v>
      </x:c>
      <x:c r="I2879" s="7" t="n">
        <x:v>113</x:v>
      </x:c>
      <x:c r="J2879" s="9" t="n">
        <x:v>23.2</x:v>
      </x:c>
      <x:c r="K2879" s="9" t="n">
        <x:v>12.5</x:v>
      </x:c>
      <x:c r="L2879" s="7" t="n">
        <x:v>2022</x:v>
      </x:c>
      <x:c r="M2879" s="11" t="n">
        <x:v>61072</x:v>
      </x:c>
      <x:c r="N2879" s="7" t="n">
        <x:v>2</x:v>
      </x:c>
      <x:c r="O2879" s="7" t="n">
        <x:v>1</x:v>
      </x:c>
      <x:c r="P2879" s="9" t="n">
        <x:v>6.04</x:v>
      </x:c>
      <x:c r="Q2879" s="7" t="n">
        <x:f>'Guide'!$B$5-L2879</x:f>
        <x:v>4</x:v>
      </x:c>
      <x:c r="R2879" s="9" t="n">
        <x:f>K2879-P2879</x:f>
        <x:v>6.46</x:v>
      </x:c>
      <x:c r="S2879" s="10" t="n">
        <x:f>IF(K2879&gt;0,R2879/K2879,"")</x:f>
        <x:v>0.5168</x:v>
      </x:c>
    </x:row>
    <x:row r="2880">
      <x:c r="A2880" s="7" t="n">
        <x:v>2876</x:v>
      </x:c>
      <x:c r="B2880" s="7" t="str">
        <x:v>Tata</x:v>
      </x:c>
      <x:c r="C2880" s="7" t="str">
        <x:v>Nexon</x:v>
      </x:c>
      <x:c r="D2880" s="7" t="str">
        <x:v>Pure Diesel</x:v>
      </x:c>
      <x:c r="E2880" s="7" t="str">
        <x:v>Diesel</x:v>
      </x:c>
      <x:c r="F2880" s="7" t="str">
        <x:v>Manual</x:v>
      </x:c>
      <x:c r="G2880" s="7" t="str">
        <x:v>Compact SUV</x:v>
      </x:c>
      <x:c r="H2880" s="7" t="n">
        <x:v>1497</x:v>
      </x:c>
      <x:c r="I2880" s="7" t="n">
        <x:v>113</x:v>
      </x:c>
      <x:c r="J2880" s="9" t="n">
        <x:v>23.2</x:v>
      </x:c>
      <x:c r="K2880" s="9" t="n">
        <x:v>12.5</x:v>
      </x:c>
      <x:c r="L2880" s="7" t="n">
        <x:v>2022</x:v>
      </x:c>
      <x:c r="M2880" s="11" t="n">
        <x:v>39657</x:v>
      </x:c>
      <x:c r="N2880" s="7" t="n">
        <x:v>1</x:v>
      </x:c>
      <x:c r="O2880" s="7" t="n">
        <x:v>0</x:v>
      </x:c>
      <x:c r="P2880" s="9" t="n">
        <x:v>7.93</x:v>
      </x:c>
      <x:c r="Q2880" s="7" t="n">
        <x:f>'Guide'!$B$5-L2880</x:f>
        <x:v>4</x:v>
      </x:c>
      <x:c r="R2880" s="9" t="n">
        <x:f>K2880-P2880</x:f>
        <x:v>4.57</x:v>
      </x:c>
      <x:c r="S2880" s="10" t="n">
        <x:f>IF(K2880&gt;0,R2880/K2880,"")</x:f>
        <x:v>0.36560000000000004</x:v>
      </x:c>
    </x:row>
    <x:row r="2881">
      <x:c r="A2881" s="7" t="n">
        <x:v>2877</x:v>
      </x:c>
      <x:c r="B2881" s="7" t="str">
        <x:v>Tata</x:v>
      </x:c>
      <x:c r="C2881" s="7" t="str">
        <x:v>Nexon</x:v>
      </x:c>
      <x:c r="D2881" s="7" t="str">
        <x:v>Pure Diesel</x:v>
      </x:c>
      <x:c r="E2881" s="7" t="str">
        <x:v>Diesel</x:v>
      </x:c>
      <x:c r="F2881" s="7" t="str">
        <x:v>Manual</x:v>
      </x:c>
      <x:c r="G2881" s="7" t="str">
        <x:v>Compact SUV</x:v>
      </x:c>
      <x:c r="H2881" s="7" t="n">
        <x:v>1497</x:v>
      </x:c>
      <x:c r="I2881" s="7" t="n">
        <x:v>113</x:v>
      </x:c>
      <x:c r="J2881" s="9" t="n">
        <x:v>23.2</x:v>
      </x:c>
      <x:c r="K2881" s="9" t="n">
        <x:v>12.5</x:v>
      </x:c>
      <x:c r="L2881" s="7" t="n">
        <x:v>2023</x:v>
      </x:c>
      <x:c r="M2881" s="11" t="n">
        <x:v>48481</x:v>
      </x:c>
      <x:c r="N2881" s="7" t="n">
        <x:v>1</x:v>
      </x:c>
      <x:c r="O2881" s="7" t="n">
        <x:v>0</x:v>
      </x:c>
      <x:c r="P2881" s="9" t="n">
        <x:v>8.52</x:v>
      </x:c>
      <x:c r="Q2881" s="7" t="n">
        <x:f>'Guide'!$B$5-L2881</x:f>
        <x:v>3</x:v>
      </x:c>
      <x:c r="R2881" s="9" t="n">
        <x:f>K2881-P2881</x:f>
        <x:v>3.9800000000000004</x:v>
      </x:c>
      <x:c r="S2881" s="10" t="n">
        <x:f>IF(K2881&gt;0,R2881/K2881,"")</x:f>
        <x:v>0.3184</x:v>
      </x:c>
    </x:row>
    <x:row r="2882">
      <x:c r="A2882" s="7" t="n">
        <x:v>2878</x:v>
      </x:c>
      <x:c r="B2882" s="7" t="str">
        <x:v>Tata</x:v>
      </x:c>
      <x:c r="C2882" s="7" t="str">
        <x:v>Nexon</x:v>
      </x:c>
      <x:c r="D2882" s="7" t="str">
        <x:v>Pure Diesel</x:v>
      </x:c>
      <x:c r="E2882" s="7" t="str">
        <x:v>Diesel</x:v>
      </x:c>
      <x:c r="F2882" s="7" t="str">
        <x:v>Manual</x:v>
      </x:c>
      <x:c r="G2882" s="7" t="str">
        <x:v>Compact SUV</x:v>
      </x:c>
      <x:c r="H2882" s="7" t="n">
        <x:v>1497</x:v>
      </x:c>
      <x:c r="I2882" s="7" t="n">
        <x:v>113</x:v>
      </x:c>
      <x:c r="J2882" s="9" t="n">
        <x:v>23.2</x:v>
      </x:c>
      <x:c r="K2882" s="9" t="n">
        <x:v>12.5</x:v>
      </x:c>
      <x:c r="L2882" s="7" t="n">
        <x:v>2021</x:v>
      </x:c>
      <x:c r="M2882" s="11" t="n">
        <x:v>86731</x:v>
      </x:c>
      <x:c r="N2882" s="7" t="n">
        <x:v>2</x:v>
      </x:c>
      <x:c r="O2882" s="7" t="n">
        <x:v>0</x:v>
      </x:c>
      <x:c r="P2882" s="9" t="n">
        <x:v>5.94</x:v>
      </x:c>
      <x:c r="Q2882" s="7" t="n">
        <x:f>'Guide'!$B$5-L2882</x:f>
        <x:v>5</x:v>
      </x:c>
      <x:c r="R2882" s="9" t="n">
        <x:f>K2882-P2882</x:f>
        <x:v>6.56</x:v>
      </x:c>
      <x:c r="S2882" s="10" t="n">
        <x:f>IF(K2882&gt;0,R2882/K2882,"")</x:f>
        <x:v>0.5247999999999999</x:v>
      </x:c>
    </x:row>
    <x:row r="2883">
      <x:c r="A2883" s="7" t="n">
        <x:v>2879</x:v>
      </x:c>
      <x:c r="B2883" s="7" t="str">
        <x:v>Tata</x:v>
      </x:c>
      <x:c r="C2883" s="7" t="str">
        <x:v>Nexon</x:v>
      </x:c>
      <x:c r="D2883" s="7" t="str">
        <x:v>Pure Diesel</x:v>
      </x:c>
      <x:c r="E2883" s="7" t="str">
        <x:v>Diesel</x:v>
      </x:c>
      <x:c r="F2883" s="7" t="str">
        <x:v>Manual</x:v>
      </x:c>
      <x:c r="G2883" s="7" t="str">
        <x:v>Compact SUV</x:v>
      </x:c>
      <x:c r="H2883" s="7" t="n">
        <x:v>1497</x:v>
      </x:c>
      <x:c r="I2883" s="7" t="n">
        <x:v>113</x:v>
      </x:c>
      <x:c r="J2883" s="9" t="n">
        <x:v>23.2</x:v>
      </x:c>
      <x:c r="K2883" s="9" t="n">
        <x:v>12.5</x:v>
      </x:c>
      <x:c r="L2883" s="7" t="n">
        <x:v>2021</x:v>
      </x:c>
      <x:c r="M2883" s="11" t="n">
        <x:v>108284</x:v>
      </x:c>
      <x:c r="N2883" s="7" t="n">
        <x:v>2</x:v>
      </x:c>
      <x:c r="O2883" s="7" t="n">
        <x:v>0</x:v>
      </x:c>
      <x:c r="P2883" s="9" t="n">
        <x:v>5.13</x:v>
      </x:c>
      <x:c r="Q2883" s="7" t="n">
        <x:f>'Guide'!$B$5-L2883</x:f>
        <x:v>5</x:v>
      </x:c>
      <x:c r="R2883" s="9" t="n">
        <x:f>K2883-P2883</x:f>
        <x:v>7.37</x:v>
      </x:c>
      <x:c r="S2883" s="10" t="n">
        <x:f>IF(K2883&gt;0,R2883/K2883,"")</x:f>
        <x:v>0.5896</x:v>
      </x:c>
    </x:row>
    <x:row r="2884">
      <x:c r="A2884" s="7" t="n">
        <x:v>2880</x:v>
      </x:c>
      <x:c r="B2884" s="7" t="str">
        <x:v>Tata</x:v>
      </x:c>
      <x:c r="C2884" s="7" t="str">
        <x:v>Nexon</x:v>
      </x:c>
      <x:c r="D2884" s="7" t="str">
        <x:v>Pure Diesel</x:v>
      </x:c>
      <x:c r="E2884" s="7" t="str">
        <x:v>Diesel</x:v>
      </x:c>
      <x:c r="F2884" s="7" t="str">
        <x:v>Manual</x:v>
      </x:c>
      <x:c r="G2884" s="7" t="str">
        <x:v>Compact SUV</x:v>
      </x:c>
      <x:c r="H2884" s="7" t="n">
        <x:v>1497</x:v>
      </x:c>
      <x:c r="I2884" s="7" t="n">
        <x:v>113</x:v>
      </x:c>
      <x:c r="J2884" s="9" t="n">
        <x:v>23.2</x:v>
      </x:c>
      <x:c r="K2884" s="9" t="n">
        <x:v>12.5</x:v>
      </x:c>
      <x:c r="L2884" s="7" t="n">
        <x:v>2025</x:v>
      </x:c>
      <x:c r="M2884" s="11" t="n">
        <x:v>14711</x:v>
      </x:c>
      <x:c r="N2884" s="7" t="n">
        <x:v>1</x:v>
      </x:c>
      <x:c r="O2884" s="7" t="n">
        <x:v>0</x:v>
      </x:c>
      <x:c r="P2884" s="9" t="n">
        <x:v>10.96</x:v>
      </x:c>
      <x:c r="Q2884" s="7" t="n">
        <x:f>'Guide'!$B$5-L2884</x:f>
        <x:v>1</x:v>
      </x:c>
      <x:c r="R2884" s="9" t="n">
        <x:f>K2884-P2884</x:f>
        <x:v>1.5399999999999991</x:v>
      </x:c>
      <x:c r="S2884" s="10" t="n">
        <x:f>IF(K2884&gt;0,R2884/K2884,"")</x:f>
        <x:v>0.12319999999999993</x:v>
      </x:c>
    </x:row>
    <x:row r="2885">
      <x:c r="A2885" s="7" t="n">
        <x:v>2881</x:v>
      </x:c>
      <x:c r="B2885" s="7" t="str">
        <x:v>Tata</x:v>
      </x:c>
      <x:c r="C2885" s="7" t="str">
        <x:v>Nexon</x:v>
      </x:c>
      <x:c r="D2885" s="7" t="str">
        <x:v>Pure Diesel</x:v>
      </x:c>
      <x:c r="E2885" s="7" t="str">
        <x:v>Diesel</x:v>
      </x:c>
      <x:c r="F2885" s="7" t="str">
        <x:v>Manual</x:v>
      </x:c>
      <x:c r="G2885" s="7" t="str">
        <x:v>Compact SUV</x:v>
      </x:c>
      <x:c r="H2885" s="7" t="n">
        <x:v>1497</x:v>
      </x:c>
      <x:c r="I2885" s="7" t="n">
        <x:v>113</x:v>
      </x:c>
      <x:c r="J2885" s="9" t="n">
        <x:v>23.2</x:v>
      </x:c>
      <x:c r="K2885" s="9" t="n">
        <x:v>12.5</x:v>
      </x:c>
      <x:c r="L2885" s="7" t="n">
        <x:v>2025</x:v>
      </x:c>
      <x:c r="M2885" s="11" t="n">
        <x:v>18891</x:v>
      </x:c>
      <x:c r="N2885" s="7" t="n">
        <x:v>1</x:v>
      </x:c>
      <x:c r="O2885" s="7" t="n">
        <x:v>0</x:v>
      </x:c>
      <x:c r="P2885" s="9" t="n">
        <x:v>11.23</x:v>
      </x:c>
      <x:c r="Q2885" s="7" t="n">
        <x:f>'Guide'!$B$5-L2885</x:f>
        <x:v>1</x:v>
      </x:c>
      <x:c r="R2885" s="9" t="n">
        <x:f>K2885-P2885</x:f>
        <x:v>1.2699999999999996</x:v>
      </x:c>
      <x:c r="S2885" s="10" t="n">
        <x:f>IF(K2885&gt;0,R2885/K2885,"")</x:f>
        <x:v>0.10159999999999997</x:v>
      </x:c>
    </x:row>
    <x:row r="2886">
      <x:c r="A2886" s="7" t="n">
        <x:v>2882</x:v>
      </x:c>
      <x:c r="B2886" s="7" t="str">
        <x:v>Tata</x:v>
      </x:c>
      <x:c r="C2886" s="7" t="str">
        <x:v>Nexon</x:v>
      </x:c>
      <x:c r="D2886" s="7" t="str">
        <x:v>Pure Diesel</x:v>
      </x:c>
      <x:c r="E2886" s="7" t="str">
        <x:v>Diesel</x:v>
      </x:c>
      <x:c r="F2886" s="7" t="str">
        <x:v>Manual</x:v>
      </x:c>
      <x:c r="G2886" s="7" t="str">
        <x:v>Compact SUV</x:v>
      </x:c>
      <x:c r="H2886" s="7" t="n">
        <x:v>1497</x:v>
      </x:c>
      <x:c r="I2886" s="7" t="n">
        <x:v>113</x:v>
      </x:c>
      <x:c r="J2886" s="9" t="n">
        <x:v>23.2</x:v>
      </x:c>
      <x:c r="K2886" s="9" t="n">
        <x:v>12.5</x:v>
      </x:c>
      <x:c r="L2886" s="7" t="n">
        <x:v>2025</x:v>
      </x:c>
      <x:c r="M2886" s="11" t="n">
        <x:v>22276</x:v>
      </x:c>
      <x:c r="N2886" s="7" t="n">
        <x:v>1</x:v>
      </x:c>
      <x:c r="O2886" s="7" t="n">
        <x:v>0</x:v>
      </x:c>
      <x:c r="P2886" s="9" t="n">
        <x:v>11.19</x:v>
      </x:c>
      <x:c r="Q2886" s="7" t="n">
        <x:f>'Guide'!$B$5-L2886</x:f>
        <x:v>1</x:v>
      </x:c>
      <x:c r="R2886" s="9" t="n">
        <x:f>K2886-P2886</x:f>
        <x:v>1.3100000000000005</x:v>
      </x:c>
      <x:c r="S2886" s="10" t="n">
        <x:f>IF(K2886&gt;0,R2886/K2886,"")</x:f>
        <x:v>0.10480000000000005</x:v>
      </x:c>
    </x:row>
    <x:row r="2887">
      <x:c r="A2887" s="7" t="n">
        <x:v>2883</x:v>
      </x:c>
      <x:c r="B2887" s="7" t="str">
        <x:v>Tata</x:v>
      </x:c>
      <x:c r="C2887" s="7" t="str">
        <x:v>Nexon</x:v>
      </x:c>
      <x:c r="D2887" s="7" t="str">
        <x:v>Pure Diesel</x:v>
      </x:c>
      <x:c r="E2887" s="7" t="str">
        <x:v>Diesel</x:v>
      </x:c>
      <x:c r="F2887" s="7" t="str">
        <x:v>Manual</x:v>
      </x:c>
      <x:c r="G2887" s="7" t="str">
        <x:v>Compact SUV</x:v>
      </x:c>
      <x:c r="H2887" s="7" t="n">
        <x:v>1497</x:v>
      </x:c>
      <x:c r="I2887" s="7" t="n">
        <x:v>113</x:v>
      </x:c>
      <x:c r="J2887" s="9" t="n">
        <x:v>23.2</x:v>
      </x:c>
      <x:c r="K2887" s="9" t="n">
        <x:v>12.5</x:v>
      </x:c>
      <x:c r="L2887" s="7" t="n">
        <x:v>2025</x:v>
      </x:c>
      <x:c r="M2887" s="11" t="n">
        <x:v>12361</x:v>
      </x:c>
      <x:c r="N2887" s="7" t="n">
        <x:v>1</x:v>
      </x:c>
      <x:c r="O2887" s="7" t="n">
        <x:v>1</x:v>
      </x:c>
      <x:c r="P2887" s="9" t="n">
        <x:v>10.47</x:v>
      </x:c>
      <x:c r="Q2887" s="7" t="n">
        <x:f>'Guide'!$B$5-L2887</x:f>
        <x:v>1</x:v>
      </x:c>
      <x:c r="R2887" s="9" t="n">
        <x:f>K2887-P2887</x:f>
        <x:v>2.0299999999999994</x:v>
      </x:c>
      <x:c r="S2887" s="10" t="n">
        <x:f>IF(K2887&gt;0,R2887/K2887,"")</x:f>
        <x:v>0.16239999999999996</x:v>
      </x:c>
    </x:row>
    <x:row r="2888">
      <x:c r="A2888" s="7" t="n">
        <x:v>2884</x:v>
      </x:c>
      <x:c r="B2888" s="7" t="str">
        <x:v>Tata</x:v>
      </x:c>
      <x:c r="C2888" s="7" t="str">
        <x:v>Nexon</x:v>
      </x:c>
      <x:c r="D2888" s="7" t="str">
        <x:v>Pure Diesel</x:v>
      </x:c>
      <x:c r="E2888" s="7" t="str">
        <x:v>Diesel</x:v>
      </x:c>
      <x:c r="F2888" s="7" t="str">
        <x:v>Manual</x:v>
      </x:c>
      <x:c r="G2888" s="7" t="str">
        <x:v>Compact SUV</x:v>
      </x:c>
      <x:c r="H2888" s="7" t="n">
        <x:v>1497</x:v>
      </x:c>
      <x:c r="I2888" s="7" t="n">
        <x:v>113</x:v>
      </x:c>
      <x:c r="J2888" s="9" t="n">
        <x:v>23.2</x:v>
      </x:c>
      <x:c r="K2888" s="9" t="n">
        <x:v>12.5</x:v>
      </x:c>
      <x:c r="L2888" s="7" t="n">
        <x:v>2025</x:v>
      </x:c>
      <x:c r="M2888" s="11" t="n">
        <x:v>20344</x:v>
      </x:c>
      <x:c r="N2888" s="7" t="n">
        <x:v>1</x:v>
      </x:c>
      <x:c r="O2888" s="7" t="n">
        <x:v>0</x:v>
      </x:c>
      <x:c r="P2888" s="9" t="n">
        <x:v>11.05</x:v>
      </x:c>
      <x:c r="Q2888" s="7" t="n">
        <x:f>'Guide'!$B$5-L2888</x:f>
        <x:v>1</x:v>
      </x:c>
      <x:c r="R2888" s="9" t="n">
        <x:f>K2888-P2888</x:f>
        <x:v>1.4499999999999993</x:v>
      </x:c>
      <x:c r="S2888" s="10" t="n">
        <x:f>IF(K2888&gt;0,R2888/K2888,"")</x:f>
        <x:v>0.11599999999999994</x:v>
      </x:c>
    </x:row>
    <x:row r="2889">
      <x:c r="A2889" s="7" t="n">
        <x:v>2885</x:v>
      </x:c>
      <x:c r="B2889" s="7" t="str">
        <x:v>Tata</x:v>
      </x:c>
      <x:c r="C2889" s="7" t="str">
        <x:v>Nexon</x:v>
      </x:c>
      <x:c r="D2889" s="7" t="str">
        <x:v>Pure Diesel</x:v>
      </x:c>
      <x:c r="E2889" s="7" t="str">
        <x:v>Diesel</x:v>
      </x:c>
      <x:c r="F2889" s="7" t="str">
        <x:v>Manual</x:v>
      </x:c>
      <x:c r="G2889" s="7" t="str">
        <x:v>Compact SUV</x:v>
      </x:c>
      <x:c r="H2889" s="7" t="n">
        <x:v>1497</x:v>
      </x:c>
      <x:c r="I2889" s="7" t="n">
        <x:v>113</x:v>
      </x:c>
      <x:c r="J2889" s="9" t="n">
        <x:v>23.2</x:v>
      </x:c>
      <x:c r="K2889" s="9" t="n">
        <x:v>12.5</x:v>
      </x:c>
      <x:c r="L2889" s="7" t="n">
        <x:v>2020</x:v>
      </x:c>
      <x:c r="M2889" s="11" t="n">
        <x:v>84358</x:v>
      </x:c>
      <x:c r="N2889" s="7" t="n">
        <x:v>1</x:v>
      </x:c>
      <x:c r="O2889" s="7" t="n">
        <x:v>0</x:v>
      </x:c>
      <x:c r="P2889" s="9" t="n">
        <x:v>5.37</x:v>
      </x:c>
      <x:c r="Q2889" s="7" t="n">
        <x:f>'Guide'!$B$5-L2889</x:f>
        <x:v>6</x:v>
      </x:c>
      <x:c r="R2889" s="9" t="n">
        <x:f>K2889-P2889</x:f>
        <x:v>7.13</x:v>
      </x:c>
      <x:c r="S2889" s="10" t="n">
        <x:f>IF(K2889&gt;0,R2889/K2889,"")</x:f>
        <x:v>0.5704</x:v>
      </x:c>
    </x:row>
    <x:row r="2890">
      <x:c r="A2890" s="7" t="n">
        <x:v>2886</x:v>
      </x:c>
      <x:c r="B2890" s="7" t="str">
        <x:v>Tata</x:v>
      </x:c>
      <x:c r="C2890" s="7" t="str">
        <x:v>Nexon</x:v>
      </x:c>
      <x:c r="D2890" s="7" t="str">
        <x:v>Pure Diesel</x:v>
      </x:c>
      <x:c r="E2890" s="7" t="str">
        <x:v>Diesel</x:v>
      </x:c>
      <x:c r="F2890" s="7" t="str">
        <x:v>Manual</x:v>
      </x:c>
      <x:c r="G2890" s="7" t="str">
        <x:v>Compact SUV</x:v>
      </x:c>
      <x:c r="H2890" s="7" t="n">
        <x:v>1497</x:v>
      </x:c>
      <x:c r="I2890" s="7" t="n">
        <x:v>113</x:v>
      </x:c>
      <x:c r="J2890" s="9" t="n">
        <x:v>23.2</x:v>
      </x:c>
      <x:c r="K2890" s="9" t="n">
        <x:v>12.5</x:v>
      </x:c>
      <x:c r="L2890" s="7" t="n">
        <x:v>2023</x:v>
      </x:c>
      <x:c r="M2890" s="11" t="n">
        <x:v>33540</x:v>
      </x:c>
      <x:c r="N2890" s="7" t="n">
        <x:v>2</x:v>
      </x:c>
      <x:c r="O2890" s="7" t="n">
        <x:v>0</x:v>
      </x:c>
      <x:c r="P2890" s="9" t="n">
        <x:v>8.57</x:v>
      </x:c>
      <x:c r="Q2890" s="7" t="n">
        <x:f>'Guide'!$B$5-L2890</x:f>
        <x:v>3</x:v>
      </x:c>
      <x:c r="R2890" s="9" t="n">
        <x:f>K2890-P2890</x:f>
        <x:v>3.9299999999999997</x:v>
      </x:c>
      <x:c r="S2890" s="10" t="n">
        <x:f>IF(K2890&gt;0,R2890/K2890,"")</x:f>
        <x:v>0.31439999999999996</x:v>
      </x:c>
    </x:row>
    <x:row r="2891">
      <x:c r="A2891" s="7" t="n">
        <x:v>2887</x:v>
      </x:c>
      <x:c r="B2891" s="7" t="str">
        <x:v>Tata</x:v>
      </x:c>
      <x:c r="C2891" s="7" t="str">
        <x:v>Nexon</x:v>
      </x:c>
      <x:c r="D2891" s="7" t="str">
        <x:v>Pure Diesel</x:v>
      </x:c>
      <x:c r="E2891" s="7" t="str">
        <x:v>Diesel</x:v>
      </x:c>
      <x:c r="F2891" s="7" t="str">
        <x:v>Manual</x:v>
      </x:c>
      <x:c r="G2891" s="7" t="str">
        <x:v>Compact SUV</x:v>
      </x:c>
      <x:c r="H2891" s="7" t="n">
        <x:v>1497</x:v>
      </x:c>
      <x:c r="I2891" s="7" t="n">
        <x:v>113</x:v>
      </x:c>
      <x:c r="J2891" s="9" t="n">
        <x:v>23.2</x:v>
      </x:c>
      <x:c r="K2891" s="9" t="n">
        <x:v>12.5</x:v>
      </x:c>
      <x:c r="L2891" s="7" t="n">
        <x:v>2020</x:v>
      </x:c>
      <x:c r="M2891" s="11" t="n">
        <x:v>99775</x:v>
      </x:c>
      <x:c r="N2891" s="7" t="n">
        <x:v>2</x:v>
      </x:c>
      <x:c r="O2891" s="7" t="n">
        <x:v>1</x:v>
      </x:c>
      <x:c r="P2891" s="9" t="n">
        <x:v>3.61</x:v>
      </x:c>
      <x:c r="Q2891" s="7" t="n">
        <x:f>'Guide'!$B$5-L2891</x:f>
        <x:v>6</x:v>
      </x:c>
      <x:c r="R2891" s="9" t="n">
        <x:f>K2891-P2891</x:f>
        <x:v>8.89</x:v>
      </x:c>
      <x:c r="S2891" s="10" t="n">
        <x:f>IF(K2891&gt;0,R2891/K2891,"")</x:f>
        <x:v>0.7112</x:v>
      </x:c>
    </x:row>
    <x:row r="2892">
      <x:c r="A2892" s="7" t="n">
        <x:v>2888</x:v>
      </x:c>
      <x:c r="B2892" s="7" t="str">
        <x:v>Tata</x:v>
      </x:c>
      <x:c r="C2892" s="7" t="str">
        <x:v>Nexon</x:v>
      </x:c>
      <x:c r="D2892" s="7" t="str">
        <x:v>Pure Diesel</x:v>
      </x:c>
      <x:c r="E2892" s="7" t="str">
        <x:v>Diesel</x:v>
      </x:c>
      <x:c r="F2892" s="7" t="str">
        <x:v>Manual</x:v>
      </x:c>
      <x:c r="G2892" s="7" t="str">
        <x:v>Compact SUV</x:v>
      </x:c>
      <x:c r="H2892" s="7" t="n">
        <x:v>1497</x:v>
      </x:c>
      <x:c r="I2892" s="7" t="n">
        <x:v>113</x:v>
      </x:c>
      <x:c r="J2892" s="9" t="n">
        <x:v>23.2</x:v>
      </x:c>
      <x:c r="K2892" s="9" t="n">
        <x:v>12.5</x:v>
      </x:c>
      <x:c r="L2892" s="7" t="n">
        <x:v>2025</x:v>
      </x:c>
      <x:c r="M2892" s="11" t="n">
        <x:v>16566</x:v>
      </x:c>
      <x:c r="N2892" s="7" t="n">
        <x:v>1</x:v>
      </x:c>
      <x:c r="O2892" s="7" t="n">
        <x:v>0</x:v>
      </x:c>
      <x:c r="P2892" s="9" t="n">
        <x:v>11.53</x:v>
      </x:c>
      <x:c r="Q2892" s="7" t="n">
        <x:f>'Guide'!$B$5-L2892</x:f>
        <x:v>1</x:v>
      </x:c>
      <x:c r="R2892" s="9" t="n">
        <x:f>K2892-P2892</x:f>
        <x:v>0.9700000000000006</x:v>
      </x:c>
      <x:c r="S2892" s="10" t="n">
        <x:f>IF(K2892&gt;0,R2892/K2892,"")</x:f>
        <x:v>0.07760000000000006</x:v>
      </x:c>
    </x:row>
    <x:row r="2893">
      <x:c r="A2893" s="7" t="n">
        <x:v>2889</x:v>
      </x:c>
      <x:c r="B2893" s="7" t="str">
        <x:v>Tata</x:v>
      </x:c>
      <x:c r="C2893" s="7" t="str">
        <x:v>Nexon</x:v>
      </x:c>
      <x:c r="D2893" s="7" t="str">
        <x:v>Pure Diesel</x:v>
      </x:c>
      <x:c r="E2893" s="7" t="str">
        <x:v>Diesel</x:v>
      </x:c>
      <x:c r="F2893" s="7" t="str">
        <x:v>Manual</x:v>
      </x:c>
      <x:c r="G2893" s="7" t="str">
        <x:v>Compact SUV</x:v>
      </x:c>
      <x:c r="H2893" s="7" t="n">
        <x:v>1497</x:v>
      </x:c>
      <x:c r="I2893" s="7" t="n">
        <x:v>113</x:v>
      </x:c>
      <x:c r="J2893" s="9" t="n">
        <x:v>23.2</x:v>
      </x:c>
      <x:c r="K2893" s="9" t="n">
        <x:v>12.5</x:v>
      </x:c>
      <x:c r="L2893" s="7" t="n">
        <x:v>2024</x:v>
      </x:c>
      <x:c r="M2893" s="11" t="n">
        <x:v>30278</x:v>
      </x:c>
      <x:c r="N2893" s="7" t="n">
        <x:v>1</x:v>
      </x:c>
      <x:c r="O2893" s="7" t="n">
        <x:v>0</x:v>
      </x:c>
      <x:c r="P2893" s="9" t="n">
        <x:v>10.24</x:v>
      </x:c>
      <x:c r="Q2893" s="7" t="n">
        <x:f>'Guide'!$B$5-L2893</x:f>
        <x:v>2</x:v>
      </x:c>
      <x:c r="R2893" s="9" t="n">
        <x:f>K2893-P2893</x:f>
        <x:v>2.26</x:v>
      </x:c>
      <x:c r="S2893" s="10" t="n">
        <x:f>IF(K2893&gt;0,R2893/K2893,"")</x:f>
        <x:v>0.1808</x:v>
      </x:c>
    </x:row>
    <x:row r="2894">
      <x:c r="A2894" s="7" t="n">
        <x:v>2890</x:v>
      </x:c>
      <x:c r="B2894" s="7" t="str">
        <x:v>Tata</x:v>
      </x:c>
      <x:c r="C2894" s="7" t="str">
        <x:v>Nexon</x:v>
      </x:c>
      <x:c r="D2894" s="7" t="str">
        <x:v>Pure Diesel</x:v>
      </x:c>
      <x:c r="E2894" s="7" t="str">
        <x:v>Diesel</x:v>
      </x:c>
      <x:c r="F2894" s="7" t="str">
        <x:v>Manual</x:v>
      </x:c>
      <x:c r="G2894" s="7" t="str">
        <x:v>Compact SUV</x:v>
      </x:c>
      <x:c r="H2894" s="7" t="n">
        <x:v>1497</x:v>
      </x:c>
      <x:c r="I2894" s="7" t="n">
        <x:v>113</x:v>
      </x:c>
      <x:c r="J2894" s="9" t="n">
        <x:v>23.2</x:v>
      </x:c>
      <x:c r="K2894" s="9" t="n">
        <x:v>12.5</x:v>
      </x:c>
      <x:c r="L2894" s="7" t="n">
        <x:v>2022</x:v>
      </x:c>
      <x:c r="M2894" s="11" t="n">
        <x:v>61139</x:v>
      </x:c>
      <x:c r="N2894" s="7" t="n">
        <x:v>1</x:v>
      </x:c>
      <x:c r="O2894" s="7" t="n">
        <x:v>0</x:v>
      </x:c>
      <x:c r="P2894" s="9" t="n">
        <x:v>7.57</x:v>
      </x:c>
      <x:c r="Q2894" s="7" t="n">
        <x:f>'Guide'!$B$5-L2894</x:f>
        <x:v>4</x:v>
      </x:c>
      <x:c r="R2894" s="9" t="n">
        <x:f>K2894-P2894</x:f>
        <x:v>4.93</x:v>
      </x:c>
      <x:c r="S2894" s="10" t="n">
        <x:f>IF(K2894&gt;0,R2894/K2894,"")</x:f>
        <x:v>0.3944</x:v>
      </x:c>
    </x:row>
    <x:row r="2895">
      <x:c r="A2895" s="7" t="n">
        <x:v>2891</x:v>
      </x:c>
      <x:c r="B2895" s="7" t="str">
        <x:v>Tata</x:v>
      </x:c>
      <x:c r="C2895" s="7" t="str">
        <x:v>Nexon</x:v>
      </x:c>
      <x:c r="D2895" s="7" t="str">
        <x:v>Pure Diesel</x:v>
      </x:c>
      <x:c r="E2895" s="7" t="str">
        <x:v>Diesel</x:v>
      </x:c>
      <x:c r="F2895" s="7" t="str">
        <x:v>Manual</x:v>
      </x:c>
      <x:c r="G2895" s="7" t="str">
        <x:v>Compact SUV</x:v>
      </x:c>
      <x:c r="H2895" s="7" t="n">
        <x:v>1497</x:v>
      </x:c>
      <x:c r="I2895" s="7" t="n">
        <x:v>113</x:v>
      </x:c>
      <x:c r="J2895" s="9" t="n">
        <x:v>23.2</x:v>
      </x:c>
      <x:c r="K2895" s="9" t="n">
        <x:v>12.5</x:v>
      </x:c>
      <x:c r="L2895" s="7" t="n">
        <x:v>2023</x:v>
      </x:c>
      <x:c r="M2895" s="11" t="n">
        <x:v>64767</x:v>
      </x:c>
      <x:c r="N2895" s="7" t="n">
        <x:v>2</x:v>
      </x:c>
      <x:c r="O2895" s="7" t="n">
        <x:v>0</x:v>
      </x:c>
      <x:c r="P2895" s="9" t="n">
        <x:v>8.29</x:v>
      </x:c>
      <x:c r="Q2895" s="7" t="n">
        <x:f>'Guide'!$B$5-L2895</x:f>
        <x:v>3</x:v>
      </x:c>
      <x:c r="R2895" s="9" t="n">
        <x:f>K2895-P2895</x:f>
        <x:v>4.210000000000001</x:v>
      </x:c>
      <x:c r="S2895" s="10" t="n">
        <x:f>IF(K2895&gt;0,R2895/K2895,"")</x:f>
        <x:v>0.33680000000000004</x:v>
      </x:c>
    </x:row>
    <x:row r="2896">
      <x:c r="A2896" s="7" t="n">
        <x:v>2892</x:v>
      </x:c>
      <x:c r="B2896" s="7" t="str">
        <x:v>Tata</x:v>
      </x:c>
      <x:c r="C2896" s="7" t="str">
        <x:v>Nexon</x:v>
      </x:c>
      <x:c r="D2896" s="7" t="str">
        <x:v>Pure Diesel</x:v>
      </x:c>
      <x:c r="E2896" s="7" t="str">
        <x:v>Diesel</x:v>
      </x:c>
      <x:c r="F2896" s="7" t="str">
        <x:v>Manual</x:v>
      </x:c>
      <x:c r="G2896" s="7" t="str">
        <x:v>Compact SUV</x:v>
      </x:c>
      <x:c r="H2896" s="7" t="n">
        <x:v>1497</x:v>
      </x:c>
      <x:c r="I2896" s="7" t="n">
        <x:v>113</x:v>
      </x:c>
      <x:c r="J2896" s="9" t="n">
        <x:v>23.2</x:v>
      </x:c>
      <x:c r="K2896" s="9" t="n">
        <x:v>12.5</x:v>
      </x:c>
      <x:c r="L2896" s="7" t="n">
        <x:v>2020</x:v>
      </x:c>
      <x:c r="M2896" s="11" t="n">
        <x:v>125321</x:v>
      </x:c>
      <x:c r="N2896" s="7" t="n">
        <x:v>3</x:v>
      </x:c>
      <x:c r="O2896" s="7" t="n">
        <x:v>0</x:v>
      </x:c>
      <x:c r="P2896" s="9" t="n">
        <x:v>3.93</x:v>
      </x:c>
      <x:c r="Q2896" s="7" t="n">
        <x:f>'Guide'!$B$5-L2896</x:f>
        <x:v>6</x:v>
      </x:c>
      <x:c r="R2896" s="9" t="n">
        <x:f>K2896-P2896</x:f>
        <x:v>8.57</x:v>
      </x:c>
      <x:c r="S2896" s="10" t="n">
        <x:f>IF(K2896&gt;0,R2896/K2896,"")</x:f>
        <x:v>0.6856</x:v>
      </x:c>
    </x:row>
    <x:row r="2897">
      <x:c r="A2897" s="7" t="n">
        <x:v>2893</x:v>
      </x:c>
      <x:c r="B2897" s="7" t="str">
        <x:v>Tata</x:v>
      </x:c>
      <x:c r="C2897" s="7" t="str">
        <x:v>Nexon</x:v>
      </x:c>
      <x:c r="D2897" s="7" t="str">
        <x:v>Pure Diesel</x:v>
      </x:c>
      <x:c r="E2897" s="7" t="str">
        <x:v>Diesel</x:v>
      </x:c>
      <x:c r="F2897" s="7" t="str">
        <x:v>Manual</x:v>
      </x:c>
      <x:c r="G2897" s="7" t="str">
        <x:v>Compact SUV</x:v>
      </x:c>
      <x:c r="H2897" s="7" t="n">
        <x:v>1497</x:v>
      </x:c>
      <x:c r="I2897" s="7" t="n">
        <x:v>113</x:v>
      </x:c>
      <x:c r="J2897" s="9" t="n">
        <x:v>23.2</x:v>
      </x:c>
      <x:c r="K2897" s="9" t="n">
        <x:v>12.5</x:v>
      </x:c>
      <x:c r="L2897" s="7" t="n">
        <x:v>2026</x:v>
      </x:c>
      <x:c r="M2897" s="11" t="n">
        <x:v>4477</x:v>
      </x:c>
      <x:c r="N2897" s="7" t="n">
        <x:v>1</x:v>
      </x:c>
      <x:c r="O2897" s="7" t="n">
        <x:v>0</x:v>
      </x:c>
      <x:c r="P2897" s="9" t="n">
        <x:v>12.8</x:v>
      </x:c>
      <x:c r="Q2897" s="7" t="n">
        <x:f>'Guide'!$B$5-L2897</x:f>
        <x:v>0</x:v>
      </x:c>
      <x:c r="R2897" s="9" t="n">
        <x:f>K2897-P2897</x:f>
        <x:v>-0.3000000000000007</x:v>
      </x:c>
      <x:c r="S2897" s="10" t="n">
        <x:f>IF(K2897&gt;0,R2897/K2897,"")</x:f>
        <x:v>-0.024000000000000056</x:v>
      </x:c>
    </x:row>
    <x:row r="2898">
      <x:c r="A2898" s="7" t="n">
        <x:v>2894</x:v>
      </x:c>
      <x:c r="B2898" s="7" t="str">
        <x:v>Tata</x:v>
      </x:c>
      <x:c r="C2898" s="7" t="str">
        <x:v>Nexon</x:v>
      </x:c>
      <x:c r="D2898" s="7" t="str">
        <x:v>Pure Diesel</x:v>
      </x:c>
      <x:c r="E2898" s="7" t="str">
        <x:v>Diesel</x:v>
      </x:c>
      <x:c r="F2898" s="7" t="str">
        <x:v>Manual</x:v>
      </x:c>
      <x:c r="G2898" s="7" t="str">
        <x:v>Compact SUV</x:v>
      </x:c>
      <x:c r="H2898" s="7" t="n">
        <x:v>1497</x:v>
      </x:c>
      <x:c r="I2898" s="7" t="n">
        <x:v>113</x:v>
      </x:c>
      <x:c r="J2898" s="9" t="n">
        <x:v>23.2</x:v>
      </x:c>
      <x:c r="K2898" s="9" t="n">
        <x:v>12.5</x:v>
      </x:c>
      <x:c r="L2898" s="7" t="n">
        <x:v>2024</x:v>
      </x:c>
      <x:c r="M2898" s="11" t="n">
        <x:v>44924</x:v>
      </x:c>
      <x:c r="N2898" s="7" t="n">
        <x:v>2</x:v>
      </x:c>
      <x:c r="O2898" s="7" t="n">
        <x:v>0</x:v>
      </x:c>
      <x:c r="P2898" s="9" t="n">
        <x:v>9.6</x:v>
      </x:c>
      <x:c r="Q2898" s="7" t="n">
        <x:f>'Guide'!$B$5-L2898</x:f>
        <x:v>2</x:v>
      </x:c>
      <x:c r="R2898" s="9" t="n">
        <x:f>K2898-P2898</x:f>
        <x:v>2.9000000000000004</x:v>
      </x:c>
      <x:c r="S2898" s="10" t="n">
        <x:f>IF(K2898&gt;0,R2898/K2898,"")</x:f>
        <x:v>0.23200000000000004</x:v>
      </x:c>
    </x:row>
    <x:row r="2899">
      <x:c r="A2899" s="7" t="n">
        <x:v>2895</x:v>
      </x:c>
      <x:c r="B2899" s="7" t="str">
        <x:v>Tata</x:v>
      </x:c>
      <x:c r="C2899" s="7" t="str">
        <x:v>Nexon</x:v>
      </x:c>
      <x:c r="D2899" s="7" t="str">
        <x:v>Pure Diesel</x:v>
      </x:c>
      <x:c r="E2899" s="7" t="str">
        <x:v>Diesel</x:v>
      </x:c>
      <x:c r="F2899" s="7" t="str">
        <x:v>Manual</x:v>
      </x:c>
      <x:c r="G2899" s="7" t="str">
        <x:v>Compact SUV</x:v>
      </x:c>
      <x:c r="H2899" s="7" t="n">
        <x:v>1497</x:v>
      </x:c>
      <x:c r="I2899" s="7" t="n">
        <x:v>113</x:v>
      </x:c>
      <x:c r="J2899" s="9" t="n">
        <x:v>23.2</x:v>
      </x:c>
      <x:c r="K2899" s="9" t="n">
        <x:v>12.5</x:v>
      </x:c>
      <x:c r="L2899" s="7" t="n">
        <x:v>2026</x:v>
      </x:c>
      <x:c r="M2899" s="11" t="n">
        <x:v>7027</x:v>
      </x:c>
      <x:c r="N2899" s="7" t="n">
        <x:v>1</x:v>
      </x:c>
      <x:c r="O2899" s="7" t="n">
        <x:v>0</x:v>
      </x:c>
      <x:c r="P2899" s="9" t="n">
        <x:v>12.44</x:v>
      </x:c>
      <x:c r="Q2899" s="7" t="n">
        <x:f>'Guide'!$B$5-L2899</x:f>
        <x:v>0</x:v>
      </x:c>
      <x:c r="R2899" s="9" t="n">
        <x:f>K2899-P2899</x:f>
        <x:v>0.0600000000000005</x:v>
      </x:c>
      <x:c r="S2899" s="10" t="n">
        <x:f>IF(K2899&gt;0,R2899/K2899,"")</x:f>
        <x:v>0.0048000000000000395</x:v>
      </x:c>
    </x:row>
    <x:row r="2900">
      <x:c r="A2900" s="7" t="n">
        <x:v>2896</x:v>
      </x:c>
      <x:c r="B2900" s="7" t="str">
        <x:v>Tata</x:v>
      </x:c>
      <x:c r="C2900" s="7" t="str">
        <x:v>Nexon</x:v>
      </x:c>
      <x:c r="D2900" s="7" t="str">
        <x:v>Pure Diesel</x:v>
      </x:c>
      <x:c r="E2900" s="7" t="str">
        <x:v>Diesel</x:v>
      </x:c>
      <x:c r="F2900" s="7" t="str">
        <x:v>Manual</x:v>
      </x:c>
      <x:c r="G2900" s="7" t="str">
        <x:v>Compact SUV</x:v>
      </x:c>
      <x:c r="H2900" s="7" t="n">
        <x:v>1497</x:v>
      </x:c>
      <x:c r="I2900" s="7" t="n">
        <x:v>113</x:v>
      </x:c>
      <x:c r="J2900" s="9" t="n">
        <x:v>23.2</x:v>
      </x:c>
      <x:c r="K2900" s="9" t="n">
        <x:v>12.5</x:v>
      </x:c>
      <x:c r="L2900" s="7" t="n">
        <x:v>2020</x:v>
      </x:c>
      <x:c r="M2900" s="11" t="n">
        <x:v>90806</x:v>
      </x:c>
      <x:c r="N2900" s="7" t="n">
        <x:v>2</x:v>
      </x:c>
      <x:c r="O2900" s="7" t="n">
        <x:v>0</x:v>
      </x:c>
      <x:c r="P2900" s="9" t="n">
        <x:v>4.39</x:v>
      </x:c>
      <x:c r="Q2900" s="7" t="n">
        <x:f>'Guide'!$B$5-L2900</x:f>
        <x:v>6</x:v>
      </x:c>
      <x:c r="R2900" s="9" t="n">
        <x:f>K2900-P2900</x:f>
        <x:v>8.11</x:v>
      </x:c>
      <x:c r="S2900" s="10" t="n">
        <x:f>IF(K2900&gt;0,R2900/K2900,"")</x:f>
        <x:v>0.6487999999999999</x:v>
      </x:c>
    </x:row>
    <x:row r="2901">
      <x:c r="A2901" s="7" t="n">
        <x:v>2897</x:v>
      </x:c>
      <x:c r="B2901" s="7" t="str">
        <x:v>Tata</x:v>
      </x:c>
      <x:c r="C2901" s="7" t="str">
        <x:v>Nexon</x:v>
      </x:c>
      <x:c r="D2901" s="7" t="str">
        <x:v>Pure Diesel</x:v>
      </x:c>
      <x:c r="E2901" s="7" t="str">
        <x:v>Diesel</x:v>
      </x:c>
      <x:c r="F2901" s="7" t="str">
        <x:v>Manual</x:v>
      </x:c>
      <x:c r="G2901" s="7" t="str">
        <x:v>Compact SUV</x:v>
      </x:c>
      <x:c r="H2901" s="7" t="n">
        <x:v>1497</x:v>
      </x:c>
      <x:c r="I2901" s="7" t="n">
        <x:v>113</x:v>
      </x:c>
      <x:c r="J2901" s="9" t="n">
        <x:v>23.2</x:v>
      </x:c>
      <x:c r="K2901" s="9" t="n">
        <x:v>12.5</x:v>
      </x:c>
      <x:c r="L2901" s="7" t="n">
        <x:v>2024</x:v>
      </x:c>
      <x:c r="M2901" s="11" t="n">
        <x:v>45492</x:v>
      </x:c>
      <x:c r="N2901" s="7" t="n">
        <x:v>1</x:v>
      </x:c>
      <x:c r="O2901" s="7" t="n">
        <x:v>0</x:v>
      </x:c>
      <x:c r="P2901" s="9" t="n">
        <x:v>10.11</x:v>
      </x:c>
      <x:c r="Q2901" s="7" t="n">
        <x:f>'Guide'!$B$5-L2901</x:f>
        <x:v>2</x:v>
      </x:c>
      <x:c r="R2901" s="9" t="n">
        <x:f>K2901-P2901</x:f>
        <x:v>2.3900000000000006</x:v>
      </x:c>
      <x:c r="S2901" s="10" t="n">
        <x:f>IF(K2901&gt;0,R2901/K2901,"")</x:f>
        <x:v>0.19120000000000004</x:v>
      </x:c>
    </x:row>
    <x:row r="2902">
      <x:c r="A2902" s="7" t="n">
        <x:v>2898</x:v>
      </x:c>
      <x:c r="B2902" s="7" t="str">
        <x:v>Tata</x:v>
      </x:c>
      <x:c r="C2902" s="7" t="str">
        <x:v>Nexon</x:v>
      </x:c>
      <x:c r="D2902" s="7" t="str">
        <x:v>Pure Diesel</x:v>
      </x:c>
      <x:c r="E2902" s="7" t="str">
        <x:v>Diesel</x:v>
      </x:c>
      <x:c r="F2902" s="7" t="str">
        <x:v>Manual</x:v>
      </x:c>
      <x:c r="G2902" s="7" t="str">
        <x:v>Compact SUV</x:v>
      </x:c>
      <x:c r="H2902" s="7" t="n">
        <x:v>1497</x:v>
      </x:c>
      <x:c r="I2902" s="7" t="n">
        <x:v>113</x:v>
      </x:c>
      <x:c r="J2902" s="9" t="n">
        <x:v>23.2</x:v>
      </x:c>
      <x:c r="K2902" s="9" t="n">
        <x:v>12.5</x:v>
      </x:c>
      <x:c r="L2902" s="7" t="n">
        <x:v>2023</x:v>
      </x:c>
      <x:c r="M2902" s="11" t="n">
        <x:v>48534</x:v>
      </x:c>
      <x:c r="N2902" s="7" t="n">
        <x:v>1</x:v>
      </x:c>
      <x:c r="O2902" s="7" t="n">
        <x:v>0</x:v>
      </x:c>
      <x:c r="P2902" s="9" t="n">
        <x:v>8.98</x:v>
      </x:c>
      <x:c r="Q2902" s="7" t="n">
        <x:f>'Guide'!$B$5-L2902</x:f>
        <x:v>3</x:v>
      </x:c>
      <x:c r="R2902" s="9" t="n">
        <x:f>K2902-P2902</x:f>
        <x:v>3.5199999999999996</x:v>
      </x:c>
      <x:c r="S2902" s="10" t="n">
        <x:f>IF(K2902&gt;0,R2902/K2902,"")</x:f>
        <x:v>0.28159999999999996</x:v>
      </x:c>
    </x:row>
    <x:row r="2903">
      <x:c r="A2903" s="7" t="n">
        <x:v>2899</x:v>
      </x:c>
      <x:c r="B2903" s="7" t="str">
        <x:v>Tata</x:v>
      </x:c>
      <x:c r="C2903" s="7" t="str">
        <x:v>Nexon</x:v>
      </x:c>
      <x:c r="D2903" s="7" t="str">
        <x:v>Pure Diesel</x:v>
      </x:c>
      <x:c r="E2903" s="7" t="str">
        <x:v>Diesel</x:v>
      </x:c>
      <x:c r="F2903" s="7" t="str">
        <x:v>Manual</x:v>
      </x:c>
      <x:c r="G2903" s="7" t="str">
        <x:v>Compact SUV</x:v>
      </x:c>
      <x:c r="H2903" s="7" t="n">
        <x:v>1497</x:v>
      </x:c>
      <x:c r="I2903" s="7" t="n">
        <x:v>113</x:v>
      </x:c>
      <x:c r="J2903" s="9" t="n">
        <x:v>23.2</x:v>
      </x:c>
      <x:c r="K2903" s="9" t="n">
        <x:v>12.5</x:v>
      </x:c>
      <x:c r="L2903" s="7" t="n">
        <x:v>2026</x:v>
      </x:c>
      <x:c r="M2903" s="11" t="n">
        <x:v>4222</x:v>
      </x:c>
      <x:c r="N2903" s="7" t="n">
        <x:v>1</x:v>
      </x:c>
      <x:c r="O2903" s="7" t="n">
        <x:v>0</x:v>
      </x:c>
      <x:c r="P2903" s="9" t="n">
        <x:v>12.12</x:v>
      </x:c>
      <x:c r="Q2903" s="7" t="n">
        <x:f>'Guide'!$B$5-L2903</x:f>
        <x:v>0</x:v>
      </x:c>
      <x:c r="R2903" s="9" t="n">
        <x:f>K2903-P2903</x:f>
        <x:v>0.3800000000000008</x:v>
      </x:c>
      <x:c r="S2903" s="10" t="n">
        <x:f>IF(K2903&gt;0,R2903/K2903,"")</x:f>
        <x:v>0.030400000000000062</x:v>
      </x:c>
    </x:row>
    <x:row r="2904">
      <x:c r="A2904" s="7" t="n">
        <x:v>2900</x:v>
      </x:c>
      <x:c r="B2904" s="7" t="str">
        <x:v>Tata</x:v>
      </x:c>
      <x:c r="C2904" s="7" t="str">
        <x:v>Nexon</x:v>
      </x:c>
      <x:c r="D2904" s="7" t="str">
        <x:v>Pure Diesel</x:v>
      </x:c>
      <x:c r="E2904" s="7" t="str">
        <x:v>Diesel</x:v>
      </x:c>
      <x:c r="F2904" s="7" t="str">
        <x:v>Manual</x:v>
      </x:c>
      <x:c r="G2904" s="7" t="str">
        <x:v>Compact SUV</x:v>
      </x:c>
      <x:c r="H2904" s="7" t="n">
        <x:v>1497</x:v>
      </x:c>
      <x:c r="I2904" s="7" t="n">
        <x:v>113</x:v>
      </x:c>
      <x:c r="J2904" s="9" t="n">
        <x:v>23.2</x:v>
      </x:c>
      <x:c r="K2904" s="9" t="n">
        <x:v>12.5</x:v>
      </x:c>
      <x:c r="L2904" s="7" t="n">
        <x:v>2021</x:v>
      </x:c>
      <x:c r="M2904" s="11" t="n">
        <x:v>55538</x:v>
      </x:c>
      <x:c r="N2904" s="7" t="n">
        <x:v>1</x:v>
      </x:c>
      <x:c r="O2904" s="7" t="n">
        <x:v>0</x:v>
      </x:c>
      <x:c r="P2904" s="9" t="n">
        <x:v>6.66</x:v>
      </x:c>
      <x:c r="Q2904" s="7" t="n">
        <x:f>'Guide'!$B$5-L2904</x:f>
        <x:v>5</x:v>
      </x:c>
      <x:c r="R2904" s="9" t="n">
        <x:f>K2904-P2904</x:f>
        <x:v>5.84</x:v>
      </x:c>
      <x:c r="S2904" s="10" t="n">
        <x:f>IF(K2904&gt;0,R2904/K2904,"")</x:f>
        <x:v>0.4672</x:v>
      </x:c>
    </x:row>
    <x:row r="2905">
      <x:c r="A2905" s="7" t="n">
        <x:v>2901</x:v>
      </x:c>
      <x:c r="B2905" s="7" t="str">
        <x:v>Tata</x:v>
      </x:c>
      <x:c r="C2905" s="7" t="str">
        <x:v>Nexon</x:v>
      </x:c>
      <x:c r="D2905" s="7" t="str">
        <x:v>Pure Diesel</x:v>
      </x:c>
      <x:c r="E2905" s="7" t="str">
        <x:v>Diesel</x:v>
      </x:c>
      <x:c r="F2905" s="7" t="str">
        <x:v>Manual</x:v>
      </x:c>
      <x:c r="G2905" s="7" t="str">
        <x:v>Compact SUV</x:v>
      </x:c>
      <x:c r="H2905" s="7" t="n">
        <x:v>1497</x:v>
      </x:c>
      <x:c r="I2905" s="7" t="n">
        <x:v>113</x:v>
      </x:c>
      <x:c r="J2905" s="9" t="n">
        <x:v>23.2</x:v>
      </x:c>
      <x:c r="K2905" s="9" t="n">
        <x:v>12.5</x:v>
      </x:c>
      <x:c r="L2905" s="7" t="n">
        <x:v>2024</x:v>
      </x:c>
      <x:c r="M2905" s="11" t="n">
        <x:v>39465</x:v>
      </x:c>
      <x:c r="N2905" s="7" t="n">
        <x:v>1</x:v>
      </x:c>
      <x:c r="O2905" s="7" t="n">
        <x:v>0</x:v>
      </x:c>
      <x:c r="P2905" s="9" t="n">
        <x:v>9.84</x:v>
      </x:c>
      <x:c r="Q2905" s="7" t="n">
        <x:f>'Guide'!$B$5-L2905</x:f>
        <x:v>2</x:v>
      </x:c>
      <x:c r="R2905" s="9" t="n">
        <x:f>K2905-P2905</x:f>
        <x:v>2.66</x:v>
      </x:c>
      <x:c r="S2905" s="10" t="n">
        <x:f>IF(K2905&gt;0,R2905/K2905,"")</x:f>
        <x:v>0.21280000000000002</x:v>
      </x:c>
    </x:row>
    <x:row r="2906">
      <x:c r="A2906" s="7" t="n">
        <x:v>2902</x:v>
      </x:c>
      <x:c r="B2906" s="7" t="str">
        <x:v>Tata</x:v>
      </x:c>
      <x:c r="C2906" s="7" t="str">
        <x:v>Nexon</x:v>
      </x:c>
      <x:c r="D2906" s="7" t="str">
        <x:v>Pure Diesel</x:v>
      </x:c>
      <x:c r="E2906" s="7" t="str">
        <x:v>Diesel</x:v>
      </x:c>
      <x:c r="F2906" s="7" t="str">
        <x:v>Manual</x:v>
      </x:c>
      <x:c r="G2906" s="7" t="str">
        <x:v>Compact SUV</x:v>
      </x:c>
      <x:c r="H2906" s="7" t="n">
        <x:v>1497</x:v>
      </x:c>
      <x:c r="I2906" s="7" t="n">
        <x:v>113</x:v>
      </x:c>
      <x:c r="J2906" s="9" t="n">
        <x:v>23.2</x:v>
      </x:c>
      <x:c r="K2906" s="9" t="n">
        <x:v>12.5</x:v>
      </x:c>
      <x:c r="L2906" s="7" t="n">
        <x:v>2021</x:v>
      </x:c>
      <x:c r="M2906" s="11" t="n">
        <x:v>91758</x:v>
      </x:c>
      <x:c r="N2906" s="7" t="n">
        <x:v>1</x:v>
      </x:c>
      <x:c r="O2906" s="7" t="n">
        <x:v>0</x:v>
      </x:c>
      <x:c r="P2906" s="9" t="n">
        <x:v>6.22</x:v>
      </x:c>
      <x:c r="Q2906" s="7" t="n">
        <x:f>'Guide'!$B$5-L2906</x:f>
        <x:v>5</x:v>
      </x:c>
      <x:c r="R2906" s="9" t="n">
        <x:f>K2906-P2906</x:f>
        <x:v>6.28</x:v>
      </x:c>
      <x:c r="S2906" s="10" t="n">
        <x:f>IF(K2906&gt;0,R2906/K2906,"")</x:f>
        <x:v>0.5024000000000001</x:v>
      </x:c>
    </x:row>
    <x:row r="2907">
      <x:c r="A2907" s="7" t="n">
        <x:v>2903</x:v>
      </x:c>
      <x:c r="B2907" s="7" t="str">
        <x:v>Tata</x:v>
      </x:c>
      <x:c r="C2907" s="7" t="str">
        <x:v>Nexon</x:v>
      </x:c>
      <x:c r="D2907" s="7" t="str">
        <x:v>Pure Diesel</x:v>
      </x:c>
      <x:c r="E2907" s="7" t="str">
        <x:v>Diesel</x:v>
      </x:c>
      <x:c r="F2907" s="7" t="str">
        <x:v>Manual</x:v>
      </x:c>
      <x:c r="G2907" s="7" t="str">
        <x:v>Compact SUV</x:v>
      </x:c>
      <x:c r="H2907" s="7" t="n">
        <x:v>1497</x:v>
      </x:c>
      <x:c r="I2907" s="7" t="n">
        <x:v>113</x:v>
      </x:c>
      <x:c r="J2907" s="9" t="n">
        <x:v>23.2</x:v>
      </x:c>
      <x:c r="K2907" s="9" t="n">
        <x:v>12.5</x:v>
      </x:c>
      <x:c r="L2907" s="7" t="n">
        <x:v>2020</x:v>
      </x:c>
      <x:c r="M2907" s="11" t="n">
        <x:v>129236</x:v>
      </x:c>
      <x:c r="N2907" s="7" t="n">
        <x:v>2</x:v>
      </x:c>
      <x:c r="O2907" s="7" t="n">
        <x:v>0</x:v>
      </x:c>
      <x:c r="P2907" s="9" t="n">
        <x:v>3.8</x:v>
      </x:c>
      <x:c r="Q2907" s="7" t="n">
        <x:f>'Guide'!$B$5-L2907</x:f>
        <x:v>6</x:v>
      </x:c>
      <x:c r="R2907" s="9" t="n">
        <x:f>K2907-P2907</x:f>
        <x:v>8.7</x:v>
      </x:c>
      <x:c r="S2907" s="10" t="n">
        <x:f>IF(K2907&gt;0,R2907/K2907,"")</x:f>
        <x:v>0.696</x:v>
      </x:c>
    </x:row>
    <x:row r="2908">
      <x:c r="A2908" s="7" t="n">
        <x:v>2904</x:v>
      </x:c>
      <x:c r="B2908" s="7" t="str">
        <x:v>Tata</x:v>
      </x:c>
      <x:c r="C2908" s="7" t="str">
        <x:v>Nexon</x:v>
      </x:c>
      <x:c r="D2908" s="7" t="str">
        <x:v>Pure Diesel</x:v>
      </x:c>
      <x:c r="E2908" s="7" t="str">
        <x:v>Diesel</x:v>
      </x:c>
      <x:c r="F2908" s="7" t="str">
        <x:v>Manual</x:v>
      </x:c>
      <x:c r="G2908" s="7" t="str">
        <x:v>Compact SUV</x:v>
      </x:c>
      <x:c r="H2908" s="7" t="n">
        <x:v>1497</x:v>
      </x:c>
      <x:c r="I2908" s="7" t="n">
        <x:v>113</x:v>
      </x:c>
      <x:c r="J2908" s="9" t="n">
        <x:v>23.2</x:v>
      </x:c>
      <x:c r="K2908" s="9" t="n">
        <x:v>12.5</x:v>
      </x:c>
      <x:c r="L2908" s="7" t="n">
        <x:v>2020</x:v>
      </x:c>
      <x:c r="M2908" s="11" t="n">
        <x:v>80318</x:v>
      </x:c>
      <x:c r="N2908" s="7" t="n">
        <x:v>1</x:v>
      </x:c>
      <x:c r="O2908" s="7" t="n">
        <x:v>0</x:v>
      </x:c>
      <x:c r="P2908" s="9" t="n">
        <x:v>5.21</x:v>
      </x:c>
      <x:c r="Q2908" s="7" t="n">
        <x:f>'Guide'!$B$5-L2908</x:f>
        <x:v>6</x:v>
      </x:c>
      <x:c r="R2908" s="9" t="n">
        <x:f>K2908-P2908</x:f>
        <x:v>7.29</x:v>
      </x:c>
      <x:c r="S2908" s="10" t="n">
        <x:f>IF(K2908&gt;0,R2908/K2908,"")</x:f>
        <x:v>0.5832</x:v>
      </x:c>
    </x:row>
    <x:row r="2909">
      <x:c r="A2909" s="7" t="n">
        <x:v>2905</x:v>
      </x:c>
      <x:c r="B2909" s="7" t="str">
        <x:v>Tata</x:v>
      </x:c>
      <x:c r="C2909" s="7" t="str">
        <x:v>Nexon</x:v>
      </x:c>
      <x:c r="D2909" s="7" t="str">
        <x:v>Pure Diesel</x:v>
      </x:c>
      <x:c r="E2909" s="7" t="str">
        <x:v>Diesel</x:v>
      </x:c>
      <x:c r="F2909" s="7" t="str">
        <x:v>Manual</x:v>
      </x:c>
      <x:c r="G2909" s="7" t="str">
        <x:v>Compact SUV</x:v>
      </x:c>
      <x:c r="H2909" s="7" t="n">
        <x:v>1497</x:v>
      </x:c>
      <x:c r="I2909" s="7" t="n">
        <x:v>113</x:v>
      </x:c>
      <x:c r="J2909" s="9" t="n">
        <x:v>23.2</x:v>
      </x:c>
      <x:c r="K2909" s="9" t="n">
        <x:v>12.5</x:v>
      </x:c>
      <x:c r="L2909" s="7" t="n">
        <x:v>2021</x:v>
      </x:c>
      <x:c r="M2909" s="11" t="n">
        <x:v>49572</x:v>
      </x:c>
      <x:c r="N2909" s="7" t="n">
        <x:v>2</x:v>
      </x:c>
      <x:c r="O2909" s="7" t="n">
        <x:v>0</x:v>
      </x:c>
      <x:c r="P2909" s="9" t="n">
        <x:v>6.12</x:v>
      </x:c>
      <x:c r="Q2909" s="7" t="n">
        <x:f>'Guide'!$B$5-L2909</x:f>
        <x:v>5</x:v>
      </x:c>
      <x:c r="R2909" s="9" t="n">
        <x:f>K2909-P2909</x:f>
        <x:v>6.38</x:v>
      </x:c>
      <x:c r="S2909" s="10" t="n">
        <x:f>IF(K2909&gt;0,R2909/K2909,"")</x:f>
        <x:v>0.5104</x:v>
      </x:c>
    </x:row>
    <x:row r="2910">
      <x:c r="A2910" s="7" t="n">
        <x:v>2906</x:v>
      </x:c>
      <x:c r="B2910" s="7" t="str">
        <x:v>Tata</x:v>
      </x:c>
      <x:c r="C2910" s="7" t="str">
        <x:v>Nexon</x:v>
      </x:c>
      <x:c r="D2910" s="7" t="str">
        <x:v>Pure Diesel</x:v>
      </x:c>
      <x:c r="E2910" s="7" t="str">
        <x:v>Diesel</x:v>
      </x:c>
      <x:c r="F2910" s="7" t="str">
        <x:v>Manual</x:v>
      </x:c>
      <x:c r="G2910" s="7" t="str">
        <x:v>Compact SUV</x:v>
      </x:c>
      <x:c r="H2910" s="7" t="n">
        <x:v>1497</x:v>
      </x:c>
      <x:c r="I2910" s="7" t="n">
        <x:v>113</x:v>
      </x:c>
      <x:c r="J2910" s="9" t="n">
        <x:v>23.2</x:v>
      </x:c>
      <x:c r="K2910" s="9" t="n">
        <x:v>12.5</x:v>
      </x:c>
      <x:c r="L2910" s="7" t="n">
        <x:v>2024</x:v>
      </x:c>
      <x:c r="M2910" s="11" t="n">
        <x:v>31268</x:v>
      </x:c>
      <x:c r="N2910" s="7" t="n">
        <x:v>1</x:v>
      </x:c>
      <x:c r="O2910" s="7" t="n">
        <x:v>0</x:v>
      </x:c>
      <x:c r="P2910" s="9" t="n">
        <x:v>10.02</x:v>
      </x:c>
      <x:c r="Q2910" s="7" t="n">
        <x:f>'Guide'!$B$5-L2910</x:f>
        <x:v>2</x:v>
      </x:c>
      <x:c r="R2910" s="9" t="n">
        <x:f>K2910-P2910</x:f>
        <x:v>2.4800000000000004</x:v>
      </x:c>
      <x:c r="S2910" s="10" t="n">
        <x:f>IF(K2910&gt;0,R2910/K2910,"")</x:f>
        <x:v>0.19840000000000002</x:v>
      </x:c>
    </x:row>
    <x:row r="2911">
      <x:c r="A2911" s="7" t="n">
        <x:v>2907</x:v>
      </x:c>
      <x:c r="B2911" s="7" t="str">
        <x:v>Tata</x:v>
      </x:c>
      <x:c r="C2911" s="7" t="str">
        <x:v>Nexon</x:v>
      </x:c>
      <x:c r="D2911" s="7" t="str">
        <x:v>Pure Diesel</x:v>
      </x:c>
      <x:c r="E2911" s="7" t="str">
        <x:v>Diesel</x:v>
      </x:c>
      <x:c r="F2911" s="7" t="str">
        <x:v>Manual</x:v>
      </x:c>
      <x:c r="G2911" s="7" t="str">
        <x:v>Compact SUV</x:v>
      </x:c>
      <x:c r="H2911" s="7" t="n">
        <x:v>1497</x:v>
      </x:c>
      <x:c r="I2911" s="7" t="n">
        <x:v>113</x:v>
      </x:c>
      <x:c r="J2911" s="9" t="n">
        <x:v>23.2</x:v>
      </x:c>
      <x:c r="K2911" s="9" t="n">
        <x:v>12.5</x:v>
      </x:c>
      <x:c r="L2911" s="7" t="n">
        <x:v>2026</x:v>
      </x:c>
      <x:c r="M2911" s="11" t="n">
        <x:v>7915</x:v>
      </x:c>
      <x:c r="N2911" s="7" t="n">
        <x:v>1</x:v>
      </x:c>
      <x:c r="O2911" s="7" t="n">
        <x:v>0</x:v>
      </x:c>
      <x:c r="P2911" s="9" t="n">
        <x:v>12.32</x:v>
      </x:c>
      <x:c r="Q2911" s="7" t="n">
        <x:f>'Guide'!$B$5-L2911</x:f>
        <x:v>0</x:v>
      </x:c>
      <x:c r="R2911" s="9" t="n">
        <x:f>K2911-P2911</x:f>
        <x:v>0.17999999999999972</x:v>
      </x:c>
      <x:c r="S2911" s="10" t="n">
        <x:f>IF(K2911&gt;0,R2911/K2911,"")</x:f>
        <x:v>0.014399999999999977</x:v>
      </x:c>
    </x:row>
    <x:row r="2912">
      <x:c r="A2912" s="7" t="n">
        <x:v>2908</x:v>
      </x:c>
      <x:c r="B2912" s="7" t="str">
        <x:v>Tata</x:v>
      </x:c>
      <x:c r="C2912" s="7" t="str">
        <x:v>Nexon</x:v>
      </x:c>
      <x:c r="D2912" s="7" t="str">
        <x:v>Pure Diesel</x:v>
      </x:c>
      <x:c r="E2912" s="7" t="str">
        <x:v>Diesel</x:v>
      </x:c>
      <x:c r="F2912" s="7" t="str">
        <x:v>Manual</x:v>
      </x:c>
      <x:c r="G2912" s="7" t="str">
        <x:v>Compact SUV</x:v>
      </x:c>
      <x:c r="H2912" s="7" t="n">
        <x:v>1497</x:v>
      </x:c>
      <x:c r="I2912" s="7" t="n">
        <x:v>113</x:v>
      </x:c>
      <x:c r="J2912" s="9" t="n">
        <x:v>23.2</x:v>
      </x:c>
      <x:c r="K2912" s="9" t="n">
        <x:v>12.5</x:v>
      </x:c>
      <x:c r="L2912" s="7" t="n">
        <x:v>2025</x:v>
      </x:c>
      <x:c r="M2912" s="11" t="n">
        <x:v>16711</x:v>
      </x:c>
      <x:c r="N2912" s="7" t="n">
        <x:v>1</x:v>
      </x:c>
      <x:c r="O2912" s="7" t="n">
        <x:v>0</x:v>
      </x:c>
      <x:c r="P2912" s="9" t="n">
        <x:v>11.42</x:v>
      </x:c>
      <x:c r="Q2912" s="7" t="n">
        <x:f>'Guide'!$B$5-L2912</x:f>
        <x:v>1</x:v>
      </x:c>
      <x:c r="R2912" s="9" t="n">
        <x:f>K2912-P2912</x:f>
        <x:v>1.08</x:v>
      </x:c>
      <x:c r="S2912" s="10" t="n">
        <x:f>IF(K2912&gt;0,R2912/K2912,"")</x:f>
        <x:v>0.0864</x:v>
      </x:c>
    </x:row>
    <x:row r="2913">
      <x:c r="A2913" s="7" t="n">
        <x:v>2909</x:v>
      </x:c>
      <x:c r="B2913" s="7" t="str">
        <x:v>Tata</x:v>
      </x:c>
      <x:c r="C2913" s="7" t="str">
        <x:v>Nexon</x:v>
      </x:c>
      <x:c r="D2913" s="7" t="str">
        <x:v>Pure Diesel</x:v>
      </x:c>
      <x:c r="E2913" s="7" t="str">
        <x:v>Diesel</x:v>
      </x:c>
      <x:c r="F2913" s="7" t="str">
        <x:v>Manual</x:v>
      </x:c>
      <x:c r="G2913" s="7" t="str">
        <x:v>Compact SUV</x:v>
      </x:c>
      <x:c r="H2913" s="7" t="n">
        <x:v>1497</x:v>
      </x:c>
      <x:c r="I2913" s="7" t="n">
        <x:v>113</x:v>
      </x:c>
      <x:c r="J2913" s="9" t="n">
        <x:v>23.2</x:v>
      </x:c>
      <x:c r="K2913" s="9" t="n">
        <x:v>12.5</x:v>
      </x:c>
      <x:c r="L2913" s="7" t="n">
        <x:v>2022</x:v>
      </x:c>
      <x:c r="M2913" s="11" t="n">
        <x:v>62964</x:v>
      </x:c>
      <x:c r="N2913" s="7" t="n">
        <x:v>3</x:v>
      </x:c>
      <x:c r="O2913" s="7" t="n">
        <x:v>1</x:v>
      </x:c>
      <x:c r="P2913" s="9" t="n">
        <x:v>5.81</x:v>
      </x:c>
      <x:c r="Q2913" s="7" t="n">
        <x:f>'Guide'!$B$5-L2913</x:f>
        <x:v>4</x:v>
      </x:c>
      <x:c r="R2913" s="9" t="n">
        <x:f>K2913-P2913</x:f>
        <x:v>6.69</x:v>
      </x:c>
      <x:c r="S2913" s="10" t="n">
        <x:f>IF(K2913&gt;0,R2913/K2913,"")</x:f>
        <x:v>0.5352</x:v>
      </x:c>
    </x:row>
    <x:row r="2914">
      <x:c r="A2914" s="7" t="n">
        <x:v>2910</x:v>
      </x:c>
      <x:c r="B2914" s="7" t="str">
        <x:v>Tata</x:v>
      </x:c>
      <x:c r="C2914" s="7" t="str">
        <x:v>Nexon</x:v>
      </x:c>
      <x:c r="D2914" s="7" t="str">
        <x:v>Pure Diesel</x:v>
      </x:c>
      <x:c r="E2914" s="7" t="str">
        <x:v>Diesel</x:v>
      </x:c>
      <x:c r="F2914" s="7" t="str">
        <x:v>Manual</x:v>
      </x:c>
      <x:c r="G2914" s="7" t="str">
        <x:v>Compact SUV</x:v>
      </x:c>
      <x:c r="H2914" s="7" t="n">
        <x:v>1497</x:v>
      </x:c>
      <x:c r="I2914" s="7" t="n">
        <x:v>113</x:v>
      </x:c>
      <x:c r="J2914" s="9" t="n">
        <x:v>23.2</x:v>
      </x:c>
      <x:c r="K2914" s="9" t="n">
        <x:v>12.5</x:v>
      </x:c>
      <x:c r="L2914" s="7" t="n">
        <x:v>2025</x:v>
      </x:c>
      <x:c r="M2914" s="11" t="n">
        <x:v>27764</x:v>
      </x:c>
      <x:c r="N2914" s="7" t="n">
        <x:v>1</x:v>
      </x:c>
      <x:c r="O2914" s="7" t="n">
        <x:v>0</x:v>
      </x:c>
      <x:c r="P2914" s="9" t="n">
        <x:v>10.94</x:v>
      </x:c>
      <x:c r="Q2914" s="7" t="n">
        <x:f>'Guide'!$B$5-L2914</x:f>
        <x:v>1</x:v>
      </x:c>
      <x:c r="R2914" s="9" t="n">
        <x:f>K2914-P2914</x:f>
        <x:v>1.5600000000000005</x:v>
      </x:c>
      <x:c r="S2914" s="10" t="n">
        <x:f>IF(K2914&gt;0,R2914/K2914,"")</x:f>
        <x:v>0.12480000000000004</x:v>
      </x:c>
    </x:row>
    <x:row r="2915">
      <x:c r="A2915" s="7" t="n">
        <x:v>2911</x:v>
      </x:c>
      <x:c r="B2915" s="7" t="str">
        <x:v>Tata</x:v>
      </x:c>
      <x:c r="C2915" s="7" t="str">
        <x:v>Nexon</x:v>
      </x:c>
      <x:c r="D2915" s="7" t="str">
        <x:v>Pure Diesel</x:v>
      </x:c>
      <x:c r="E2915" s="7" t="str">
        <x:v>Diesel</x:v>
      </x:c>
      <x:c r="F2915" s="7" t="str">
        <x:v>Manual</x:v>
      </x:c>
      <x:c r="G2915" s="7" t="str">
        <x:v>Compact SUV</x:v>
      </x:c>
      <x:c r="H2915" s="7" t="n">
        <x:v>1497</x:v>
      </x:c>
      <x:c r="I2915" s="7" t="n">
        <x:v>113</x:v>
      </x:c>
      <x:c r="J2915" s="9" t="n">
        <x:v>23.2</x:v>
      </x:c>
      <x:c r="K2915" s="9" t="n">
        <x:v>12.5</x:v>
      </x:c>
      <x:c r="L2915" s="7" t="n">
        <x:v>2026</x:v>
      </x:c>
      <x:c r="M2915" s="11" t="n">
        <x:v>7746</x:v>
      </x:c>
      <x:c r="N2915" s="7" t="n">
        <x:v>1</x:v>
      </x:c>
      <x:c r="O2915" s="7" t="n">
        <x:v>0</x:v>
      </x:c>
      <x:c r="P2915" s="9" t="n">
        <x:v>12.11</x:v>
      </x:c>
      <x:c r="Q2915" s="7" t="n">
        <x:f>'Guide'!$B$5-L2915</x:f>
        <x:v>0</x:v>
      </x:c>
      <x:c r="R2915" s="9" t="n">
        <x:f>K2915-P2915</x:f>
        <x:v>0.39000000000000057</x:v>
      </x:c>
      <x:c r="S2915" s="10" t="n">
        <x:f>IF(K2915&gt;0,R2915/K2915,"")</x:f>
        <x:v>0.031200000000000047</x:v>
      </x:c>
    </x:row>
    <x:row r="2916">
      <x:c r="A2916" s="7" t="n">
        <x:v>2912</x:v>
      </x:c>
      <x:c r="B2916" s="7" t="str">
        <x:v>Tata</x:v>
      </x:c>
      <x:c r="C2916" s="7" t="str">
        <x:v>Nexon</x:v>
      </x:c>
      <x:c r="D2916" s="7" t="str">
        <x:v>Pure Diesel</x:v>
      </x:c>
      <x:c r="E2916" s="7" t="str">
        <x:v>Diesel</x:v>
      </x:c>
      <x:c r="F2916" s="7" t="str">
        <x:v>Manual</x:v>
      </x:c>
      <x:c r="G2916" s="7" t="str">
        <x:v>Compact SUV</x:v>
      </x:c>
      <x:c r="H2916" s="7" t="n">
        <x:v>1497</x:v>
      </x:c>
      <x:c r="I2916" s="7" t="n">
        <x:v>113</x:v>
      </x:c>
      <x:c r="J2916" s="9" t="n">
        <x:v>23.2</x:v>
      </x:c>
      <x:c r="K2916" s="9" t="n">
        <x:v>12.5</x:v>
      </x:c>
      <x:c r="L2916" s="7" t="n">
        <x:v>2023</x:v>
      </x:c>
      <x:c r="M2916" s="11" t="n">
        <x:v>44233</x:v>
      </x:c>
      <x:c r="N2916" s="7" t="n">
        <x:v>2</x:v>
      </x:c>
      <x:c r="O2916" s="7" t="n">
        <x:v>1</x:v>
      </x:c>
      <x:c r="P2916" s="9" t="n">
        <x:v>7.42</x:v>
      </x:c>
      <x:c r="Q2916" s="7" t="n">
        <x:f>'Guide'!$B$5-L2916</x:f>
        <x:v>3</x:v>
      </x:c>
      <x:c r="R2916" s="9" t="n">
        <x:f>K2916-P2916</x:f>
        <x:v>5.08</x:v>
      </x:c>
      <x:c r="S2916" s="10" t="n">
        <x:f>IF(K2916&gt;0,R2916/K2916,"")</x:f>
        <x:v>0.4064</x:v>
      </x:c>
    </x:row>
    <x:row r="2917">
      <x:c r="A2917" s="7" t="n">
        <x:v>2913</x:v>
      </x:c>
      <x:c r="B2917" s="7" t="str">
        <x:v>Tata</x:v>
      </x:c>
      <x:c r="C2917" s="7" t="str">
        <x:v>Nexon</x:v>
      </x:c>
      <x:c r="D2917" s="7" t="str">
        <x:v>Pure Diesel</x:v>
      </x:c>
      <x:c r="E2917" s="7" t="str">
        <x:v>Diesel</x:v>
      </x:c>
      <x:c r="F2917" s="7" t="str">
        <x:v>Manual</x:v>
      </x:c>
      <x:c r="G2917" s="7" t="str">
        <x:v>Compact SUV</x:v>
      </x:c>
      <x:c r="H2917" s="7" t="n">
        <x:v>1497</x:v>
      </x:c>
      <x:c r="I2917" s="7" t="n">
        <x:v>113</x:v>
      </x:c>
      <x:c r="J2917" s="9" t="n">
        <x:v>23.2</x:v>
      </x:c>
      <x:c r="K2917" s="9" t="n">
        <x:v>12.5</x:v>
      </x:c>
      <x:c r="L2917" s="7" t="n">
        <x:v>2022</x:v>
      </x:c>
      <x:c r="M2917" s="11" t="n">
        <x:v>57872</x:v>
      </x:c>
      <x:c r="N2917" s="7" t="n">
        <x:v>1</x:v>
      </x:c>
      <x:c r="O2917" s="7" t="n">
        <x:v>0</x:v>
      </x:c>
      <x:c r="P2917" s="9" t="n">
        <x:v>8.01</x:v>
      </x:c>
      <x:c r="Q2917" s="7" t="n">
        <x:f>'Guide'!$B$5-L2917</x:f>
        <x:v>4</x:v>
      </x:c>
      <x:c r="R2917" s="9" t="n">
        <x:f>K2917-P2917</x:f>
        <x:v>4.49</x:v>
      </x:c>
      <x:c r="S2917" s="10" t="n">
        <x:f>IF(K2917&gt;0,R2917/K2917,"")</x:f>
        <x:v>0.3592</x:v>
      </x:c>
    </x:row>
    <x:row r="2918">
      <x:c r="A2918" s="7" t="n">
        <x:v>2914</x:v>
      </x:c>
      <x:c r="B2918" s="7" t="str">
        <x:v>Tata</x:v>
      </x:c>
      <x:c r="C2918" s="7" t="str">
        <x:v>Nexon</x:v>
      </x:c>
      <x:c r="D2918" s="7" t="str">
        <x:v>Pure Diesel</x:v>
      </x:c>
      <x:c r="E2918" s="7" t="str">
        <x:v>Diesel</x:v>
      </x:c>
      <x:c r="F2918" s="7" t="str">
        <x:v>Manual</x:v>
      </x:c>
      <x:c r="G2918" s="7" t="str">
        <x:v>Compact SUV</x:v>
      </x:c>
      <x:c r="H2918" s="7" t="n">
        <x:v>1497</x:v>
      </x:c>
      <x:c r="I2918" s="7" t="n">
        <x:v>113</x:v>
      </x:c>
      <x:c r="J2918" s="9" t="n">
        <x:v>23.2</x:v>
      </x:c>
      <x:c r="K2918" s="9" t="n">
        <x:v>12.5</x:v>
      </x:c>
      <x:c r="L2918" s="7" t="n">
        <x:v>2024</x:v>
      </x:c>
      <x:c r="M2918" s="11" t="n">
        <x:v>42970</x:v>
      </x:c>
      <x:c r="N2918" s="7" t="n">
        <x:v>1</x:v>
      </x:c>
      <x:c r="O2918" s="7" t="n">
        <x:v>1</x:v>
      </x:c>
      <x:c r="P2918" s="9" t="n">
        <x:v>9.22</x:v>
      </x:c>
      <x:c r="Q2918" s="7" t="n">
        <x:f>'Guide'!$B$5-L2918</x:f>
        <x:v>2</x:v>
      </x:c>
      <x:c r="R2918" s="9" t="n">
        <x:f>K2918-P2918</x:f>
        <x:v>3.2799999999999994</x:v>
      </x:c>
      <x:c r="S2918" s="10" t="n">
        <x:f>IF(K2918&gt;0,R2918/K2918,"")</x:f>
        <x:v>0.26239999999999997</x:v>
      </x:c>
    </x:row>
    <x:row r="2919">
      <x:c r="A2919" s="7" t="n">
        <x:v>2915</x:v>
      </x:c>
      <x:c r="B2919" s="7" t="str">
        <x:v>Tata</x:v>
      </x:c>
      <x:c r="C2919" s="7" t="str">
        <x:v>Nexon</x:v>
      </x:c>
      <x:c r="D2919" s="7" t="str">
        <x:v>Pure Diesel</x:v>
      </x:c>
      <x:c r="E2919" s="7" t="str">
        <x:v>Diesel</x:v>
      </x:c>
      <x:c r="F2919" s="7" t="str">
        <x:v>Manual</x:v>
      </x:c>
      <x:c r="G2919" s="7" t="str">
        <x:v>Compact SUV</x:v>
      </x:c>
      <x:c r="H2919" s="7" t="n">
        <x:v>1497</x:v>
      </x:c>
      <x:c r="I2919" s="7" t="n">
        <x:v>113</x:v>
      </x:c>
      <x:c r="J2919" s="9" t="n">
        <x:v>23.2</x:v>
      </x:c>
      <x:c r="K2919" s="9" t="n">
        <x:v>12.5</x:v>
      </x:c>
      <x:c r="L2919" s="7" t="n">
        <x:v>2021</x:v>
      </x:c>
      <x:c r="M2919" s="11" t="n">
        <x:v>96158</x:v>
      </x:c>
      <x:c r="N2919" s="7" t="n">
        <x:v>1</x:v>
      </x:c>
      <x:c r="O2919" s="7" t="n">
        <x:v>0</x:v>
      </x:c>
      <x:c r="P2919" s="9" t="n">
        <x:v>6.32</x:v>
      </x:c>
      <x:c r="Q2919" s="7" t="n">
        <x:f>'Guide'!$B$5-L2919</x:f>
        <x:v>5</x:v>
      </x:c>
      <x:c r="R2919" s="9" t="n">
        <x:f>K2919-P2919</x:f>
        <x:v>6.18</x:v>
      </x:c>
      <x:c r="S2919" s="10" t="n">
        <x:f>IF(K2919&gt;0,R2919/K2919,"")</x:f>
        <x:v>0.49439999999999995</x:v>
      </x:c>
    </x:row>
    <x:row r="2920">
      <x:c r="A2920" s="7" t="n">
        <x:v>2916</x:v>
      </x:c>
      <x:c r="B2920" s="7" t="str">
        <x:v>Tata</x:v>
      </x:c>
      <x:c r="C2920" s="7" t="str">
        <x:v>Nexon</x:v>
      </x:c>
      <x:c r="D2920" s="7" t="str">
        <x:v>Pure Diesel</x:v>
      </x:c>
      <x:c r="E2920" s="7" t="str">
        <x:v>Diesel</x:v>
      </x:c>
      <x:c r="F2920" s="7" t="str">
        <x:v>Manual</x:v>
      </x:c>
      <x:c r="G2920" s="7" t="str">
        <x:v>Compact SUV</x:v>
      </x:c>
      <x:c r="H2920" s="7" t="n">
        <x:v>1497</x:v>
      </x:c>
      <x:c r="I2920" s="7" t="n">
        <x:v>113</x:v>
      </x:c>
      <x:c r="J2920" s="9" t="n">
        <x:v>23.2</x:v>
      </x:c>
      <x:c r="K2920" s="9" t="n">
        <x:v>12.5</x:v>
      </x:c>
      <x:c r="L2920" s="7" t="n">
        <x:v>2026</x:v>
      </x:c>
      <x:c r="M2920" s="11" t="n">
        <x:v>7048</x:v>
      </x:c>
      <x:c r="N2920" s="7" t="n">
        <x:v>2</x:v>
      </x:c>
      <x:c r="O2920" s="7" t="n">
        <x:v>0</x:v>
      </x:c>
      <x:c r="P2920" s="9" t="n">
        <x:v>11.59</x:v>
      </x:c>
      <x:c r="Q2920" s="7" t="n">
        <x:f>'Guide'!$B$5-L2920</x:f>
        <x:v>0</x:v>
      </x:c>
      <x:c r="R2920" s="9" t="n">
        <x:f>K2920-P2920</x:f>
        <x:v>0.9100000000000001</x:v>
      </x:c>
      <x:c r="S2920" s="10" t="n">
        <x:f>IF(K2920&gt;0,R2920/K2920,"")</x:f>
        <x:v>0.07280000000000002</x:v>
      </x:c>
    </x:row>
    <x:row r="2921">
      <x:c r="A2921" s="7" t="n">
        <x:v>2917</x:v>
      </x:c>
      <x:c r="B2921" s="7" t="str">
        <x:v>Tata</x:v>
      </x:c>
      <x:c r="C2921" s="7" t="str">
        <x:v>Nexon</x:v>
      </x:c>
      <x:c r="D2921" s="7" t="str">
        <x:v>Pure Diesel</x:v>
      </x:c>
      <x:c r="E2921" s="7" t="str">
        <x:v>Diesel</x:v>
      </x:c>
      <x:c r="F2921" s="7" t="str">
        <x:v>Manual</x:v>
      </x:c>
      <x:c r="G2921" s="7" t="str">
        <x:v>Compact SUV</x:v>
      </x:c>
      <x:c r="H2921" s="7" t="n">
        <x:v>1497</x:v>
      </x:c>
      <x:c r="I2921" s="7" t="n">
        <x:v>113</x:v>
      </x:c>
      <x:c r="J2921" s="9" t="n">
        <x:v>23.2</x:v>
      </x:c>
      <x:c r="K2921" s="9" t="n">
        <x:v>12.5</x:v>
      </x:c>
      <x:c r="L2921" s="7" t="n">
        <x:v>2022</x:v>
      </x:c>
      <x:c r="M2921" s="11" t="n">
        <x:v>66555</x:v>
      </x:c>
      <x:c r="N2921" s="7" t="n">
        <x:v>1</x:v>
      </x:c>
      <x:c r="O2921" s="7" t="n">
        <x:v>0</x:v>
      </x:c>
      <x:c r="P2921" s="9" t="n">
        <x:v>7.9</x:v>
      </x:c>
      <x:c r="Q2921" s="7" t="n">
        <x:f>'Guide'!$B$5-L2921</x:f>
        <x:v>4</x:v>
      </x:c>
      <x:c r="R2921" s="9" t="n">
        <x:f>K2921-P2921</x:f>
        <x:v>4.6</x:v>
      </x:c>
      <x:c r="S2921" s="10" t="n">
        <x:f>IF(K2921&gt;0,R2921/K2921,"")</x:f>
        <x:v>0.368</x:v>
      </x:c>
    </x:row>
    <x:row r="2922">
      <x:c r="A2922" s="7" t="n">
        <x:v>2918</x:v>
      </x:c>
      <x:c r="B2922" s="7" t="str">
        <x:v>Tata</x:v>
      </x:c>
      <x:c r="C2922" s="7" t="str">
        <x:v>Nexon</x:v>
      </x:c>
      <x:c r="D2922" s="7" t="str">
        <x:v>Pure Diesel</x:v>
      </x:c>
      <x:c r="E2922" s="7" t="str">
        <x:v>Diesel</x:v>
      </x:c>
      <x:c r="F2922" s="7" t="str">
        <x:v>Manual</x:v>
      </x:c>
      <x:c r="G2922" s="7" t="str">
        <x:v>Compact SUV</x:v>
      </x:c>
      <x:c r="H2922" s="7" t="n">
        <x:v>1497</x:v>
      </x:c>
      <x:c r="I2922" s="7" t="n">
        <x:v>113</x:v>
      </x:c>
      <x:c r="J2922" s="9" t="n">
        <x:v>23.2</x:v>
      </x:c>
      <x:c r="K2922" s="9" t="n">
        <x:v>12.5</x:v>
      </x:c>
      <x:c r="L2922" s="7" t="n">
        <x:v>2020</x:v>
      </x:c>
      <x:c r="M2922" s="11" t="n">
        <x:v>59580</x:v>
      </x:c>
      <x:c r="N2922" s="7" t="n">
        <x:v>2</x:v>
      </x:c>
      <x:c r="O2922" s="7" t="n">
        <x:v>0</x:v>
      </x:c>
      <x:c r="P2922" s="9" t="n">
        <x:v>5.24</x:v>
      </x:c>
      <x:c r="Q2922" s="7" t="n">
        <x:f>'Guide'!$B$5-L2922</x:f>
        <x:v>6</x:v>
      </x:c>
      <x:c r="R2922" s="9" t="n">
        <x:f>K2922-P2922</x:f>
        <x:v>7.26</x:v>
      </x:c>
      <x:c r="S2922" s="10" t="n">
        <x:f>IF(K2922&gt;0,R2922/K2922,"")</x:f>
        <x:v>0.5808</x:v>
      </x:c>
    </x:row>
    <x:row r="2923">
      <x:c r="A2923" s="7" t="n">
        <x:v>2919</x:v>
      </x:c>
      <x:c r="B2923" s="7" t="str">
        <x:v>Tata</x:v>
      </x:c>
      <x:c r="C2923" s="7" t="str">
        <x:v>Nexon</x:v>
      </x:c>
      <x:c r="D2923" s="7" t="str">
        <x:v>Pure Diesel</x:v>
      </x:c>
      <x:c r="E2923" s="7" t="str">
        <x:v>Diesel</x:v>
      </x:c>
      <x:c r="F2923" s="7" t="str">
        <x:v>Manual</x:v>
      </x:c>
      <x:c r="G2923" s="7" t="str">
        <x:v>Compact SUV</x:v>
      </x:c>
      <x:c r="H2923" s="7" t="n">
        <x:v>1497</x:v>
      </x:c>
      <x:c r="I2923" s="7" t="n">
        <x:v>113</x:v>
      </x:c>
      <x:c r="J2923" s="9" t="n">
        <x:v>23.2</x:v>
      </x:c>
      <x:c r="K2923" s="9" t="n">
        <x:v>12.5</x:v>
      </x:c>
      <x:c r="L2923" s="7" t="n">
        <x:v>2025</x:v>
      </x:c>
      <x:c r="M2923" s="11" t="n">
        <x:v>25684</x:v>
      </x:c>
      <x:c r="N2923" s="7" t="n">
        <x:v>2</x:v>
      </x:c>
      <x:c r="O2923" s="7" t="n">
        <x:v>0</x:v>
      </x:c>
      <x:c r="P2923" s="9" t="n">
        <x:v>10.56</x:v>
      </x:c>
      <x:c r="Q2923" s="7" t="n">
        <x:f>'Guide'!$B$5-L2923</x:f>
        <x:v>1</x:v>
      </x:c>
      <x:c r="R2923" s="9" t="n">
        <x:f>K2923-P2923</x:f>
        <x:v>1.9399999999999995</x:v>
      </x:c>
      <x:c r="S2923" s="10" t="n">
        <x:f>IF(K2923&gt;0,R2923/K2923,"")</x:f>
        <x:v>0.15519999999999995</x:v>
      </x:c>
    </x:row>
    <x:row r="2924">
      <x:c r="A2924" s="7" t="n">
        <x:v>2920</x:v>
      </x:c>
      <x:c r="B2924" s="7" t="str">
        <x:v>Tata</x:v>
      </x:c>
      <x:c r="C2924" s="7" t="str">
        <x:v>Nexon</x:v>
      </x:c>
      <x:c r="D2924" s="7" t="str">
        <x:v>Pure Diesel</x:v>
      </x:c>
      <x:c r="E2924" s="7" t="str">
        <x:v>Diesel</x:v>
      </x:c>
      <x:c r="F2924" s="7" t="str">
        <x:v>Manual</x:v>
      </x:c>
      <x:c r="G2924" s="7" t="str">
        <x:v>Compact SUV</x:v>
      </x:c>
      <x:c r="H2924" s="7" t="n">
        <x:v>1497</x:v>
      </x:c>
      <x:c r="I2924" s="7" t="n">
        <x:v>113</x:v>
      </x:c>
      <x:c r="J2924" s="9" t="n">
        <x:v>23.2</x:v>
      </x:c>
      <x:c r="K2924" s="9" t="n">
        <x:v>12.5</x:v>
      </x:c>
      <x:c r="L2924" s="7" t="n">
        <x:v>2026</x:v>
      </x:c>
      <x:c r="M2924" s="11" t="n">
        <x:v>8903</x:v>
      </x:c>
      <x:c r="N2924" s="7" t="n">
        <x:v>1</x:v>
      </x:c>
      <x:c r="O2924" s="7" t="n">
        <x:v>0</x:v>
      </x:c>
      <x:c r="P2924" s="9" t="n">
        <x:v>12.25</x:v>
      </x:c>
      <x:c r="Q2924" s="7" t="n">
        <x:f>'Guide'!$B$5-L2924</x:f>
        <x:v>0</x:v>
      </x:c>
      <x:c r="R2924" s="9" t="n">
        <x:f>K2924-P2924</x:f>
        <x:v>0.25</x:v>
      </x:c>
      <x:c r="S2924" s="10" t="n">
        <x:f>IF(K2924&gt;0,R2924/K2924,"")</x:f>
        <x:v>0.02</x:v>
      </x:c>
    </x:row>
    <x:row r="2925">
      <x:c r="A2925" s="7" t="n">
        <x:v>2921</x:v>
      </x:c>
      <x:c r="B2925" s="7" t="str">
        <x:v>Tata</x:v>
      </x:c>
      <x:c r="C2925" s="7" t="str">
        <x:v>Nexon</x:v>
      </x:c>
      <x:c r="D2925" s="7" t="str">
        <x:v>Pure Diesel</x:v>
      </x:c>
      <x:c r="E2925" s="7" t="str">
        <x:v>Diesel</x:v>
      </x:c>
      <x:c r="F2925" s="7" t="str">
        <x:v>Manual</x:v>
      </x:c>
      <x:c r="G2925" s="7" t="str">
        <x:v>Compact SUV</x:v>
      </x:c>
      <x:c r="H2925" s="7" t="n">
        <x:v>1497</x:v>
      </x:c>
      <x:c r="I2925" s="7" t="n">
        <x:v>113</x:v>
      </x:c>
      <x:c r="J2925" s="9" t="n">
        <x:v>23.2</x:v>
      </x:c>
      <x:c r="K2925" s="9" t="n">
        <x:v>12.5</x:v>
      </x:c>
      <x:c r="L2925" s="7" t="n">
        <x:v>2021</x:v>
      </x:c>
      <x:c r="M2925" s="11" t="n">
        <x:v>93846</x:v>
      </x:c>
      <x:c r="N2925" s="7" t="n">
        <x:v>2</x:v>
      </x:c>
      <x:c r="O2925" s="7" t="n">
        <x:v>0</x:v>
      </x:c>
      <x:c r="P2925" s="9" t="n">
        <x:v>5.75</x:v>
      </x:c>
      <x:c r="Q2925" s="7" t="n">
        <x:f>'Guide'!$B$5-L2925</x:f>
        <x:v>5</x:v>
      </x:c>
      <x:c r="R2925" s="9" t="n">
        <x:f>K2925-P2925</x:f>
        <x:v>6.75</x:v>
      </x:c>
      <x:c r="S2925" s="10" t="n">
        <x:f>IF(K2925&gt;0,R2925/K2925,"")</x:f>
        <x:v>0.54</x:v>
      </x:c>
    </x:row>
    <x:row r="2926">
      <x:c r="A2926" s="7" t="n">
        <x:v>2922</x:v>
      </x:c>
      <x:c r="B2926" s="7" t="str">
        <x:v>Tata</x:v>
      </x:c>
      <x:c r="C2926" s="7" t="str">
        <x:v>Nexon</x:v>
      </x:c>
      <x:c r="D2926" s="7" t="str">
        <x:v>Pure Diesel</x:v>
      </x:c>
      <x:c r="E2926" s="7" t="str">
        <x:v>Diesel</x:v>
      </x:c>
      <x:c r="F2926" s="7" t="str">
        <x:v>Manual</x:v>
      </x:c>
      <x:c r="G2926" s="7" t="str">
        <x:v>Compact SUV</x:v>
      </x:c>
      <x:c r="H2926" s="7" t="n">
        <x:v>1497</x:v>
      </x:c>
      <x:c r="I2926" s="7" t="n">
        <x:v>113</x:v>
      </x:c>
      <x:c r="J2926" s="9" t="n">
        <x:v>23.2</x:v>
      </x:c>
      <x:c r="K2926" s="9" t="n">
        <x:v>12.5</x:v>
      </x:c>
      <x:c r="L2926" s="7" t="n">
        <x:v>2025</x:v>
      </x:c>
      <x:c r="M2926" s="11" t="n">
        <x:v>22184</x:v>
      </x:c>
      <x:c r="N2926" s="7" t="n">
        <x:v>1</x:v>
      </x:c>
      <x:c r="O2926" s="7" t="n">
        <x:v>0</x:v>
      </x:c>
      <x:c r="P2926" s="9" t="n">
        <x:v>10.88</x:v>
      </x:c>
      <x:c r="Q2926" s="7" t="n">
        <x:f>'Guide'!$B$5-L2926</x:f>
        <x:v>1</x:v>
      </x:c>
      <x:c r="R2926" s="9" t="n">
        <x:f>K2926-P2926</x:f>
        <x:v>1.6199999999999992</x:v>
      </x:c>
      <x:c r="S2926" s="10" t="n">
        <x:f>IF(K2926&gt;0,R2926/K2926,"")</x:f>
        <x:v>0.12959999999999994</x:v>
      </x:c>
    </x:row>
    <x:row r="2927">
      <x:c r="A2927" s="7" t="n">
        <x:v>2923</x:v>
      </x:c>
      <x:c r="B2927" s="7" t="str">
        <x:v>Tata</x:v>
      </x:c>
      <x:c r="C2927" s="7" t="str">
        <x:v>Nexon</x:v>
      </x:c>
      <x:c r="D2927" s="7" t="str">
        <x:v>Pure Diesel</x:v>
      </x:c>
      <x:c r="E2927" s="7" t="str">
        <x:v>Diesel</x:v>
      </x:c>
      <x:c r="F2927" s="7" t="str">
        <x:v>Manual</x:v>
      </x:c>
      <x:c r="G2927" s="7" t="str">
        <x:v>Compact SUV</x:v>
      </x:c>
      <x:c r="H2927" s="7" t="n">
        <x:v>1497</x:v>
      </x:c>
      <x:c r="I2927" s="7" t="n">
        <x:v>113</x:v>
      </x:c>
      <x:c r="J2927" s="9" t="n">
        <x:v>23.2</x:v>
      </x:c>
      <x:c r="K2927" s="9" t="n">
        <x:v>12.5</x:v>
      </x:c>
      <x:c r="L2927" s="7" t="n">
        <x:v>2022</x:v>
      </x:c>
      <x:c r="M2927" s="11" t="n">
        <x:v>59552</x:v>
      </x:c>
      <x:c r="N2927" s="7" t="n">
        <x:v>1</x:v>
      </x:c>
      <x:c r="O2927" s="7" t="n">
        <x:v>0</x:v>
      </x:c>
      <x:c r="P2927" s="9" t="n">
        <x:v>7.68</x:v>
      </x:c>
      <x:c r="Q2927" s="7" t="n">
        <x:f>'Guide'!$B$5-L2927</x:f>
        <x:v>4</x:v>
      </x:c>
      <x:c r="R2927" s="9" t="n">
        <x:f>K2927-P2927</x:f>
        <x:v>4.82</x:v>
      </x:c>
      <x:c r="S2927" s="10" t="n">
        <x:f>IF(K2927&gt;0,R2927/K2927,"")</x:f>
        <x:v>0.3856</x:v>
      </x:c>
    </x:row>
    <x:row r="2928">
      <x:c r="A2928" s="7" t="n">
        <x:v>2924</x:v>
      </x:c>
      <x:c r="B2928" s="7" t="str">
        <x:v>Tata</x:v>
      </x:c>
      <x:c r="C2928" s="7" t="str">
        <x:v>Nexon</x:v>
      </x:c>
      <x:c r="D2928" s="7" t="str">
        <x:v>Pure Diesel</x:v>
      </x:c>
      <x:c r="E2928" s="7" t="str">
        <x:v>Diesel</x:v>
      </x:c>
      <x:c r="F2928" s="7" t="str">
        <x:v>Manual</x:v>
      </x:c>
      <x:c r="G2928" s="7" t="str">
        <x:v>Compact SUV</x:v>
      </x:c>
      <x:c r="H2928" s="7" t="n">
        <x:v>1497</x:v>
      </x:c>
      <x:c r="I2928" s="7" t="n">
        <x:v>113</x:v>
      </x:c>
      <x:c r="J2928" s="9" t="n">
        <x:v>23.2</x:v>
      </x:c>
      <x:c r="K2928" s="9" t="n">
        <x:v>12.5</x:v>
      </x:c>
      <x:c r="L2928" s="7" t="n">
        <x:v>2020</x:v>
      </x:c>
      <x:c r="M2928" s="11" t="n">
        <x:v>83106</x:v>
      </x:c>
      <x:c r="N2928" s="7" t="n">
        <x:v>2</x:v>
      </x:c>
      <x:c r="O2928" s="7" t="n">
        <x:v>0</x:v>
      </x:c>
      <x:c r="P2928" s="9" t="n">
        <x:v>4.7</x:v>
      </x:c>
      <x:c r="Q2928" s="7" t="n">
        <x:f>'Guide'!$B$5-L2928</x:f>
        <x:v>6</x:v>
      </x:c>
      <x:c r="R2928" s="9" t="n">
        <x:f>K2928-P2928</x:f>
        <x:v>7.8</x:v>
      </x:c>
      <x:c r="S2928" s="10" t="n">
        <x:f>IF(K2928&gt;0,R2928/K2928,"")</x:f>
        <x:v>0.624</x:v>
      </x:c>
    </x:row>
    <x:row r="2929">
      <x:c r="A2929" s="7" t="n">
        <x:v>2925</x:v>
      </x:c>
      <x:c r="B2929" s="7" t="str">
        <x:v>Tata</x:v>
      </x:c>
      <x:c r="C2929" s="7" t="str">
        <x:v>Nexon</x:v>
      </x:c>
      <x:c r="D2929" s="7" t="str">
        <x:v>Pure Diesel</x:v>
      </x:c>
      <x:c r="E2929" s="7" t="str">
        <x:v>Diesel</x:v>
      </x:c>
      <x:c r="F2929" s="7" t="str">
        <x:v>Manual</x:v>
      </x:c>
      <x:c r="G2929" s="7" t="str">
        <x:v>Compact SUV</x:v>
      </x:c>
      <x:c r="H2929" s="7" t="n">
        <x:v>1497</x:v>
      </x:c>
      <x:c r="I2929" s="7" t="n">
        <x:v>113</x:v>
      </x:c>
      <x:c r="J2929" s="9" t="n">
        <x:v>23.2</x:v>
      </x:c>
      <x:c r="K2929" s="9" t="n">
        <x:v>12.5</x:v>
      </x:c>
      <x:c r="L2929" s="7" t="n">
        <x:v>2020</x:v>
      </x:c>
      <x:c r="M2929" s="11" t="n">
        <x:v>80441</x:v>
      </x:c>
      <x:c r="N2929" s="7" t="n">
        <x:v>1</x:v>
      </x:c>
      <x:c r="O2929" s="7" t="n">
        <x:v>0</x:v>
      </x:c>
      <x:c r="P2929" s="9" t="n">
        <x:v>5.15</x:v>
      </x:c>
      <x:c r="Q2929" s="7" t="n">
        <x:f>'Guide'!$B$5-L2929</x:f>
        <x:v>6</x:v>
      </x:c>
      <x:c r="R2929" s="9" t="n">
        <x:f>K2929-P2929</x:f>
        <x:v>7.35</x:v>
      </x:c>
      <x:c r="S2929" s="10" t="n">
        <x:f>IF(K2929&gt;0,R2929/K2929,"")</x:f>
        <x:v>0.588</x:v>
      </x:c>
    </x:row>
    <x:row r="2930">
      <x:c r="A2930" s="7" t="n">
        <x:v>2926</x:v>
      </x:c>
      <x:c r="B2930" s="7" t="str">
        <x:v>Tata</x:v>
      </x:c>
      <x:c r="C2930" s="7" t="str">
        <x:v>Nexon</x:v>
      </x:c>
      <x:c r="D2930" s="7" t="str">
        <x:v>Pure Diesel</x:v>
      </x:c>
      <x:c r="E2930" s="7" t="str">
        <x:v>Diesel</x:v>
      </x:c>
      <x:c r="F2930" s="7" t="str">
        <x:v>Manual</x:v>
      </x:c>
      <x:c r="G2930" s="7" t="str">
        <x:v>Compact SUV</x:v>
      </x:c>
      <x:c r="H2930" s="7" t="n">
        <x:v>1497</x:v>
      </x:c>
      <x:c r="I2930" s="7" t="n">
        <x:v>113</x:v>
      </x:c>
      <x:c r="J2930" s="9" t="n">
        <x:v>23.2</x:v>
      </x:c>
      <x:c r="K2930" s="9" t="n">
        <x:v>12.5</x:v>
      </x:c>
      <x:c r="L2930" s="7" t="n">
        <x:v>2022</x:v>
      </x:c>
      <x:c r="M2930" s="11" t="n">
        <x:v>69985</x:v>
      </x:c>
      <x:c r="N2930" s="7" t="n">
        <x:v>1</x:v>
      </x:c>
      <x:c r="O2930" s="7" t="n">
        <x:v>1</x:v>
      </x:c>
      <x:c r="P2930" s="9" t="n">
        <x:v>6.7</x:v>
      </x:c>
      <x:c r="Q2930" s="7" t="n">
        <x:f>'Guide'!$B$5-L2930</x:f>
        <x:v>4</x:v>
      </x:c>
      <x:c r="R2930" s="9" t="n">
        <x:f>K2930-P2930</x:f>
        <x:v>5.8</x:v>
      </x:c>
      <x:c r="S2930" s="10" t="n">
        <x:f>IF(K2930&gt;0,R2930/K2930,"")</x:f>
        <x:v>0.46399999999999997</x:v>
      </x:c>
    </x:row>
    <x:row r="2931">
      <x:c r="A2931" s="7" t="n">
        <x:v>2927</x:v>
      </x:c>
      <x:c r="B2931" s="7" t="str">
        <x:v>Tata</x:v>
      </x:c>
      <x:c r="C2931" s="7" t="str">
        <x:v>Nexon</x:v>
      </x:c>
      <x:c r="D2931" s="7" t="str">
        <x:v>Pure Diesel</x:v>
      </x:c>
      <x:c r="E2931" s="7" t="str">
        <x:v>Diesel</x:v>
      </x:c>
      <x:c r="F2931" s="7" t="str">
        <x:v>Manual</x:v>
      </x:c>
      <x:c r="G2931" s="7" t="str">
        <x:v>Compact SUV</x:v>
      </x:c>
      <x:c r="H2931" s="7" t="n">
        <x:v>1497</x:v>
      </x:c>
      <x:c r="I2931" s="7" t="n">
        <x:v>113</x:v>
      </x:c>
      <x:c r="J2931" s="9" t="n">
        <x:v>23.2</x:v>
      </x:c>
      <x:c r="K2931" s="9" t="n">
        <x:v>12.5</x:v>
      </x:c>
      <x:c r="L2931" s="7" t="n">
        <x:v>2022</x:v>
      </x:c>
      <x:c r="M2931" s="11" t="n">
        <x:v>74025</x:v>
      </x:c>
      <x:c r="N2931" s="7" t="n">
        <x:v>1</x:v>
      </x:c>
      <x:c r="O2931" s="7" t="n">
        <x:v>0</x:v>
      </x:c>
      <x:c r="P2931" s="9" t="n">
        <x:v>7.61</x:v>
      </x:c>
      <x:c r="Q2931" s="7" t="n">
        <x:f>'Guide'!$B$5-L2931</x:f>
        <x:v>4</x:v>
      </x:c>
      <x:c r="R2931" s="9" t="n">
        <x:f>K2931-P2931</x:f>
        <x:v>4.89</x:v>
      </x:c>
      <x:c r="S2931" s="10" t="n">
        <x:f>IF(K2931&gt;0,R2931/K2931,"")</x:f>
        <x:v>0.3912</x:v>
      </x:c>
    </x:row>
    <x:row r="2932">
      <x:c r="A2932" s="7" t="n">
        <x:v>2928</x:v>
      </x:c>
      <x:c r="B2932" s="7" t="str">
        <x:v>Tata</x:v>
      </x:c>
      <x:c r="C2932" s="7" t="str">
        <x:v>Nexon</x:v>
      </x:c>
      <x:c r="D2932" s="7" t="str">
        <x:v>Pure Diesel</x:v>
      </x:c>
      <x:c r="E2932" s="7" t="str">
        <x:v>Diesel</x:v>
      </x:c>
      <x:c r="F2932" s="7" t="str">
        <x:v>Manual</x:v>
      </x:c>
      <x:c r="G2932" s="7" t="str">
        <x:v>Compact SUV</x:v>
      </x:c>
      <x:c r="H2932" s="7" t="n">
        <x:v>1497</x:v>
      </x:c>
      <x:c r="I2932" s="7" t="n">
        <x:v>113</x:v>
      </x:c>
      <x:c r="J2932" s="9" t="n">
        <x:v>23.2</x:v>
      </x:c>
      <x:c r="K2932" s="9" t="n">
        <x:v>12.5</x:v>
      </x:c>
      <x:c r="L2932" s="7" t="n">
        <x:v>2025</x:v>
      </x:c>
      <x:c r="M2932" s="11" t="n">
        <x:v>15805</x:v>
      </x:c>
      <x:c r="N2932" s="7" t="n">
        <x:v>1</x:v>
      </x:c>
      <x:c r="O2932" s="7" t="n">
        <x:v>0</x:v>
      </x:c>
      <x:c r="P2932" s="9" t="n">
        <x:v>11.17</x:v>
      </x:c>
      <x:c r="Q2932" s="7" t="n">
        <x:f>'Guide'!$B$5-L2932</x:f>
        <x:v>1</x:v>
      </x:c>
      <x:c r="R2932" s="9" t="n">
        <x:f>K2932-P2932</x:f>
        <x:v>1.33</x:v>
      </x:c>
      <x:c r="S2932" s="10" t="n">
        <x:f>IF(K2932&gt;0,R2932/K2932,"")</x:f>
        <x:v>0.10640000000000001</x:v>
      </x:c>
    </x:row>
    <x:row r="2933">
      <x:c r="A2933" s="7" t="n">
        <x:v>2929</x:v>
      </x:c>
      <x:c r="B2933" s="7" t="str">
        <x:v>Tata</x:v>
      </x:c>
      <x:c r="C2933" s="7" t="str">
        <x:v>Nexon</x:v>
      </x:c>
      <x:c r="D2933" s="7" t="str">
        <x:v>Pure Diesel</x:v>
      </x:c>
      <x:c r="E2933" s="7" t="str">
        <x:v>Diesel</x:v>
      </x:c>
      <x:c r="F2933" s="7" t="str">
        <x:v>Manual</x:v>
      </x:c>
      <x:c r="G2933" s="7" t="str">
        <x:v>Compact SUV</x:v>
      </x:c>
      <x:c r="H2933" s="7" t="n">
        <x:v>1497</x:v>
      </x:c>
      <x:c r="I2933" s="7" t="n">
        <x:v>113</x:v>
      </x:c>
      <x:c r="J2933" s="9" t="n">
        <x:v>23.2</x:v>
      </x:c>
      <x:c r="K2933" s="9" t="n">
        <x:v>12.5</x:v>
      </x:c>
      <x:c r="L2933" s="7" t="n">
        <x:v>2021</x:v>
      </x:c>
      <x:c r="M2933" s="11" t="n">
        <x:v>94018</x:v>
      </x:c>
      <x:c r="N2933" s="7" t="n">
        <x:v>1</x:v>
      </x:c>
      <x:c r="O2933" s="7" t="n">
        <x:v>1</x:v>
      </x:c>
      <x:c r="P2933" s="9" t="n">
        <x:v>5.23</x:v>
      </x:c>
      <x:c r="Q2933" s="7" t="n">
        <x:f>'Guide'!$B$5-L2933</x:f>
        <x:v>5</x:v>
      </x:c>
      <x:c r="R2933" s="9" t="n">
        <x:f>K2933-P2933</x:f>
        <x:v>7.27</x:v>
      </x:c>
      <x:c r="S2933" s="10" t="n">
        <x:f>IF(K2933&gt;0,R2933/K2933,"")</x:f>
        <x:v>0.5816</x:v>
      </x:c>
    </x:row>
    <x:row r="2934">
      <x:c r="A2934" s="7" t="n">
        <x:v>2930</x:v>
      </x:c>
      <x:c r="B2934" s="7" t="str">
        <x:v>Tata</x:v>
      </x:c>
      <x:c r="C2934" s="7" t="str">
        <x:v>Nexon</x:v>
      </x:c>
      <x:c r="D2934" s="7" t="str">
        <x:v>Pure Diesel</x:v>
      </x:c>
      <x:c r="E2934" s="7" t="str">
        <x:v>Diesel</x:v>
      </x:c>
      <x:c r="F2934" s="7" t="str">
        <x:v>Manual</x:v>
      </x:c>
      <x:c r="G2934" s="7" t="str">
        <x:v>Compact SUV</x:v>
      </x:c>
      <x:c r="H2934" s="7" t="n">
        <x:v>1497</x:v>
      </x:c>
      <x:c r="I2934" s="7" t="n">
        <x:v>113</x:v>
      </x:c>
      <x:c r="J2934" s="9" t="n">
        <x:v>23.2</x:v>
      </x:c>
      <x:c r="K2934" s="9" t="n">
        <x:v>12.5</x:v>
      </x:c>
      <x:c r="L2934" s="7" t="n">
        <x:v>2025</x:v>
      </x:c>
      <x:c r="M2934" s="11" t="n">
        <x:v>15295</x:v>
      </x:c>
      <x:c r="N2934" s="7" t="n">
        <x:v>1</x:v>
      </x:c>
      <x:c r="O2934" s="7" t="n">
        <x:v>0</x:v>
      </x:c>
      <x:c r="P2934" s="9" t="n">
        <x:v>11.28</x:v>
      </x:c>
      <x:c r="Q2934" s="7" t="n">
        <x:f>'Guide'!$B$5-L2934</x:f>
        <x:v>1</x:v>
      </x:c>
      <x:c r="R2934" s="9" t="n">
        <x:f>K2934-P2934</x:f>
        <x:v>1.2200000000000006</x:v>
      </x:c>
      <x:c r="S2934" s="10" t="n">
        <x:f>IF(K2934&gt;0,R2934/K2934,"")</x:f>
        <x:v>0.09760000000000005</x:v>
      </x:c>
    </x:row>
    <x:row r="2935">
      <x:c r="A2935" s="7" t="n">
        <x:v>2931</x:v>
      </x:c>
      <x:c r="B2935" s="7" t="str">
        <x:v>Tata</x:v>
      </x:c>
      <x:c r="C2935" s="7" t="str">
        <x:v>Nexon</x:v>
      </x:c>
      <x:c r="D2935" s="7" t="str">
        <x:v>Pure Diesel</x:v>
      </x:c>
      <x:c r="E2935" s="7" t="str">
        <x:v>Diesel</x:v>
      </x:c>
      <x:c r="F2935" s="7" t="str">
        <x:v>Manual</x:v>
      </x:c>
      <x:c r="G2935" s="7" t="str">
        <x:v>Compact SUV</x:v>
      </x:c>
      <x:c r="H2935" s="7" t="n">
        <x:v>1497</x:v>
      </x:c>
      <x:c r="I2935" s="7" t="n">
        <x:v>113</x:v>
      </x:c>
      <x:c r="J2935" s="9" t="n">
        <x:v>23.2</x:v>
      </x:c>
      <x:c r="K2935" s="9" t="n">
        <x:v>12.5</x:v>
      </x:c>
      <x:c r="L2935" s="7" t="n">
        <x:v>2022</x:v>
      </x:c>
      <x:c r="M2935" s="11" t="n">
        <x:v>63540</x:v>
      </x:c>
      <x:c r="N2935" s="7" t="n">
        <x:v>2</x:v>
      </x:c>
      <x:c r="O2935" s="7" t="n">
        <x:v>0</x:v>
      </x:c>
      <x:c r="P2935" s="9" t="n">
        <x:v>7.15</x:v>
      </x:c>
      <x:c r="Q2935" s="7" t="n">
        <x:f>'Guide'!$B$5-L2935</x:f>
        <x:v>4</x:v>
      </x:c>
      <x:c r="R2935" s="9" t="n">
        <x:f>K2935-P2935</x:f>
        <x:v>5.35</x:v>
      </x:c>
      <x:c r="S2935" s="10" t="n">
        <x:f>IF(K2935&gt;0,R2935/K2935,"")</x:f>
        <x:v>0.428</x:v>
      </x:c>
    </x:row>
    <x:row r="2936">
      <x:c r="A2936" s="7" t="n">
        <x:v>2932</x:v>
      </x:c>
      <x:c r="B2936" s="7" t="str">
        <x:v>Tata</x:v>
      </x:c>
      <x:c r="C2936" s="7" t="str">
        <x:v>Nexon</x:v>
      </x:c>
      <x:c r="D2936" s="7" t="str">
        <x:v>Pure Diesel</x:v>
      </x:c>
      <x:c r="E2936" s="7" t="str">
        <x:v>Diesel</x:v>
      </x:c>
      <x:c r="F2936" s="7" t="str">
        <x:v>Manual</x:v>
      </x:c>
      <x:c r="G2936" s="7" t="str">
        <x:v>Compact SUV</x:v>
      </x:c>
      <x:c r="H2936" s="7" t="n">
        <x:v>1497</x:v>
      </x:c>
      <x:c r="I2936" s="7" t="n">
        <x:v>113</x:v>
      </x:c>
      <x:c r="J2936" s="9" t="n">
        <x:v>23.2</x:v>
      </x:c>
      <x:c r="K2936" s="9" t="n">
        <x:v>12.5</x:v>
      </x:c>
      <x:c r="L2936" s="7" t="n">
        <x:v>2022</x:v>
      </x:c>
      <x:c r="M2936" s="11" t="n">
        <x:v>84458</x:v>
      </x:c>
      <x:c r="N2936" s="7" t="n">
        <x:v>1</x:v>
      </x:c>
      <x:c r="O2936" s="7" t="n">
        <x:v>0</x:v>
      </x:c>
      <x:c r="P2936" s="9" t="n">
        <x:v>6.89</x:v>
      </x:c>
      <x:c r="Q2936" s="7" t="n">
        <x:f>'Guide'!$B$5-L2936</x:f>
        <x:v>4</x:v>
      </x:c>
      <x:c r="R2936" s="9" t="n">
        <x:f>K2936-P2936</x:f>
        <x:v>5.61</x:v>
      </x:c>
      <x:c r="S2936" s="10" t="n">
        <x:f>IF(K2936&gt;0,R2936/K2936,"")</x:f>
        <x:v>0.44880000000000003</x:v>
      </x:c>
    </x:row>
    <x:row r="2937">
      <x:c r="A2937" s="7" t="n">
        <x:v>2933</x:v>
      </x:c>
      <x:c r="B2937" s="7" t="str">
        <x:v>Tata</x:v>
      </x:c>
      <x:c r="C2937" s="7" t="str">
        <x:v>Nexon</x:v>
      </x:c>
      <x:c r="D2937" s="7" t="str">
        <x:v>Pure Diesel</x:v>
      </x:c>
      <x:c r="E2937" s="7" t="str">
        <x:v>Diesel</x:v>
      </x:c>
      <x:c r="F2937" s="7" t="str">
        <x:v>Manual</x:v>
      </x:c>
      <x:c r="G2937" s="7" t="str">
        <x:v>Compact SUV</x:v>
      </x:c>
      <x:c r="H2937" s="7" t="n">
        <x:v>1497</x:v>
      </x:c>
      <x:c r="I2937" s="7" t="n">
        <x:v>113</x:v>
      </x:c>
      <x:c r="J2937" s="9" t="n">
        <x:v>23.2</x:v>
      </x:c>
      <x:c r="K2937" s="9" t="n">
        <x:v>12.5</x:v>
      </x:c>
      <x:c r="L2937" s="7" t="n">
        <x:v>2022</x:v>
      </x:c>
      <x:c r="M2937" s="11" t="n">
        <x:v>44720</x:v>
      </x:c>
      <x:c r="N2937" s="7" t="n">
        <x:v>1</x:v>
      </x:c>
      <x:c r="O2937" s="7" t="n">
        <x:v>0</x:v>
      </x:c>
      <x:c r="P2937" s="9" t="n">
        <x:v>7.96</x:v>
      </x:c>
      <x:c r="Q2937" s="7" t="n">
        <x:f>'Guide'!$B$5-L2937</x:f>
        <x:v>4</x:v>
      </x:c>
      <x:c r="R2937" s="9" t="n">
        <x:f>K2937-P2937</x:f>
        <x:v>4.54</x:v>
      </x:c>
      <x:c r="S2937" s="10" t="n">
        <x:f>IF(K2937&gt;0,R2937/K2937,"")</x:f>
        <x:v>0.3632</x:v>
      </x:c>
    </x:row>
    <x:row r="2938">
      <x:c r="A2938" s="7" t="n">
        <x:v>2934</x:v>
      </x:c>
      <x:c r="B2938" s="7" t="str">
        <x:v>Tata</x:v>
      </x:c>
      <x:c r="C2938" s="7" t="str">
        <x:v>Nexon</x:v>
      </x:c>
      <x:c r="D2938" s="7" t="str">
        <x:v>Pure Diesel</x:v>
      </x:c>
      <x:c r="E2938" s="7" t="str">
        <x:v>Diesel</x:v>
      </x:c>
      <x:c r="F2938" s="7" t="str">
        <x:v>Manual</x:v>
      </x:c>
      <x:c r="G2938" s="7" t="str">
        <x:v>Compact SUV</x:v>
      </x:c>
      <x:c r="H2938" s="7" t="n">
        <x:v>1497</x:v>
      </x:c>
      <x:c r="I2938" s="7" t="n">
        <x:v>113</x:v>
      </x:c>
      <x:c r="J2938" s="9" t="n">
        <x:v>23.2</x:v>
      </x:c>
      <x:c r="K2938" s="9" t="n">
        <x:v>12.5</x:v>
      </x:c>
      <x:c r="L2938" s="7" t="n">
        <x:v>2024</x:v>
      </x:c>
      <x:c r="M2938" s="11" t="n">
        <x:v>27768</x:v>
      </x:c>
      <x:c r="N2938" s="7" t="n">
        <x:v>2</x:v>
      </x:c>
      <x:c r="O2938" s="7" t="n">
        <x:v>1</x:v>
      </x:c>
      <x:c r="P2938" s="9" t="n">
        <x:v>9.24</x:v>
      </x:c>
      <x:c r="Q2938" s="7" t="n">
        <x:f>'Guide'!$B$5-L2938</x:f>
        <x:v>2</x:v>
      </x:c>
      <x:c r="R2938" s="9" t="n">
        <x:f>K2938-P2938</x:f>
        <x:v>3.26</x:v>
      </x:c>
      <x:c r="S2938" s="10" t="n">
        <x:f>IF(K2938&gt;0,R2938/K2938,"")</x:f>
        <x:v>0.2608</x:v>
      </x:c>
    </x:row>
    <x:row r="2939">
      <x:c r="A2939" s="7" t="n">
        <x:v>2935</x:v>
      </x:c>
      <x:c r="B2939" s="7" t="str">
        <x:v>Tata</x:v>
      </x:c>
      <x:c r="C2939" s="7" t="str">
        <x:v>Nexon</x:v>
      </x:c>
      <x:c r="D2939" s="7" t="str">
        <x:v>Pure Diesel</x:v>
      </x:c>
      <x:c r="E2939" s="7" t="str">
        <x:v>Diesel</x:v>
      </x:c>
      <x:c r="F2939" s="7" t="str">
        <x:v>Manual</x:v>
      </x:c>
      <x:c r="G2939" s="7" t="str">
        <x:v>Compact SUV</x:v>
      </x:c>
      <x:c r="H2939" s="7" t="n">
        <x:v>1497</x:v>
      </x:c>
      <x:c r="I2939" s="7" t="n">
        <x:v>113</x:v>
      </x:c>
      <x:c r="J2939" s="9" t="n">
        <x:v>23.2</x:v>
      </x:c>
      <x:c r="K2939" s="9" t="n">
        <x:v>12.5</x:v>
      </x:c>
      <x:c r="L2939" s="7" t="n">
        <x:v>2025</x:v>
      </x:c>
      <x:c r="M2939" s="11" t="n">
        <x:v>17794</x:v>
      </x:c>
      <x:c r="N2939" s="7" t="n">
        <x:v>2</x:v>
      </x:c>
      <x:c r="O2939" s="7" t="n">
        <x:v>0</x:v>
      </x:c>
      <x:c r="P2939" s="9" t="n">
        <x:v>10.67</x:v>
      </x:c>
      <x:c r="Q2939" s="7" t="n">
        <x:f>'Guide'!$B$5-L2939</x:f>
        <x:v>1</x:v>
      </x:c>
      <x:c r="R2939" s="9" t="n">
        <x:f>K2939-P2939</x:f>
        <x:v>1.83</x:v>
      </x:c>
      <x:c r="S2939" s="10" t="n">
        <x:f>IF(K2939&gt;0,R2939/K2939,"")</x:f>
        <x:v>0.1464</x:v>
      </x:c>
    </x:row>
    <x:row r="2940">
      <x:c r="A2940" s="7" t="n">
        <x:v>2936</x:v>
      </x:c>
      <x:c r="B2940" s="7" t="str">
        <x:v>Tata</x:v>
      </x:c>
      <x:c r="C2940" s="7" t="str">
        <x:v>Nexon</x:v>
      </x:c>
      <x:c r="D2940" s="7" t="str">
        <x:v>Pure Diesel</x:v>
      </x:c>
      <x:c r="E2940" s="7" t="str">
        <x:v>Diesel</x:v>
      </x:c>
      <x:c r="F2940" s="7" t="str">
        <x:v>Manual</x:v>
      </x:c>
      <x:c r="G2940" s="7" t="str">
        <x:v>Compact SUV</x:v>
      </x:c>
      <x:c r="H2940" s="7" t="n">
        <x:v>1497</x:v>
      </x:c>
      <x:c r="I2940" s="7" t="n">
        <x:v>113</x:v>
      </x:c>
      <x:c r="J2940" s="9" t="n">
        <x:v>23.2</x:v>
      </x:c>
      <x:c r="K2940" s="9" t="n">
        <x:v>12.5</x:v>
      </x:c>
      <x:c r="L2940" s="7" t="n">
        <x:v>2020</x:v>
      </x:c>
      <x:c r="M2940" s="11" t="n">
        <x:v>110062</x:v>
      </x:c>
      <x:c r="N2940" s="7" t="n">
        <x:v>1</x:v>
      </x:c>
      <x:c r="O2940" s="7" t="n">
        <x:v>0</x:v>
      </x:c>
      <x:c r="P2940" s="9" t="n">
        <x:v>4.5</x:v>
      </x:c>
      <x:c r="Q2940" s="7" t="n">
        <x:f>'Guide'!$B$5-L2940</x:f>
        <x:v>6</x:v>
      </x:c>
      <x:c r="R2940" s="9" t="n">
        <x:f>K2940-P2940</x:f>
        <x:v>8</x:v>
      </x:c>
      <x:c r="S2940" s="10" t="n">
        <x:f>IF(K2940&gt;0,R2940/K2940,"")</x:f>
        <x:v>0.64</x:v>
      </x:c>
    </x:row>
    <x:row r="2941">
      <x:c r="A2941" s="7" t="n">
        <x:v>2937</x:v>
      </x:c>
      <x:c r="B2941" s="7" t="str">
        <x:v>Tata</x:v>
      </x:c>
      <x:c r="C2941" s="7" t="str">
        <x:v>Nexon</x:v>
      </x:c>
      <x:c r="D2941" s="7" t="str">
        <x:v>Pure Diesel</x:v>
      </x:c>
      <x:c r="E2941" s="7" t="str">
        <x:v>Diesel</x:v>
      </x:c>
      <x:c r="F2941" s="7" t="str">
        <x:v>Manual</x:v>
      </x:c>
      <x:c r="G2941" s="7" t="str">
        <x:v>Compact SUV</x:v>
      </x:c>
      <x:c r="H2941" s="7" t="n">
        <x:v>1497</x:v>
      </x:c>
      <x:c r="I2941" s="7" t="n">
        <x:v>113</x:v>
      </x:c>
      <x:c r="J2941" s="9" t="n">
        <x:v>23.2</x:v>
      </x:c>
      <x:c r="K2941" s="9" t="n">
        <x:v>12.5</x:v>
      </x:c>
      <x:c r="L2941" s="7" t="n">
        <x:v>2025</x:v>
      </x:c>
      <x:c r="M2941" s="11" t="n">
        <x:v>12342</x:v>
      </x:c>
      <x:c r="N2941" s="7" t="n">
        <x:v>1</x:v>
      </x:c>
      <x:c r="O2941" s="7" t="n">
        <x:v>0</x:v>
      </x:c>
      <x:c r="P2941" s="9" t="n">
        <x:v>11.23</x:v>
      </x:c>
      <x:c r="Q2941" s="7" t="n">
        <x:f>'Guide'!$B$5-L2941</x:f>
        <x:v>1</x:v>
      </x:c>
      <x:c r="R2941" s="9" t="n">
        <x:f>K2941-P2941</x:f>
        <x:v>1.2699999999999996</x:v>
      </x:c>
      <x:c r="S2941" s="10" t="n">
        <x:f>IF(K2941&gt;0,R2941/K2941,"")</x:f>
        <x:v>0.10159999999999997</x:v>
      </x:c>
    </x:row>
    <x:row r="2942">
      <x:c r="A2942" s="7" t="n">
        <x:v>2938</x:v>
      </x:c>
      <x:c r="B2942" s="7" t="str">
        <x:v>Tata</x:v>
      </x:c>
      <x:c r="C2942" s="7" t="str">
        <x:v>Nexon</x:v>
      </x:c>
      <x:c r="D2942" s="7" t="str">
        <x:v>Pure Diesel</x:v>
      </x:c>
      <x:c r="E2942" s="7" t="str">
        <x:v>Diesel</x:v>
      </x:c>
      <x:c r="F2942" s="7" t="str">
        <x:v>Manual</x:v>
      </x:c>
      <x:c r="G2942" s="7" t="str">
        <x:v>Compact SUV</x:v>
      </x:c>
      <x:c r="H2942" s="7" t="n">
        <x:v>1497</x:v>
      </x:c>
      <x:c r="I2942" s="7" t="n">
        <x:v>113</x:v>
      </x:c>
      <x:c r="J2942" s="9" t="n">
        <x:v>23.2</x:v>
      </x:c>
      <x:c r="K2942" s="9" t="n">
        <x:v>12.5</x:v>
      </x:c>
      <x:c r="L2942" s="7" t="n">
        <x:v>2025</x:v>
      </x:c>
      <x:c r="M2942" s="11" t="n">
        <x:v>13226</x:v>
      </x:c>
      <x:c r="N2942" s="7" t="n">
        <x:v>1</x:v>
      </x:c>
      <x:c r="O2942" s="7" t="n">
        <x:v>0</x:v>
      </x:c>
      <x:c r="P2942" s="9" t="n">
        <x:v>11</x:v>
      </x:c>
      <x:c r="Q2942" s="7" t="n">
        <x:f>'Guide'!$B$5-L2942</x:f>
        <x:v>1</x:v>
      </x:c>
      <x:c r="R2942" s="9" t="n">
        <x:f>K2942-P2942</x:f>
        <x:v>1.5</x:v>
      </x:c>
      <x:c r="S2942" s="10" t="n">
        <x:f>IF(K2942&gt;0,R2942/K2942,"")</x:f>
        <x:v>0.12</x:v>
      </x:c>
    </x:row>
    <x:row r="2943">
      <x:c r="A2943" s="7" t="n">
        <x:v>2939</x:v>
      </x:c>
      <x:c r="B2943" s="7" t="str">
        <x:v>Tata</x:v>
      </x:c>
      <x:c r="C2943" s="7" t="str">
        <x:v>Nexon</x:v>
      </x:c>
      <x:c r="D2943" s="7" t="str">
        <x:v>Pure Diesel</x:v>
      </x:c>
      <x:c r="E2943" s="7" t="str">
        <x:v>Diesel</x:v>
      </x:c>
      <x:c r="F2943" s="7" t="str">
        <x:v>Manual</x:v>
      </x:c>
      <x:c r="G2943" s="7" t="str">
        <x:v>Compact SUV</x:v>
      </x:c>
      <x:c r="H2943" s="7" t="n">
        <x:v>1497</x:v>
      </x:c>
      <x:c r="I2943" s="7" t="n">
        <x:v>113</x:v>
      </x:c>
      <x:c r="J2943" s="9" t="n">
        <x:v>23.2</x:v>
      </x:c>
      <x:c r="K2943" s="9" t="n">
        <x:v>12.5</x:v>
      </x:c>
      <x:c r="L2943" s="7" t="n">
        <x:v>2022</x:v>
      </x:c>
      <x:c r="M2943" s="11" t="n">
        <x:v>81844</x:v>
      </x:c>
      <x:c r="N2943" s="7" t="n">
        <x:v>1</x:v>
      </x:c>
      <x:c r="O2943" s="7" t="n">
        <x:v>0</x:v>
      </x:c>
      <x:c r="P2943" s="9" t="n">
        <x:v>6.87</x:v>
      </x:c>
      <x:c r="Q2943" s="7" t="n">
        <x:f>'Guide'!$B$5-L2943</x:f>
        <x:v>4</x:v>
      </x:c>
      <x:c r="R2943" s="9" t="n">
        <x:f>K2943-P2943</x:f>
        <x:v>5.63</x:v>
      </x:c>
      <x:c r="S2943" s="10" t="n">
        <x:f>IF(K2943&gt;0,R2943/K2943,"")</x:f>
        <x:v>0.45039999999999997</x:v>
      </x:c>
    </x:row>
    <x:row r="2944">
      <x:c r="A2944" s="7" t="n">
        <x:v>2940</x:v>
      </x:c>
      <x:c r="B2944" s="7" t="str">
        <x:v>Tata</x:v>
      </x:c>
      <x:c r="C2944" s="7" t="str">
        <x:v>Nexon</x:v>
      </x:c>
      <x:c r="D2944" s="7" t="str">
        <x:v>Pure Diesel</x:v>
      </x:c>
      <x:c r="E2944" s="7" t="str">
        <x:v>Diesel</x:v>
      </x:c>
      <x:c r="F2944" s="7" t="str">
        <x:v>Manual</x:v>
      </x:c>
      <x:c r="G2944" s="7" t="str">
        <x:v>Compact SUV</x:v>
      </x:c>
      <x:c r="H2944" s="7" t="n">
        <x:v>1497</x:v>
      </x:c>
      <x:c r="I2944" s="7" t="n">
        <x:v>113</x:v>
      </x:c>
      <x:c r="J2944" s="9" t="n">
        <x:v>23.2</x:v>
      </x:c>
      <x:c r="K2944" s="9" t="n">
        <x:v>12.5</x:v>
      </x:c>
      <x:c r="L2944" s="7" t="n">
        <x:v>2020</x:v>
      </x:c>
      <x:c r="M2944" s="11" t="n">
        <x:v>85499</x:v>
      </x:c>
      <x:c r="N2944" s="7" t="n">
        <x:v>1</x:v>
      </x:c>
      <x:c r="O2944" s="7" t="n">
        <x:v>0</x:v>
      </x:c>
      <x:c r="P2944" s="9" t="n">
        <x:v>5.43</x:v>
      </x:c>
      <x:c r="Q2944" s="7" t="n">
        <x:f>'Guide'!$B$5-L2944</x:f>
        <x:v>6</x:v>
      </x:c>
      <x:c r="R2944" s="9" t="n">
        <x:f>K2944-P2944</x:f>
        <x:v>7.07</x:v>
      </x:c>
      <x:c r="S2944" s="10" t="n">
        <x:f>IF(K2944&gt;0,R2944/K2944,"")</x:f>
        <x:v>0.5656</x:v>
      </x:c>
    </x:row>
    <x:row r="2945">
      <x:c r="A2945" s="7" t="n">
        <x:v>2941</x:v>
      </x:c>
      <x:c r="B2945" s="7" t="str">
        <x:v>Tata</x:v>
      </x:c>
      <x:c r="C2945" s="7" t="str">
        <x:v>Nexon</x:v>
      </x:c>
      <x:c r="D2945" s="7" t="str">
        <x:v>Pure Diesel</x:v>
      </x:c>
      <x:c r="E2945" s="7" t="str">
        <x:v>Diesel</x:v>
      </x:c>
      <x:c r="F2945" s="7" t="str">
        <x:v>Manual</x:v>
      </x:c>
      <x:c r="G2945" s="7" t="str">
        <x:v>Compact SUV</x:v>
      </x:c>
      <x:c r="H2945" s="7" t="n">
        <x:v>1497</x:v>
      </x:c>
      <x:c r="I2945" s="7" t="n">
        <x:v>113</x:v>
      </x:c>
      <x:c r="J2945" s="9" t="n">
        <x:v>23.2</x:v>
      </x:c>
      <x:c r="K2945" s="9" t="n">
        <x:v>12.5</x:v>
      </x:c>
      <x:c r="L2945" s="7" t="n">
        <x:v>2024</x:v>
      </x:c>
      <x:c r="M2945" s="11" t="n">
        <x:v>22563</x:v>
      </x:c>
      <x:c r="N2945" s="7" t="n">
        <x:v>2</x:v>
      </x:c>
      <x:c r="O2945" s="7" t="n">
        <x:v>0</x:v>
      </x:c>
      <x:c r="P2945" s="9" t="n">
        <x:v>9.89</x:v>
      </x:c>
      <x:c r="Q2945" s="7" t="n">
        <x:f>'Guide'!$B$5-L2945</x:f>
        <x:v>2</x:v>
      </x:c>
      <x:c r="R2945" s="9" t="n">
        <x:f>K2945-P2945</x:f>
        <x:v>2.6099999999999994</x:v>
      </x:c>
      <x:c r="S2945" s="10" t="n">
        <x:f>IF(K2945&gt;0,R2945/K2945,"")</x:f>
        <x:v>0.20879999999999996</x:v>
      </x:c>
    </x:row>
    <x:row r="2946">
      <x:c r="A2946" s="7" t="n">
        <x:v>2942</x:v>
      </x:c>
      <x:c r="B2946" s="7" t="str">
        <x:v>Tata</x:v>
      </x:c>
      <x:c r="C2946" s="7" t="str">
        <x:v>Nexon</x:v>
      </x:c>
      <x:c r="D2946" s="7" t="str">
        <x:v>Pure Diesel</x:v>
      </x:c>
      <x:c r="E2946" s="7" t="str">
        <x:v>Diesel</x:v>
      </x:c>
      <x:c r="F2946" s="7" t="str">
        <x:v>Manual</x:v>
      </x:c>
      <x:c r="G2946" s="7" t="str">
        <x:v>Compact SUV</x:v>
      </x:c>
      <x:c r="H2946" s="7" t="n">
        <x:v>1497</x:v>
      </x:c>
      <x:c r="I2946" s="7" t="n">
        <x:v>113</x:v>
      </x:c>
      <x:c r="J2946" s="9" t="n">
        <x:v>23.2</x:v>
      </x:c>
      <x:c r="K2946" s="9" t="n">
        <x:v>12.5</x:v>
      </x:c>
      <x:c r="L2946" s="7" t="n">
        <x:v>2024</x:v>
      </x:c>
      <x:c r="M2946" s="11" t="n">
        <x:v>49949</x:v>
      </x:c>
      <x:c r="N2946" s="7" t="n">
        <x:v>1</x:v>
      </x:c>
      <x:c r="O2946" s="7" t="n">
        <x:v>0</x:v>
      </x:c>
      <x:c r="P2946" s="9" t="n">
        <x:v>9.59</x:v>
      </x:c>
      <x:c r="Q2946" s="7" t="n">
        <x:f>'Guide'!$B$5-L2946</x:f>
        <x:v>2</x:v>
      </x:c>
      <x:c r="R2946" s="9" t="n">
        <x:f>K2946-P2946</x:f>
        <x:v>2.91</x:v>
      </x:c>
      <x:c r="S2946" s="10" t="n">
        <x:f>IF(K2946&gt;0,R2946/K2946,"")</x:f>
        <x:v>0.2328</x:v>
      </x:c>
    </x:row>
    <x:row r="2947">
      <x:c r="A2947" s="7" t="n">
        <x:v>2943</x:v>
      </x:c>
      <x:c r="B2947" s="7" t="str">
        <x:v>Tata</x:v>
      </x:c>
      <x:c r="C2947" s="7" t="str">
        <x:v>Nexon</x:v>
      </x:c>
      <x:c r="D2947" s="7" t="str">
        <x:v>Pure Diesel</x:v>
      </x:c>
      <x:c r="E2947" s="7" t="str">
        <x:v>Diesel</x:v>
      </x:c>
      <x:c r="F2947" s="7" t="str">
        <x:v>Manual</x:v>
      </x:c>
      <x:c r="G2947" s="7" t="str">
        <x:v>Compact SUV</x:v>
      </x:c>
      <x:c r="H2947" s="7" t="n">
        <x:v>1497</x:v>
      </x:c>
      <x:c r="I2947" s="7" t="n">
        <x:v>113</x:v>
      </x:c>
      <x:c r="J2947" s="9" t="n">
        <x:v>23.2</x:v>
      </x:c>
      <x:c r="K2947" s="9" t="n">
        <x:v>12.5</x:v>
      </x:c>
      <x:c r="L2947" s="7" t="n">
        <x:v>2025</x:v>
      </x:c>
      <x:c r="M2947" s="11" t="n">
        <x:v>22785</x:v>
      </x:c>
      <x:c r="N2947" s="7" t="n">
        <x:v>1</x:v>
      </x:c>
      <x:c r="O2947" s="7" t="n">
        <x:v>0</x:v>
      </x:c>
      <x:c r="P2947" s="9" t="n">
        <x:v>10.94</x:v>
      </x:c>
      <x:c r="Q2947" s="7" t="n">
        <x:f>'Guide'!$B$5-L2947</x:f>
        <x:v>1</x:v>
      </x:c>
      <x:c r="R2947" s="9" t="n">
        <x:f>K2947-P2947</x:f>
        <x:v>1.5600000000000005</x:v>
      </x:c>
      <x:c r="S2947" s="10" t="n">
        <x:f>IF(K2947&gt;0,R2947/K2947,"")</x:f>
        <x:v>0.12480000000000004</x:v>
      </x:c>
    </x:row>
    <x:row r="2948">
      <x:c r="A2948" s="7" t="n">
        <x:v>2944</x:v>
      </x:c>
      <x:c r="B2948" s="7" t="str">
        <x:v>Tata</x:v>
      </x:c>
      <x:c r="C2948" s="7" t="str">
        <x:v>Nexon</x:v>
      </x:c>
      <x:c r="D2948" s="7" t="str">
        <x:v>Pure Diesel</x:v>
      </x:c>
      <x:c r="E2948" s="7" t="str">
        <x:v>Diesel</x:v>
      </x:c>
      <x:c r="F2948" s="7" t="str">
        <x:v>Manual</x:v>
      </x:c>
      <x:c r="G2948" s="7" t="str">
        <x:v>Compact SUV</x:v>
      </x:c>
      <x:c r="H2948" s="7" t="n">
        <x:v>1497</x:v>
      </x:c>
      <x:c r="I2948" s="7" t="n">
        <x:v>113</x:v>
      </x:c>
      <x:c r="J2948" s="9" t="n">
        <x:v>23.2</x:v>
      </x:c>
      <x:c r="K2948" s="9" t="n">
        <x:v>12.5</x:v>
      </x:c>
      <x:c r="L2948" s="7" t="n">
        <x:v>2023</x:v>
      </x:c>
      <x:c r="M2948" s="11" t="n">
        <x:v>60310</x:v>
      </x:c>
      <x:c r="N2948" s="7" t="n">
        <x:v>1</x:v>
      </x:c>
      <x:c r="O2948" s="7" t="n">
        <x:v>0</x:v>
      </x:c>
      <x:c r="P2948" s="9" t="n">
        <x:v>8.31</x:v>
      </x:c>
      <x:c r="Q2948" s="7" t="n">
        <x:f>'Guide'!$B$5-L2948</x:f>
        <x:v>3</x:v>
      </x:c>
      <x:c r="R2948" s="9" t="n">
        <x:f>K2948-P2948</x:f>
        <x:v>4.1899999999999995</x:v>
      </x:c>
      <x:c r="S2948" s="10" t="n">
        <x:f>IF(K2948&gt;0,R2948/K2948,"")</x:f>
        <x:v>0.33519999999999994</x:v>
      </x:c>
    </x:row>
    <x:row r="2949">
      <x:c r="A2949" s="7" t="n">
        <x:v>2945</x:v>
      </x:c>
      <x:c r="B2949" s="7" t="str">
        <x:v>Tata</x:v>
      </x:c>
      <x:c r="C2949" s="7" t="str">
        <x:v>Nexon</x:v>
      </x:c>
      <x:c r="D2949" s="7" t="str">
        <x:v>Pure Diesel</x:v>
      </x:c>
      <x:c r="E2949" s="7" t="str">
        <x:v>Diesel</x:v>
      </x:c>
      <x:c r="F2949" s="7" t="str">
        <x:v>Manual</x:v>
      </x:c>
      <x:c r="G2949" s="7" t="str">
        <x:v>Compact SUV</x:v>
      </x:c>
      <x:c r="H2949" s="7" t="n">
        <x:v>1497</x:v>
      </x:c>
      <x:c r="I2949" s="7" t="n">
        <x:v>113</x:v>
      </x:c>
      <x:c r="J2949" s="9" t="n">
        <x:v>23.2</x:v>
      </x:c>
      <x:c r="K2949" s="9" t="n">
        <x:v>12.5</x:v>
      </x:c>
      <x:c r="L2949" s="7" t="n">
        <x:v>2022</x:v>
      </x:c>
      <x:c r="M2949" s="11" t="n">
        <x:v>89964</x:v>
      </x:c>
      <x:c r="N2949" s="7" t="n">
        <x:v>1</x:v>
      </x:c>
      <x:c r="O2949" s="7" t="n">
        <x:v>0</x:v>
      </x:c>
      <x:c r="P2949" s="9" t="n">
        <x:v>6.8</x:v>
      </x:c>
      <x:c r="Q2949" s="7" t="n">
        <x:f>'Guide'!$B$5-L2949</x:f>
        <x:v>4</x:v>
      </x:c>
      <x:c r="R2949" s="9" t="n">
        <x:f>K2949-P2949</x:f>
        <x:v>5.7</x:v>
      </x:c>
      <x:c r="S2949" s="10" t="n">
        <x:f>IF(K2949&gt;0,R2949/K2949,"")</x:f>
        <x:v>0.456</x:v>
      </x:c>
    </x:row>
    <x:row r="2950">
      <x:c r="A2950" s="7" t="n">
        <x:v>2946</x:v>
      </x:c>
      <x:c r="B2950" s="7" t="str">
        <x:v>Tata</x:v>
      </x:c>
      <x:c r="C2950" s="7" t="str">
        <x:v>Nexon</x:v>
      </x:c>
      <x:c r="D2950" s="7" t="str">
        <x:v>Pure Diesel</x:v>
      </x:c>
      <x:c r="E2950" s="7" t="str">
        <x:v>Diesel</x:v>
      </x:c>
      <x:c r="F2950" s="7" t="str">
        <x:v>Manual</x:v>
      </x:c>
      <x:c r="G2950" s="7" t="str">
        <x:v>Compact SUV</x:v>
      </x:c>
      <x:c r="H2950" s="7" t="n">
        <x:v>1497</x:v>
      </x:c>
      <x:c r="I2950" s="7" t="n">
        <x:v>113</x:v>
      </x:c>
      <x:c r="J2950" s="9" t="n">
        <x:v>23.2</x:v>
      </x:c>
      <x:c r="K2950" s="9" t="n">
        <x:v>12.5</x:v>
      </x:c>
      <x:c r="L2950" s="7" t="n">
        <x:v>2021</x:v>
      </x:c>
      <x:c r="M2950" s="11" t="n">
        <x:v>86418</x:v>
      </x:c>
      <x:c r="N2950" s="7" t="n">
        <x:v>2</x:v>
      </x:c>
      <x:c r="O2950" s="7" t="n">
        <x:v>0</x:v>
      </x:c>
      <x:c r="P2950" s="9" t="n">
        <x:v>6.14</x:v>
      </x:c>
      <x:c r="Q2950" s="7" t="n">
        <x:f>'Guide'!$B$5-L2950</x:f>
        <x:v>5</x:v>
      </x:c>
      <x:c r="R2950" s="9" t="n">
        <x:f>K2950-P2950</x:f>
        <x:v>6.36</x:v>
      </x:c>
      <x:c r="S2950" s="10" t="n">
        <x:f>IF(K2950&gt;0,R2950/K2950,"")</x:f>
        <x:v>0.5088</x:v>
      </x:c>
    </x:row>
    <x:row r="2951">
      <x:c r="A2951" s="7" t="n">
        <x:v>2947</x:v>
      </x:c>
      <x:c r="B2951" s="7" t="str">
        <x:v>Tata</x:v>
      </x:c>
      <x:c r="C2951" s="7" t="str">
        <x:v>Nexon</x:v>
      </x:c>
      <x:c r="D2951" s="7" t="str">
        <x:v>Pure Diesel</x:v>
      </x:c>
      <x:c r="E2951" s="7" t="str">
        <x:v>Diesel</x:v>
      </x:c>
      <x:c r="F2951" s="7" t="str">
        <x:v>Manual</x:v>
      </x:c>
      <x:c r="G2951" s="7" t="str">
        <x:v>Compact SUV</x:v>
      </x:c>
      <x:c r="H2951" s="7" t="n">
        <x:v>1497</x:v>
      </x:c>
      <x:c r="I2951" s="7" t="n">
        <x:v>113</x:v>
      </x:c>
      <x:c r="J2951" s="9" t="n">
        <x:v>23.2</x:v>
      </x:c>
      <x:c r="K2951" s="9" t="n">
        <x:v>12.5</x:v>
      </x:c>
      <x:c r="L2951" s="7" t="n">
        <x:v>2026</x:v>
      </x:c>
      <x:c r="M2951" s="11" t="n">
        <x:v>4007</x:v>
      </x:c>
      <x:c r="N2951" s="7" t="n">
        <x:v>1</x:v>
      </x:c>
      <x:c r="O2951" s="7" t="n">
        <x:v>0</x:v>
      </x:c>
      <x:c r="P2951" s="9" t="n">
        <x:v>12.44</x:v>
      </x:c>
      <x:c r="Q2951" s="7" t="n">
        <x:f>'Guide'!$B$5-L2951</x:f>
        <x:v>0</x:v>
      </x:c>
      <x:c r="R2951" s="9" t="n">
        <x:f>K2951-P2951</x:f>
        <x:v>0.0600000000000005</x:v>
      </x:c>
      <x:c r="S2951" s="10" t="n">
        <x:f>IF(K2951&gt;0,R2951/K2951,"")</x:f>
        <x:v>0.0048000000000000395</x:v>
      </x:c>
    </x:row>
    <x:row r="2952">
      <x:c r="A2952" s="7" t="n">
        <x:v>2948</x:v>
      </x:c>
      <x:c r="B2952" s="7" t="str">
        <x:v>Tata</x:v>
      </x:c>
      <x:c r="C2952" s="7" t="str">
        <x:v>Nexon</x:v>
      </x:c>
      <x:c r="D2952" s="7" t="str">
        <x:v>Pure Diesel</x:v>
      </x:c>
      <x:c r="E2952" s="7" t="str">
        <x:v>Diesel</x:v>
      </x:c>
      <x:c r="F2952" s="7" t="str">
        <x:v>Manual</x:v>
      </x:c>
      <x:c r="G2952" s="7" t="str">
        <x:v>Compact SUV</x:v>
      </x:c>
      <x:c r="H2952" s="7" t="n">
        <x:v>1497</x:v>
      </x:c>
      <x:c r="I2952" s="7" t="n">
        <x:v>113</x:v>
      </x:c>
      <x:c r="J2952" s="9" t="n">
        <x:v>23.2</x:v>
      </x:c>
      <x:c r="K2952" s="9" t="n">
        <x:v>12.5</x:v>
      </x:c>
      <x:c r="L2952" s="7" t="n">
        <x:v>2025</x:v>
      </x:c>
      <x:c r="M2952" s="11" t="n">
        <x:v>23444</x:v>
      </x:c>
      <x:c r="N2952" s="7" t="n">
        <x:v>3</x:v>
      </x:c>
      <x:c r="O2952" s="7" t="n">
        <x:v>0</x:v>
      </x:c>
      <x:c r="P2952" s="9" t="n">
        <x:v>10.21</x:v>
      </x:c>
      <x:c r="Q2952" s="7" t="n">
        <x:f>'Guide'!$B$5-L2952</x:f>
        <x:v>1</x:v>
      </x:c>
      <x:c r="R2952" s="9" t="n">
        <x:f>K2952-P2952</x:f>
        <x:v>2.289999999999999</x:v>
      </x:c>
      <x:c r="S2952" s="10" t="n">
        <x:f>IF(K2952&gt;0,R2952/K2952,"")</x:f>
        <x:v>0.18319999999999992</x:v>
      </x:c>
    </x:row>
    <x:row r="2953">
      <x:c r="A2953" s="7" t="n">
        <x:v>2949</x:v>
      </x:c>
      <x:c r="B2953" s="7" t="str">
        <x:v>Tata</x:v>
      </x:c>
      <x:c r="C2953" s="7" t="str">
        <x:v>Nexon</x:v>
      </x:c>
      <x:c r="D2953" s="7" t="str">
        <x:v>Pure Diesel</x:v>
      </x:c>
      <x:c r="E2953" s="7" t="str">
        <x:v>Diesel</x:v>
      </x:c>
      <x:c r="F2953" s="7" t="str">
        <x:v>Manual</x:v>
      </x:c>
      <x:c r="G2953" s="7" t="str">
        <x:v>Compact SUV</x:v>
      </x:c>
      <x:c r="H2953" s="7" t="n">
        <x:v>1497</x:v>
      </x:c>
      <x:c r="I2953" s="7" t="n">
        <x:v>113</x:v>
      </x:c>
      <x:c r="J2953" s="9" t="n">
        <x:v>23.2</x:v>
      </x:c>
      <x:c r="K2953" s="9" t="n">
        <x:v>12.5</x:v>
      </x:c>
      <x:c r="L2953" s="7" t="n">
        <x:v>2023</x:v>
      </x:c>
      <x:c r="M2953" s="11" t="n">
        <x:v>32949</x:v>
      </x:c>
      <x:c r="N2953" s="7" t="n">
        <x:v>2</x:v>
      </x:c>
      <x:c r="O2953" s="7" t="n">
        <x:v>0</x:v>
      </x:c>
      <x:c r="P2953" s="9" t="n">
        <x:v>8.27</x:v>
      </x:c>
      <x:c r="Q2953" s="7" t="n">
        <x:f>'Guide'!$B$5-L2953</x:f>
        <x:v>3</x:v>
      </x:c>
      <x:c r="R2953" s="9" t="n">
        <x:f>K2953-P2953</x:f>
        <x:v>4.23</x:v>
      </x:c>
      <x:c r="S2953" s="10" t="n">
        <x:f>IF(K2953&gt;0,R2953/K2953,"")</x:f>
        <x:v>0.33840000000000003</x:v>
      </x:c>
    </x:row>
    <x:row r="2954">
      <x:c r="A2954" s="7" t="n">
        <x:v>2950</x:v>
      </x:c>
      <x:c r="B2954" s="7" t="str">
        <x:v>Tata</x:v>
      </x:c>
      <x:c r="C2954" s="7" t="str">
        <x:v>Nexon</x:v>
      </x:c>
      <x:c r="D2954" s="7" t="str">
        <x:v>Pure Diesel</x:v>
      </x:c>
      <x:c r="E2954" s="7" t="str">
        <x:v>Diesel</x:v>
      </x:c>
      <x:c r="F2954" s="7" t="str">
        <x:v>Manual</x:v>
      </x:c>
      <x:c r="G2954" s="7" t="str">
        <x:v>Compact SUV</x:v>
      </x:c>
      <x:c r="H2954" s="7" t="n">
        <x:v>1497</x:v>
      </x:c>
      <x:c r="I2954" s="7" t="n">
        <x:v>113</x:v>
      </x:c>
      <x:c r="J2954" s="9" t="n">
        <x:v>23.2</x:v>
      </x:c>
      <x:c r="K2954" s="9" t="n">
        <x:v>12.5</x:v>
      </x:c>
      <x:c r="L2954" s="7" t="n">
        <x:v>2021</x:v>
      </x:c>
      <x:c r="M2954" s="11" t="n">
        <x:v>91570</x:v>
      </x:c>
      <x:c r="N2954" s="7" t="n">
        <x:v>1</x:v>
      </x:c>
      <x:c r="O2954" s="7" t="n">
        <x:v>0</x:v>
      </x:c>
      <x:c r="P2954" s="9" t="n">
        <x:v>6.16</x:v>
      </x:c>
      <x:c r="Q2954" s="7" t="n">
        <x:f>'Guide'!$B$5-L2954</x:f>
        <x:v>5</x:v>
      </x:c>
      <x:c r="R2954" s="9" t="n">
        <x:f>K2954-P2954</x:f>
        <x:v>6.34</x:v>
      </x:c>
      <x:c r="S2954" s="10" t="n">
        <x:f>IF(K2954&gt;0,R2954/K2954,"")</x:f>
        <x:v>0.5072</x:v>
      </x:c>
    </x:row>
    <x:row r="2955">
      <x:c r="A2955" s="7" t="n">
        <x:v>2951</x:v>
      </x:c>
      <x:c r="B2955" s="7" t="str">
        <x:v>Tata</x:v>
      </x:c>
      <x:c r="C2955" s="7" t="str">
        <x:v>Nexon</x:v>
      </x:c>
      <x:c r="D2955" s="7" t="str">
        <x:v>Pure Diesel</x:v>
      </x:c>
      <x:c r="E2955" s="7" t="str">
        <x:v>Diesel</x:v>
      </x:c>
      <x:c r="F2955" s="7" t="str">
        <x:v>Manual</x:v>
      </x:c>
      <x:c r="G2955" s="7" t="str">
        <x:v>Compact SUV</x:v>
      </x:c>
      <x:c r="H2955" s="7" t="n">
        <x:v>1497</x:v>
      </x:c>
      <x:c r="I2955" s="7" t="n">
        <x:v>113</x:v>
      </x:c>
      <x:c r="J2955" s="9" t="n">
        <x:v>23.2</x:v>
      </x:c>
      <x:c r="K2955" s="9" t="n">
        <x:v>12.5</x:v>
      </x:c>
      <x:c r="L2955" s="7" t="n">
        <x:v>2022</x:v>
      </x:c>
      <x:c r="M2955" s="11" t="n">
        <x:v>41986</x:v>
      </x:c>
      <x:c r="N2955" s="7" t="n">
        <x:v>2</x:v>
      </x:c>
      <x:c r="O2955" s="7" t="n">
        <x:v>0</x:v>
      </x:c>
      <x:c r="P2955" s="9" t="n">
        <x:v>7.87</x:v>
      </x:c>
      <x:c r="Q2955" s="7" t="n">
        <x:f>'Guide'!$B$5-L2955</x:f>
        <x:v>4</x:v>
      </x:c>
      <x:c r="R2955" s="9" t="n">
        <x:f>K2955-P2955</x:f>
        <x:v>4.63</x:v>
      </x:c>
      <x:c r="S2955" s="10" t="n">
        <x:f>IF(K2955&gt;0,R2955/K2955,"")</x:f>
        <x:v>0.3704</x:v>
      </x:c>
    </x:row>
    <x:row r="2956">
      <x:c r="A2956" s="7" t="n">
        <x:v>2952</x:v>
      </x:c>
      <x:c r="B2956" s="7" t="str">
        <x:v>Tata</x:v>
      </x:c>
      <x:c r="C2956" s="7" t="str">
        <x:v>Nexon</x:v>
      </x:c>
      <x:c r="D2956" s="7" t="str">
        <x:v>Pure Diesel</x:v>
      </x:c>
      <x:c r="E2956" s="7" t="str">
        <x:v>Diesel</x:v>
      </x:c>
      <x:c r="F2956" s="7" t="str">
        <x:v>Manual</x:v>
      </x:c>
      <x:c r="G2956" s="7" t="str">
        <x:v>Compact SUV</x:v>
      </x:c>
      <x:c r="H2956" s="7" t="n">
        <x:v>1497</x:v>
      </x:c>
      <x:c r="I2956" s="7" t="n">
        <x:v>113</x:v>
      </x:c>
      <x:c r="J2956" s="9" t="n">
        <x:v>23.2</x:v>
      </x:c>
      <x:c r="K2956" s="9" t="n">
        <x:v>12.5</x:v>
      </x:c>
      <x:c r="L2956" s="7" t="n">
        <x:v>2024</x:v>
      </x:c>
      <x:c r="M2956" s="11" t="n">
        <x:v>42543</x:v>
      </x:c>
      <x:c r="N2956" s="7" t="n">
        <x:v>2</x:v>
      </x:c>
      <x:c r="O2956" s="7" t="n">
        <x:v>0</x:v>
      </x:c>
      <x:c r="P2956" s="9" t="n">
        <x:v>9.19</x:v>
      </x:c>
      <x:c r="Q2956" s="7" t="n">
        <x:f>'Guide'!$B$5-L2956</x:f>
        <x:v>2</x:v>
      </x:c>
      <x:c r="R2956" s="9" t="n">
        <x:f>K2956-P2956</x:f>
        <x:v>3.3100000000000005</x:v>
      </x:c>
      <x:c r="S2956" s="10" t="n">
        <x:f>IF(K2956&gt;0,R2956/K2956,"")</x:f>
        <x:v>0.26480000000000004</x:v>
      </x:c>
    </x:row>
    <x:row r="2957">
      <x:c r="A2957" s="7" t="n">
        <x:v>2953</x:v>
      </x:c>
      <x:c r="B2957" s="7" t="str">
        <x:v>Tata</x:v>
      </x:c>
      <x:c r="C2957" s="7" t="str">
        <x:v>Nexon</x:v>
      </x:c>
      <x:c r="D2957" s="7" t="str">
        <x:v>Pure Diesel</x:v>
      </x:c>
      <x:c r="E2957" s="7" t="str">
        <x:v>Diesel</x:v>
      </x:c>
      <x:c r="F2957" s="7" t="str">
        <x:v>Manual</x:v>
      </x:c>
      <x:c r="G2957" s="7" t="str">
        <x:v>Compact SUV</x:v>
      </x:c>
      <x:c r="H2957" s="7" t="n">
        <x:v>1497</x:v>
      </x:c>
      <x:c r="I2957" s="7" t="n">
        <x:v>113</x:v>
      </x:c>
      <x:c r="J2957" s="9" t="n">
        <x:v>23.2</x:v>
      </x:c>
      <x:c r="K2957" s="9" t="n">
        <x:v>12.5</x:v>
      </x:c>
      <x:c r="L2957" s="7" t="n">
        <x:v>2025</x:v>
      </x:c>
      <x:c r="M2957" s="11" t="n">
        <x:v>24807</x:v>
      </x:c>
      <x:c r="N2957" s="7" t="n">
        <x:v>1</x:v>
      </x:c>
      <x:c r="O2957" s="7" t="n">
        <x:v>0</x:v>
      </x:c>
      <x:c r="P2957" s="9" t="n">
        <x:v>10.9</x:v>
      </x:c>
      <x:c r="Q2957" s="7" t="n">
        <x:f>'Guide'!$B$5-L2957</x:f>
        <x:v>1</x:v>
      </x:c>
      <x:c r="R2957" s="9" t="n">
        <x:f>K2957-P2957</x:f>
        <x:v>1.5999999999999996</x:v>
      </x:c>
      <x:c r="S2957" s="10" t="n">
        <x:f>IF(K2957&gt;0,R2957/K2957,"")</x:f>
        <x:v>0.12799999999999997</x:v>
      </x:c>
    </x:row>
    <x:row r="2958">
      <x:c r="A2958" s="7" t="n">
        <x:v>2954</x:v>
      </x:c>
      <x:c r="B2958" s="7" t="str">
        <x:v>Tata</x:v>
      </x:c>
      <x:c r="C2958" s="7" t="str">
        <x:v>Nexon</x:v>
      </x:c>
      <x:c r="D2958" s="7" t="str">
        <x:v>Pure Diesel</x:v>
      </x:c>
      <x:c r="E2958" s="7" t="str">
        <x:v>Diesel</x:v>
      </x:c>
      <x:c r="F2958" s="7" t="str">
        <x:v>Manual</x:v>
      </x:c>
      <x:c r="G2958" s="7" t="str">
        <x:v>Compact SUV</x:v>
      </x:c>
      <x:c r="H2958" s="7" t="n">
        <x:v>1497</x:v>
      </x:c>
      <x:c r="I2958" s="7" t="n">
        <x:v>113</x:v>
      </x:c>
      <x:c r="J2958" s="9" t="n">
        <x:v>23.2</x:v>
      </x:c>
      <x:c r="K2958" s="9" t="n">
        <x:v>12.5</x:v>
      </x:c>
      <x:c r="L2958" s="7" t="n">
        <x:v>2023</x:v>
      </x:c>
      <x:c r="M2958" s="11" t="n">
        <x:v>40255</x:v>
      </x:c>
      <x:c r="N2958" s="7" t="n">
        <x:v>1</x:v>
      </x:c>
      <x:c r="O2958" s="7" t="n">
        <x:v>0</x:v>
      </x:c>
      <x:c r="P2958" s="9" t="n">
        <x:v>9.06</x:v>
      </x:c>
      <x:c r="Q2958" s="7" t="n">
        <x:f>'Guide'!$B$5-L2958</x:f>
        <x:v>3</x:v>
      </x:c>
      <x:c r="R2958" s="9" t="n">
        <x:f>K2958-P2958</x:f>
        <x:v>3.4399999999999995</x:v>
      </x:c>
      <x:c r="S2958" s="10" t="n">
        <x:f>IF(K2958&gt;0,R2958/K2958,"")</x:f>
        <x:v>0.27519999999999994</x:v>
      </x:c>
    </x:row>
    <x:row r="2959">
      <x:c r="A2959" s="7" t="n">
        <x:v>2955</x:v>
      </x:c>
      <x:c r="B2959" s="7" t="str">
        <x:v>Tata</x:v>
      </x:c>
      <x:c r="C2959" s="7" t="str">
        <x:v>Nexon</x:v>
      </x:c>
      <x:c r="D2959" s="7" t="str">
        <x:v>Pure Diesel</x:v>
      </x:c>
      <x:c r="E2959" s="7" t="str">
        <x:v>Diesel</x:v>
      </x:c>
      <x:c r="F2959" s="7" t="str">
        <x:v>Manual</x:v>
      </x:c>
      <x:c r="G2959" s="7" t="str">
        <x:v>Compact SUV</x:v>
      </x:c>
      <x:c r="H2959" s="7" t="n">
        <x:v>1497</x:v>
      </x:c>
      <x:c r="I2959" s="7" t="n">
        <x:v>113</x:v>
      </x:c>
      <x:c r="J2959" s="9" t="n">
        <x:v>23.2</x:v>
      </x:c>
      <x:c r="K2959" s="9" t="n">
        <x:v>12.5</x:v>
      </x:c>
      <x:c r="L2959" s="7" t="n">
        <x:v>2024</x:v>
      </x:c>
      <x:c r="M2959" s="11" t="n">
        <x:v>26803</x:v>
      </x:c>
      <x:c r="N2959" s="7" t="n">
        <x:v>1</x:v>
      </x:c>
      <x:c r="O2959" s="7" t="n">
        <x:v>0</x:v>
      </x:c>
      <x:c r="P2959" s="9" t="n">
        <x:v>10.36</x:v>
      </x:c>
      <x:c r="Q2959" s="7" t="n">
        <x:f>'Guide'!$B$5-L2959</x:f>
        <x:v>2</x:v>
      </x:c>
      <x:c r="R2959" s="9" t="n">
        <x:f>K2959-P2959</x:f>
        <x:v>2.1400000000000006</x:v>
      </x:c>
      <x:c r="S2959" s="10" t="n">
        <x:f>IF(K2959&gt;0,R2959/K2959,"")</x:f>
        <x:v>0.17120000000000005</x:v>
      </x:c>
    </x:row>
    <x:row r="2960">
      <x:c r="A2960" s="7" t="n">
        <x:v>2956</x:v>
      </x:c>
      <x:c r="B2960" s="7" t="str">
        <x:v>Tata</x:v>
      </x:c>
      <x:c r="C2960" s="7" t="str">
        <x:v>Nexon</x:v>
      </x:c>
      <x:c r="D2960" s="7" t="str">
        <x:v>Pure Diesel</x:v>
      </x:c>
      <x:c r="E2960" s="7" t="str">
        <x:v>Diesel</x:v>
      </x:c>
      <x:c r="F2960" s="7" t="str">
        <x:v>Manual</x:v>
      </x:c>
      <x:c r="G2960" s="7" t="str">
        <x:v>Compact SUV</x:v>
      </x:c>
      <x:c r="H2960" s="7" t="n">
        <x:v>1497</x:v>
      </x:c>
      <x:c r="I2960" s="7" t="n">
        <x:v>113</x:v>
      </x:c>
      <x:c r="J2960" s="9" t="n">
        <x:v>23.2</x:v>
      </x:c>
      <x:c r="K2960" s="9" t="n">
        <x:v>12.5</x:v>
      </x:c>
      <x:c r="L2960" s="7" t="n">
        <x:v>2021</x:v>
      </x:c>
      <x:c r="M2960" s="11" t="n">
        <x:v>50192</x:v>
      </x:c>
      <x:c r="N2960" s="7" t="n">
        <x:v>1</x:v>
      </x:c>
      <x:c r="O2960" s="7" t="n">
        <x:v>0</x:v>
      </x:c>
      <x:c r="P2960" s="9" t="n">
        <x:v>6.76</x:v>
      </x:c>
      <x:c r="Q2960" s="7" t="n">
        <x:f>'Guide'!$B$5-L2960</x:f>
        <x:v>5</x:v>
      </x:c>
      <x:c r="R2960" s="9" t="n">
        <x:f>K2960-P2960</x:f>
        <x:v>5.74</x:v>
      </x:c>
      <x:c r="S2960" s="10" t="n">
        <x:f>IF(K2960&gt;0,R2960/K2960,"")</x:f>
        <x:v>0.4592</x:v>
      </x:c>
    </x:row>
    <x:row r="2961">
      <x:c r="A2961" s="7" t="n">
        <x:v>2957</x:v>
      </x:c>
      <x:c r="B2961" s="7" t="str">
        <x:v>Tata</x:v>
      </x:c>
      <x:c r="C2961" s="7" t="str">
        <x:v>Nexon</x:v>
      </x:c>
      <x:c r="D2961" s="7" t="str">
        <x:v>Pure Diesel</x:v>
      </x:c>
      <x:c r="E2961" s="7" t="str">
        <x:v>Diesel</x:v>
      </x:c>
      <x:c r="F2961" s="7" t="str">
        <x:v>Manual</x:v>
      </x:c>
      <x:c r="G2961" s="7" t="str">
        <x:v>Compact SUV</x:v>
      </x:c>
      <x:c r="H2961" s="7" t="n">
        <x:v>1497</x:v>
      </x:c>
      <x:c r="I2961" s="7" t="n">
        <x:v>113</x:v>
      </x:c>
      <x:c r="J2961" s="9" t="n">
        <x:v>23.2</x:v>
      </x:c>
      <x:c r="K2961" s="9" t="n">
        <x:v>12.5</x:v>
      </x:c>
      <x:c r="L2961" s="7" t="n">
        <x:v>2026</x:v>
      </x:c>
      <x:c r="M2961" s="11" t="n">
        <x:v>5784</x:v>
      </x:c>
      <x:c r="N2961" s="7" t="n">
        <x:v>1</x:v>
      </x:c>
      <x:c r="O2961" s="7" t="n">
        <x:v>0</x:v>
      </x:c>
      <x:c r="P2961" s="9" t="n">
        <x:v>12.64</x:v>
      </x:c>
      <x:c r="Q2961" s="7" t="n">
        <x:f>'Guide'!$B$5-L2961</x:f>
        <x:v>0</x:v>
      </x:c>
      <x:c r="R2961" s="9" t="n">
        <x:f>K2961-P2961</x:f>
        <x:v>-0.14000000000000057</x:v>
      </x:c>
      <x:c r="S2961" s="10" t="n">
        <x:f>IF(K2961&gt;0,R2961/K2961,"")</x:f>
        <x:v>-0.011200000000000045</x:v>
      </x:c>
    </x:row>
    <x:row r="2962">
      <x:c r="A2962" s="7" t="n">
        <x:v>2958</x:v>
      </x:c>
      <x:c r="B2962" s="7" t="str">
        <x:v>Tata</x:v>
      </x:c>
      <x:c r="C2962" s="7" t="str">
        <x:v>Nexon</x:v>
      </x:c>
      <x:c r="D2962" s="7" t="str">
        <x:v>Pure Diesel</x:v>
      </x:c>
      <x:c r="E2962" s="7" t="str">
        <x:v>Diesel</x:v>
      </x:c>
      <x:c r="F2962" s="7" t="str">
        <x:v>Manual</x:v>
      </x:c>
      <x:c r="G2962" s="7" t="str">
        <x:v>Compact SUV</x:v>
      </x:c>
      <x:c r="H2962" s="7" t="n">
        <x:v>1497</x:v>
      </x:c>
      <x:c r="I2962" s="7" t="n">
        <x:v>113</x:v>
      </x:c>
      <x:c r="J2962" s="9" t="n">
        <x:v>23.2</x:v>
      </x:c>
      <x:c r="K2962" s="9" t="n">
        <x:v>12.5</x:v>
      </x:c>
      <x:c r="L2962" s="7" t="n">
        <x:v>2023</x:v>
      </x:c>
      <x:c r="M2962" s="11" t="n">
        <x:v>62492</x:v>
      </x:c>
      <x:c r="N2962" s="7" t="n">
        <x:v>1</x:v>
      </x:c>
      <x:c r="O2962" s="7" t="n">
        <x:v>0</x:v>
      </x:c>
      <x:c r="P2962" s="9" t="n">
        <x:v>8.51</x:v>
      </x:c>
      <x:c r="Q2962" s="7" t="n">
        <x:f>'Guide'!$B$5-L2962</x:f>
        <x:v>3</x:v>
      </x:c>
      <x:c r="R2962" s="9" t="n">
        <x:f>K2962-P2962</x:f>
        <x:v>3.99</x:v>
      </x:c>
      <x:c r="S2962" s="10" t="n">
        <x:f>IF(K2962&gt;0,R2962/K2962,"")</x:f>
        <x:v>0.31920000000000004</x:v>
      </x:c>
    </x:row>
    <x:row r="2963">
      <x:c r="A2963" s="7" t="n">
        <x:v>2959</x:v>
      </x:c>
      <x:c r="B2963" s="7" t="str">
        <x:v>Tata</x:v>
      </x:c>
      <x:c r="C2963" s="7" t="str">
        <x:v>Nexon</x:v>
      </x:c>
      <x:c r="D2963" s="7" t="str">
        <x:v>Pure Diesel</x:v>
      </x:c>
      <x:c r="E2963" s="7" t="str">
        <x:v>Diesel</x:v>
      </x:c>
      <x:c r="F2963" s="7" t="str">
        <x:v>Manual</x:v>
      </x:c>
      <x:c r="G2963" s="7" t="str">
        <x:v>Compact SUV</x:v>
      </x:c>
      <x:c r="H2963" s="7" t="n">
        <x:v>1497</x:v>
      </x:c>
      <x:c r="I2963" s="7" t="n">
        <x:v>113</x:v>
      </x:c>
      <x:c r="J2963" s="9" t="n">
        <x:v>23.2</x:v>
      </x:c>
      <x:c r="K2963" s="9" t="n">
        <x:v>12.5</x:v>
      </x:c>
      <x:c r="L2963" s="7" t="n">
        <x:v>2021</x:v>
      </x:c>
      <x:c r="M2963" s="11" t="n">
        <x:v>65710</x:v>
      </x:c>
      <x:c r="N2963" s="7" t="n">
        <x:v>1</x:v>
      </x:c>
      <x:c r="O2963" s="7" t="n">
        <x:v>0</x:v>
      </x:c>
      <x:c r="P2963" s="9" t="n">
        <x:v>6.73</x:v>
      </x:c>
      <x:c r="Q2963" s="7" t="n">
        <x:f>'Guide'!$B$5-L2963</x:f>
        <x:v>5</x:v>
      </x:c>
      <x:c r="R2963" s="9" t="n">
        <x:f>K2963-P2963</x:f>
        <x:v>5.77</x:v>
      </x:c>
      <x:c r="S2963" s="10" t="n">
        <x:f>IF(K2963&gt;0,R2963/K2963,"")</x:f>
        <x:v>0.46159999999999995</x:v>
      </x:c>
    </x:row>
    <x:row r="2964">
      <x:c r="A2964" s="7" t="n">
        <x:v>2960</x:v>
      </x:c>
      <x:c r="B2964" s="7" t="str">
        <x:v>Tata</x:v>
      </x:c>
      <x:c r="C2964" s="7" t="str">
        <x:v>Nexon</x:v>
      </x:c>
      <x:c r="D2964" s="7" t="str">
        <x:v>Pure Diesel</x:v>
      </x:c>
      <x:c r="E2964" s="7" t="str">
        <x:v>Diesel</x:v>
      </x:c>
      <x:c r="F2964" s="7" t="str">
        <x:v>Manual</x:v>
      </x:c>
      <x:c r="G2964" s="7" t="str">
        <x:v>Compact SUV</x:v>
      </x:c>
      <x:c r="H2964" s="7" t="n">
        <x:v>1497</x:v>
      </x:c>
      <x:c r="I2964" s="7" t="n">
        <x:v>113</x:v>
      </x:c>
      <x:c r="J2964" s="9" t="n">
        <x:v>23.2</x:v>
      </x:c>
      <x:c r="K2964" s="9" t="n">
        <x:v>12.5</x:v>
      </x:c>
      <x:c r="L2964" s="7" t="n">
        <x:v>2024</x:v>
      </x:c>
      <x:c r="M2964" s="11" t="n">
        <x:v>44853</x:v>
      </x:c>
      <x:c r="N2964" s="7" t="n">
        <x:v>2</x:v>
      </x:c>
      <x:c r="O2964" s="7" t="n">
        <x:v>0</x:v>
      </x:c>
      <x:c r="P2964" s="9" t="n">
        <x:v>9.07</x:v>
      </x:c>
      <x:c r="Q2964" s="7" t="n">
        <x:f>'Guide'!$B$5-L2964</x:f>
        <x:v>2</x:v>
      </x:c>
      <x:c r="R2964" s="9" t="n">
        <x:f>K2964-P2964</x:f>
        <x:v>3.4299999999999997</x:v>
      </x:c>
      <x:c r="S2964" s="10" t="n">
        <x:f>IF(K2964&gt;0,R2964/K2964,"")</x:f>
        <x:v>0.2744</x:v>
      </x:c>
    </x:row>
    <x:row r="2965">
      <x:c r="A2965" s="7" t="n">
        <x:v>2961</x:v>
      </x:c>
      <x:c r="B2965" s="7" t="str">
        <x:v>Tata</x:v>
      </x:c>
      <x:c r="C2965" s="7" t="str">
        <x:v>Nexon</x:v>
      </x:c>
      <x:c r="D2965" s="7" t="str">
        <x:v>Pure Diesel</x:v>
      </x:c>
      <x:c r="E2965" s="7" t="str">
        <x:v>Diesel</x:v>
      </x:c>
      <x:c r="F2965" s="7" t="str">
        <x:v>Manual</x:v>
      </x:c>
      <x:c r="G2965" s="7" t="str">
        <x:v>Compact SUV</x:v>
      </x:c>
      <x:c r="H2965" s="7" t="n">
        <x:v>1497</x:v>
      </x:c>
      <x:c r="I2965" s="7" t="n">
        <x:v>113</x:v>
      </x:c>
      <x:c r="J2965" s="9" t="n">
        <x:v>23.2</x:v>
      </x:c>
      <x:c r="K2965" s="9" t="n">
        <x:v>12.5</x:v>
      </x:c>
      <x:c r="L2965" s="7" t="n">
        <x:v>2020</x:v>
      </x:c>
      <x:c r="M2965" s="11" t="n">
        <x:v>117991</x:v>
      </x:c>
      <x:c r="N2965" s="7" t="n">
        <x:v>1</x:v>
      </x:c>
      <x:c r="O2965" s="7" t="n">
        <x:v>0</x:v>
      </x:c>
      <x:c r="P2965" s="9" t="n">
        <x:v>5.05</x:v>
      </x:c>
      <x:c r="Q2965" s="7" t="n">
        <x:f>'Guide'!$B$5-L2965</x:f>
        <x:v>6</x:v>
      </x:c>
      <x:c r="R2965" s="9" t="n">
        <x:f>K2965-P2965</x:f>
        <x:v>7.45</x:v>
      </x:c>
      <x:c r="S2965" s="10" t="n">
        <x:f>IF(K2965&gt;0,R2965/K2965,"")</x:f>
        <x:v>0.596</x:v>
      </x:c>
    </x:row>
    <x:row r="2966">
      <x:c r="A2966" s="7" t="n">
        <x:v>2962</x:v>
      </x:c>
      <x:c r="B2966" s="7" t="str">
        <x:v>Tata</x:v>
      </x:c>
      <x:c r="C2966" s="7" t="str">
        <x:v>Nexon</x:v>
      </x:c>
      <x:c r="D2966" s="7" t="str">
        <x:v>Pure Diesel</x:v>
      </x:c>
      <x:c r="E2966" s="7" t="str">
        <x:v>Diesel</x:v>
      </x:c>
      <x:c r="F2966" s="7" t="str">
        <x:v>Manual</x:v>
      </x:c>
      <x:c r="G2966" s="7" t="str">
        <x:v>Compact SUV</x:v>
      </x:c>
      <x:c r="H2966" s="7" t="n">
        <x:v>1497</x:v>
      </x:c>
      <x:c r="I2966" s="7" t="n">
        <x:v>113</x:v>
      </x:c>
      <x:c r="J2966" s="9" t="n">
        <x:v>23.2</x:v>
      </x:c>
      <x:c r="K2966" s="9" t="n">
        <x:v>12.5</x:v>
      </x:c>
      <x:c r="L2966" s="7" t="n">
        <x:v>2025</x:v>
      </x:c>
      <x:c r="M2966" s="11" t="n">
        <x:v>21970</x:v>
      </x:c>
      <x:c r="N2966" s="7" t="n">
        <x:v>1</x:v>
      </x:c>
      <x:c r="O2966" s="7" t="n">
        <x:v>1</x:v>
      </x:c>
      <x:c r="P2966" s="9" t="n">
        <x:v>10.59</x:v>
      </x:c>
      <x:c r="Q2966" s="7" t="n">
        <x:f>'Guide'!$B$5-L2966</x:f>
        <x:v>1</x:v>
      </x:c>
      <x:c r="R2966" s="9" t="n">
        <x:f>K2966-P2966</x:f>
        <x:v>1.9100000000000001</x:v>
      </x:c>
      <x:c r="S2966" s="10" t="n">
        <x:f>IF(K2966&gt;0,R2966/K2966,"")</x:f>
        <x:v>0.15280000000000002</x:v>
      </x:c>
    </x:row>
    <x:row r="2967">
      <x:c r="A2967" s="7" t="n">
        <x:v>2963</x:v>
      </x:c>
      <x:c r="B2967" s="7" t="str">
        <x:v>Tata</x:v>
      </x:c>
      <x:c r="C2967" s="7" t="str">
        <x:v>Nexon</x:v>
      </x:c>
      <x:c r="D2967" s="7" t="str">
        <x:v>Pure Diesel</x:v>
      </x:c>
      <x:c r="E2967" s="7" t="str">
        <x:v>Diesel</x:v>
      </x:c>
      <x:c r="F2967" s="7" t="str">
        <x:v>Manual</x:v>
      </x:c>
      <x:c r="G2967" s="7" t="str">
        <x:v>Compact SUV</x:v>
      </x:c>
      <x:c r="H2967" s="7" t="n">
        <x:v>1497</x:v>
      </x:c>
      <x:c r="I2967" s="7" t="n">
        <x:v>113</x:v>
      </x:c>
      <x:c r="J2967" s="9" t="n">
        <x:v>23.2</x:v>
      </x:c>
      <x:c r="K2967" s="9" t="n">
        <x:v>12.5</x:v>
      </x:c>
      <x:c r="L2967" s="7" t="n">
        <x:v>2022</x:v>
      </x:c>
      <x:c r="M2967" s="11" t="n">
        <x:v>86089</x:v>
      </x:c>
      <x:c r="N2967" s="7" t="n">
        <x:v>1</x:v>
      </x:c>
      <x:c r="O2967" s="7" t="n">
        <x:v>0</x:v>
      </x:c>
      <x:c r="P2967" s="9" t="n">
        <x:v>6.83</x:v>
      </x:c>
      <x:c r="Q2967" s="7" t="n">
        <x:f>'Guide'!$B$5-L2967</x:f>
        <x:v>4</x:v>
      </x:c>
      <x:c r="R2967" s="9" t="n">
        <x:f>K2967-P2967</x:f>
        <x:v>5.67</x:v>
      </x:c>
      <x:c r="S2967" s="10" t="n">
        <x:f>IF(K2967&gt;0,R2967/K2967,"")</x:f>
        <x:v>0.4536</x:v>
      </x:c>
    </x:row>
    <x:row r="2968">
      <x:c r="A2968" s="7" t="n">
        <x:v>2964</x:v>
      </x:c>
      <x:c r="B2968" s="7" t="str">
        <x:v>Tata</x:v>
      </x:c>
      <x:c r="C2968" s="7" t="str">
        <x:v>Nexon</x:v>
      </x:c>
      <x:c r="D2968" s="7" t="str">
        <x:v>Pure Diesel</x:v>
      </x:c>
      <x:c r="E2968" s="7" t="str">
        <x:v>Diesel</x:v>
      </x:c>
      <x:c r="F2968" s="7" t="str">
        <x:v>Manual</x:v>
      </x:c>
      <x:c r="G2968" s="7" t="str">
        <x:v>Compact SUV</x:v>
      </x:c>
      <x:c r="H2968" s="7" t="n">
        <x:v>1497</x:v>
      </x:c>
      <x:c r="I2968" s="7" t="n">
        <x:v>113</x:v>
      </x:c>
      <x:c r="J2968" s="9" t="n">
        <x:v>23.2</x:v>
      </x:c>
      <x:c r="K2968" s="9" t="n">
        <x:v>12.5</x:v>
      </x:c>
      <x:c r="L2968" s="7" t="n">
        <x:v>2023</x:v>
      </x:c>
      <x:c r="M2968" s="11" t="n">
        <x:v>41476</x:v>
      </x:c>
      <x:c r="N2968" s="7" t="n">
        <x:v>1</x:v>
      </x:c>
      <x:c r="O2968" s="7" t="n">
        <x:v>0</x:v>
      </x:c>
      <x:c r="P2968" s="9" t="n">
        <x:v>8.67</x:v>
      </x:c>
      <x:c r="Q2968" s="7" t="n">
        <x:f>'Guide'!$B$5-L2968</x:f>
        <x:v>3</x:v>
      </x:c>
      <x:c r="R2968" s="9" t="n">
        <x:f>K2968-P2968</x:f>
        <x:v>3.83</x:v>
      </x:c>
      <x:c r="S2968" s="10" t="n">
        <x:f>IF(K2968&gt;0,R2968/K2968,"")</x:f>
        <x:v>0.3064</x:v>
      </x:c>
    </x:row>
    <x:row r="2969">
      <x:c r="A2969" s="7" t="n">
        <x:v>2965</x:v>
      </x:c>
      <x:c r="B2969" s="7" t="str">
        <x:v>Tata</x:v>
      </x:c>
      <x:c r="C2969" s="7" t="str">
        <x:v>Nexon</x:v>
      </x:c>
      <x:c r="D2969" s="7" t="str">
        <x:v>Pure Diesel</x:v>
      </x:c>
      <x:c r="E2969" s="7" t="str">
        <x:v>Diesel</x:v>
      </x:c>
      <x:c r="F2969" s="7" t="str">
        <x:v>Manual</x:v>
      </x:c>
      <x:c r="G2969" s="7" t="str">
        <x:v>Compact SUV</x:v>
      </x:c>
      <x:c r="H2969" s="7" t="n">
        <x:v>1497</x:v>
      </x:c>
      <x:c r="I2969" s="7" t="n">
        <x:v>113</x:v>
      </x:c>
      <x:c r="J2969" s="9" t="n">
        <x:v>23.2</x:v>
      </x:c>
      <x:c r="K2969" s="9" t="n">
        <x:v>12.5</x:v>
      </x:c>
      <x:c r="L2969" s="7" t="n">
        <x:v>2026</x:v>
      </x:c>
      <x:c r="M2969" s="11" t="n">
        <x:v>8011</x:v>
      </x:c>
      <x:c r="N2969" s="7" t="n">
        <x:v>1</x:v>
      </x:c>
      <x:c r="O2969" s="7" t="n">
        <x:v>0</x:v>
      </x:c>
      <x:c r="P2969" s="9" t="n">
        <x:v>12.4</x:v>
      </x:c>
      <x:c r="Q2969" s="7" t="n">
        <x:f>'Guide'!$B$5-L2969</x:f>
        <x:v>0</x:v>
      </x:c>
      <x:c r="R2969" s="9" t="n">
        <x:f>K2969-P2969</x:f>
        <x:v>0.09999999999999964</x:v>
      </x:c>
      <x:c r="S2969" s="10" t="n">
        <x:f>IF(K2969&gt;0,R2969/K2969,"")</x:f>
        <x:v>0.007999999999999972</x:v>
      </x:c>
    </x:row>
    <x:row r="2970">
      <x:c r="A2970" s="7" t="n">
        <x:v>2966</x:v>
      </x:c>
      <x:c r="B2970" s="7" t="str">
        <x:v>Tata</x:v>
      </x:c>
      <x:c r="C2970" s="7" t="str">
        <x:v>Nexon</x:v>
      </x:c>
      <x:c r="D2970" s="7" t="str">
        <x:v>Pure Diesel</x:v>
      </x:c>
      <x:c r="E2970" s="7" t="str">
        <x:v>Diesel</x:v>
      </x:c>
      <x:c r="F2970" s="7" t="str">
        <x:v>Manual</x:v>
      </x:c>
      <x:c r="G2970" s="7" t="str">
        <x:v>Compact SUV</x:v>
      </x:c>
      <x:c r="H2970" s="7" t="n">
        <x:v>1497</x:v>
      </x:c>
      <x:c r="I2970" s="7" t="n">
        <x:v>113</x:v>
      </x:c>
      <x:c r="J2970" s="9" t="n">
        <x:v>23.2</x:v>
      </x:c>
      <x:c r="K2970" s="9" t="n">
        <x:v>12.5</x:v>
      </x:c>
      <x:c r="L2970" s="7" t="n">
        <x:v>2024</x:v>
      </x:c>
      <x:c r="M2970" s="11" t="n">
        <x:v>49169</x:v>
      </x:c>
      <x:c r="N2970" s="7" t="n">
        <x:v>2</x:v>
      </x:c>
      <x:c r="O2970" s="7" t="n">
        <x:v>0</x:v>
      </x:c>
      <x:c r="P2970" s="9" t="n">
        <x:v>9.63</x:v>
      </x:c>
      <x:c r="Q2970" s="7" t="n">
        <x:f>'Guide'!$B$5-L2970</x:f>
        <x:v>2</x:v>
      </x:c>
      <x:c r="R2970" s="9" t="n">
        <x:f>K2970-P2970</x:f>
        <x:v>2.869999999999999</x:v>
      </x:c>
      <x:c r="S2970" s="10" t="n">
        <x:f>IF(K2970&gt;0,R2970/K2970,"")</x:f>
        <x:v>0.22959999999999994</x:v>
      </x:c>
    </x:row>
    <x:row r="2971">
      <x:c r="A2971" s="7" t="n">
        <x:v>2967</x:v>
      </x:c>
      <x:c r="B2971" s="7" t="str">
        <x:v>Tata</x:v>
      </x:c>
      <x:c r="C2971" s="7" t="str">
        <x:v>Nexon</x:v>
      </x:c>
      <x:c r="D2971" s="7" t="str">
        <x:v>Pure Diesel</x:v>
      </x:c>
      <x:c r="E2971" s="7" t="str">
        <x:v>Diesel</x:v>
      </x:c>
      <x:c r="F2971" s="7" t="str">
        <x:v>Manual</x:v>
      </x:c>
      <x:c r="G2971" s="7" t="str">
        <x:v>Compact SUV</x:v>
      </x:c>
      <x:c r="H2971" s="7" t="n">
        <x:v>1497</x:v>
      </x:c>
      <x:c r="I2971" s="7" t="n">
        <x:v>113</x:v>
      </x:c>
      <x:c r="J2971" s="9" t="n">
        <x:v>23.2</x:v>
      </x:c>
      <x:c r="K2971" s="9" t="n">
        <x:v>12.5</x:v>
      </x:c>
      <x:c r="L2971" s="7" t="n">
        <x:v>2024</x:v>
      </x:c>
      <x:c r="M2971" s="11" t="n">
        <x:v>20600</x:v>
      </x:c>
      <x:c r="N2971" s="7" t="n">
        <x:v>1</x:v>
      </x:c>
      <x:c r="O2971" s="7" t="n">
        <x:v>1</x:v>
      </x:c>
      <x:c r="P2971" s="9" t="n">
        <x:v>9.03</x:v>
      </x:c>
      <x:c r="Q2971" s="7" t="n">
        <x:f>'Guide'!$B$5-L2971</x:f>
        <x:v>2</x:v>
      </x:c>
      <x:c r="R2971" s="9" t="n">
        <x:f>K2971-P2971</x:f>
        <x:v>3.4700000000000006</x:v>
      </x:c>
      <x:c r="S2971" s="10" t="n">
        <x:f>IF(K2971&gt;0,R2971/K2971,"")</x:f>
        <x:v>0.27760000000000007</x:v>
      </x:c>
    </x:row>
    <x:row r="2972">
      <x:c r="A2972" s="7" t="n">
        <x:v>2968</x:v>
      </x:c>
      <x:c r="B2972" s="7" t="str">
        <x:v>Tata</x:v>
      </x:c>
      <x:c r="C2972" s="7" t="str">
        <x:v>Nexon</x:v>
      </x:c>
      <x:c r="D2972" s="7" t="str">
        <x:v>Pure Diesel</x:v>
      </x:c>
      <x:c r="E2972" s="7" t="str">
        <x:v>Diesel</x:v>
      </x:c>
      <x:c r="F2972" s="7" t="str">
        <x:v>Manual</x:v>
      </x:c>
      <x:c r="G2972" s="7" t="str">
        <x:v>Compact SUV</x:v>
      </x:c>
      <x:c r="H2972" s="7" t="n">
        <x:v>1497</x:v>
      </x:c>
      <x:c r="I2972" s="7" t="n">
        <x:v>113</x:v>
      </x:c>
      <x:c r="J2972" s="9" t="n">
        <x:v>23.2</x:v>
      </x:c>
      <x:c r="K2972" s="9" t="n">
        <x:v>12.5</x:v>
      </x:c>
      <x:c r="L2972" s="7" t="n">
        <x:v>2026</x:v>
      </x:c>
      <x:c r="M2972" s="11" t="n">
        <x:v>7894</x:v>
      </x:c>
      <x:c r="N2972" s="7" t="n">
        <x:v>2</x:v>
      </x:c>
      <x:c r="O2972" s="7" t="n">
        <x:v>0</x:v>
      </x:c>
      <x:c r="P2972" s="9" t="n">
        <x:v>11.9</x:v>
      </x:c>
      <x:c r="Q2972" s="7" t="n">
        <x:f>'Guide'!$B$5-L2972</x:f>
        <x:v>0</x:v>
      </x:c>
      <x:c r="R2972" s="9" t="n">
        <x:f>K2972-P2972</x:f>
        <x:v>0.5999999999999996</x:v>
      </x:c>
      <x:c r="S2972" s="10" t="n">
        <x:f>IF(K2972&gt;0,R2972/K2972,"")</x:f>
        <x:v>0.04799999999999997</x:v>
      </x:c>
    </x:row>
    <x:row r="2973">
      <x:c r="A2973" s="7" t="n">
        <x:v>2969</x:v>
      </x:c>
      <x:c r="B2973" s="7" t="str">
        <x:v>Tata</x:v>
      </x:c>
      <x:c r="C2973" s="7" t="str">
        <x:v>Nexon</x:v>
      </x:c>
      <x:c r="D2973" s="7" t="str">
        <x:v>Pure Diesel</x:v>
      </x:c>
      <x:c r="E2973" s="7" t="str">
        <x:v>Diesel</x:v>
      </x:c>
      <x:c r="F2973" s="7" t="str">
        <x:v>Manual</x:v>
      </x:c>
      <x:c r="G2973" s="7" t="str">
        <x:v>Compact SUV</x:v>
      </x:c>
      <x:c r="H2973" s="7" t="n">
        <x:v>1497</x:v>
      </x:c>
      <x:c r="I2973" s="7" t="n">
        <x:v>113</x:v>
      </x:c>
      <x:c r="J2973" s="9" t="n">
        <x:v>23.2</x:v>
      </x:c>
      <x:c r="K2973" s="9" t="n">
        <x:v>12.5</x:v>
      </x:c>
      <x:c r="L2973" s="7" t="n">
        <x:v>2023</x:v>
      </x:c>
      <x:c r="M2973" s="11" t="n">
        <x:v>63324</x:v>
      </x:c>
      <x:c r="N2973" s="7" t="n">
        <x:v>1</x:v>
      </x:c>
      <x:c r="O2973" s="7" t="n">
        <x:v>0</x:v>
      </x:c>
      <x:c r="P2973" s="9" t="n">
        <x:v>8.37</x:v>
      </x:c>
      <x:c r="Q2973" s="7" t="n">
        <x:f>'Guide'!$B$5-L2973</x:f>
        <x:v>3</x:v>
      </x:c>
      <x:c r="R2973" s="9" t="n">
        <x:f>K2973-P2973</x:f>
        <x:v>4.130000000000001</x:v>
      </x:c>
      <x:c r="S2973" s="10" t="n">
        <x:f>IF(K2973&gt;0,R2973/K2973,"")</x:f>
        <x:v>0.3304000000000001</x:v>
      </x:c>
    </x:row>
    <x:row r="2974">
      <x:c r="A2974" s="7" t="n">
        <x:v>2970</x:v>
      </x:c>
      <x:c r="B2974" s="7" t="str">
        <x:v>Tata</x:v>
      </x:c>
      <x:c r="C2974" s="7" t="str">
        <x:v>Nexon</x:v>
      </x:c>
      <x:c r="D2974" s="7" t="str">
        <x:v>Pure Diesel</x:v>
      </x:c>
      <x:c r="E2974" s="7" t="str">
        <x:v>Diesel</x:v>
      </x:c>
      <x:c r="F2974" s="7" t="str">
        <x:v>Manual</x:v>
      </x:c>
      <x:c r="G2974" s="7" t="str">
        <x:v>Compact SUV</x:v>
      </x:c>
      <x:c r="H2974" s="7" t="n">
        <x:v>1497</x:v>
      </x:c>
      <x:c r="I2974" s="7" t="n">
        <x:v>113</x:v>
      </x:c>
      <x:c r="J2974" s="9" t="n">
        <x:v>23.2</x:v>
      </x:c>
      <x:c r="K2974" s="9" t="n">
        <x:v>12.5</x:v>
      </x:c>
      <x:c r="L2974" s="7" t="n">
        <x:v>2022</x:v>
      </x:c>
      <x:c r="M2974" s="11" t="n">
        <x:v>58344</x:v>
      </x:c>
      <x:c r="N2974" s="7" t="n">
        <x:v>1</x:v>
      </x:c>
      <x:c r="O2974" s="7" t="n">
        <x:v>0</x:v>
      </x:c>
      <x:c r="P2974" s="9" t="n">
        <x:v>7.62</x:v>
      </x:c>
      <x:c r="Q2974" s="7" t="n">
        <x:f>'Guide'!$B$5-L2974</x:f>
        <x:v>4</x:v>
      </x:c>
      <x:c r="R2974" s="9" t="n">
        <x:f>K2974-P2974</x:f>
        <x:v>4.88</x:v>
      </x:c>
      <x:c r="S2974" s="10" t="n">
        <x:f>IF(K2974&gt;0,R2974/K2974,"")</x:f>
        <x:v>0.39039999999999997</x:v>
      </x:c>
    </x:row>
    <x:row r="2975">
      <x:c r="A2975" s="7" t="n">
        <x:v>2971</x:v>
      </x:c>
      <x:c r="B2975" s="7" t="str">
        <x:v>Tata</x:v>
      </x:c>
      <x:c r="C2975" s="7" t="str">
        <x:v>Nexon</x:v>
      </x:c>
      <x:c r="D2975" s="7" t="str">
        <x:v>Pure Diesel</x:v>
      </x:c>
      <x:c r="E2975" s="7" t="str">
        <x:v>Diesel</x:v>
      </x:c>
      <x:c r="F2975" s="7" t="str">
        <x:v>Manual</x:v>
      </x:c>
      <x:c r="G2975" s="7" t="str">
        <x:v>Compact SUV</x:v>
      </x:c>
      <x:c r="H2975" s="7" t="n">
        <x:v>1497</x:v>
      </x:c>
      <x:c r="I2975" s="7" t="n">
        <x:v>113</x:v>
      </x:c>
      <x:c r="J2975" s="9" t="n">
        <x:v>23.2</x:v>
      </x:c>
      <x:c r="K2975" s="9" t="n">
        <x:v>12.5</x:v>
      </x:c>
      <x:c r="L2975" s="7" t="n">
        <x:v>2020</x:v>
      </x:c>
      <x:c r="M2975" s="11" t="n">
        <x:v>108734</x:v>
      </x:c>
      <x:c r="N2975" s="7" t="n">
        <x:v>2</x:v>
      </x:c>
      <x:c r="O2975" s="7" t="n">
        <x:v>0</x:v>
      </x:c>
      <x:c r="P2975" s="9" t="n">
        <x:v>4.24</x:v>
      </x:c>
      <x:c r="Q2975" s="7" t="n">
        <x:f>'Guide'!$B$5-L2975</x:f>
        <x:v>6</x:v>
      </x:c>
      <x:c r="R2975" s="9" t="n">
        <x:f>K2975-P2975</x:f>
        <x:v>8.26</x:v>
      </x:c>
      <x:c r="S2975" s="10" t="n">
        <x:f>IF(K2975&gt;0,R2975/K2975,"")</x:f>
        <x:v>0.6607999999999999</x:v>
      </x:c>
    </x:row>
    <x:row r="2976">
      <x:c r="A2976" s="7" t="n">
        <x:v>2972</x:v>
      </x:c>
      <x:c r="B2976" s="7" t="str">
        <x:v>Tata</x:v>
      </x:c>
      <x:c r="C2976" s="7" t="str">
        <x:v>Nexon</x:v>
      </x:c>
      <x:c r="D2976" s="7" t="str">
        <x:v>Pure Diesel</x:v>
      </x:c>
      <x:c r="E2976" s="7" t="str">
        <x:v>Diesel</x:v>
      </x:c>
      <x:c r="F2976" s="7" t="str">
        <x:v>Manual</x:v>
      </x:c>
      <x:c r="G2976" s="7" t="str">
        <x:v>Compact SUV</x:v>
      </x:c>
      <x:c r="H2976" s="7" t="n">
        <x:v>1497</x:v>
      </x:c>
      <x:c r="I2976" s="7" t="n">
        <x:v>113</x:v>
      </x:c>
      <x:c r="J2976" s="9" t="n">
        <x:v>23.2</x:v>
      </x:c>
      <x:c r="K2976" s="9" t="n">
        <x:v>12.5</x:v>
      </x:c>
      <x:c r="L2976" s="7" t="n">
        <x:v>2022</x:v>
      </x:c>
      <x:c r="M2976" s="11" t="n">
        <x:v>38896</x:v>
      </x:c>
      <x:c r="N2976" s="7" t="n">
        <x:v>1</x:v>
      </x:c>
      <x:c r="O2976" s="7" t="n">
        <x:v>0</x:v>
      </x:c>
      <x:c r="P2976" s="9" t="n">
        <x:v>7.93</x:v>
      </x:c>
      <x:c r="Q2976" s="7" t="n">
        <x:f>'Guide'!$B$5-L2976</x:f>
        <x:v>4</x:v>
      </x:c>
      <x:c r="R2976" s="9" t="n">
        <x:f>K2976-P2976</x:f>
        <x:v>4.57</x:v>
      </x:c>
      <x:c r="S2976" s="10" t="n">
        <x:f>IF(K2976&gt;0,R2976/K2976,"")</x:f>
        <x:v>0.36560000000000004</x:v>
      </x:c>
    </x:row>
    <x:row r="2977">
      <x:c r="A2977" s="7" t="n">
        <x:v>2973</x:v>
      </x:c>
      <x:c r="B2977" s="7" t="str">
        <x:v>Tata</x:v>
      </x:c>
      <x:c r="C2977" s="7" t="str">
        <x:v>Nexon</x:v>
      </x:c>
      <x:c r="D2977" s="7" t="str">
        <x:v>Pure Diesel</x:v>
      </x:c>
      <x:c r="E2977" s="7" t="str">
        <x:v>Diesel</x:v>
      </x:c>
      <x:c r="F2977" s="7" t="str">
        <x:v>Manual</x:v>
      </x:c>
      <x:c r="G2977" s="7" t="str">
        <x:v>Compact SUV</x:v>
      </x:c>
      <x:c r="H2977" s="7" t="n">
        <x:v>1497</x:v>
      </x:c>
      <x:c r="I2977" s="7" t="n">
        <x:v>113</x:v>
      </x:c>
      <x:c r="J2977" s="9" t="n">
        <x:v>23.2</x:v>
      </x:c>
      <x:c r="K2977" s="9" t="n">
        <x:v>12.5</x:v>
      </x:c>
      <x:c r="L2977" s="7" t="n">
        <x:v>2025</x:v>
      </x:c>
      <x:c r="M2977" s="11" t="n">
        <x:v>15841</x:v>
      </x:c>
      <x:c r="N2977" s="7" t="n">
        <x:v>1</x:v>
      </x:c>
      <x:c r="O2977" s="7" t="n">
        <x:v>0</x:v>
      </x:c>
      <x:c r="P2977" s="9" t="n">
        <x:v>11.18</x:v>
      </x:c>
      <x:c r="Q2977" s="7" t="n">
        <x:f>'Guide'!$B$5-L2977</x:f>
        <x:v>1</x:v>
      </x:c>
      <x:c r="R2977" s="9" t="n">
        <x:f>K2977-P2977</x:f>
        <x:v>1.3200000000000003</x:v>
      </x:c>
      <x:c r="S2977" s="10" t="n">
        <x:f>IF(K2977&gt;0,R2977/K2977,"")</x:f>
        <x:v>0.10560000000000003</x:v>
      </x:c>
    </x:row>
    <x:row r="2978">
      <x:c r="A2978" s="7" t="n">
        <x:v>2974</x:v>
      </x:c>
      <x:c r="B2978" s="7" t="str">
        <x:v>Tata</x:v>
      </x:c>
      <x:c r="C2978" s="7" t="str">
        <x:v>Nexon</x:v>
      </x:c>
      <x:c r="D2978" s="7" t="str">
        <x:v>Pure Diesel</x:v>
      </x:c>
      <x:c r="E2978" s="7" t="str">
        <x:v>Diesel</x:v>
      </x:c>
      <x:c r="F2978" s="7" t="str">
        <x:v>Manual</x:v>
      </x:c>
      <x:c r="G2978" s="7" t="str">
        <x:v>Compact SUV</x:v>
      </x:c>
      <x:c r="H2978" s="7" t="n">
        <x:v>1497</x:v>
      </x:c>
      <x:c r="I2978" s="7" t="n">
        <x:v>113</x:v>
      </x:c>
      <x:c r="J2978" s="9" t="n">
        <x:v>23.2</x:v>
      </x:c>
      <x:c r="K2978" s="9" t="n">
        <x:v>12.5</x:v>
      </x:c>
      <x:c r="L2978" s="7" t="n">
        <x:v>2024</x:v>
      </x:c>
      <x:c r="M2978" s="11" t="n">
        <x:v>47721</x:v>
      </x:c>
      <x:c r="N2978" s="7" t="n">
        <x:v>2</x:v>
      </x:c>
      <x:c r="O2978" s="7" t="n">
        <x:v>0</x:v>
      </x:c>
      <x:c r="P2978" s="9" t="n">
        <x:v>9.14</x:v>
      </x:c>
      <x:c r="Q2978" s="7" t="n">
        <x:f>'Guide'!$B$5-L2978</x:f>
        <x:v>2</x:v>
      </x:c>
      <x:c r="R2978" s="9" t="n">
        <x:f>K2978-P2978</x:f>
        <x:v>3.3599999999999994</x:v>
      </x:c>
      <x:c r="S2978" s="10" t="n">
        <x:f>IF(K2978&gt;0,R2978/K2978,"")</x:f>
        <x:v>0.26879999999999993</x:v>
      </x:c>
    </x:row>
    <x:row r="2979">
      <x:c r="A2979" s="7" t="n">
        <x:v>2975</x:v>
      </x:c>
      <x:c r="B2979" s="7" t="str">
        <x:v>Tata</x:v>
      </x:c>
      <x:c r="C2979" s="7" t="str">
        <x:v>Nexon</x:v>
      </x:c>
      <x:c r="D2979" s="7" t="str">
        <x:v>Pure Diesel</x:v>
      </x:c>
      <x:c r="E2979" s="7" t="str">
        <x:v>Diesel</x:v>
      </x:c>
      <x:c r="F2979" s="7" t="str">
        <x:v>Manual</x:v>
      </x:c>
      <x:c r="G2979" s="7" t="str">
        <x:v>Compact SUV</x:v>
      </x:c>
      <x:c r="H2979" s="7" t="n">
        <x:v>1497</x:v>
      </x:c>
      <x:c r="I2979" s="7" t="n">
        <x:v>113</x:v>
      </x:c>
      <x:c r="J2979" s="9" t="n">
        <x:v>23.2</x:v>
      </x:c>
      <x:c r="K2979" s="9" t="n">
        <x:v>12.5</x:v>
      </x:c>
      <x:c r="L2979" s="7" t="n">
        <x:v>2024</x:v>
      </x:c>
      <x:c r="M2979" s="11" t="n">
        <x:v>46850</x:v>
      </x:c>
      <x:c r="N2979" s="7" t="n">
        <x:v>1</x:v>
      </x:c>
      <x:c r="O2979" s="7" t="n">
        <x:v>0</x:v>
      </x:c>
      <x:c r="P2979" s="9" t="n">
        <x:v>10.09</x:v>
      </x:c>
      <x:c r="Q2979" s="7" t="n">
        <x:f>'Guide'!$B$5-L2979</x:f>
        <x:v>2</x:v>
      </x:c>
      <x:c r="R2979" s="9" t="n">
        <x:f>K2979-P2979</x:f>
        <x:v>2.41</x:v>
      </x:c>
      <x:c r="S2979" s="10" t="n">
        <x:f>IF(K2979&gt;0,R2979/K2979,"")</x:f>
        <x:v>0.1928</x:v>
      </x:c>
    </x:row>
    <x:row r="2980">
      <x:c r="A2980" s="7" t="n">
        <x:v>2976</x:v>
      </x:c>
      <x:c r="B2980" s="7" t="str">
        <x:v>Tata</x:v>
      </x:c>
      <x:c r="C2980" s="7" t="str">
        <x:v>Nexon</x:v>
      </x:c>
      <x:c r="D2980" s="7" t="str">
        <x:v>Pure Diesel</x:v>
      </x:c>
      <x:c r="E2980" s="7" t="str">
        <x:v>Diesel</x:v>
      </x:c>
      <x:c r="F2980" s="7" t="str">
        <x:v>Manual</x:v>
      </x:c>
      <x:c r="G2980" s="7" t="str">
        <x:v>Compact SUV</x:v>
      </x:c>
      <x:c r="H2980" s="7" t="n">
        <x:v>1497</x:v>
      </x:c>
      <x:c r="I2980" s="7" t="n">
        <x:v>113</x:v>
      </x:c>
      <x:c r="J2980" s="9" t="n">
        <x:v>23.2</x:v>
      </x:c>
      <x:c r="K2980" s="9" t="n">
        <x:v>12.5</x:v>
      </x:c>
      <x:c r="L2980" s="7" t="n">
        <x:v>2026</x:v>
      </x:c>
      <x:c r="M2980" s="11" t="n">
        <x:v>7398</x:v>
      </x:c>
      <x:c r="N2980" s="7" t="n">
        <x:v>1</x:v>
      </x:c>
      <x:c r="O2980" s="7" t="n">
        <x:v>0</x:v>
      </x:c>
      <x:c r="P2980" s="9" t="n">
        <x:v>12.29</x:v>
      </x:c>
      <x:c r="Q2980" s="7" t="n">
        <x:f>'Guide'!$B$5-L2980</x:f>
        <x:v>0</x:v>
      </x:c>
      <x:c r="R2980" s="9" t="n">
        <x:f>K2980-P2980</x:f>
        <x:v>0.21000000000000085</x:v>
      </x:c>
      <x:c r="S2980" s="10" t="n">
        <x:f>IF(K2980&gt;0,R2980/K2980,"")</x:f>
        <x:v>0.01680000000000007</x:v>
      </x:c>
    </x:row>
    <x:row r="2981">
      <x:c r="A2981" s="7" t="n">
        <x:v>2977</x:v>
      </x:c>
      <x:c r="B2981" s="7" t="str">
        <x:v>Tata</x:v>
      </x:c>
      <x:c r="C2981" s="7" t="str">
        <x:v>Nexon</x:v>
      </x:c>
      <x:c r="D2981" s="7" t="str">
        <x:v>Pure Diesel</x:v>
      </x:c>
      <x:c r="E2981" s="7" t="str">
        <x:v>Diesel</x:v>
      </x:c>
      <x:c r="F2981" s="7" t="str">
        <x:v>Manual</x:v>
      </x:c>
      <x:c r="G2981" s="7" t="str">
        <x:v>Compact SUV</x:v>
      </x:c>
      <x:c r="H2981" s="7" t="n">
        <x:v>1497</x:v>
      </x:c>
      <x:c r="I2981" s="7" t="n">
        <x:v>113</x:v>
      </x:c>
      <x:c r="J2981" s="9" t="n">
        <x:v>23.2</x:v>
      </x:c>
      <x:c r="K2981" s="9" t="n">
        <x:v>12.5</x:v>
      </x:c>
      <x:c r="L2981" s="7" t="n">
        <x:v>2025</x:v>
      </x:c>
      <x:c r="M2981" s="11" t="n">
        <x:v>25276</x:v>
      </x:c>
      <x:c r="N2981" s="7" t="n">
        <x:v>1</x:v>
      </x:c>
      <x:c r="O2981" s="7" t="n">
        <x:v>0</x:v>
      </x:c>
      <x:c r="P2981" s="9" t="n">
        <x:v>10.88</x:v>
      </x:c>
      <x:c r="Q2981" s="7" t="n">
        <x:f>'Guide'!$B$5-L2981</x:f>
        <x:v>1</x:v>
      </x:c>
      <x:c r="R2981" s="9" t="n">
        <x:f>K2981-P2981</x:f>
        <x:v>1.6199999999999992</x:v>
      </x:c>
      <x:c r="S2981" s="10" t="n">
        <x:f>IF(K2981&gt;0,R2981/K2981,"")</x:f>
        <x:v>0.12959999999999994</x:v>
      </x:c>
    </x:row>
    <x:row r="2982">
      <x:c r="A2982" s="7" t="n">
        <x:v>2978</x:v>
      </x:c>
      <x:c r="B2982" s="7" t="str">
        <x:v>Tata</x:v>
      </x:c>
      <x:c r="C2982" s="7" t="str">
        <x:v>Nexon</x:v>
      </x:c>
      <x:c r="D2982" s="7" t="str">
        <x:v>Pure Diesel</x:v>
      </x:c>
      <x:c r="E2982" s="7" t="str">
        <x:v>Diesel</x:v>
      </x:c>
      <x:c r="F2982" s="7" t="str">
        <x:v>Manual</x:v>
      </x:c>
      <x:c r="G2982" s="7" t="str">
        <x:v>Compact SUV</x:v>
      </x:c>
      <x:c r="H2982" s="7" t="n">
        <x:v>1497</x:v>
      </x:c>
      <x:c r="I2982" s="7" t="n">
        <x:v>113</x:v>
      </x:c>
      <x:c r="J2982" s="9" t="n">
        <x:v>23.2</x:v>
      </x:c>
      <x:c r="K2982" s="9" t="n">
        <x:v>12.5</x:v>
      </x:c>
      <x:c r="L2982" s="7" t="n">
        <x:v>2025</x:v>
      </x:c>
      <x:c r="M2982" s="11" t="n">
        <x:v>27654</x:v>
      </x:c>
      <x:c r="N2982" s="7" t="n">
        <x:v>1</x:v>
      </x:c>
      <x:c r="O2982" s="7" t="n">
        <x:v>0</x:v>
      </x:c>
      <x:c r="P2982" s="9" t="n">
        <x:v>10.7</x:v>
      </x:c>
      <x:c r="Q2982" s="7" t="n">
        <x:f>'Guide'!$B$5-L2982</x:f>
        <x:v>1</x:v>
      </x:c>
      <x:c r="R2982" s="9" t="n">
        <x:f>K2982-P2982</x:f>
        <x:v>1.8000000000000007</x:v>
      </x:c>
      <x:c r="S2982" s="10" t="n">
        <x:f>IF(K2982&gt;0,R2982/K2982,"")</x:f>
        <x:v>0.14400000000000004</x:v>
      </x:c>
    </x:row>
    <x:row r="2983">
      <x:c r="A2983" s="7" t="n">
        <x:v>2979</x:v>
      </x:c>
      <x:c r="B2983" s="7" t="str">
        <x:v>Tata</x:v>
      </x:c>
      <x:c r="C2983" s="7" t="str">
        <x:v>Nexon</x:v>
      </x:c>
      <x:c r="D2983" s="7" t="str">
        <x:v>Pure Diesel</x:v>
      </x:c>
      <x:c r="E2983" s="7" t="str">
        <x:v>Diesel</x:v>
      </x:c>
      <x:c r="F2983" s="7" t="str">
        <x:v>Manual</x:v>
      </x:c>
      <x:c r="G2983" s="7" t="str">
        <x:v>Compact SUV</x:v>
      </x:c>
      <x:c r="H2983" s="7" t="n">
        <x:v>1497</x:v>
      </x:c>
      <x:c r="I2983" s="7" t="n">
        <x:v>113</x:v>
      </x:c>
      <x:c r="J2983" s="9" t="n">
        <x:v>23.2</x:v>
      </x:c>
      <x:c r="K2983" s="9" t="n">
        <x:v>12.5</x:v>
      </x:c>
      <x:c r="L2983" s="7" t="n">
        <x:v>2023</x:v>
      </x:c>
      <x:c r="M2983" s="11" t="n">
        <x:v>46848</x:v>
      </x:c>
      <x:c r="N2983" s="7" t="n">
        <x:v>1</x:v>
      </x:c>
      <x:c r="O2983" s="7" t="n">
        <x:v>0</x:v>
      </x:c>
      <x:c r="P2983" s="9" t="n">
        <x:v>8.51</x:v>
      </x:c>
      <x:c r="Q2983" s="7" t="n">
        <x:f>'Guide'!$B$5-L2983</x:f>
        <x:v>3</x:v>
      </x:c>
      <x:c r="R2983" s="9" t="n">
        <x:f>K2983-P2983</x:f>
        <x:v>3.99</x:v>
      </x:c>
      <x:c r="S2983" s="10" t="n">
        <x:f>IF(K2983&gt;0,R2983/K2983,"")</x:f>
        <x:v>0.31920000000000004</x:v>
      </x:c>
    </x:row>
    <x:row r="2984">
      <x:c r="A2984" s="7" t="n">
        <x:v>2980</x:v>
      </x:c>
      <x:c r="B2984" s="7" t="str">
        <x:v>Tata</x:v>
      </x:c>
      <x:c r="C2984" s="7" t="str">
        <x:v>Nexon</x:v>
      </x:c>
      <x:c r="D2984" s="7" t="str">
        <x:v>Pure Diesel</x:v>
      </x:c>
      <x:c r="E2984" s="7" t="str">
        <x:v>Diesel</x:v>
      </x:c>
      <x:c r="F2984" s="7" t="str">
        <x:v>Manual</x:v>
      </x:c>
      <x:c r="G2984" s="7" t="str">
        <x:v>Compact SUV</x:v>
      </x:c>
      <x:c r="H2984" s="7" t="n">
        <x:v>1497</x:v>
      </x:c>
      <x:c r="I2984" s="7" t="n">
        <x:v>113</x:v>
      </x:c>
      <x:c r="J2984" s="9" t="n">
        <x:v>23.2</x:v>
      </x:c>
      <x:c r="K2984" s="9" t="n">
        <x:v>12.5</x:v>
      </x:c>
      <x:c r="L2984" s="7" t="n">
        <x:v>2023</x:v>
      </x:c>
      <x:c r="M2984" s="11" t="n">
        <x:v>58017</x:v>
      </x:c>
      <x:c r="N2984" s="7" t="n">
        <x:v>1</x:v>
      </x:c>
      <x:c r="O2984" s="7" t="n">
        <x:v>0</x:v>
      </x:c>
      <x:c r="P2984" s="9" t="n">
        <x:v>8.42</x:v>
      </x:c>
      <x:c r="Q2984" s="7" t="n">
        <x:f>'Guide'!$B$5-L2984</x:f>
        <x:v>3</x:v>
      </x:c>
      <x:c r="R2984" s="9" t="n">
        <x:f>K2984-P2984</x:f>
        <x:v>4.08</x:v>
      </x:c>
      <x:c r="S2984" s="10" t="n">
        <x:f>IF(K2984&gt;0,R2984/K2984,"")</x:f>
        <x:v>0.3264</x:v>
      </x:c>
    </x:row>
    <x:row r="2985">
      <x:c r="A2985" s="7" t="n">
        <x:v>2981</x:v>
      </x:c>
      <x:c r="B2985" s="7" t="str">
        <x:v>Tata</x:v>
      </x:c>
      <x:c r="C2985" s="7" t="str">
        <x:v>Nexon</x:v>
      </x:c>
      <x:c r="D2985" s="7" t="str">
        <x:v>Pure Diesel</x:v>
      </x:c>
      <x:c r="E2985" s="7" t="str">
        <x:v>Diesel</x:v>
      </x:c>
      <x:c r="F2985" s="7" t="str">
        <x:v>Manual</x:v>
      </x:c>
      <x:c r="G2985" s="7" t="str">
        <x:v>Compact SUV</x:v>
      </x:c>
      <x:c r="H2985" s="7" t="n">
        <x:v>1497</x:v>
      </x:c>
      <x:c r="I2985" s="7" t="n">
        <x:v>113</x:v>
      </x:c>
      <x:c r="J2985" s="9" t="n">
        <x:v>23.2</x:v>
      </x:c>
      <x:c r="K2985" s="9" t="n">
        <x:v>12.5</x:v>
      </x:c>
      <x:c r="L2985" s="7" t="n">
        <x:v>2026</x:v>
      </x:c>
      <x:c r="M2985" s="11" t="n">
        <x:v>9685</x:v>
      </x:c>
      <x:c r="N2985" s="7" t="n">
        <x:v>1</x:v>
      </x:c>
      <x:c r="O2985" s="7" t="n">
        <x:v>0</x:v>
      </x:c>
      <x:c r="P2985" s="9" t="n">
        <x:v>12.13</x:v>
      </x:c>
      <x:c r="Q2985" s="7" t="n">
        <x:f>'Guide'!$B$5-L2985</x:f>
        <x:v>0</x:v>
      </x:c>
      <x:c r="R2985" s="9" t="n">
        <x:f>K2985-P2985</x:f>
        <x:v>0.3699999999999992</x:v>
      </x:c>
      <x:c r="S2985" s="10" t="n">
        <x:f>IF(K2985&gt;0,R2985/K2985,"")</x:f>
        <x:v>0.02959999999999994</x:v>
      </x:c>
    </x:row>
    <x:row r="2986">
      <x:c r="A2986" s="7" t="n">
        <x:v>2982</x:v>
      </x:c>
      <x:c r="B2986" s="7" t="str">
        <x:v>Tata</x:v>
      </x:c>
      <x:c r="C2986" s="7" t="str">
        <x:v>Nexon</x:v>
      </x:c>
      <x:c r="D2986" s="7" t="str">
        <x:v>Pure Diesel</x:v>
      </x:c>
      <x:c r="E2986" s="7" t="str">
        <x:v>Diesel</x:v>
      </x:c>
      <x:c r="F2986" s="7" t="str">
        <x:v>Manual</x:v>
      </x:c>
      <x:c r="G2986" s="7" t="str">
        <x:v>Compact SUV</x:v>
      </x:c>
      <x:c r="H2986" s="7" t="n">
        <x:v>1497</x:v>
      </x:c>
      <x:c r="I2986" s="7" t="n">
        <x:v>113</x:v>
      </x:c>
      <x:c r="J2986" s="9" t="n">
        <x:v>23.2</x:v>
      </x:c>
      <x:c r="K2986" s="9" t="n">
        <x:v>12.5</x:v>
      </x:c>
      <x:c r="L2986" s="7" t="n">
        <x:v>2023</x:v>
      </x:c>
      <x:c r="M2986" s="11" t="n">
        <x:v>38369</x:v>
      </x:c>
      <x:c r="N2986" s="7" t="n">
        <x:v>2</x:v>
      </x:c>
      <x:c r="O2986" s="7" t="n">
        <x:v>0</x:v>
      </x:c>
      <x:c r="P2986" s="9" t="n">
        <x:v>8.86</x:v>
      </x:c>
      <x:c r="Q2986" s="7" t="n">
        <x:f>'Guide'!$B$5-L2986</x:f>
        <x:v>3</x:v>
      </x:c>
      <x:c r="R2986" s="9" t="n">
        <x:f>K2986-P2986</x:f>
        <x:v>3.6400000000000006</x:v>
      </x:c>
      <x:c r="S2986" s="10" t="n">
        <x:f>IF(K2986&gt;0,R2986/K2986,"")</x:f>
        <x:v>0.29120000000000007</x:v>
      </x:c>
    </x:row>
    <x:row r="2987">
      <x:c r="A2987" s="7" t="n">
        <x:v>2983</x:v>
      </x:c>
      <x:c r="B2987" s="7" t="str">
        <x:v>Tata</x:v>
      </x:c>
      <x:c r="C2987" s="7" t="str">
        <x:v>Nexon</x:v>
      </x:c>
      <x:c r="D2987" s="7" t="str">
        <x:v>Pure Diesel</x:v>
      </x:c>
      <x:c r="E2987" s="7" t="str">
        <x:v>Diesel</x:v>
      </x:c>
      <x:c r="F2987" s="7" t="str">
        <x:v>Manual</x:v>
      </x:c>
      <x:c r="G2987" s="7" t="str">
        <x:v>Compact SUV</x:v>
      </x:c>
      <x:c r="H2987" s="7" t="n">
        <x:v>1497</x:v>
      </x:c>
      <x:c r="I2987" s="7" t="n">
        <x:v>113</x:v>
      </x:c>
      <x:c r="J2987" s="9" t="n">
        <x:v>23.2</x:v>
      </x:c>
      <x:c r="K2987" s="9" t="n">
        <x:v>12.5</x:v>
      </x:c>
      <x:c r="L2987" s="7" t="n">
        <x:v>2023</x:v>
      </x:c>
      <x:c r="M2987" s="11" t="n">
        <x:v>67962</x:v>
      </x:c>
      <x:c r="N2987" s="7" t="n">
        <x:v>1</x:v>
      </x:c>
      <x:c r="O2987" s="7" t="n">
        <x:v>0</x:v>
      </x:c>
      <x:c r="P2987" s="9" t="n">
        <x:v>8.37</x:v>
      </x:c>
      <x:c r="Q2987" s="7" t="n">
        <x:f>'Guide'!$B$5-L2987</x:f>
        <x:v>3</x:v>
      </x:c>
      <x:c r="R2987" s="9" t="n">
        <x:f>K2987-P2987</x:f>
        <x:v>4.130000000000001</x:v>
      </x:c>
      <x:c r="S2987" s="10" t="n">
        <x:f>IF(K2987&gt;0,R2987/K2987,"")</x:f>
        <x:v>0.3304000000000001</x:v>
      </x:c>
    </x:row>
    <x:row r="2988">
      <x:c r="A2988" s="7" t="n">
        <x:v>2984</x:v>
      </x:c>
      <x:c r="B2988" s="7" t="str">
        <x:v>Tata</x:v>
      </x:c>
      <x:c r="C2988" s="7" t="str">
        <x:v>Nexon</x:v>
      </x:c>
      <x:c r="D2988" s="7" t="str">
        <x:v>Pure Diesel</x:v>
      </x:c>
      <x:c r="E2988" s="7" t="str">
        <x:v>Diesel</x:v>
      </x:c>
      <x:c r="F2988" s="7" t="str">
        <x:v>Manual</x:v>
      </x:c>
      <x:c r="G2988" s="7" t="str">
        <x:v>Compact SUV</x:v>
      </x:c>
      <x:c r="H2988" s="7" t="n">
        <x:v>1497</x:v>
      </x:c>
      <x:c r="I2988" s="7" t="n">
        <x:v>113</x:v>
      </x:c>
      <x:c r="J2988" s="9" t="n">
        <x:v>23.2</x:v>
      </x:c>
      <x:c r="K2988" s="9" t="n">
        <x:v>12.5</x:v>
      </x:c>
      <x:c r="L2988" s="7" t="n">
        <x:v>2024</x:v>
      </x:c>
      <x:c r="M2988" s="11" t="n">
        <x:v>49644</x:v>
      </x:c>
      <x:c r="N2988" s="7" t="n">
        <x:v>2</x:v>
      </x:c>
      <x:c r="O2988" s="7" t="n">
        <x:v>0</x:v>
      </x:c>
      <x:c r="P2988" s="9" t="n">
        <x:v>9.17</x:v>
      </x:c>
      <x:c r="Q2988" s="7" t="n">
        <x:f>'Guide'!$B$5-L2988</x:f>
        <x:v>2</x:v>
      </x:c>
      <x:c r="R2988" s="9" t="n">
        <x:f>K2988-P2988</x:f>
        <x:v>3.33</x:v>
      </x:c>
      <x:c r="S2988" s="10" t="n">
        <x:f>IF(K2988&gt;0,R2988/K2988,"")</x:f>
        <x:v>0.2664</x:v>
      </x:c>
    </x:row>
    <x:row r="2989">
      <x:c r="A2989" s="7" t="n">
        <x:v>2985</x:v>
      </x:c>
      <x:c r="B2989" s="7" t="str">
        <x:v>Tata</x:v>
      </x:c>
      <x:c r="C2989" s="7" t="str">
        <x:v>Nexon</x:v>
      </x:c>
      <x:c r="D2989" s="7" t="str">
        <x:v>Pure Diesel</x:v>
      </x:c>
      <x:c r="E2989" s="7" t="str">
        <x:v>Diesel</x:v>
      </x:c>
      <x:c r="F2989" s="7" t="str">
        <x:v>Manual</x:v>
      </x:c>
      <x:c r="G2989" s="7" t="str">
        <x:v>Compact SUV</x:v>
      </x:c>
      <x:c r="H2989" s="7" t="n">
        <x:v>1497</x:v>
      </x:c>
      <x:c r="I2989" s="7" t="n">
        <x:v>113</x:v>
      </x:c>
      <x:c r="J2989" s="9" t="n">
        <x:v>23.2</x:v>
      </x:c>
      <x:c r="K2989" s="9" t="n">
        <x:v>12.5</x:v>
      </x:c>
      <x:c r="L2989" s="7" t="n">
        <x:v>2021</x:v>
      </x:c>
      <x:c r="M2989" s="11" t="n">
        <x:v>71245</x:v>
      </x:c>
      <x:c r="N2989" s="7" t="n">
        <x:v>3</x:v>
      </x:c>
      <x:c r="O2989" s="7" t="n">
        <x:v>0</x:v>
      </x:c>
      <x:c r="P2989" s="9" t="n">
        <x:v>5.29</x:v>
      </x:c>
      <x:c r="Q2989" s="7" t="n">
        <x:f>'Guide'!$B$5-L2989</x:f>
        <x:v>5</x:v>
      </x:c>
      <x:c r="R2989" s="9" t="n">
        <x:f>K2989-P2989</x:f>
        <x:v>7.21</x:v>
      </x:c>
      <x:c r="S2989" s="10" t="n">
        <x:f>IF(K2989&gt;0,R2989/K2989,"")</x:f>
        <x:v>0.5768</x:v>
      </x:c>
    </x:row>
    <x:row r="2990">
      <x:c r="A2990" s="7" t="n">
        <x:v>2986</x:v>
      </x:c>
      <x:c r="B2990" s="7" t="str">
        <x:v>Tata</x:v>
      </x:c>
      <x:c r="C2990" s="7" t="str">
        <x:v>Nexon</x:v>
      </x:c>
      <x:c r="D2990" s="7" t="str">
        <x:v>Pure Diesel</x:v>
      </x:c>
      <x:c r="E2990" s="7" t="str">
        <x:v>Diesel</x:v>
      </x:c>
      <x:c r="F2990" s="7" t="str">
        <x:v>Manual</x:v>
      </x:c>
      <x:c r="G2990" s="7" t="str">
        <x:v>Compact SUV</x:v>
      </x:c>
      <x:c r="H2990" s="7" t="n">
        <x:v>1497</x:v>
      </x:c>
      <x:c r="I2990" s="7" t="n">
        <x:v>113</x:v>
      </x:c>
      <x:c r="J2990" s="9" t="n">
        <x:v>23.2</x:v>
      </x:c>
      <x:c r="K2990" s="9" t="n">
        <x:v>12.5</x:v>
      </x:c>
      <x:c r="L2990" s="7" t="n">
        <x:v>2021</x:v>
      </x:c>
      <x:c r="M2990" s="11" t="n">
        <x:v>103591</x:v>
      </x:c>
      <x:c r="N2990" s="7" t="n">
        <x:v>2</x:v>
      </x:c>
      <x:c r="O2990" s="7" t="n">
        <x:v>0</x:v>
      </x:c>
      <x:c r="P2990" s="9" t="n">
        <x:v>5.31</x:v>
      </x:c>
      <x:c r="Q2990" s="7" t="n">
        <x:f>'Guide'!$B$5-L2990</x:f>
        <x:v>5</x:v>
      </x:c>
      <x:c r="R2990" s="9" t="n">
        <x:f>K2990-P2990</x:f>
        <x:v>7.19</x:v>
      </x:c>
      <x:c r="S2990" s="10" t="n">
        <x:f>IF(K2990&gt;0,R2990/K2990,"")</x:f>
        <x:v>0.5752</x:v>
      </x:c>
    </x:row>
    <x:row r="2991">
      <x:c r="A2991" s="7" t="n">
        <x:v>2987</x:v>
      </x:c>
      <x:c r="B2991" s="7" t="str">
        <x:v>Tata</x:v>
      </x:c>
      <x:c r="C2991" s="7" t="str">
        <x:v>Nexon</x:v>
      </x:c>
      <x:c r="D2991" s="7" t="str">
        <x:v>Pure Diesel</x:v>
      </x:c>
      <x:c r="E2991" s="7" t="str">
        <x:v>Diesel</x:v>
      </x:c>
      <x:c r="F2991" s="7" t="str">
        <x:v>Manual</x:v>
      </x:c>
      <x:c r="G2991" s="7" t="str">
        <x:v>Compact SUV</x:v>
      </x:c>
      <x:c r="H2991" s="7" t="n">
        <x:v>1497</x:v>
      </x:c>
      <x:c r="I2991" s="7" t="n">
        <x:v>113</x:v>
      </x:c>
      <x:c r="J2991" s="9" t="n">
        <x:v>23.2</x:v>
      </x:c>
      <x:c r="K2991" s="9" t="n">
        <x:v>12.5</x:v>
      </x:c>
      <x:c r="L2991" s="7" t="n">
        <x:v>2020</x:v>
      </x:c>
      <x:c r="M2991" s="11" t="n">
        <x:v>75265</x:v>
      </x:c>
      <x:c r="N2991" s="7" t="n">
        <x:v>1</x:v>
      </x:c>
      <x:c r="O2991" s="7" t="n">
        <x:v>0</x:v>
      </x:c>
      <x:c r="P2991" s="9" t="n">
        <x:v>5.07</x:v>
      </x:c>
      <x:c r="Q2991" s="7" t="n">
        <x:f>'Guide'!$B$5-L2991</x:f>
        <x:v>6</x:v>
      </x:c>
      <x:c r="R2991" s="9" t="n">
        <x:f>K2991-P2991</x:f>
        <x:v>7.43</x:v>
      </x:c>
      <x:c r="S2991" s="10" t="n">
        <x:f>IF(K2991&gt;0,R2991/K2991,"")</x:f>
        <x:v>0.5943999999999999</x:v>
      </x:c>
    </x:row>
    <x:row r="2992">
      <x:c r="A2992" s="7" t="n">
        <x:v>2988</x:v>
      </x:c>
      <x:c r="B2992" s="7" t="str">
        <x:v>Tata</x:v>
      </x:c>
      <x:c r="C2992" s="7" t="str">
        <x:v>Nexon</x:v>
      </x:c>
      <x:c r="D2992" s="7" t="str">
        <x:v>Pure Diesel</x:v>
      </x:c>
      <x:c r="E2992" s="7" t="str">
        <x:v>Diesel</x:v>
      </x:c>
      <x:c r="F2992" s="7" t="str">
        <x:v>Manual</x:v>
      </x:c>
      <x:c r="G2992" s="7" t="str">
        <x:v>Compact SUV</x:v>
      </x:c>
      <x:c r="H2992" s="7" t="n">
        <x:v>1497</x:v>
      </x:c>
      <x:c r="I2992" s="7" t="n">
        <x:v>113</x:v>
      </x:c>
      <x:c r="J2992" s="9" t="n">
        <x:v>23.2</x:v>
      </x:c>
      <x:c r="K2992" s="9" t="n">
        <x:v>12.5</x:v>
      </x:c>
      <x:c r="L2992" s="7" t="n">
        <x:v>2024</x:v>
      </x:c>
      <x:c r="M2992" s="11" t="n">
        <x:v>44038</x:v>
      </x:c>
      <x:c r="N2992" s="7" t="n">
        <x:v>1</x:v>
      </x:c>
      <x:c r="O2992" s="7" t="n">
        <x:v>0</x:v>
      </x:c>
      <x:c r="P2992" s="9" t="n">
        <x:v>9.98</x:v>
      </x:c>
      <x:c r="Q2992" s="7" t="n">
        <x:f>'Guide'!$B$5-L2992</x:f>
        <x:v>2</x:v>
      </x:c>
      <x:c r="R2992" s="9" t="n">
        <x:f>K2992-P2992</x:f>
        <x:v>2.5199999999999996</x:v>
      </x:c>
      <x:c r="S2992" s="10" t="n">
        <x:f>IF(K2992&gt;0,R2992/K2992,"")</x:f>
        <x:v>0.20159999999999997</x:v>
      </x:c>
    </x:row>
    <x:row r="2993">
      <x:c r="A2993" s="7" t="n">
        <x:v>2989</x:v>
      </x:c>
      <x:c r="B2993" s="7" t="str">
        <x:v>Tata</x:v>
      </x:c>
      <x:c r="C2993" s="7" t="str">
        <x:v>Nexon</x:v>
      </x:c>
      <x:c r="D2993" s="7" t="str">
        <x:v>Pure Diesel</x:v>
      </x:c>
      <x:c r="E2993" s="7" t="str">
        <x:v>Diesel</x:v>
      </x:c>
      <x:c r="F2993" s="7" t="str">
        <x:v>Manual</x:v>
      </x:c>
      <x:c r="G2993" s="7" t="str">
        <x:v>Compact SUV</x:v>
      </x:c>
      <x:c r="H2993" s="7" t="n">
        <x:v>1497</x:v>
      </x:c>
      <x:c r="I2993" s="7" t="n">
        <x:v>113</x:v>
      </x:c>
      <x:c r="J2993" s="9" t="n">
        <x:v>23.2</x:v>
      </x:c>
      <x:c r="K2993" s="9" t="n">
        <x:v>12.5</x:v>
      </x:c>
      <x:c r="L2993" s="7" t="n">
        <x:v>2020</x:v>
      </x:c>
      <x:c r="M2993" s="11" t="n">
        <x:v>124527</x:v>
      </x:c>
      <x:c r="N2993" s="7" t="n">
        <x:v>1</x:v>
      </x:c>
      <x:c r="O2993" s="7" t="n">
        <x:v>0</x:v>
      </x:c>
      <x:c r="P2993" s="9" t="n">
        <x:v>4.99</x:v>
      </x:c>
      <x:c r="Q2993" s="7" t="n">
        <x:f>'Guide'!$B$5-L2993</x:f>
        <x:v>6</x:v>
      </x:c>
      <x:c r="R2993" s="9" t="n">
        <x:f>K2993-P2993</x:f>
        <x:v>7.51</x:v>
      </x:c>
      <x:c r="S2993" s="10" t="n">
        <x:f>IF(K2993&gt;0,R2993/K2993,"")</x:f>
        <x:v>0.6008</x:v>
      </x:c>
    </x:row>
    <x:row r="2994">
      <x:c r="A2994" s="7" t="n">
        <x:v>2990</x:v>
      </x:c>
      <x:c r="B2994" s="7" t="str">
        <x:v>Tata</x:v>
      </x:c>
      <x:c r="C2994" s="7" t="str">
        <x:v>Nexon</x:v>
      </x:c>
      <x:c r="D2994" s="7" t="str">
        <x:v>Pure Diesel</x:v>
      </x:c>
      <x:c r="E2994" s="7" t="str">
        <x:v>Diesel</x:v>
      </x:c>
      <x:c r="F2994" s="7" t="str">
        <x:v>Manual</x:v>
      </x:c>
      <x:c r="G2994" s="7" t="str">
        <x:v>Compact SUV</x:v>
      </x:c>
      <x:c r="H2994" s="7" t="n">
        <x:v>1497</x:v>
      </x:c>
      <x:c r="I2994" s="7" t="n">
        <x:v>113</x:v>
      </x:c>
      <x:c r="J2994" s="9" t="n">
        <x:v>23.2</x:v>
      </x:c>
      <x:c r="K2994" s="9" t="n">
        <x:v>12.5</x:v>
      </x:c>
      <x:c r="L2994" s="7" t="n">
        <x:v>2020</x:v>
      </x:c>
      <x:c r="M2994" s="11" t="n">
        <x:v>125555</x:v>
      </x:c>
      <x:c r="N2994" s="7" t="n">
        <x:v>2</x:v>
      </x:c>
      <x:c r="O2994" s="7" t="n">
        <x:v>0</x:v>
      </x:c>
      <x:c r="P2994" s="9" t="n">
        <x:v>4.49</x:v>
      </x:c>
      <x:c r="Q2994" s="7" t="n">
        <x:f>'Guide'!$B$5-L2994</x:f>
        <x:v>6</x:v>
      </x:c>
      <x:c r="R2994" s="9" t="n">
        <x:f>K2994-P2994</x:f>
        <x:v>8.01</x:v>
      </x:c>
      <x:c r="S2994" s="10" t="n">
        <x:f>IF(K2994&gt;0,R2994/K2994,"")</x:f>
        <x:v>0.6408</x:v>
      </x:c>
    </x:row>
    <x:row r="2995">
      <x:c r="A2995" s="7" t="n">
        <x:v>2991</x:v>
      </x:c>
      <x:c r="B2995" s="7" t="str">
        <x:v>Tata</x:v>
      </x:c>
      <x:c r="C2995" s="7" t="str">
        <x:v>Nexon</x:v>
      </x:c>
      <x:c r="D2995" s="7" t="str">
        <x:v>Pure Diesel</x:v>
      </x:c>
      <x:c r="E2995" s="7" t="str">
        <x:v>Diesel</x:v>
      </x:c>
      <x:c r="F2995" s="7" t="str">
        <x:v>Manual</x:v>
      </x:c>
      <x:c r="G2995" s="7" t="str">
        <x:v>Compact SUV</x:v>
      </x:c>
      <x:c r="H2995" s="7" t="n">
        <x:v>1497</x:v>
      </x:c>
      <x:c r="I2995" s="7" t="n">
        <x:v>113</x:v>
      </x:c>
      <x:c r="J2995" s="9" t="n">
        <x:v>23.2</x:v>
      </x:c>
      <x:c r="K2995" s="9" t="n">
        <x:v>12.5</x:v>
      </x:c>
      <x:c r="L2995" s="7" t="n">
        <x:v>2025</x:v>
      </x:c>
      <x:c r="M2995" s="11" t="n">
        <x:v>20667</x:v>
      </x:c>
      <x:c r="N2995" s="7" t="n">
        <x:v>1</x:v>
      </x:c>
      <x:c r="O2995" s="7" t="n">
        <x:v>0</x:v>
      </x:c>
      <x:c r="P2995" s="9" t="n">
        <x:v>11.23</x:v>
      </x:c>
      <x:c r="Q2995" s="7" t="n">
        <x:f>'Guide'!$B$5-L2995</x:f>
        <x:v>1</x:v>
      </x:c>
      <x:c r="R2995" s="9" t="n">
        <x:f>K2995-P2995</x:f>
        <x:v>1.2699999999999996</x:v>
      </x:c>
      <x:c r="S2995" s="10" t="n">
        <x:f>IF(K2995&gt;0,R2995/K2995,"")</x:f>
        <x:v>0.10159999999999997</x:v>
      </x:c>
    </x:row>
    <x:row r="2996">
      <x:c r="A2996" s="7" t="n">
        <x:v>2992</x:v>
      </x:c>
      <x:c r="B2996" s="7" t="str">
        <x:v>Tata</x:v>
      </x:c>
      <x:c r="C2996" s="7" t="str">
        <x:v>Nexon</x:v>
      </x:c>
      <x:c r="D2996" s="7" t="str">
        <x:v>Pure Diesel</x:v>
      </x:c>
      <x:c r="E2996" s="7" t="str">
        <x:v>Diesel</x:v>
      </x:c>
      <x:c r="F2996" s="7" t="str">
        <x:v>Manual</x:v>
      </x:c>
      <x:c r="G2996" s="7" t="str">
        <x:v>Compact SUV</x:v>
      </x:c>
      <x:c r="H2996" s="7" t="n">
        <x:v>1497</x:v>
      </x:c>
      <x:c r="I2996" s="7" t="n">
        <x:v>113</x:v>
      </x:c>
      <x:c r="J2996" s="9" t="n">
        <x:v>23.2</x:v>
      </x:c>
      <x:c r="K2996" s="9" t="n">
        <x:v>12.5</x:v>
      </x:c>
      <x:c r="L2996" s="7" t="n">
        <x:v>2024</x:v>
      </x:c>
      <x:c r="M2996" s="11" t="n">
        <x:v>32510</x:v>
      </x:c>
      <x:c r="N2996" s="7" t="n">
        <x:v>1</x:v>
      </x:c>
      <x:c r="O2996" s="7" t="n">
        <x:v>0</x:v>
      </x:c>
      <x:c r="P2996" s="9" t="n">
        <x:v>10.11</x:v>
      </x:c>
      <x:c r="Q2996" s="7" t="n">
        <x:f>'Guide'!$B$5-L2996</x:f>
        <x:v>2</x:v>
      </x:c>
      <x:c r="R2996" s="9" t="n">
        <x:f>K2996-P2996</x:f>
        <x:v>2.3900000000000006</x:v>
      </x:c>
      <x:c r="S2996" s="10" t="n">
        <x:f>IF(K2996&gt;0,R2996/K2996,"")</x:f>
        <x:v>0.19120000000000004</x:v>
      </x:c>
    </x:row>
    <x:row r="2997">
      <x:c r="A2997" s="7" t="n">
        <x:v>2993</x:v>
      </x:c>
      <x:c r="B2997" s="7" t="str">
        <x:v>Tata</x:v>
      </x:c>
      <x:c r="C2997" s="7" t="str">
        <x:v>Nexon</x:v>
      </x:c>
      <x:c r="D2997" s="7" t="str">
        <x:v>Pure Diesel</x:v>
      </x:c>
      <x:c r="E2997" s="7" t="str">
        <x:v>Diesel</x:v>
      </x:c>
      <x:c r="F2997" s="7" t="str">
        <x:v>Manual</x:v>
      </x:c>
      <x:c r="G2997" s="7" t="str">
        <x:v>Compact SUV</x:v>
      </x:c>
      <x:c r="H2997" s="7" t="n">
        <x:v>1497</x:v>
      </x:c>
      <x:c r="I2997" s="7" t="n">
        <x:v>113</x:v>
      </x:c>
      <x:c r="J2997" s="9" t="n">
        <x:v>23.2</x:v>
      </x:c>
      <x:c r="K2997" s="9" t="n">
        <x:v>12.5</x:v>
      </x:c>
      <x:c r="L2997" s="7" t="n">
        <x:v>2025</x:v>
      </x:c>
      <x:c r="M2997" s="11" t="n">
        <x:v>14395</x:v>
      </x:c>
      <x:c r="N2997" s="7" t="n">
        <x:v>1</x:v>
      </x:c>
      <x:c r="O2997" s="7" t="n">
        <x:v>0</x:v>
      </x:c>
      <x:c r="P2997" s="9" t="n">
        <x:v>11.19</x:v>
      </x:c>
      <x:c r="Q2997" s="7" t="n">
        <x:f>'Guide'!$B$5-L2997</x:f>
        <x:v>1</x:v>
      </x:c>
      <x:c r="R2997" s="9" t="n">
        <x:f>K2997-P2997</x:f>
        <x:v>1.3100000000000005</x:v>
      </x:c>
      <x:c r="S2997" s="10" t="n">
        <x:f>IF(K2997&gt;0,R2997/K2997,"")</x:f>
        <x:v>0.10480000000000005</x:v>
      </x:c>
    </x:row>
    <x:row r="2998">
      <x:c r="A2998" s="7" t="n">
        <x:v>2994</x:v>
      </x:c>
      <x:c r="B2998" s="7" t="str">
        <x:v>Tata</x:v>
      </x:c>
      <x:c r="C2998" s="7" t="str">
        <x:v>Nexon</x:v>
      </x:c>
      <x:c r="D2998" s="7" t="str">
        <x:v>Pure Diesel</x:v>
      </x:c>
      <x:c r="E2998" s="7" t="str">
        <x:v>Diesel</x:v>
      </x:c>
      <x:c r="F2998" s="7" t="str">
        <x:v>Manual</x:v>
      </x:c>
      <x:c r="G2998" s="7" t="str">
        <x:v>Compact SUV</x:v>
      </x:c>
      <x:c r="H2998" s="7" t="n">
        <x:v>1497</x:v>
      </x:c>
      <x:c r="I2998" s="7" t="n">
        <x:v>113</x:v>
      </x:c>
      <x:c r="J2998" s="9" t="n">
        <x:v>23.2</x:v>
      </x:c>
      <x:c r="K2998" s="9" t="n">
        <x:v>12.5</x:v>
      </x:c>
      <x:c r="L2998" s="7" t="n">
        <x:v>2020</x:v>
      </x:c>
      <x:c r="M2998" s="11" t="n">
        <x:v>61513</x:v>
      </x:c>
      <x:c r="N2998" s="7" t="n">
        <x:v>2</x:v>
      </x:c>
      <x:c r="O2998" s="7" t="n">
        <x:v>0</x:v>
      </x:c>
      <x:c r="P2998" s="9" t="n">
        <x:v>4.81</x:v>
      </x:c>
      <x:c r="Q2998" s="7" t="n">
        <x:f>'Guide'!$B$5-L2998</x:f>
        <x:v>6</x:v>
      </x:c>
      <x:c r="R2998" s="9" t="n">
        <x:f>K2998-P2998</x:f>
        <x:v>7.69</x:v>
      </x:c>
      <x:c r="S2998" s="10" t="n">
        <x:f>IF(K2998&gt;0,R2998/K2998,"")</x:f>
        <x:v>0.6152000000000001</x:v>
      </x:c>
    </x:row>
    <x:row r="2999">
      <x:c r="A2999" s="7" t="n">
        <x:v>2995</x:v>
      </x:c>
      <x:c r="B2999" s="7" t="str">
        <x:v>Tata</x:v>
      </x:c>
      <x:c r="C2999" s="7" t="str">
        <x:v>Nexon</x:v>
      </x:c>
      <x:c r="D2999" s="7" t="str">
        <x:v>Pure Diesel</x:v>
      </x:c>
      <x:c r="E2999" s="7" t="str">
        <x:v>Diesel</x:v>
      </x:c>
      <x:c r="F2999" s="7" t="str">
        <x:v>Manual</x:v>
      </x:c>
      <x:c r="G2999" s="7" t="str">
        <x:v>Compact SUV</x:v>
      </x:c>
      <x:c r="H2999" s="7" t="n">
        <x:v>1497</x:v>
      </x:c>
      <x:c r="I2999" s="7" t="n">
        <x:v>113</x:v>
      </x:c>
      <x:c r="J2999" s="9" t="n">
        <x:v>23.2</x:v>
      </x:c>
      <x:c r="K2999" s="9" t="n">
        <x:v>12.5</x:v>
      </x:c>
      <x:c r="L2999" s="7" t="n">
        <x:v>2022</x:v>
      </x:c>
      <x:c r="M2999" s="11" t="n">
        <x:v>47527</x:v>
      </x:c>
      <x:c r="N2999" s="7" t="n">
        <x:v>2</x:v>
      </x:c>
      <x:c r="O2999" s="7" t="n">
        <x:v>0</x:v>
      </x:c>
      <x:c r="P2999" s="9" t="n">
        <x:v>7.65</x:v>
      </x:c>
      <x:c r="Q2999" s="7" t="n">
        <x:f>'Guide'!$B$5-L2999</x:f>
        <x:v>4</x:v>
      </x:c>
      <x:c r="R2999" s="9" t="n">
        <x:f>K2999-P2999</x:f>
        <x:v>4.85</x:v>
      </x:c>
      <x:c r="S2999" s="10" t="n">
        <x:f>IF(K2999&gt;0,R2999/K2999,"")</x:f>
        <x:v>0.38799999999999996</x:v>
      </x:c>
    </x:row>
    <x:row r="3000">
      <x:c r="A3000" s="7" t="n">
        <x:v>2996</x:v>
      </x:c>
      <x:c r="B3000" s="7" t="str">
        <x:v>Tata</x:v>
      </x:c>
      <x:c r="C3000" s="7" t="str">
        <x:v>Nexon</x:v>
      </x:c>
      <x:c r="D3000" s="7" t="str">
        <x:v>Pure Diesel</x:v>
      </x:c>
      <x:c r="E3000" s="7" t="str">
        <x:v>Diesel</x:v>
      </x:c>
      <x:c r="F3000" s="7" t="str">
        <x:v>Manual</x:v>
      </x:c>
      <x:c r="G3000" s="7" t="str">
        <x:v>Compact SUV</x:v>
      </x:c>
      <x:c r="H3000" s="7" t="n">
        <x:v>1497</x:v>
      </x:c>
      <x:c r="I3000" s="7" t="n">
        <x:v>113</x:v>
      </x:c>
      <x:c r="J3000" s="9" t="n">
        <x:v>23.2</x:v>
      </x:c>
      <x:c r="K3000" s="9" t="n">
        <x:v>12.5</x:v>
      </x:c>
      <x:c r="L3000" s="7" t="n">
        <x:v>2024</x:v>
      </x:c>
      <x:c r="M3000" s="11" t="n">
        <x:v>29892</x:v>
      </x:c>
      <x:c r="N3000" s="7" t="n">
        <x:v>1</x:v>
      </x:c>
      <x:c r="O3000" s="7" t="n">
        <x:v>0</x:v>
      </x:c>
      <x:c r="P3000" s="9" t="n">
        <x:v>10.29</x:v>
      </x:c>
      <x:c r="Q3000" s="7" t="n">
        <x:f>'Guide'!$B$5-L3000</x:f>
        <x:v>2</x:v>
      </x:c>
      <x:c r="R3000" s="9" t="n">
        <x:f>K3000-P3000</x:f>
        <x:v>2.210000000000001</x:v>
      </x:c>
      <x:c r="S3000" s="10" t="n">
        <x:f>IF(K3000&gt;0,R3000/K3000,"")</x:f>
        <x:v>0.17680000000000007</x:v>
      </x:c>
    </x:row>
    <x:row r="3001">
      <x:c r="A3001" s="7" t="n">
        <x:v>2997</x:v>
      </x:c>
      <x:c r="B3001" s="7" t="str">
        <x:v>Tata</x:v>
      </x:c>
      <x:c r="C3001" s="7" t="str">
        <x:v>Nexon</x:v>
      </x:c>
      <x:c r="D3001" s="7" t="str">
        <x:v>Pure Diesel</x:v>
      </x:c>
      <x:c r="E3001" s="7" t="str">
        <x:v>Diesel</x:v>
      </x:c>
      <x:c r="F3001" s="7" t="str">
        <x:v>Manual</x:v>
      </x:c>
      <x:c r="G3001" s="7" t="str">
        <x:v>Compact SUV</x:v>
      </x:c>
      <x:c r="H3001" s="7" t="n">
        <x:v>1497</x:v>
      </x:c>
      <x:c r="I3001" s="7" t="n">
        <x:v>113</x:v>
      </x:c>
      <x:c r="J3001" s="9" t="n">
        <x:v>23.2</x:v>
      </x:c>
      <x:c r="K3001" s="9" t="n">
        <x:v>12.5</x:v>
      </x:c>
      <x:c r="L3001" s="7" t="n">
        <x:v>2026</x:v>
      </x:c>
      <x:c r="M3001" s="11" t="n">
        <x:v>7281</x:v>
      </x:c>
      <x:c r="N3001" s="7" t="n">
        <x:v>3</x:v>
      </x:c>
      <x:c r="O3001" s="7" t="n">
        <x:v>0</x:v>
      </x:c>
      <x:c r="P3001" s="9" t="n">
        <x:v>11.59</x:v>
      </x:c>
      <x:c r="Q3001" s="7" t="n">
        <x:f>'Guide'!$B$5-L3001</x:f>
        <x:v>0</x:v>
      </x:c>
      <x:c r="R3001" s="9" t="n">
        <x:f>K3001-P3001</x:f>
        <x:v>0.9100000000000001</x:v>
      </x:c>
      <x:c r="S3001" s="10" t="n">
        <x:f>IF(K3001&gt;0,R3001/K3001,"")</x:f>
        <x:v>0.07280000000000002</x:v>
      </x:c>
    </x:row>
    <x:row r="3002">
      <x:c r="A3002" s="7" t="n">
        <x:v>2998</x:v>
      </x:c>
      <x:c r="B3002" s="7" t="str">
        <x:v>Tata</x:v>
      </x:c>
      <x:c r="C3002" s="7" t="str">
        <x:v>Nexon</x:v>
      </x:c>
      <x:c r="D3002" s="7" t="str">
        <x:v>Pure Diesel</x:v>
      </x:c>
      <x:c r="E3002" s="7" t="str">
        <x:v>Diesel</x:v>
      </x:c>
      <x:c r="F3002" s="7" t="str">
        <x:v>Manual</x:v>
      </x:c>
      <x:c r="G3002" s="7" t="str">
        <x:v>Compact SUV</x:v>
      </x:c>
      <x:c r="H3002" s="7" t="n">
        <x:v>1497</x:v>
      </x:c>
      <x:c r="I3002" s="7" t="n">
        <x:v>113</x:v>
      </x:c>
      <x:c r="J3002" s="9" t="n">
        <x:v>23.2</x:v>
      </x:c>
      <x:c r="K3002" s="9" t="n">
        <x:v>12.5</x:v>
      </x:c>
      <x:c r="L3002" s="7" t="n">
        <x:v>2021</x:v>
      </x:c>
      <x:c r="M3002" s="11" t="n">
        <x:v>82231</x:v>
      </x:c>
      <x:c r="N3002" s="7" t="n">
        <x:v>2</x:v>
      </x:c>
      <x:c r="O3002" s="7" t="n">
        <x:v>1</x:v>
      </x:c>
      <x:c r="P3002" s="9" t="n">
        <x:v>5.08</x:v>
      </x:c>
      <x:c r="Q3002" s="7" t="n">
        <x:f>'Guide'!$B$5-L3002</x:f>
        <x:v>5</x:v>
      </x:c>
      <x:c r="R3002" s="9" t="n">
        <x:f>K3002-P3002</x:f>
        <x:v>7.42</x:v>
      </x:c>
      <x:c r="S3002" s="10" t="n">
        <x:f>IF(K3002&gt;0,R3002/K3002,"")</x:f>
        <x:v>0.5936</x:v>
      </x:c>
    </x:row>
    <x:row r="3003">
      <x:c r="A3003" s="7" t="n">
        <x:v>2999</x:v>
      </x:c>
      <x:c r="B3003" s="7" t="str">
        <x:v>Tata</x:v>
      </x:c>
      <x:c r="C3003" s="7" t="str">
        <x:v>Nexon</x:v>
      </x:c>
      <x:c r="D3003" s="7" t="str">
        <x:v>Pure Diesel</x:v>
      </x:c>
      <x:c r="E3003" s="7" t="str">
        <x:v>Diesel</x:v>
      </x:c>
      <x:c r="F3003" s="7" t="str">
        <x:v>Manual</x:v>
      </x:c>
      <x:c r="G3003" s="7" t="str">
        <x:v>Compact SUV</x:v>
      </x:c>
      <x:c r="H3003" s="7" t="n">
        <x:v>1497</x:v>
      </x:c>
      <x:c r="I3003" s="7" t="n">
        <x:v>113</x:v>
      </x:c>
      <x:c r="J3003" s="9" t="n">
        <x:v>23.2</x:v>
      </x:c>
      <x:c r="K3003" s="9" t="n">
        <x:v>12.5</x:v>
      </x:c>
      <x:c r="L3003" s="7" t="n">
        <x:v>2025</x:v>
      </x:c>
      <x:c r="M3003" s="11" t="n">
        <x:v>20855</x:v>
      </x:c>
      <x:c r="N3003" s="7" t="n">
        <x:v>2</x:v>
      </x:c>
      <x:c r="O3003" s="7" t="n">
        <x:v>1</x:v>
      </x:c>
      <x:c r="P3003" s="9" t="n">
        <x:v>9.75</x:v>
      </x:c>
      <x:c r="Q3003" s="7" t="n">
        <x:f>'Guide'!$B$5-L3003</x:f>
        <x:v>1</x:v>
      </x:c>
      <x:c r="R3003" s="9" t="n">
        <x:f>K3003-P3003</x:f>
        <x:v>2.75</x:v>
      </x:c>
      <x:c r="S3003" s="10" t="n">
        <x:f>IF(K3003&gt;0,R3003/K3003,"")</x:f>
        <x:v>0.22</x:v>
      </x:c>
    </x:row>
    <x:row r="3004">
      <x:c r="A3004" s="7" t="n">
        <x:v>3000</x:v>
      </x:c>
      <x:c r="B3004" s="7" t="str">
        <x:v>Tata</x:v>
      </x:c>
      <x:c r="C3004" s="7" t="str">
        <x:v>Nexon</x:v>
      </x:c>
      <x:c r="D3004" s="7" t="str">
        <x:v>Pure Diesel</x:v>
      </x:c>
      <x:c r="E3004" s="7" t="str">
        <x:v>Diesel</x:v>
      </x:c>
      <x:c r="F3004" s="7" t="str">
        <x:v>Manual</x:v>
      </x:c>
      <x:c r="G3004" s="7" t="str">
        <x:v>Compact SUV</x:v>
      </x:c>
      <x:c r="H3004" s="7" t="n">
        <x:v>1497</x:v>
      </x:c>
      <x:c r="I3004" s="7" t="n">
        <x:v>113</x:v>
      </x:c>
      <x:c r="J3004" s="9" t="n">
        <x:v>23.2</x:v>
      </x:c>
      <x:c r="K3004" s="9" t="n">
        <x:v>12.5</x:v>
      </x:c>
      <x:c r="L3004" s="7" t="n">
        <x:v>2021</x:v>
      </x:c>
      <x:c r="M3004" s="11" t="n">
        <x:v>49424</x:v>
      </x:c>
      <x:c r="N3004" s="7" t="n">
        <x:v>1</x:v>
      </x:c>
      <x:c r="O3004" s="7" t="n">
        <x:v>0</x:v>
      </x:c>
      <x:c r="P3004" s="9" t="n">
        <x:v>6.92</x:v>
      </x:c>
      <x:c r="Q3004" s="7" t="n">
        <x:f>'Guide'!$B$5-L3004</x:f>
        <x:v>5</x:v>
      </x:c>
      <x:c r="R3004" s="9" t="n">
        <x:f>K3004-P3004</x:f>
        <x:v>5.58</x:v>
      </x:c>
      <x:c r="S3004" s="10" t="n">
        <x:f>IF(K3004&gt;0,R3004/K3004,"")</x:f>
        <x:v>0.4464</x:v>
      </x:c>
    </x:row>
    <x:row r="3005">
      <x:c r="A3005" s="7" t="n">
        <x:v>3001</x:v>
      </x:c>
      <x:c r="B3005" s="7" t="str">
        <x:v>Tata</x:v>
      </x:c>
      <x:c r="C3005" s="7" t="str">
        <x:v>Harrier</x:v>
      </x:c>
      <x:c r="D3005" s="7" t="str">
        <x:v>Smart</x:v>
      </x:c>
      <x:c r="E3005" s="7" t="str">
        <x:v>Diesel</x:v>
      </x:c>
      <x:c r="F3005" s="7" t="str">
        <x:v>Manual</x:v>
      </x:c>
      <x:c r="G3005" s="7" t="str">
        <x:v>Mid-Size SUV</x:v>
      </x:c>
      <x:c r="H3005" s="7" t="n">
        <x:v>1956</x:v>
      </x:c>
      <x:c r="I3005" s="7" t="n">
        <x:v>168</x:v>
      </x:c>
      <x:c r="J3005" s="9" t="n">
        <x:v>16.8</x:v>
      </x:c>
      <x:c r="K3005" s="9" t="n">
        <x:v>15</x:v>
      </x:c>
      <x:c r="L3005" s="7" t="n">
        <x:v>2023</x:v>
      </x:c>
      <x:c r="M3005" s="11" t="n">
        <x:v>63475</x:v>
      </x:c>
      <x:c r="N3005" s="7" t="n">
        <x:v>1</x:v>
      </x:c>
      <x:c r="O3005" s="7" t="n">
        <x:v>0</x:v>
      </x:c>
      <x:c r="P3005" s="9" t="n">
        <x:v>10.44</x:v>
      </x:c>
      <x:c r="Q3005" s="7" t="n">
        <x:f>'Guide'!$B$5-L3005</x:f>
        <x:v>3</x:v>
      </x:c>
      <x:c r="R3005" s="9" t="n">
        <x:f>K3005-P3005</x:f>
        <x:v>4.5600000000000005</x:v>
      </x:c>
      <x:c r="S3005" s="10" t="n">
        <x:f>IF(K3005&gt;0,R3005/K3005,"")</x:f>
        <x:v>0.30400000000000005</x:v>
      </x:c>
    </x:row>
    <x:row r="3006">
      <x:c r="A3006" s="7" t="n">
        <x:v>3002</x:v>
      </x:c>
      <x:c r="B3006" s="7" t="str">
        <x:v>Tata</x:v>
      </x:c>
      <x:c r="C3006" s="7" t="str">
        <x:v>Harrier</x:v>
      </x:c>
      <x:c r="D3006" s="7" t="str">
        <x:v>Smart</x:v>
      </x:c>
      <x:c r="E3006" s="7" t="str">
        <x:v>Diesel</x:v>
      </x:c>
      <x:c r="F3006" s="7" t="str">
        <x:v>Manual</x:v>
      </x:c>
      <x:c r="G3006" s="7" t="str">
        <x:v>Mid-Size SUV</x:v>
      </x:c>
      <x:c r="H3006" s="7" t="n">
        <x:v>1956</x:v>
      </x:c>
      <x:c r="I3006" s="7" t="n">
        <x:v>168</x:v>
      </x:c>
      <x:c r="J3006" s="9" t="n">
        <x:v>16.8</x:v>
      </x:c>
      <x:c r="K3006" s="9" t="n">
        <x:v>15</x:v>
      </x:c>
      <x:c r="L3006" s="7" t="n">
        <x:v>2023</x:v>
      </x:c>
      <x:c r="M3006" s="11" t="n">
        <x:v>41531</x:v>
      </x:c>
      <x:c r="N3006" s="7" t="n">
        <x:v>1</x:v>
      </x:c>
      <x:c r="O3006" s="7" t="n">
        <x:v>0</x:v>
      </x:c>
      <x:c r="P3006" s="9" t="n">
        <x:v>10.68</x:v>
      </x:c>
      <x:c r="Q3006" s="7" t="n">
        <x:f>'Guide'!$B$5-L3006</x:f>
        <x:v>3</x:v>
      </x:c>
      <x:c r="R3006" s="9" t="n">
        <x:f>K3006-P3006</x:f>
        <x:v>4.32</x:v>
      </x:c>
      <x:c r="S3006" s="10" t="n">
        <x:f>IF(K3006&gt;0,R3006/K3006,"")</x:f>
        <x:v>0.28800000000000003</x:v>
      </x:c>
    </x:row>
    <x:row r="3007">
      <x:c r="A3007" s="7" t="n">
        <x:v>3003</x:v>
      </x:c>
      <x:c r="B3007" s="7" t="str">
        <x:v>Tata</x:v>
      </x:c>
      <x:c r="C3007" s="7" t="str">
        <x:v>Harrier</x:v>
      </x:c>
      <x:c r="D3007" s="7" t="str">
        <x:v>Smart</x:v>
      </x:c>
      <x:c r="E3007" s="7" t="str">
        <x:v>Diesel</x:v>
      </x:c>
      <x:c r="F3007" s="7" t="str">
        <x:v>Manual</x:v>
      </x:c>
      <x:c r="G3007" s="7" t="str">
        <x:v>Mid-Size SUV</x:v>
      </x:c>
      <x:c r="H3007" s="7" t="n">
        <x:v>1956</x:v>
      </x:c>
      <x:c r="I3007" s="7" t="n">
        <x:v>168</x:v>
      </x:c>
      <x:c r="J3007" s="9" t="n">
        <x:v>16.8</x:v>
      </x:c>
      <x:c r="K3007" s="9" t="n">
        <x:v>15</x:v>
      </x:c>
      <x:c r="L3007" s="7" t="n">
        <x:v>2023</x:v>
      </x:c>
      <x:c r="M3007" s="11" t="n">
        <x:v>68928</x:v>
      </x:c>
      <x:c r="N3007" s="7" t="n">
        <x:v>1</x:v>
      </x:c>
      <x:c r="O3007" s="7" t="n">
        <x:v>0</x:v>
      </x:c>
      <x:c r="P3007" s="9" t="n">
        <x:v>10.51</x:v>
      </x:c>
      <x:c r="Q3007" s="7" t="n">
        <x:f>'Guide'!$B$5-L3007</x:f>
        <x:v>3</x:v>
      </x:c>
      <x:c r="R3007" s="9" t="n">
        <x:f>K3007-P3007</x:f>
        <x:v>4.49</x:v>
      </x:c>
      <x:c r="S3007" s="10" t="n">
        <x:f>IF(K3007&gt;0,R3007/K3007,"")</x:f>
        <x:v>0.29933333333333334</x:v>
      </x:c>
    </x:row>
    <x:row r="3008">
      <x:c r="A3008" s="7" t="n">
        <x:v>3004</x:v>
      </x:c>
      <x:c r="B3008" s="7" t="str">
        <x:v>Tata</x:v>
      </x:c>
      <x:c r="C3008" s="7" t="str">
        <x:v>Harrier</x:v>
      </x:c>
      <x:c r="D3008" s="7" t="str">
        <x:v>Smart</x:v>
      </x:c>
      <x:c r="E3008" s="7" t="str">
        <x:v>Diesel</x:v>
      </x:c>
      <x:c r="F3008" s="7" t="str">
        <x:v>Manual</x:v>
      </x:c>
      <x:c r="G3008" s="7" t="str">
        <x:v>Mid-Size SUV</x:v>
      </x:c>
      <x:c r="H3008" s="7" t="n">
        <x:v>1956</x:v>
      </x:c>
      <x:c r="I3008" s="7" t="n">
        <x:v>168</x:v>
      </x:c>
      <x:c r="J3008" s="9" t="n">
        <x:v>16.8</x:v>
      </x:c>
      <x:c r="K3008" s="9" t="n">
        <x:v>15</x:v>
      </x:c>
      <x:c r="L3008" s="7" t="n">
        <x:v>2026</x:v>
      </x:c>
      <x:c r="M3008" s="11" t="n">
        <x:v>5815</x:v>
      </x:c>
      <x:c r="N3008" s="7" t="n">
        <x:v>1</x:v>
      </x:c>
      <x:c r="O3008" s="7" t="n">
        <x:v>0</x:v>
      </x:c>
      <x:c r="P3008" s="9" t="n">
        <x:v>15.02</x:v>
      </x:c>
      <x:c r="Q3008" s="7" t="n">
        <x:f>'Guide'!$B$5-L3008</x:f>
        <x:v>0</x:v>
      </x:c>
      <x:c r="R3008" s="9" t="n">
        <x:f>K3008-P3008</x:f>
        <x:v>-0.019999999999999574</x:v>
      </x:c>
      <x:c r="S3008" s="10" t="n">
        <x:f>IF(K3008&gt;0,R3008/K3008,"")</x:f>
        <x:v>-0.0013333333333333049</x:v>
      </x:c>
    </x:row>
    <x:row r="3009">
      <x:c r="A3009" s="7" t="n">
        <x:v>3005</x:v>
      </x:c>
      <x:c r="B3009" s="7" t="str">
        <x:v>Tata</x:v>
      </x:c>
      <x:c r="C3009" s="7" t="str">
        <x:v>Harrier</x:v>
      </x:c>
      <x:c r="D3009" s="7" t="str">
        <x:v>Smart</x:v>
      </x:c>
      <x:c r="E3009" s="7" t="str">
        <x:v>Diesel</x:v>
      </x:c>
      <x:c r="F3009" s="7" t="str">
        <x:v>Manual</x:v>
      </x:c>
      <x:c r="G3009" s="7" t="str">
        <x:v>Mid-Size SUV</x:v>
      </x:c>
      <x:c r="H3009" s="7" t="n">
        <x:v>1956</x:v>
      </x:c>
      <x:c r="I3009" s="7" t="n">
        <x:v>168</x:v>
      </x:c>
      <x:c r="J3009" s="9" t="n">
        <x:v>16.8</x:v>
      </x:c>
      <x:c r="K3009" s="9" t="n">
        <x:v>15</x:v>
      </x:c>
      <x:c r="L3009" s="7" t="n">
        <x:v>2023</x:v>
      </x:c>
      <x:c r="M3009" s="11" t="n">
        <x:v>41751</x:v>
      </x:c>
      <x:c r="N3009" s="7" t="n">
        <x:v>1</x:v>
      </x:c>
      <x:c r="O3009" s="7" t="n">
        <x:v>0</x:v>
      </x:c>
      <x:c r="P3009" s="9" t="n">
        <x:v>10.75</x:v>
      </x:c>
      <x:c r="Q3009" s="7" t="n">
        <x:f>'Guide'!$B$5-L3009</x:f>
        <x:v>3</x:v>
      </x:c>
      <x:c r="R3009" s="9" t="n">
        <x:f>K3009-P3009</x:f>
        <x:v>4.25</x:v>
      </x:c>
      <x:c r="S3009" s="10" t="n">
        <x:f>IF(K3009&gt;0,R3009/K3009,"")</x:f>
        <x:v>0.2833333333333333</x:v>
      </x:c>
    </x:row>
    <x:row r="3010">
      <x:c r="A3010" s="7" t="n">
        <x:v>3006</x:v>
      </x:c>
      <x:c r="B3010" s="7" t="str">
        <x:v>Tata</x:v>
      </x:c>
      <x:c r="C3010" s="7" t="str">
        <x:v>Harrier</x:v>
      </x:c>
      <x:c r="D3010" s="7" t="str">
        <x:v>Smart</x:v>
      </x:c>
      <x:c r="E3010" s="7" t="str">
        <x:v>Diesel</x:v>
      </x:c>
      <x:c r="F3010" s="7" t="str">
        <x:v>Manual</x:v>
      </x:c>
      <x:c r="G3010" s="7" t="str">
        <x:v>Mid-Size SUV</x:v>
      </x:c>
      <x:c r="H3010" s="7" t="n">
        <x:v>1956</x:v>
      </x:c>
      <x:c r="I3010" s="7" t="n">
        <x:v>168</x:v>
      </x:c>
      <x:c r="J3010" s="9" t="n">
        <x:v>16.8</x:v>
      </x:c>
      <x:c r="K3010" s="9" t="n">
        <x:v>15</x:v>
      </x:c>
      <x:c r="L3010" s="7" t="n">
        <x:v>2023</x:v>
      </x:c>
      <x:c r="M3010" s="11" t="n">
        <x:v>38556</x:v>
      </x:c>
      <x:c r="N3010" s="7" t="n">
        <x:v>1</x:v>
      </x:c>
      <x:c r="O3010" s="7" t="n">
        <x:v>0</x:v>
      </x:c>
      <x:c r="P3010" s="9" t="n">
        <x:v>10.99</x:v>
      </x:c>
      <x:c r="Q3010" s="7" t="n">
        <x:f>'Guide'!$B$5-L3010</x:f>
        <x:v>3</x:v>
      </x:c>
      <x:c r="R3010" s="9" t="n">
        <x:f>K3010-P3010</x:f>
        <x:v>4.01</x:v>
      </x:c>
      <x:c r="S3010" s="10" t="n">
        <x:f>IF(K3010&gt;0,R3010/K3010,"")</x:f>
        <x:v>0.2673333333333333</x:v>
      </x:c>
    </x:row>
    <x:row r="3011">
      <x:c r="A3011" s="7" t="n">
        <x:v>3007</x:v>
      </x:c>
      <x:c r="B3011" s="7" t="str">
        <x:v>Tata</x:v>
      </x:c>
      <x:c r="C3011" s="7" t="str">
        <x:v>Harrier</x:v>
      </x:c>
      <x:c r="D3011" s="7" t="str">
        <x:v>Smart</x:v>
      </x:c>
      <x:c r="E3011" s="7" t="str">
        <x:v>Diesel</x:v>
      </x:c>
      <x:c r="F3011" s="7" t="str">
        <x:v>Manual</x:v>
      </x:c>
      <x:c r="G3011" s="7" t="str">
        <x:v>Mid-Size SUV</x:v>
      </x:c>
      <x:c r="H3011" s="7" t="n">
        <x:v>1956</x:v>
      </x:c>
      <x:c r="I3011" s="7" t="n">
        <x:v>168</x:v>
      </x:c>
      <x:c r="J3011" s="9" t="n">
        <x:v>16.8</x:v>
      </x:c>
      <x:c r="K3011" s="9" t="n">
        <x:v>15</x:v>
      </x:c>
      <x:c r="L3011" s="7" t="n">
        <x:v>2024</x:v>
      </x:c>
      <x:c r="M3011" s="11" t="n">
        <x:v>43397</x:v>
      </x:c>
      <x:c r="N3011" s="7" t="n">
        <x:v>1</x:v>
      </x:c>
      <x:c r="O3011" s="7" t="n">
        <x:v>0</x:v>
      </x:c>
      <x:c r="P3011" s="9" t="n">
        <x:v>12.08</x:v>
      </x:c>
      <x:c r="Q3011" s="7" t="n">
        <x:f>'Guide'!$B$5-L3011</x:f>
        <x:v>2</x:v>
      </x:c>
      <x:c r="R3011" s="9" t="n">
        <x:f>K3011-P3011</x:f>
        <x:v>2.92</x:v>
      </x:c>
      <x:c r="S3011" s="10" t="n">
        <x:f>IF(K3011&gt;0,R3011/K3011,"")</x:f>
        <x:v>0.19466666666666665</x:v>
      </x:c>
    </x:row>
    <x:row r="3012">
      <x:c r="A3012" s="7" t="n">
        <x:v>3008</x:v>
      </x:c>
      <x:c r="B3012" s="7" t="str">
        <x:v>Tata</x:v>
      </x:c>
      <x:c r="C3012" s="7" t="str">
        <x:v>Harrier</x:v>
      </x:c>
      <x:c r="D3012" s="7" t="str">
        <x:v>Smart</x:v>
      </x:c>
      <x:c r="E3012" s="7" t="str">
        <x:v>Diesel</x:v>
      </x:c>
      <x:c r="F3012" s="7" t="str">
        <x:v>Manual</x:v>
      </x:c>
      <x:c r="G3012" s="7" t="str">
        <x:v>Mid-Size SUV</x:v>
      </x:c>
      <x:c r="H3012" s="7" t="n">
        <x:v>1956</x:v>
      </x:c>
      <x:c r="I3012" s="7" t="n">
        <x:v>168</x:v>
      </x:c>
      <x:c r="J3012" s="9" t="n">
        <x:v>16.8</x:v>
      </x:c>
      <x:c r="K3012" s="9" t="n">
        <x:v>15</x:v>
      </x:c>
      <x:c r="L3012" s="7" t="n">
        <x:v>2021</x:v>
      </x:c>
      <x:c r="M3012" s="11" t="n">
        <x:v>103688</x:v>
      </x:c>
      <x:c r="N3012" s="7" t="n">
        <x:v>1</x:v>
      </x:c>
      <x:c r="O3012" s="7" t="n">
        <x:v>0</x:v>
      </x:c>
      <x:c r="P3012" s="9" t="n">
        <x:v>6.97</x:v>
      </x:c>
      <x:c r="Q3012" s="7" t="n">
        <x:f>'Guide'!$B$5-L3012</x:f>
        <x:v>5</x:v>
      </x:c>
      <x:c r="R3012" s="9" t="n">
        <x:f>K3012-P3012</x:f>
        <x:v>8.030000000000001</x:v>
      </x:c>
      <x:c r="S3012" s="10" t="n">
        <x:f>IF(K3012&gt;0,R3012/K3012,"")</x:f>
        <x:v>0.5353333333333334</x:v>
      </x:c>
    </x:row>
    <x:row r="3013">
      <x:c r="A3013" s="7" t="n">
        <x:v>3009</x:v>
      </x:c>
      <x:c r="B3013" s="7" t="str">
        <x:v>Tata</x:v>
      </x:c>
      <x:c r="C3013" s="7" t="str">
        <x:v>Harrier</x:v>
      </x:c>
      <x:c r="D3013" s="7" t="str">
        <x:v>Smart</x:v>
      </x:c>
      <x:c r="E3013" s="7" t="str">
        <x:v>Diesel</x:v>
      </x:c>
      <x:c r="F3013" s="7" t="str">
        <x:v>Manual</x:v>
      </x:c>
      <x:c r="G3013" s="7" t="str">
        <x:v>Mid-Size SUV</x:v>
      </x:c>
      <x:c r="H3013" s="7" t="n">
        <x:v>1956</x:v>
      </x:c>
      <x:c r="I3013" s="7" t="n">
        <x:v>168</x:v>
      </x:c>
      <x:c r="J3013" s="9" t="n">
        <x:v>16.8</x:v>
      </x:c>
      <x:c r="K3013" s="9" t="n">
        <x:v>15</x:v>
      </x:c>
      <x:c r="L3013" s="7" t="n">
        <x:v>2020</x:v>
      </x:c>
      <x:c r="M3013" s="11" t="n">
        <x:v>123669</x:v>
      </x:c>
      <x:c r="N3013" s="7" t="n">
        <x:v>3</x:v>
      </x:c>
      <x:c r="O3013" s="7" t="n">
        <x:v>0</x:v>
      </x:c>
      <x:c r="P3013" s="9" t="n">
        <x:v>4.64</x:v>
      </x:c>
      <x:c r="Q3013" s="7" t="n">
        <x:f>'Guide'!$B$5-L3013</x:f>
        <x:v>6</x:v>
      </x:c>
      <x:c r="R3013" s="9" t="n">
        <x:f>K3013-P3013</x:f>
        <x:v>10.36</x:v>
      </x:c>
      <x:c r="S3013" s="10" t="n">
        <x:f>IF(K3013&gt;0,R3013/K3013,"")</x:f>
        <x:v>0.6906666666666667</x:v>
      </x:c>
    </x:row>
    <x:row r="3014">
      <x:c r="A3014" s="7" t="n">
        <x:v>3010</x:v>
      </x:c>
      <x:c r="B3014" s="7" t="str">
        <x:v>Tata</x:v>
      </x:c>
      <x:c r="C3014" s="7" t="str">
        <x:v>Harrier</x:v>
      </x:c>
      <x:c r="D3014" s="7" t="str">
        <x:v>Smart</x:v>
      </x:c>
      <x:c r="E3014" s="7" t="str">
        <x:v>Diesel</x:v>
      </x:c>
      <x:c r="F3014" s="7" t="str">
        <x:v>Manual</x:v>
      </x:c>
      <x:c r="G3014" s="7" t="str">
        <x:v>Mid-Size SUV</x:v>
      </x:c>
      <x:c r="H3014" s="7" t="n">
        <x:v>1956</x:v>
      </x:c>
      <x:c r="I3014" s="7" t="n">
        <x:v>168</x:v>
      </x:c>
      <x:c r="J3014" s="9" t="n">
        <x:v>16.8</x:v>
      </x:c>
      <x:c r="K3014" s="9" t="n">
        <x:v>15</x:v>
      </x:c>
      <x:c r="L3014" s="7" t="n">
        <x:v>2026</x:v>
      </x:c>
      <x:c r="M3014" s="11" t="n">
        <x:v>5686</x:v>
      </x:c>
      <x:c r="N3014" s="7" t="n">
        <x:v>1</x:v>
      </x:c>
      <x:c r="O3014" s="7" t="n">
        <x:v>0</x:v>
      </x:c>
      <x:c r="P3014" s="9" t="n">
        <x:v>14.54</x:v>
      </x:c>
      <x:c r="Q3014" s="7" t="n">
        <x:f>'Guide'!$B$5-L3014</x:f>
        <x:v>0</x:v>
      </x:c>
      <x:c r="R3014" s="9" t="n">
        <x:f>K3014-P3014</x:f>
        <x:v>0.46000000000000085</x:v>
      </x:c>
      <x:c r="S3014" s="10" t="n">
        <x:f>IF(K3014&gt;0,R3014/K3014,"")</x:f>
        <x:v>0.030666666666666724</x:v>
      </x:c>
    </x:row>
    <x:row r="3015">
      <x:c r="A3015" s="7" t="n">
        <x:v>3011</x:v>
      </x:c>
      <x:c r="B3015" s="7" t="str">
        <x:v>Tata</x:v>
      </x:c>
      <x:c r="C3015" s="7" t="str">
        <x:v>Harrier</x:v>
      </x:c>
      <x:c r="D3015" s="7" t="str">
        <x:v>Smart</x:v>
      </x:c>
      <x:c r="E3015" s="7" t="str">
        <x:v>Diesel</x:v>
      </x:c>
      <x:c r="F3015" s="7" t="str">
        <x:v>Manual</x:v>
      </x:c>
      <x:c r="G3015" s="7" t="str">
        <x:v>Mid-Size SUV</x:v>
      </x:c>
      <x:c r="H3015" s="7" t="n">
        <x:v>1956</x:v>
      </x:c>
      <x:c r="I3015" s="7" t="n">
        <x:v>168</x:v>
      </x:c>
      <x:c r="J3015" s="9" t="n">
        <x:v>16.8</x:v>
      </x:c>
      <x:c r="K3015" s="9" t="n">
        <x:v>15</x:v>
      </x:c>
      <x:c r="L3015" s="7" t="n">
        <x:v>2024</x:v>
      </x:c>
      <x:c r="M3015" s="11" t="n">
        <x:v>43988</x:v>
      </x:c>
      <x:c r="N3015" s="7" t="n">
        <x:v>3</x:v>
      </x:c>
      <x:c r="O3015" s="7" t="n">
        <x:v>1</x:v>
      </x:c>
      <x:c r="P3015" s="9" t="n">
        <x:v>10.39</x:v>
      </x:c>
      <x:c r="Q3015" s="7" t="n">
        <x:f>'Guide'!$B$5-L3015</x:f>
        <x:v>2</x:v>
      </x:c>
      <x:c r="R3015" s="9" t="n">
        <x:f>K3015-P3015</x:f>
        <x:v>4.609999999999999</x:v>
      </x:c>
      <x:c r="S3015" s="10" t="n">
        <x:f>IF(K3015&gt;0,R3015/K3015,"")</x:f>
        <x:v>0.3073333333333333</x:v>
      </x:c>
    </x:row>
    <x:row r="3016">
      <x:c r="A3016" s="7" t="n">
        <x:v>3012</x:v>
      </x:c>
      <x:c r="B3016" s="7" t="str">
        <x:v>Tata</x:v>
      </x:c>
      <x:c r="C3016" s="7" t="str">
        <x:v>Harrier</x:v>
      </x:c>
      <x:c r="D3016" s="7" t="str">
        <x:v>Smart</x:v>
      </x:c>
      <x:c r="E3016" s="7" t="str">
        <x:v>Diesel</x:v>
      </x:c>
      <x:c r="F3016" s="7" t="str">
        <x:v>Manual</x:v>
      </x:c>
      <x:c r="G3016" s="7" t="str">
        <x:v>Mid-Size SUV</x:v>
      </x:c>
      <x:c r="H3016" s="7" t="n">
        <x:v>1956</x:v>
      </x:c>
      <x:c r="I3016" s="7" t="n">
        <x:v>168</x:v>
      </x:c>
      <x:c r="J3016" s="9" t="n">
        <x:v>16.8</x:v>
      </x:c>
      <x:c r="K3016" s="9" t="n">
        <x:v>15</x:v>
      </x:c>
      <x:c r="L3016" s="7" t="n">
        <x:v>2020</x:v>
      </x:c>
      <x:c r="M3016" s="11" t="n">
        <x:v>66326</x:v>
      </x:c>
      <x:c r="N3016" s="7" t="n">
        <x:v>2</x:v>
      </x:c>
      <x:c r="O3016" s="7" t="n">
        <x:v>0</x:v>
      </x:c>
      <x:c r="P3016" s="9" t="n">
        <x:v>5.97</x:v>
      </x:c>
      <x:c r="Q3016" s="7" t="n">
        <x:f>'Guide'!$B$5-L3016</x:f>
        <x:v>6</x:v>
      </x:c>
      <x:c r="R3016" s="9" t="n">
        <x:f>K3016-P3016</x:f>
        <x:v>9.030000000000001</x:v>
      </x:c>
      <x:c r="S3016" s="10" t="n">
        <x:f>IF(K3016&gt;0,R3016/K3016,"")</x:f>
        <x:v>0.6020000000000001</x:v>
      </x:c>
    </x:row>
    <x:row r="3017">
      <x:c r="A3017" s="7" t="n">
        <x:v>3013</x:v>
      </x:c>
      <x:c r="B3017" s="7" t="str">
        <x:v>Tata</x:v>
      </x:c>
      <x:c r="C3017" s="7" t="str">
        <x:v>Harrier</x:v>
      </x:c>
      <x:c r="D3017" s="7" t="str">
        <x:v>Smart</x:v>
      </x:c>
      <x:c r="E3017" s="7" t="str">
        <x:v>Diesel</x:v>
      </x:c>
      <x:c r="F3017" s="7" t="str">
        <x:v>Manual</x:v>
      </x:c>
      <x:c r="G3017" s="7" t="str">
        <x:v>Mid-Size SUV</x:v>
      </x:c>
      <x:c r="H3017" s="7" t="n">
        <x:v>1956</x:v>
      </x:c>
      <x:c r="I3017" s="7" t="n">
        <x:v>168</x:v>
      </x:c>
      <x:c r="J3017" s="9" t="n">
        <x:v>16.8</x:v>
      </x:c>
      <x:c r="K3017" s="9" t="n">
        <x:v>15</x:v>
      </x:c>
      <x:c r="L3017" s="7" t="n">
        <x:v>2026</x:v>
      </x:c>
      <x:c r="M3017" s="11" t="n">
        <x:v>4882</x:v>
      </x:c>
      <x:c r="N3017" s="7" t="n">
        <x:v>1</x:v>
      </x:c>
      <x:c r="O3017" s="7" t="n">
        <x:v>0</x:v>
      </x:c>
      <x:c r="P3017" s="9" t="n">
        <x:v>14.94</x:v>
      </x:c>
      <x:c r="Q3017" s="7" t="n">
        <x:f>'Guide'!$B$5-L3017</x:f>
        <x:v>0</x:v>
      </x:c>
      <x:c r="R3017" s="9" t="n">
        <x:f>K3017-P3017</x:f>
        <x:v>0.0600000000000005</x:v>
      </x:c>
      <x:c r="S3017" s="10" t="n">
        <x:f>IF(K3017&gt;0,R3017/K3017,"")</x:f>
        <x:v>0.004000000000000033</x:v>
      </x:c>
    </x:row>
    <x:row r="3018">
      <x:c r="A3018" s="7" t="n">
        <x:v>3014</x:v>
      </x:c>
      <x:c r="B3018" s="7" t="str">
        <x:v>Tata</x:v>
      </x:c>
      <x:c r="C3018" s="7" t="str">
        <x:v>Harrier</x:v>
      </x:c>
      <x:c r="D3018" s="7" t="str">
        <x:v>Smart</x:v>
      </x:c>
      <x:c r="E3018" s="7" t="str">
        <x:v>Diesel</x:v>
      </x:c>
      <x:c r="F3018" s="7" t="str">
        <x:v>Manual</x:v>
      </x:c>
      <x:c r="G3018" s="7" t="str">
        <x:v>Mid-Size SUV</x:v>
      </x:c>
      <x:c r="H3018" s="7" t="n">
        <x:v>1956</x:v>
      </x:c>
      <x:c r="I3018" s="7" t="n">
        <x:v>168</x:v>
      </x:c>
      <x:c r="J3018" s="9" t="n">
        <x:v>16.8</x:v>
      </x:c>
      <x:c r="K3018" s="9" t="n">
        <x:v>15</x:v>
      </x:c>
      <x:c r="L3018" s="7" t="n">
        <x:v>2023</x:v>
      </x:c>
      <x:c r="M3018" s="11" t="n">
        <x:v>29124</x:v>
      </x:c>
      <x:c r="N3018" s="7" t="n">
        <x:v>1</x:v>
      </x:c>
      <x:c r="O3018" s="7" t="n">
        <x:v>0</x:v>
      </x:c>
      <x:c r="P3018" s="9" t="n">
        <x:v>10.61</x:v>
      </x:c>
      <x:c r="Q3018" s="7" t="n">
        <x:f>'Guide'!$B$5-L3018</x:f>
        <x:v>3</x:v>
      </x:c>
      <x:c r="R3018" s="9" t="n">
        <x:f>K3018-P3018</x:f>
        <x:v>4.390000000000001</x:v>
      </x:c>
      <x:c r="S3018" s="10" t="n">
        <x:f>IF(K3018&gt;0,R3018/K3018,"")</x:f>
        <x:v>0.2926666666666667</x:v>
      </x:c>
    </x:row>
    <x:row r="3019">
      <x:c r="A3019" s="7" t="n">
        <x:v>3015</x:v>
      </x:c>
      <x:c r="B3019" s="7" t="str">
        <x:v>Tata</x:v>
      </x:c>
      <x:c r="C3019" s="7" t="str">
        <x:v>Harrier</x:v>
      </x:c>
      <x:c r="D3019" s="7" t="str">
        <x:v>Smart</x:v>
      </x:c>
      <x:c r="E3019" s="7" t="str">
        <x:v>Diesel</x:v>
      </x:c>
      <x:c r="F3019" s="7" t="str">
        <x:v>Manual</x:v>
      </x:c>
      <x:c r="G3019" s="7" t="str">
        <x:v>Mid-Size SUV</x:v>
      </x:c>
      <x:c r="H3019" s="7" t="n">
        <x:v>1956</x:v>
      </x:c>
      <x:c r="I3019" s="7" t="n">
        <x:v>168</x:v>
      </x:c>
      <x:c r="J3019" s="9" t="n">
        <x:v>16.8</x:v>
      </x:c>
      <x:c r="K3019" s="9" t="n">
        <x:v>15</x:v>
      </x:c>
      <x:c r="L3019" s="7" t="n">
        <x:v>2023</x:v>
      </x:c>
      <x:c r="M3019" s="11" t="n">
        <x:v>33414</x:v>
      </x:c>
      <x:c r="N3019" s="7" t="n">
        <x:v>1</x:v>
      </x:c>
      <x:c r="O3019" s="7" t="n">
        <x:v>0</x:v>
      </x:c>
      <x:c r="P3019" s="9" t="n">
        <x:v>10.45</x:v>
      </x:c>
      <x:c r="Q3019" s="7" t="n">
        <x:f>'Guide'!$B$5-L3019</x:f>
        <x:v>3</x:v>
      </x:c>
      <x:c r="R3019" s="9" t="n">
        <x:f>K3019-P3019</x:f>
        <x:v>4.550000000000001</x:v>
      </x:c>
      <x:c r="S3019" s="10" t="n">
        <x:f>IF(K3019&gt;0,R3019/K3019,"")</x:f>
        <x:v>0.3033333333333334</x:v>
      </x:c>
    </x:row>
    <x:row r="3020">
      <x:c r="A3020" s="7" t="n">
        <x:v>3016</x:v>
      </x:c>
      <x:c r="B3020" s="7" t="str">
        <x:v>Tata</x:v>
      </x:c>
      <x:c r="C3020" s="7" t="str">
        <x:v>Harrier</x:v>
      </x:c>
      <x:c r="D3020" s="7" t="str">
        <x:v>Smart</x:v>
      </x:c>
      <x:c r="E3020" s="7" t="str">
        <x:v>Diesel</x:v>
      </x:c>
      <x:c r="F3020" s="7" t="str">
        <x:v>Manual</x:v>
      </x:c>
      <x:c r="G3020" s="7" t="str">
        <x:v>Mid-Size SUV</x:v>
      </x:c>
      <x:c r="H3020" s="7" t="n">
        <x:v>1956</x:v>
      </x:c>
      <x:c r="I3020" s="7" t="n">
        <x:v>168</x:v>
      </x:c>
      <x:c r="J3020" s="9" t="n">
        <x:v>16.8</x:v>
      </x:c>
      <x:c r="K3020" s="9" t="n">
        <x:v>15</x:v>
      </x:c>
      <x:c r="L3020" s="7" t="n">
        <x:v>2025</x:v>
      </x:c>
      <x:c r="M3020" s="11" t="n">
        <x:v>21294</x:v>
      </x:c>
      <x:c r="N3020" s="7" t="n">
        <x:v>1</x:v>
      </x:c>
      <x:c r="O3020" s="7" t="n">
        <x:v>0</x:v>
      </x:c>
      <x:c r="P3020" s="9" t="n">
        <x:v>13.33</x:v>
      </x:c>
      <x:c r="Q3020" s="7" t="n">
        <x:f>'Guide'!$B$5-L3020</x:f>
        <x:v>1</x:v>
      </x:c>
      <x:c r="R3020" s="9" t="n">
        <x:f>K3020-P3020</x:f>
        <x:v>1.67</x:v>
      </x:c>
      <x:c r="S3020" s="10" t="n">
        <x:f>IF(K3020&gt;0,R3020/K3020,"")</x:f>
        <x:v>0.11133333333333333</x:v>
      </x:c>
    </x:row>
    <x:row r="3021">
      <x:c r="A3021" s="7" t="n">
        <x:v>3017</x:v>
      </x:c>
      <x:c r="B3021" s="7" t="str">
        <x:v>Tata</x:v>
      </x:c>
      <x:c r="C3021" s="7" t="str">
        <x:v>Harrier</x:v>
      </x:c>
      <x:c r="D3021" s="7" t="str">
        <x:v>Smart</x:v>
      </x:c>
      <x:c r="E3021" s="7" t="str">
        <x:v>Diesel</x:v>
      </x:c>
      <x:c r="F3021" s="7" t="str">
        <x:v>Manual</x:v>
      </x:c>
      <x:c r="G3021" s="7" t="str">
        <x:v>Mid-Size SUV</x:v>
      </x:c>
      <x:c r="H3021" s="7" t="n">
        <x:v>1956</x:v>
      </x:c>
      <x:c r="I3021" s="7" t="n">
        <x:v>168</x:v>
      </x:c>
      <x:c r="J3021" s="9" t="n">
        <x:v>16.8</x:v>
      </x:c>
      <x:c r="K3021" s="9" t="n">
        <x:v>15</x:v>
      </x:c>
      <x:c r="L3021" s="7" t="n">
        <x:v>2021</x:v>
      </x:c>
      <x:c r="M3021" s="11" t="n">
        <x:v>81172</x:v>
      </x:c>
      <x:c r="N3021" s="7" t="n">
        <x:v>1</x:v>
      </x:c>
      <x:c r="O3021" s="7" t="n">
        <x:v>0</x:v>
      </x:c>
      <x:c r="P3021" s="9" t="n">
        <x:v>7.19</x:v>
      </x:c>
      <x:c r="Q3021" s="7" t="n">
        <x:f>'Guide'!$B$5-L3021</x:f>
        <x:v>5</x:v>
      </x:c>
      <x:c r="R3021" s="9" t="n">
        <x:f>K3021-P3021</x:f>
        <x:v>7.81</x:v>
      </x:c>
      <x:c r="S3021" s="10" t="n">
        <x:f>IF(K3021&gt;0,R3021/K3021,"")</x:f>
        <x:v>0.5206666666666666</x:v>
      </x:c>
    </x:row>
    <x:row r="3022">
      <x:c r="A3022" s="7" t="n">
        <x:v>3018</x:v>
      </x:c>
      <x:c r="B3022" s="7" t="str">
        <x:v>Tata</x:v>
      </x:c>
      <x:c r="C3022" s="7" t="str">
        <x:v>Harrier</x:v>
      </x:c>
      <x:c r="D3022" s="7" t="str">
        <x:v>Smart</x:v>
      </x:c>
      <x:c r="E3022" s="7" t="str">
        <x:v>Diesel</x:v>
      </x:c>
      <x:c r="F3022" s="7" t="str">
        <x:v>Manual</x:v>
      </x:c>
      <x:c r="G3022" s="7" t="str">
        <x:v>Mid-Size SUV</x:v>
      </x:c>
      <x:c r="H3022" s="7" t="n">
        <x:v>1956</x:v>
      </x:c>
      <x:c r="I3022" s="7" t="n">
        <x:v>168</x:v>
      </x:c>
      <x:c r="J3022" s="9" t="n">
        <x:v>16.8</x:v>
      </x:c>
      <x:c r="K3022" s="9" t="n">
        <x:v>15</x:v>
      </x:c>
      <x:c r="L3022" s="7" t="n">
        <x:v>2025</x:v>
      </x:c>
      <x:c r="M3022" s="11" t="n">
        <x:v>23069</x:v>
      </x:c>
      <x:c r="N3022" s="7" t="n">
        <x:v>1</x:v>
      </x:c>
      <x:c r="O3022" s="7" t="n">
        <x:v>0</x:v>
      </x:c>
      <x:c r="P3022" s="9" t="n">
        <x:v>13.19</x:v>
      </x:c>
      <x:c r="Q3022" s="7" t="n">
        <x:f>'Guide'!$B$5-L3022</x:f>
        <x:v>1</x:v>
      </x:c>
      <x:c r="R3022" s="9" t="n">
        <x:f>K3022-P3022</x:f>
        <x:v>1.8100000000000005</x:v>
      </x:c>
      <x:c r="S3022" s="10" t="n">
        <x:f>IF(K3022&gt;0,R3022/K3022,"")</x:f>
        <x:v>0.1206666666666667</x:v>
      </x:c>
    </x:row>
    <x:row r="3023">
      <x:c r="A3023" s="7" t="n">
        <x:v>3019</x:v>
      </x:c>
      <x:c r="B3023" s="7" t="str">
        <x:v>Tata</x:v>
      </x:c>
      <x:c r="C3023" s="7" t="str">
        <x:v>Harrier</x:v>
      </x:c>
      <x:c r="D3023" s="7" t="str">
        <x:v>Smart</x:v>
      </x:c>
      <x:c r="E3023" s="7" t="str">
        <x:v>Diesel</x:v>
      </x:c>
      <x:c r="F3023" s="7" t="str">
        <x:v>Manual</x:v>
      </x:c>
      <x:c r="G3023" s="7" t="str">
        <x:v>Mid-Size SUV</x:v>
      </x:c>
      <x:c r="H3023" s="7" t="n">
        <x:v>1956</x:v>
      </x:c>
      <x:c r="I3023" s="7" t="n">
        <x:v>168</x:v>
      </x:c>
      <x:c r="J3023" s="9" t="n">
        <x:v>16.8</x:v>
      </x:c>
      <x:c r="K3023" s="9" t="n">
        <x:v>15</x:v>
      </x:c>
      <x:c r="L3023" s="7" t="n">
        <x:v>2021</x:v>
      </x:c>
      <x:c r="M3023" s="11" t="n">
        <x:v>104230</x:v>
      </x:c>
      <x:c r="N3023" s="7" t="n">
        <x:v>1</x:v>
      </x:c>
      <x:c r="O3023" s="7" t="n">
        <x:v>0</x:v>
      </x:c>
      <x:c r="P3023" s="9" t="n">
        <x:v>7.19</x:v>
      </x:c>
      <x:c r="Q3023" s="7" t="n">
        <x:f>'Guide'!$B$5-L3023</x:f>
        <x:v>5</x:v>
      </x:c>
      <x:c r="R3023" s="9" t="n">
        <x:f>K3023-P3023</x:f>
        <x:v>7.81</x:v>
      </x:c>
      <x:c r="S3023" s="10" t="n">
        <x:f>IF(K3023&gt;0,R3023/K3023,"")</x:f>
        <x:v>0.5206666666666666</x:v>
      </x:c>
    </x:row>
    <x:row r="3024">
      <x:c r="A3024" s="7" t="n">
        <x:v>3020</x:v>
      </x:c>
      <x:c r="B3024" s="7" t="str">
        <x:v>Tata</x:v>
      </x:c>
      <x:c r="C3024" s="7" t="str">
        <x:v>Harrier</x:v>
      </x:c>
      <x:c r="D3024" s="7" t="str">
        <x:v>Smart</x:v>
      </x:c>
      <x:c r="E3024" s="7" t="str">
        <x:v>Diesel</x:v>
      </x:c>
      <x:c r="F3024" s="7" t="str">
        <x:v>Manual</x:v>
      </x:c>
      <x:c r="G3024" s="7" t="str">
        <x:v>Mid-Size SUV</x:v>
      </x:c>
      <x:c r="H3024" s="7" t="n">
        <x:v>1956</x:v>
      </x:c>
      <x:c r="I3024" s="7" t="n">
        <x:v>168</x:v>
      </x:c>
      <x:c r="J3024" s="9" t="n">
        <x:v>16.8</x:v>
      </x:c>
      <x:c r="K3024" s="9" t="n">
        <x:v>15</x:v>
      </x:c>
      <x:c r="L3024" s="7" t="n">
        <x:v>2022</x:v>
      </x:c>
      <x:c r="M3024" s="11" t="n">
        <x:v>81121</x:v>
      </x:c>
      <x:c r="N3024" s="7" t="n">
        <x:v>1</x:v>
      </x:c>
      <x:c r="O3024" s="7" t="n">
        <x:v>1</x:v>
      </x:c>
      <x:c r="P3024" s="9" t="n">
        <x:v>8.13</x:v>
      </x:c>
      <x:c r="Q3024" s="7" t="n">
        <x:f>'Guide'!$B$5-L3024</x:f>
        <x:v>4</x:v>
      </x:c>
      <x:c r="R3024" s="9" t="n">
        <x:f>K3024-P3024</x:f>
        <x:v>6.869999999999999</x:v>
      </x:c>
      <x:c r="S3024" s="10" t="n">
        <x:f>IF(K3024&gt;0,R3024/K3024,"")</x:f>
        <x:v>0.45799999999999996</x:v>
      </x:c>
    </x:row>
    <x:row r="3025">
      <x:c r="A3025" s="7" t="n">
        <x:v>3021</x:v>
      </x:c>
      <x:c r="B3025" s="7" t="str">
        <x:v>Tata</x:v>
      </x:c>
      <x:c r="C3025" s="7" t="str">
        <x:v>Harrier</x:v>
      </x:c>
      <x:c r="D3025" s="7" t="str">
        <x:v>Smart</x:v>
      </x:c>
      <x:c r="E3025" s="7" t="str">
        <x:v>Diesel</x:v>
      </x:c>
      <x:c r="F3025" s="7" t="str">
        <x:v>Manual</x:v>
      </x:c>
      <x:c r="G3025" s="7" t="str">
        <x:v>Mid-Size SUV</x:v>
      </x:c>
      <x:c r="H3025" s="7" t="n">
        <x:v>1956</x:v>
      </x:c>
      <x:c r="I3025" s="7" t="n">
        <x:v>168</x:v>
      </x:c>
      <x:c r="J3025" s="9" t="n">
        <x:v>16.8</x:v>
      </x:c>
      <x:c r="K3025" s="9" t="n">
        <x:v>15</x:v>
      </x:c>
      <x:c r="L3025" s="7" t="n">
        <x:v>2025</x:v>
      </x:c>
      <x:c r="M3025" s="11" t="n">
        <x:v>20087</x:v>
      </x:c>
      <x:c r="N3025" s="7" t="n">
        <x:v>1</x:v>
      </x:c>
      <x:c r="O3025" s="7" t="n">
        <x:v>0</x:v>
      </x:c>
      <x:c r="P3025" s="9" t="n">
        <x:v>13.27</x:v>
      </x:c>
      <x:c r="Q3025" s="7" t="n">
        <x:f>'Guide'!$B$5-L3025</x:f>
        <x:v>1</x:v>
      </x:c>
      <x:c r="R3025" s="9" t="n">
        <x:f>K3025-P3025</x:f>
        <x:v>1.7300000000000004</x:v>
      </x:c>
      <x:c r="S3025" s="10" t="n">
        <x:f>IF(K3025&gt;0,R3025/K3025,"")</x:f>
        <x:v>0.11533333333333336</x:v>
      </x:c>
    </x:row>
    <x:row r="3026">
      <x:c r="A3026" s="7" t="n">
        <x:v>3022</x:v>
      </x:c>
      <x:c r="B3026" s="7" t="str">
        <x:v>Tata</x:v>
      </x:c>
      <x:c r="C3026" s="7" t="str">
        <x:v>Harrier</x:v>
      </x:c>
      <x:c r="D3026" s="7" t="str">
        <x:v>Smart</x:v>
      </x:c>
      <x:c r="E3026" s="7" t="str">
        <x:v>Diesel</x:v>
      </x:c>
      <x:c r="F3026" s="7" t="str">
        <x:v>Manual</x:v>
      </x:c>
      <x:c r="G3026" s="7" t="str">
        <x:v>Mid-Size SUV</x:v>
      </x:c>
      <x:c r="H3026" s="7" t="n">
        <x:v>1956</x:v>
      </x:c>
      <x:c r="I3026" s="7" t="n">
        <x:v>168</x:v>
      </x:c>
      <x:c r="J3026" s="9" t="n">
        <x:v>16.8</x:v>
      </x:c>
      <x:c r="K3026" s="9" t="n">
        <x:v>15</x:v>
      </x:c>
      <x:c r="L3026" s="7" t="n">
        <x:v>2021</x:v>
      </x:c>
      <x:c r="M3026" s="11" t="n">
        <x:v>53519</x:v>
      </x:c>
      <x:c r="N3026" s="7" t="n">
        <x:v>1</x:v>
      </x:c>
      <x:c r="O3026" s="7" t="n">
        <x:v>0</x:v>
      </x:c>
      <x:c r="P3026" s="9" t="n">
        <x:v>7.74</x:v>
      </x:c>
      <x:c r="Q3026" s="7" t="n">
        <x:f>'Guide'!$B$5-L3026</x:f>
        <x:v>5</x:v>
      </x:c>
      <x:c r="R3026" s="9" t="n">
        <x:f>K3026-P3026</x:f>
        <x:v>7.26</x:v>
      </x:c>
      <x:c r="S3026" s="10" t="n">
        <x:f>IF(K3026&gt;0,R3026/K3026,"")</x:f>
        <x:v>0.484</x:v>
      </x:c>
    </x:row>
    <x:row r="3027">
      <x:c r="A3027" s="7" t="n">
        <x:v>3023</x:v>
      </x:c>
      <x:c r="B3027" s="7" t="str">
        <x:v>Tata</x:v>
      </x:c>
      <x:c r="C3027" s="7" t="str">
        <x:v>Harrier</x:v>
      </x:c>
      <x:c r="D3027" s="7" t="str">
        <x:v>Smart</x:v>
      </x:c>
      <x:c r="E3027" s="7" t="str">
        <x:v>Diesel</x:v>
      </x:c>
      <x:c r="F3027" s="7" t="str">
        <x:v>Manual</x:v>
      </x:c>
      <x:c r="G3027" s="7" t="str">
        <x:v>Mid-Size SUV</x:v>
      </x:c>
      <x:c r="H3027" s="7" t="n">
        <x:v>1956</x:v>
      </x:c>
      <x:c r="I3027" s="7" t="n">
        <x:v>168</x:v>
      </x:c>
      <x:c r="J3027" s="9" t="n">
        <x:v>16.8</x:v>
      </x:c>
      <x:c r="K3027" s="9" t="n">
        <x:v>15</x:v>
      </x:c>
      <x:c r="L3027" s="7" t="n">
        <x:v>2026</x:v>
      </x:c>
      <x:c r="M3027" s="11" t="n">
        <x:v>5839</x:v>
      </x:c>
      <x:c r="N3027" s="7" t="n">
        <x:v>1</x:v>
      </x:c>
      <x:c r="O3027" s="7" t="n">
        <x:v>0</x:v>
      </x:c>
      <x:c r="P3027" s="9" t="n">
        <x:v>14.57</x:v>
      </x:c>
      <x:c r="Q3027" s="7" t="n">
        <x:f>'Guide'!$B$5-L3027</x:f>
        <x:v>0</x:v>
      </x:c>
      <x:c r="R3027" s="9" t="n">
        <x:f>K3027-P3027</x:f>
        <x:v>0.4299999999999997</x:v>
      </x:c>
      <x:c r="S3027" s="10" t="n">
        <x:f>IF(K3027&gt;0,R3027/K3027,"")</x:f>
        <x:v>0.02866666666666665</x:v>
      </x:c>
    </x:row>
    <x:row r="3028">
      <x:c r="A3028" s="7" t="n">
        <x:v>3024</x:v>
      </x:c>
      <x:c r="B3028" s="7" t="str">
        <x:v>Tata</x:v>
      </x:c>
      <x:c r="C3028" s="7" t="str">
        <x:v>Harrier</x:v>
      </x:c>
      <x:c r="D3028" s="7" t="str">
        <x:v>Smart</x:v>
      </x:c>
      <x:c r="E3028" s="7" t="str">
        <x:v>Diesel</x:v>
      </x:c>
      <x:c r="F3028" s="7" t="str">
        <x:v>Manual</x:v>
      </x:c>
      <x:c r="G3028" s="7" t="str">
        <x:v>Mid-Size SUV</x:v>
      </x:c>
      <x:c r="H3028" s="7" t="n">
        <x:v>1956</x:v>
      </x:c>
      <x:c r="I3028" s="7" t="n">
        <x:v>168</x:v>
      </x:c>
      <x:c r="J3028" s="9" t="n">
        <x:v>16.8</x:v>
      </x:c>
      <x:c r="K3028" s="9" t="n">
        <x:v>15</x:v>
      </x:c>
      <x:c r="L3028" s="7" t="n">
        <x:v>2025</x:v>
      </x:c>
      <x:c r="M3028" s="11" t="n">
        <x:v>17926</x:v>
      </x:c>
      <x:c r="N3028" s="7" t="n">
        <x:v>1</x:v>
      </x:c>
      <x:c r="O3028" s="7" t="n">
        <x:v>0</x:v>
      </x:c>
      <x:c r="P3028" s="9" t="n">
        <x:v>13.1</x:v>
      </x:c>
      <x:c r="Q3028" s="7" t="n">
        <x:f>'Guide'!$B$5-L3028</x:f>
        <x:v>1</x:v>
      </x:c>
      <x:c r="R3028" s="9" t="n">
        <x:f>K3028-P3028</x:f>
        <x:v>1.9000000000000004</x:v>
      </x:c>
      <x:c r="S3028" s="10" t="n">
        <x:f>IF(K3028&gt;0,R3028/K3028,"")</x:f>
        <x:v>0.12666666666666668</x:v>
      </x:c>
    </x:row>
    <x:row r="3029">
      <x:c r="A3029" s="7" t="n">
        <x:v>3025</x:v>
      </x:c>
      <x:c r="B3029" s="7" t="str">
        <x:v>Tata</x:v>
      </x:c>
      <x:c r="C3029" s="7" t="str">
        <x:v>Harrier</x:v>
      </x:c>
      <x:c r="D3029" s="7" t="str">
        <x:v>Smart</x:v>
      </x:c>
      <x:c r="E3029" s="7" t="str">
        <x:v>Diesel</x:v>
      </x:c>
      <x:c r="F3029" s="7" t="str">
        <x:v>Manual</x:v>
      </x:c>
      <x:c r="G3029" s="7" t="str">
        <x:v>Mid-Size SUV</x:v>
      </x:c>
      <x:c r="H3029" s="7" t="n">
        <x:v>1956</x:v>
      </x:c>
      <x:c r="I3029" s="7" t="n">
        <x:v>168</x:v>
      </x:c>
      <x:c r="J3029" s="9" t="n">
        <x:v>16.8</x:v>
      </x:c>
      <x:c r="K3029" s="9" t="n">
        <x:v>15</x:v>
      </x:c>
      <x:c r="L3029" s="7" t="n">
        <x:v>2021</x:v>
      </x:c>
      <x:c r="M3029" s="11" t="n">
        <x:v>72278</x:v>
      </x:c>
      <x:c r="N3029" s="7" t="n">
        <x:v>1</x:v>
      </x:c>
      <x:c r="O3029" s="7" t="n">
        <x:v>0</x:v>
      </x:c>
      <x:c r="P3029" s="9" t="n">
        <x:v>8.07</x:v>
      </x:c>
      <x:c r="Q3029" s="7" t="n">
        <x:f>'Guide'!$B$5-L3029</x:f>
        <x:v>5</x:v>
      </x:c>
      <x:c r="R3029" s="9" t="n">
        <x:f>K3029-P3029</x:f>
        <x:v>6.93</x:v>
      </x:c>
      <x:c r="S3029" s="10" t="n">
        <x:f>IF(K3029&gt;0,R3029/K3029,"")</x:f>
        <x:v>0.46199999999999997</x:v>
      </x:c>
    </x:row>
    <x:row r="3030">
      <x:c r="A3030" s="7" t="n">
        <x:v>3026</x:v>
      </x:c>
      <x:c r="B3030" s="7" t="str">
        <x:v>Tata</x:v>
      </x:c>
      <x:c r="C3030" s="7" t="str">
        <x:v>Harrier</x:v>
      </x:c>
      <x:c r="D3030" s="7" t="str">
        <x:v>Smart</x:v>
      </x:c>
      <x:c r="E3030" s="7" t="str">
        <x:v>Diesel</x:v>
      </x:c>
      <x:c r="F3030" s="7" t="str">
        <x:v>Manual</x:v>
      </x:c>
      <x:c r="G3030" s="7" t="str">
        <x:v>Mid-Size SUV</x:v>
      </x:c>
      <x:c r="H3030" s="7" t="n">
        <x:v>1956</x:v>
      </x:c>
      <x:c r="I3030" s="7" t="n">
        <x:v>168</x:v>
      </x:c>
      <x:c r="J3030" s="9" t="n">
        <x:v>16.8</x:v>
      </x:c>
      <x:c r="K3030" s="9" t="n">
        <x:v>15</x:v>
      </x:c>
      <x:c r="L3030" s="7" t="n">
        <x:v>2025</x:v>
      </x:c>
      <x:c r="M3030" s="11" t="n">
        <x:v>20937</x:v>
      </x:c>
      <x:c r="N3030" s="7" t="n">
        <x:v>1</x:v>
      </x:c>
      <x:c r="O3030" s="7" t="n">
        <x:v>1</x:v>
      </x:c>
      <x:c r="P3030" s="9" t="n">
        <x:v>12.63</x:v>
      </x:c>
      <x:c r="Q3030" s="7" t="n">
        <x:f>'Guide'!$B$5-L3030</x:f>
        <x:v>1</x:v>
      </x:c>
      <x:c r="R3030" s="9" t="n">
        <x:f>K3030-P3030</x:f>
        <x:v>2.369999999999999</x:v>
      </x:c>
      <x:c r="S3030" s="10" t="n">
        <x:f>IF(K3030&gt;0,R3030/K3030,"")</x:f>
        <x:v>0.15799999999999995</x:v>
      </x:c>
    </x:row>
    <x:row r="3031">
      <x:c r="A3031" s="7" t="n">
        <x:v>3027</x:v>
      </x:c>
      <x:c r="B3031" s="7" t="str">
        <x:v>Tata</x:v>
      </x:c>
      <x:c r="C3031" s="7" t="str">
        <x:v>Harrier</x:v>
      </x:c>
      <x:c r="D3031" s="7" t="str">
        <x:v>Smart</x:v>
      </x:c>
      <x:c r="E3031" s="7" t="str">
        <x:v>Diesel</x:v>
      </x:c>
      <x:c r="F3031" s="7" t="str">
        <x:v>Manual</x:v>
      </x:c>
      <x:c r="G3031" s="7" t="str">
        <x:v>Mid-Size SUV</x:v>
      </x:c>
      <x:c r="H3031" s="7" t="n">
        <x:v>1956</x:v>
      </x:c>
      <x:c r="I3031" s="7" t="n">
        <x:v>168</x:v>
      </x:c>
      <x:c r="J3031" s="9" t="n">
        <x:v>16.8</x:v>
      </x:c>
      <x:c r="K3031" s="9" t="n">
        <x:v>15</x:v>
      </x:c>
      <x:c r="L3031" s="7" t="n">
        <x:v>2020</x:v>
      </x:c>
      <x:c r="M3031" s="11" t="n">
        <x:v>58710</x:v>
      </x:c>
      <x:c r="N3031" s="7" t="n">
        <x:v>2</x:v>
      </x:c>
      <x:c r="O3031" s="7" t="n">
        <x:v>0</x:v>
      </x:c>
      <x:c r="P3031" s="9" t="n">
        <x:v>6.17</x:v>
      </x:c>
      <x:c r="Q3031" s="7" t="n">
        <x:f>'Guide'!$B$5-L3031</x:f>
        <x:v>6</x:v>
      </x:c>
      <x:c r="R3031" s="9" t="n">
        <x:f>K3031-P3031</x:f>
        <x:v>8.83</x:v>
      </x:c>
      <x:c r="S3031" s="10" t="n">
        <x:f>IF(K3031&gt;0,R3031/K3031,"")</x:f>
        <x:v>0.5886666666666667</x:v>
      </x:c>
    </x:row>
    <x:row r="3032">
      <x:c r="A3032" s="7" t="n">
        <x:v>3028</x:v>
      </x:c>
      <x:c r="B3032" s="7" t="str">
        <x:v>Tata</x:v>
      </x:c>
      <x:c r="C3032" s="7" t="str">
        <x:v>Harrier</x:v>
      </x:c>
      <x:c r="D3032" s="7" t="str">
        <x:v>Smart</x:v>
      </x:c>
      <x:c r="E3032" s="7" t="str">
        <x:v>Diesel</x:v>
      </x:c>
      <x:c r="F3032" s="7" t="str">
        <x:v>Manual</x:v>
      </x:c>
      <x:c r="G3032" s="7" t="str">
        <x:v>Mid-Size SUV</x:v>
      </x:c>
      <x:c r="H3032" s="7" t="n">
        <x:v>1956</x:v>
      </x:c>
      <x:c r="I3032" s="7" t="n">
        <x:v>168</x:v>
      </x:c>
      <x:c r="J3032" s="9" t="n">
        <x:v>16.8</x:v>
      </x:c>
      <x:c r="K3032" s="9" t="n">
        <x:v>15</x:v>
      </x:c>
      <x:c r="L3032" s="7" t="n">
        <x:v>2023</x:v>
      </x:c>
      <x:c r="M3032" s="11" t="n">
        <x:v>58706</x:v>
      </x:c>
      <x:c r="N3032" s="7" t="n">
        <x:v>2</x:v>
      </x:c>
      <x:c r="O3032" s="7" t="n">
        <x:v>0</x:v>
      </x:c>
      <x:c r="P3032" s="9" t="n">
        <x:v>9.79</x:v>
      </x:c>
      <x:c r="Q3032" s="7" t="n">
        <x:f>'Guide'!$B$5-L3032</x:f>
        <x:v>3</x:v>
      </x:c>
      <x:c r="R3032" s="9" t="n">
        <x:f>K3032-P3032</x:f>
        <x:v>5.210000000000001</x:v>
      </x:c>
      <x:c r="S3032" s="10" t="n">
        <x:f>IF(K3032&gt;0,R3032/K3032,"")</x:f>
        <x:v>0.3473333333333334</x:v>
      </x:c>
    </x:row>
    <x:row r="3033">
      <x:c r="A3033" s="7" t="n">
        <x:v>3029</x:v>
      </x:c>
      <x:c r="B3033" s="7" t="str">
        <x:v>Tata</x:v>
      </x:c>
      <x:c r="C3033" s="7" t="str">
        <x:v>Harrier</x:v>
      </x:c>
      <x:c r="D3033" s="7" t="str">
        <x:v>Smart</x:v>
      </x:c>
      <x:c r="E3033" s="7" t="str">
        <x:v>Diesel</x:v>
      </x:c>
      <x:c r="F3033" s="7" t="str">
        <x:v>Manual</x:v>
      </x:c>
      <x:c r="G3033" s="7" t="str">
        <x:v>Mid-Size SUV</x:v>
      </x:c>
      <x:c r="H3033" s="7" t="n">
        <x:v>1956</x:v>
      </x:c>
      <x:c r="I3033" s="7" t="n">
        <x:v>168</x:v>
      </x:c>
      <x:c r="J3033" s="9" t="n">
        <x:v>16.8</x:v>
      </x:c>
      <x:c r="K3033" s="9" t="n">
        <x:v>15</x:v>
      </x:c>
      <x:c r="L3033" s="7" t="n">
        <x:v>2026</x:v>
      </x:c>
      <x:c r="M3033" s="11" t="n">
        <x:v>5197</x:v>
      </x:c>
      <x:c r="N3033" s="7" t="n">
        <x:v>1</x:v>
      </x:c>
      <x:c r="O3033" s="7" t="n">
        <x:v>0</x:v>
      </x:c>
      <x:c r="P3033" s="9" t="n">
        <x:v>14.99</x:v>
      </x:c>
      <x:c r="Q3033" s="7" t="n">
        <x:f>'Guide'!$B$5-L3033</x:f>
        <x:v>0</x:v>
      </x:c>
      <x:c r="R3033" s="9" t="n">
        <x:f>K3033-P3033</x:f>
        <x:v>0.009999999999999787</x:v>
      </x:c>
      <x:c r="S3033" s="10" t="n">
        <x:f>IF(K3033&gt;0,R3033/K3033,"")</x:f>
        <x:v>0.0006666666666666524</x:v>
      </x:c>
    </x:row>
    <x:row r="3034">
      <x:c r="A3034" s="7" t="n">
        <x:v>3030</x:v>
      </x:c>
      <x:c r="B3034" s="7" t="str">
        <x:v>Tata</x:v>
      </x:c>
      <x:c r="C3034" s="7" t="str">
        <x:v>Harrier</x:v>
      </x:c>
      <x:c r="D3034" s="7" t="str">
        <x:v>Smart</x:v>
      </x:c>
      <x:c r="E3034" s="7" t="str">
        <x:v>Diesel</x:v>
      </x:c>
      <x:c r="F3034" s="7" t="str">
        <x:v>Manual</x:v>
      </x:c>
      <x:c r="G3034" s="7" t="str">
        <x:v>Mid-Size SUV</x:v>
      </x:c>
      <x:c r="H3034" s="7" t="n">
        <x:v>1956</x:v>
      </x:c>
      <x:c r="I3034" s="7" t="n">
        <x:v>168</x:v>
      </x:c>
      <x:c r="J3034" s="9" t="n">
        <x:v>16.8</x:v>
      </x:c>
      <x:c r="K3034" s="9" t="n">
        <x:v>15</x:v>
      </x:c>
      <x:c r="L3034" s="7" t="n">
        <x:v>2021</x:v>
      </x:c>
      <x:c r="M3034" s="11" t="n">
        <x:v>86328</x:v>
      </x:c>
      <x:c r="N3034" s="7" t="n">
        <x:v>1</x:v>
      </x:c>
      <x:c r="O3034" s="7" t="n">
        <x:v>0</x:v>
      </x:c>
      <x:c r="P3034" s="9" t="n">
        <x:v>7.08</x:v>
      </x:c>
      <x:c r="Q3034" s="7" t="n">
        <x:f>'Guide'!$B$5-L3034</x:f>
        <x:v>5</x:v>
      </x:c>
      <x:c r="R3034" s="9" t="n">
        <x:f>K3034-P3034</x:f>
        <x:v>7.92</x:v>
      </x:c>
      <x:c r="S3034" s="10" t="n">
        <x:f>IF(K3034&gt;0,R3034/K3034,"")</x:f>
        <x:v>0.528</x:v>
      </x:c>
    </x:row>
    <x:row r="3035">
      <x:c r="A3035" s="7" t="n">
        <x:v>3031</x:v>
      </x:c>
      <x:c r="B3035" s="7" t="str">
        <x:v>Tata</x:v>
      </x:c>
      <x:c r="C3035" s="7" t="str">
        <x:v>Harrier</x:v>
      </x:c>
      <x:c r="D3035" s="7" t="str">
        <x:v>Smart</x:v>
      </x:c>
      <x:c r="E3035" s="7" t="str">
        <x:v>Diesel</x:v>
      </x:c>
      <x:c r="F3035" s="7" t="str">
        <x:v>Manual</x:v>
      </x:c>
      <x:c r="G3035" s="7" t="str">
        <x:v>Mid-Size SUV</x:v>
      </x:c>
      <x:c r="H3035" s="7" t="n">
        <x:v>1956</x:v>
      </x:c>
      <x:c r="I3035" s="7" t="n">
        <x:v>168</x:v>
      </x:c>
      <x:c r="J3035" s="9" t="n">
        <x:v>16.8</x:v>
      </x:c>
      <x:c r="K3035" s="9" t="n">
        <x:v>15</x:v>
      </x:c>
      <x:c r="L3035" s="7" t="n">
        <x:v>2022</x:v>
      </x:c>
      <x:c r="M3035" s="11" t="n">
        <x:v>70991</x:v>
      </x:c>
      <x:c r="N3035" s="7" t="n">
        <x:v>2</x:v>
      </x:c>
      <x:c r="O3035" s="7" t="n">
        <x:v>0</x:v>
      </x:c>
      <x:c r="P3035" s="9" t="n">
        <x:v>8.88</x:v>
      </x:c>
      <x:c r="Q3035" s="7" t="n">
        <x:f>'Guide'!$B$5-L3035</x:f>
        <x:v>4</x:v>
      </x:c>
      <x:c r="R3035" s="9" t="n">
        <x:f>K3035-P3035</x:f>
        <x:v>6.119999999999999</x:v>
      </x:c>
      <x:c r="S3035" s="10" t="n">
        <x:f>IF(K3035&gt;0,R3035/K3035,"")</x:f>
        <x:v>0.408</x:v>
      </x:c>
    </x:row>
    <x:row r="3036">
      <x:c r="A3036" s="7" t="n">
        <x:v>3032</x:v>
      </x:c>
      <x:c r="B3036" s="7" t="str">
        <x:v>Tata</x:v>
      </x:c>
      <x:c r="C3036" s="7" t="str">
        <x:v>Harrier</x:v>
      </x:c>
      <x:c r="D3036" s="7" t="str">
        <x:v>Smart</x:v>
      </x:c>
      <x:c r="E3036" s="7" t="str">
        <x:v>Diesel</x:v>
      </x:c>
      <x:c r="F3036" s="7" t="str">
        <x:v>Manual</x:v>
      </x:c>
      <x:c r="G3036" s="7" t="str">
        <x:v>Mid-Size SUV</x:v>
      </x:c>
      <x:c r="H3036" s="7" t="n">
        <x:v>1956</x:v>
      </x:c>
      <x:c r="I3036" s="7" t="n">
        <x:v>168</x:v>
      </x:c>
      <x:c r="J3036" s="9" t="n">
        <x:v>16.8</x:v>
      </x:c>
      <x:c r="K3036" s="9" t="n">
        <x:v>15</x:v>
      </x:c>
      <x:c r="L3036" s="7" t="n">
        <x:v>2026</x:v>
      </x:c>
      <x:c r="M3036" s="11" t="n">
        <x:v>5814</x:v>
      </x:c>
      <x:c r="N3036" s="7" t="n">
        <x:v>1</x:v>
      </x:c>
      <x:c r="O3036" s="7" t="n">
        <x:v>0</x:v>
      </x:c>
      <x:c r="P3036" s="9" t="n">
        <x:v>15.12</x:v>
      </x:c>
      <x:c r="Q3036" s="7" t="n">
        <x:f>'Guide'!$B$5-L3036</x:f>
        <x:v>0</x:v>
      </x:c>
      <x:c r="R3036" s="9" t="n">
        <x:f>K3036-P3036</x:f>
        <x:v>-0.11999999999999922</x:v>
      </x:c>
      <x:c r="S3036" s="10" t="n">
        <x:f>IF(K3036&gt;0,R3036/K3036,"")</x:f>
        <x:v>-0.007999999999999948</x:v>
      </x:c>
    </x:row>
    <x:row r="3037">
      <x:c r="A3037" s="7" t="n">
        <x:v>3033</x:v>
      </x:c>
      <x:c r="B3037" s="7" t="str">
        <x:v>Tata</x:v>
      </x:c>
      <x:c r="C3037" s="7" t="str">
        <x:v>Harrier</x:v>
      </x:c>
      <x:c r="D3037" s="7" t="str">
        <x:v>Smart</x:v>
      </x:c>
      <x:c r="E3037" s="7" t="str">
        <x:v>Diesel</x:v>
      </x:c>
      <x:c r="F3037" s="7" t="str">
        <x:v>Manual</x:v>
      </x:c>
      <x:c r="G3037" s="7" t="str">
        <x:v>Mid-Size SUV</x:v>
      </x:c>
      <x:c r="H3037" s="7" t="n">
        <x:v>1956</x:v>
      </x:c>
      <x:c r="I3037" s="7" t="n">
        <x:v>168</x:v>
      </x:c>
      <x:c r="J3037" s="9" t="n">
        <x:v>16.8</x:v>
      </x:c>
      <x:c r="K3037" s="9" t="n">
        <x:v>15</x:v>
      </x:c>
      <x:c r="L3037" s="7" t="n">
        <x:v>2024</x:v>
      </x:c>
      <x:c r="M3037" s="11" t="n">
        <x:v>26783</x:v>
      </x:c>
      <x:c r="N3037" s="7" t="n">
        <x:v>2</x:v>
      </x:c>
      <x:c r="O3037" s="7" t="n">
        <x:v>0</x:v>
      </x:c>
      <x:c r="P3037" s="9" t="n">
        <x:v>12.04</x:v>
      </x:c>
      <x:c r="Q3037" s="7" t="n">
        <x:f>'Guide'!$B$5-L3037</x:f>
        <x:v>2</x:v>
      </x:c>
      <x:c r="R3037" s="9" t="n">
        <x:f>K3037-P3037</x:f>
        <x:v>2.960000000000001</x:v>
      </x:c>
      <x:c r="S3037" s="10" t="n">
        <x:f>IF(K3037&gt;0,R3037/K3037,"")</x:f>
        <x:v>0.1973333333333334</x:v>
      </x:c>
    </x:row>
    <x:row r="3038">
      <x:c r="A3038" s="7" t="n">
        <x:v>3034</x:v>
      </x:c>
      <x:c r="B3038" s="7" t="str">
        <x:v>Tata</x:v>
      </x:c>
      <x:c r="C3038" s="7" t="str">
        <x:v>Harrier</x:v>
      </x:c>
      <x:c r="D3038" s="7" t="str">
        <x:v>Smart</x:v>
      </x:c>
      <x:c r="E3038" s="7" t="str">
        <x:v>Diesel</x:v>
      </x:c>
      <x:c r="F3038" s="7" t="str">
        <x:v>Manual</x:v>
      </x:c>
      <x:c r="G3038" s="7" t="str">
        <x:v>Mid-Size SUV</x:v>
      </x:c>
      <x:c r="H3038" s="7" t="n">
        <x:v>1956</x:v>
      </x:c>
      <x:c r="I3038" s="7" t="n">
        <x:v>168</x:v>
      </x:c>
      <x:c r="J3038" s="9" t="n">
        <x:v>16.8</x:v>
      </x:c>
      <x:c r="K3038" s="9" t="n">
        <x:v>15</x:v>
      </x:c>
      <x:c r="L3038" s="7" t="n">
        <x:v>2021</x:v>
      </x:c>
      <x:c r="M3038" s="11" t="n">
        <x:v>54117</x:v>
      </x:c>
      <x:c r="N3038" s="7" t="n">
        <x:v>1</x:v>
      </x:c>
      <x:c r="O3038" s="7" t="n">
        <x:v>0</x:v>
      </x:c>
      <x:c r="P3038" s="9" t="n">
        <x:v>7.79</x:v>
      </x:c>
      <x:c r="Q3038" s="7" t="n">
        <x:f>'Guide'!$B$5-L3038</x:f>
        <x:v>5</x:v>
      </x:c>
      <x:c r="R3038" s="9" t="n">
        <x:f>K3038-P3038</x:f>
        <x:v>7.21</x:v>
      </x:c>
      <x:c r="S3038" s="10" t="n">
        <x:f>IF(K3038&gt;0,R3038/K3038,"")</x:f>
        <x:v>0.4806666666666667</x:v>
      </x:c>
    </x:row>
    <x:row r="3039">
      <x:c r="A3039" s="7" t="n">
        <x:v>3035</x:v>
      </x:c>
      <x:c r="B3039" s="7" t="str">
        <x:v>Tata</x:v>
      </x:c>
      <x:c r="C3039" s="7" t="str">
        <x:v>Harrier</x:v>
      </x:c>
      <x:c r="D3039" s="7" t="str">
        <x:v>Smart</x:v>
      </x:c>
      <x:c r="E3039" s="7" t="str">
        <x:v>Diesel</x:v>
      </x:c>
      <x:c r="F3039" s="7" t="str">
        <x:v>Manual</x:v>
      </x:c>
      <x:c r="G3039" s="7" t="str">
        <x:v>Mid-Size SUV</x:v>
      </x:c>
      <x:c r="H3039" s="7" t="n">
        <x:v>1956</x:v>
      </x:c>
      <x:c r="I3039" s="7" t="n">
        <x:v>168</x:v>
      </x:c>
      <x:c r="J3039" s="9" t="n">
        <x:v>16.8</x:v>
      </x:c>
      <x:c r="K3039" s="9" t="n">
        <x:v>15</x:v>
      </x:c>
      <x:c r="L3039" s="7" t="n">
        <x:v>2023</x:v>
      </x:c>
      <x:c r="M3039" s="11" t="n">
        <x:v>63368</x:v>
      </x:c>
      <x:c r="N3039" s="7" t="n">
        <x:v>1</x:v>
      </x:c>
      <x:c r="O3039" s="7" t="n">
        <x:v>0</x:v>
      </x:c>
      <x:c r="P3039" s="9" t="n">
        <x:v>10.6</x:v>
      </x:c>
      <x:c r="Q3039" s="7" t="n">
        <x:f>'Guide'!$B$5-L3039</x:f>
        <x:v>3</x:v>
      </x:c>
      <x:c r="R3039" s="9" t="n">
        <x:f>K3039-P3039</x:f>
        <x:v>4.4</x:v>
      </x:c>
      <x:c r="S3039" s="10" t="n">
        <x:f>IF(K3039&gt;0,R3039/K3039,"")</x:f>
        <x:v>0.29333333333333333</x:v>
      </x:c>
    </x:row>
    <x:row r="3040">
      <x:c r="A3040" s="7" t="n">
        <x:v>3036</x:v>
      </x:c>
      <x:c r="B3040" s="7" t="str">
        <x:v>Tata</x:v>
      </x:c>
      <x:c r="C3040" s="7" t="str">
        <x:v>Harrier</x:v>
      </x:c>
      <x:c r="D3040" s="7" t="str">
        <x:v>Smart</x:v>
      </x:c>
      <x:c r="E3040" s="7" t="str">
        <x:v>Diesel</x:v>
      </x:c>
      <x:c r="F3040" s="7" t="str">
        <x:v>Manual</x:v>
      </x:c>
      <x:c r="G3040" s="7" t="str">
        <x:v>Mid-Size SUV</x:v>
      </x:c>
      <x:c r="H3040" s="7" t="n">
        <x:v>1956</x:v>
      </x:c>
      <x:c r="I3040" s="7" t="n">
        <x:v>168</x:v>
      </x:c>
      <x:c r="J3040" s="9" t="n">
        <x:v>16.8</x:v>
      </x:c>
      <x:c r="K3040" s="9" t="n">
        <x:v>15</x:v>
      </x:c>
      <x:c r="L3040" s="7" t="n">
        <x:v>2023</x:v>
      </x:c>
      <x:c r="M3040" s="11" t="n">
        <x:v>30763</x:v>
      </x:c>
      <x:c r="N3040" s="7" t="n">
        <x:v>1</x:v>
      </x:c>
      <x:c r="O3040" s="7" t="n">
        <x:v>0</x:v>
      </x:c>
      <x:c r="P3040" s="9" t="n">
        <x:v>10.86</x:v>
      </x:c>
      <x:c r="Q3040" s="7" t="n">
        <x:f>'Guide'!$B$5-L3040</x:f>
        <x:v>3</x:v>
      </x:c>
      <x:c r="R3040" s="9" t="n">
        <x:f>K3040-P3040</x:f>
        <x:v>4.140000000000001</x:v>
      </x:c>
      <x:c r="S3040" s="10" t="n">
        <x:f>IF(K3040&gt;0,R3040/K3040,"")</x:f>
        <x:v>0.276</x:v>
      </x:c>
    </x:row>
    <x:row r="3041">
      <x:c r="A3041" s="7" t="n">
        <x:v>3037</x:v>
      </x:c>
      <x:c r="B3041" s="7" t="str">
        <x:v>Tata</x:v>
      </x:c>
      <x:c r="C3041" s="7" t="str">
        <x:v>Harrier</x:v>
      </x:c>
      <x:c r="D3041" s="7" t="str">
        <x:v>Smart</x:v>
      </x:c>
      <x:c r="E3041" s="7" t="str">
        <x:v>Diesel</x:v>
      </x:c>
      <x:c r="F3041" s="7" t="str">
        <x:v>Manual</x:v>
      </x:c>
      <x:c r="G3041" s="7" t="str">
        <x:v>Mid-Size SUV</x:v>
      </x:c>
      <x:c r="H3041" s="7" t="n">
        <x:v>1956</x:v>
      </x:c>
      <x:c r="I3041" s="7" t="n">
        <x:v>168</x:v>
      </x:c>
      <x:c r="J3041" s="9" t="n">
        <x:v>16.8</x:v>
      </x:c>
      <x:c r="K3041" s="9" t="n">
        <x:v>15</x:v>
      </x:c>
      <x:c r="L3041" s="7" t="n">
        <x:v>2025</x:v>
      </x:c>
      <x:c r="M3041" s="11" t="n">
        <x:v>26375</x:v>
      </x:c>
      <x:c r="N3041" s="7" t="n">
        <x:v>1</x:v>
      </x:c>
      <x:c r="O3041" s="7" t="n">
        <x:v>0</x:v>
      </x:c>
      <x:c r="P3041" s="9" t="n">
        <x:v>13.64</x:v>
      </x:c>
      <x:c r="Q3041" s="7" t="n">
        <x:f>'Guide'!$B$5-L3041</x:f>
        <x:v>1</x:v>
      </x:c>
      <x:c r="R3041" s="9" t="n">
        <x:f>K3041-P3041</x:f>
        <x:v>1.3599999999999994</x:v>
      </x:c>
      <x:c r="S3041" s="10" t="n">
        <x:f>IF(K3041&gt;0,R3041/K3041,"")</x:f>
        <x:v>0.09066666666666663</x:v>
      </x:c>
    </x:row>
    <x:row r="3042">
      <x:c r="A3042" s="7" t="n">
        <x:v>3038</x:v>
      </x:c>
      <x:c r="B3042" s="7" t="str">
        <x:v>Tata</x:v>
      </x:c>
      <x:c r="C3042" s="7" t="str">
        <x:v>Harrier</x:v>
      </x:c>
      <x:c r="D3042" s="7" t="str">
        <x:v>Smart</x:v>
      </x:c>
      <x:c r="E3042" s="7" t="str">
        <x:v>Diesel</x:v>
      </x:c>
      <x:c r="F3042" s="7" t="str">
        <x:v>Manual</x:v>
      </x:c>
      <x:c r="G3042" s="7" t="str">
        <x:v>Mid-Size SUV</x:v>
      </x:c>
      <x:c r="H3042" s="7" t="n">
        <x:v>1956</x:v>
      </x:c>
      <x:c r="I3042" s="7" t="n">
        <x:v>168</x:v>
      </x:c>
      <x:c r="J3042" s="9" t="n">
        <x:v>16.8</x:v>
      </x:c>
      <x:c r="K3042" s="9" t="n">
        <x:v>15</x:v>
      </x:c>
      <x:c r="L3042" s="7" t="n">
        <x:v>2021</x:v>
      </x:c>
      <x:c r="M3042" s="11" t="n">
        <x:v>108380</x:v>
      </x:c>
      <x:c r="N3042" s="7" t="n">
        <x:v>2</x:v>
      </x:c>
      <x:c r="O3042" s="7" t="n">
        <x:v>0</x:v>
      </x:c>
      <x:c r="P3042" s="9" t="n">
        <x:v>6.26</x:v>
      </x:c>
      <x:c r="Q3042" s="7" t="n">
        <x:f>'Guide'!$B$5-L3042</x:f>
        <x:v>5</x:v>
      </x:c>
      <x:c r="R3042" s="9" t="n">
        <x:f>K3042-P3042</x:f>
        <x:v>8.74</x:v>
      </x:c>
      <x:c r="S3042" s="10" t="n">
        <x:f>IF(K3042&gt;0,R3042/K3042,"")</x:f>
        <x:v>0.5826666666666667</x:v>
      </x:c>
    </x:row>
    <x:row r="3043">
      <x:c r="A3043" s="7" t="n">
        <x:v>3039</x:v>
      </x:c>
      <x:c r="B3043" s="7" t="str">
        <x:v>Tata</x:v>
      </x:c>
      <x:c r="C3043" s="7" t="str">
        <x:v>Harrier</x:v>
      </x:c>
      <x:c r="D3043" s="7" t="str">
        <x:v>Smart</x:v>
      </x:c>
      <x:c r="E3043" s="7" t="str">
        <x:v>Diesel</x:v>
      </x:c>
      <x:c r="F3043" s="7" t="str">
        <x:v>Manual</x:v>
      </x:c>
      <x:c r="G3043" s="7" t="str">
        <x:v>Mid-Size SUV</x:v>
      </x:c>
      <x:c r="H3043" s="7" t="n">
        <x:v>1956</x:v>
      </x:c>
      <x:c r="I3043" s="7" t="n">
        <x:v>168</x:v>
      </x:c>
      <x:c r="J3043" s="9" t="n">
        <x:v>16.8</x:v>
      </x:c>
      <x:c r="K3043" s="9" t="n">
        <x:v>15</x:v>
      </x:c>
      <x:c r="L3043" s="7" t="n">
        <x:v>2020</x:v>
      </x:c>
      <x:c r="M3043" s="11" t="n">
        <x:v>93832</x:v>
      </x:c>
      <x:c r="N3043" s="7" t="n">
        <x:v>1</x:v>
      </x:c>
      <x:c r="O3043" s="7" t="n">
        <x:v>0</x:v>
      </x:c>
      <x:c r="P3043" s="9" t="n">
        <x:v>6.2</x:v>
      </x:c>
      <x:c r="Q3043" s="7" t="n">
        <x:f>'Guide'!$B$5-L3043</x:f>
        <x:v>6</x:v>
      </x:c>
      <x:c r="R3043" s="9" t="n">
        <x:f>K3043-P3043</x:f>
        <x:v>8.8</x:v>
      </x:c>
      <x:c r="S3043" s="10" t="n">
        <x:f>IF(K3043&gt;0,R3043/K3043,"")</x:f>
        <x:v>0.5866666666666667</x:v>
      </x:c>
    </x:row>
    <x:row r="3044">
      <x:c r="A3044" s="7" t="n">
        <x:v>3040</x:v>
      </x:c>
      <x:c r="B3044" s="7" t="str">
        <x:v>Tata</x:v>
      </x:c>
      <x:c r="C3044" s="7" t="str">
        <x:v>Harrier</x:v>
      </x:c>
      <x:c r="D3044" s="7" t="str">
        <x:v>Smart</x:v>
      </x:c>
      <x:c r="E3044" s="7" t="str">
        <x:v>Diesel</x:v>
      </x:c>
      <x:c r="F3044" s="7" t="str">
        <x:v>Manual</x:v>
      </x:c>
      <x:c r="G3044" s="7" t="str">
        <x:v>Mid-Size SUV</x:v>
      </x:c>
      <x:c r="H3044" s="7" t="n">
        <x:v>1956</x:v>
      </x:c>
      <x:c r="I3044" s="7" t="n">
        <x:v>168</x:v>
      </x:c>
      <x:c r="J3044" s="9" t="n">
        <x:v>16.8</x:v>
      </x:c>
      <x:c r="K3044" s="9" t="n">
        <x:v>15</x:v>
      </x:c>
      <x:c r="L3044" s="7" t="n">
        <x:v>2020</x:v>
      </x:c>
      <x:c r="M3044" s="11" t="n">
        <x:v>73729</x:v>
      </x:c>
      <x:c r="N3044" s="7" t="n">
        <x:v>2</x:v>
      </x:c>
      <x:c r="O3044" s="7" t="n">
        <x:v>0</x:v>
      </x:c>
      <x:c r="P3044" s="9" t="n">
        <x:v>6.25</x:v>
      </x:c>
      <x:c r="Q3044" s="7" t="n">
        <x:f>'Guide'!$B$5-L3044</x:f>
        <x:v>6</x:v>
      </x:c>
      <x:c r="R3044" s="9" t="n">
        <x:f>K3044-P3044</x:f>
        <x:v>8.75</x:v>
      </x:c>
      <x:c r="S3044" s="10" t="n">
        <x:f>IF(K3044&gt;0,R3044/K3044,"")</x:f>
        <x:v>0.5833333333333334</x:v>
      </x:c>
    </x:row>
    <x:row r="3045">
      <x:c r="A3045" s="7" t="n">
        <x:v>3041</x:v>
      </x:c>
      <x:c r="B3045" s="7" t="str">
        <x:v>Tata</x:v>
      </x:c>
      <x:c r="C3045" s="7" t="str">
        <x:v>Harrier</x:v>
      </x:c>
      <x:c r="D3045" s="7" t="str">
        <x:v>Smart</x:v>
      </x:c>
      <x:c r="E3045" s="7" t="str">
        <x:v>Diesel</x:v>
      </x:c>
      <x:c r="F3045" s="7" t="str">
        <x:v>Manual</x:v>
      </x:c>
      <x:c r="G3045" s="7" t="str">
        <x:v>Mid-Size SUV</x:v>
      </x:c>
      <x:c r="H3045" s="7" t="n">
        <x:v>1956</x:v>
      </x:c>
      <x:c r="I3045" s="7" t="n">
        <x:v>168</x:v>
      </x:c>
      <x:c r="J3045" s="9" t="n">
        <x:v>16.8</x:v>
      </x:c>
      <x:c r="K3045" s="9" t="n">
        <x:v>15</x:v>
      </x:c>
      <x:c r="L3045" s="7" t="n">
        <x:v>2024</x:v>
      </x:c>
      <x:c r="M3045" s="11" t="n">
        <x:v>20427</x:v>
      </x:c>
      <x:c r="N3045" s="7" t="n">
        <x:v>1</x:v>
      </x:c>
      <x:c r="O3045" s="7" t="n">
        <x:v>0</x:v>
      </x:c>
      <x:c r="P3045" s="9" t="n">
        <x:v>11.92</x:v>
      </x:c>
      <x:c r="Q3045" s="7" t="n">
        <x:f>'Guide'!$B$5-L3045</x:f>
        <x:v>2</x:v>
      </x:c>
      <x:c r="R3045" s="9" t="n">
        <x:f>K3045-P3045</x:f>
        <x:v>3.08</x:v>
      </x:c>
      <x:c r="S3045" s="10" t="n">
        <x:f>IF(K3045&gt;0,R3045/K3045,"")</x:f>
        <x:v>0.20533333333333334</x:v>
      </x:c>
    </x:row>
    <x:row r="3046">
      <x:c r="A3046" s="7" t="n">
        <x:v>3042</x:v>
      </x:c>
      <x:c r="B3046" s="7" t="str">
        <x:v>Tata</x:v>
      </x:c>
      <x:c r="C3046" s="7" t="str">
        <x:v>Harrier</x:v>
      </x:c>
      <x:c r="D3046" s="7" t="str">
        <x:v>Smart</x:v>
      </x:c>
      <x:c r="E3046" s="7" t="str">
        <x:v>Diesel</x:v>
      </x:c>
      <x:c r="F3046" s="7" t="str">
        <x:v>Manual</x:v>
      </x:c>
      <x:c r="G3046" s="7" t="str">
        <x:v>Mid-Size SUV</x:v>
      </x:c>
      <x:c r="H3046" s="7" t="n">
        <x:v>1956</x:v>
      </x:c>
      <x:c r="I3046" s="7" t="n">
        <x:v>168</x:v>
      </x:c>
      <x:c r="J3046" s="9" t="n">
        <x:v>16.8</x:v>
      </x:c>
      <x:c r="K3046" s="9" t="n">
        <x:v>15</x:v>
      </x:c>
      <x:c r="L3046" s="7" t="n">
        <x:v>2022</x:v>
      </x:c>
      <x:c r="M3046" s="11" t="n">
        <x:v>86112</x:v>
      </x:c>
      <x:c r="N3046" s="7" t="n">
        <x:v>1</x:v>
      </x:c>
      <x:c r="O3046" s="7" t="n">
        <x:v>0</x:v>
      </x:c>
      <x:c r="P3046" s="9" t="n">
        <x:v>8.71</x:v>
      </x:c>
      <x:c r="Q3046" s="7" t="n">
        <x:f>'Guide'!$B$5-L3046</x:f>
        <x:v>4</x:v>
      </x:c>
      <x:c r="R3046" s="9" t="n">
        <x:f>K3046-P3046</x:f>
        <x:v>6.289999999999999</x:v>
      </x:c>
      <x:c r="S3046" s="10" t="n">
        <x:f>IF(K3046&gt;0,R3046/K3046,"")</x:f>
        <x:v>0.4193333333333333</x:v>
      </x:c>
    </x:row>
    <x:row r="3047">
      <x:c r="A3047" s="7" t="n">
        <x:v>3043</x:v>
      </x:c>
      <x:c r="B3047" s="7" t="str">
        <x:v>Tata</x:v>
      </x:c>
      <x:c r="C3047" s="7" t="str">
        <x:v>Harrier</x:v>
      </x:c>
      <x:c r="D3047" s="7" t="str">
        <x:v>Smart</x:v>
      </x:c>
      <x:c r="E3047" s="7" t="str">
        <x:v>Diesel</x:v>
      </x:c>
      <x:c r="F3047" s="7" t="str">
        <x:v>Manual</x:v>
      </x:c>
      <x:c r="G3047" s="7" t="str">
        <x:v>Mid-Size SUV</x:v>
      </x:c>
      <x:c r="H3047" s="7" t="n">
        <x:v>1956</x:v>
      </x:c>
      <x:c r="I3047" s="7" t="n">
        <x:v>168</x:v>
      </x:c>
      <x:c r="J3047" s="9" t="n">
        <x:v>16.8</x:v>
      </x:c>
      <x:c r="K3047" s="9" t="n">
        <x:v>15</x:v>
      </x:c>
      <x:c r="L3047" s="7" t="n">
        <x:v>2020</x:v>
      </x:c>
      <x:c r="M3047" s="11" t="n">
        <x:v>99326</x:v>
      </x:c>
      <x:c r="N3047" s="7" t="n">
        <x:v>3</x:v>
      </x:c>
      <x:c r="O3047" s="7" t="n">
        <x:v>0</x:v>
      </x:c>
      <x:c r="P3047" s="9" t="n">
        <x:v>5.11</x:v>
      </x:c>
      <x:c r="Q3047" s="7" t="n">
        <x:f>'Guide'!$B$5-L3047</x:f>
        <x:v>6</x:v>
      </x:c>
      <x:c r="R3047" s="9" t="n">
        <x:f>K3047-P3047</x:f>
        <x:v>9.89</x:v>
      </x:c>
      <x:c r="S3047" s="10" t="n">
        <x:f>IF(K3047&gt;0,R3047/K3047,"")</x:f>
        <x:v>0.6593333333333333</x:v>
      </x:c>
    </x:row>
    <x:row r="3048">
      <x:c r="A3048" s="7" t="n">
        <x:v>3044</x:v>
      </x:c>
      <x:c r="B3048" s="7" t="str">
        <x:v>Tata</x:v>
      </x:c>
      <x:c r="C3048" s="7" t="str">
        <x:v>Harrier</x:v>
      </x:c>
      <x:c r="D3048" s="7" t="str">
        <x:v>Smart</x:v>
      </x:c>
      <x:c r="E3048" s="7" t="str">
        <x:v>Diesel</x:v>
      </x:c>
      <x:c r="F3048" s="7" t="str">
        <x:v>Manual</x:v>
      </x:c>
      <x:c r="G3048" s="7" t="str">
        <x:v>Mid-Size SUV</x:v>
      </x:c>
      <x:c r="H3048" s="7" t="n">
        <x:v>1956</x:v>
      </x:c>
      <x:c r="I3048" s="7" t="n">
        <x:v>168</x:v>
      </x:c>
      <x:c r="J3048" s="9" t="n">
        <x:v>16.8</x:v>
      </x:c>
      <x:c r="K3048" s="9" t="n">
        <x:v>15</x:v>
      </x:c>
      <x:c r="L3048" s="7" t="n">
        <x:v>2023</x:v>
      </x:c>
      <x:c r="M3048" s="11" t="n">
        <x:v>64953</x:v>
      </x:c>
      <x:c r="N3048" s="7" t="n">
        <x:v>1</x:v>
      </x:c>
      <x:c r="O3048" s="7" t="n">
        <x:v>0</x:v>
      </x:c>
      <x:c r="P3048" s="9" t="n">
        <x:v>9.87</x:v>
      </x:c>
      <x:c r="Q3048" s="7" t="n">
        <x:f>'Guide'!$B$5-L3048</x:f>
        <x:v>3</x:v>
      </x:c>
      <x:c r="R3048" s="9" t="n">
        <x:f>K3048-P3048</x:f>
        <x:v>5.130000000000001</x:v>
      </x:c>
      <x:c r="S3048" s="10" t="n">
        <x:f>IF(K3048&gt;0,R3048/K3048,"")</x:f>
        <x:v>0.342</x:v>
      </x:c>
    </x:row>
    <x:row r="3049">
      <x:c r="A3049" s="7" t="n">
        <x:v>3045</x:v>
      </x:c>
      <x:c r="B3049" s="7" t="str">
        <x:v>Tata</x:v>
      </x:c>
      <x:c r="C3049" s="7" t="str">
        <x:v>Harrier</x:v>
      </x:c>
      <x:c r="D3049" s="7" t="str">
        <x:v>Smart</x:v>
      </x:c>
      <x:c r="E3049" s="7" t="str">
        <x:v>Diesel</x:v>
      </x:c>
      <x:c r="F3049" s="7" t="str">
        <x:v>Manual</x:v>
      </x:c>
      <x:c r="G3049" s="7" t="str">
        <x:v>Mid-Size SUV</x:v>
      </x:c>
      <x:c r="H3049" s="7" t="n">
        <x:v>1956</x:v>
      </x:c>
      <x:c r="I3049" s="7" t="n">
        <x:v>168</x:v>
      </x:c>
      <x:c r="J3049" s="9" t="n">
        <x:v>16.8</x:v>
      </x:c>
      <x:c r="K3049" s="9" t="n">
        <x:v>15</x:v>
      </x:c>
      <x:c r="L3049" s="7" t="n">
        <x:v>2021</x:v>
      </x:c>
      <x:c r="M3049" s="11" t="n">
        <x:v>71015</x:v>
      </x:c>
      <x:c r="N3049" s="7" t="n">
        <x:v>1</x:v>
      </x:c>
      <x:c r="O3049" s="7" t="n">
        <x:v>0</x:v>
      </x:c>
      <x:c r="P3049" s="9" t="n">
        <x:v>7.6</x:v>
      </x:c>
      <x:c r="Q3049" s="7" t="n">
        <x:f>'Guide'!$B$5-L3049</x:f>
        <x:v>5</x:v>
      </x:c>
      <x:c r="R3049" s="9" t="n">
        <x:f>K3049-P3049</x:f>
        <x:v>7.4</x:v>
      </x:c>
      <x:c r="S3049" s="10" t="n">
        <x:f>IF(K3049&gt;0,R3049/K3049,"")</x:f>
        <x:v>0.49333333333333335</x:v>
      </x:c>
    </x:row>
    <x:row r="3050">
      <x:c r="A3050" s="7" t="n">
        <x:v>3046</x:v>
      </x:c>
      <x:c r="B3050" s="7" t="str">
        <x:v>Tata</x:v>
      </x:c>
      <x:c r="C3050" s="7" t="str">
        <x:v>Harrier</x:v>
      </x:c>
      <x:c r="D3050" s="7" t="str">
        <x:v>Smart</x:v>
      </x:c>
      <x:c r="E3050" s="7" t="str">
        <x:v>Diesel</x:v>
      </x:c>
      <x:c r="F3050" s="7" t="str">
        <x:v>Manual</x:v>
      </x:c>
      <x:c r="G3050" s="7" t="str">
        <x:v>Mid-Size SUV</x:v>
      </x:c>
      <x:c r="H3050" s="7" t="n">
        <x:v>1956</x:v>
      </x:c>
      <x:c r="I3050" s="7" t="n">
        <x:v>168</x:v>
      </x:c>
      <x:c r="J3050" s="9" t="n">
        <x:v>16.8</x:v>
      </x:c>
      <x:c r="K3050" s="9" t="n">
        <x:v>15</x:v>
      </x:c>
      <x:c r="L3050" s="7" t="n">
        <x:v>2021</x:v>
      </x:c>
      <x:c r="M3050" s="11" t="n">
        <x:v>56396</x:v>
      </x:c>
      <x:c r="N3050" s="7" t="n">
        <x:v>2</x:v>
      </x:c>
      <x:c r="O3050" s="7" t="n">
        <x:v>0</x:v>
      </x:c>
      <x:c r="P3050" s="9" t="n">
        <x:v>7.98</x:v>
      </x:c>
      <x:c r="Q3050" s="7" t="n">
        <x:f>'Guide'!$B$5-L3050</x:f>
        <x:v>5</x:v>
      </x:c>
      <x:c r="R3050" s="9" t="n">
        <x:f>K3050-P3050</x:f>
        <x:v>7.02</x:v>
      </x:c>
      <x:c r="S3050" s="10" t="n">
        <x:f>IF(K3050&gt;0,R3050/K3050,"")</x:f>
        <x:v>0.46799999999999997</x:v>
      </x:c>
    </x:row>
    <x:row r="3051">
      <x:c r="A3051" s="7" t="n">
        <x:v>3047</x:v>
      </x:c>
      <x:c r="B3051" s="7" t="str">
        <x:v>Tata</x:v>
      </x:c>
      <x:c r="C3051" s="7" t="str">
        <x:v>Harrier</x:v>
      </x:c>
      <x:c r="D3051" s="7" t="str">
        <x:v>Smart</x:v>
      </x:c>
      <x:c r="E3051" s="7" t="str">
        <x:v>Diesel</x:v>
      </x:c>
      <x:c r="F3051" s="7" t="str">
        <x:v>Manual</x:v>
      </x:c>
      <x:c r="G3051" s="7" t="str">
        <x:v>Mid-Size SUV</x:v>
      </x:c>
      <x:c r="H3051" s="7" t="n">
        <x:v>1956</x:v>
      </x:c>
      <x:c r="I3051" s="7" t="n">
        <x:v>168</x:v>
      </x:c>
      <x:c r="J3051" s="9" t="n">
        <x:v>16.8</x:v>
      </x:c>
      <x:c r="K3051" s="9" t="n">
        <x:v>15</x:v>
      </x:c>
      <x:c r="L3051" s="7" t="n">
        <x:v>2025</x:v>
      </x:c>
      <x:c r="M3051" s="11" t="n">
        <x:v>14843</x:v>
      </x:c>
      <x:c r="N3051" s="7" t="n">
        <x:v>1</x:v>
      </x:c>
      <x:c r="O3051" s="7" t="n">
        <x:v>0</x:v>
      </x:c>
      <x:c r="P3051" s="9" t="n">
        <x:v>13.27</x:v>
      </x:c>
      <x:c r="Q3051" s="7" t="n">
        <x:f>'Guide'!$B$5-L3051</x:f>
        <x:v>1</x:v>
      </x:c>
      <x:c r="R3051" s="9" t="n">
        <x:f>K3051-P3051</x:f>
        <x:v>1.7300000000000004</x:v>
      </x:c>
      <x:c r="S3051" s="10" t="n">
        <x:f>IF(K3051&gt;0,R3051/K3051,"")</x:f>
        <x:v>0.11533333333333336</x:v>
      </x:c>
    </x:row>
    <x:row r="3052">
      <x:c r="A3052" s="7" t="n">
        <x:v>3048</x:v>
      </x:c>
      <x:c r="B3052" s="7" t="str">
        <x:v>Tata</x:v>
      </x:c>
      <x:c r="C3052" s="7" t="str">
        <x:v>Harrier</x:v>
      </x:c>
      <x:c r="D3052" s="7" t="str">
        <x:v>Smart</x:v>
      </x:c>
      <x:c r="E3052" s="7" t="str">
        <x:v>Diesel</x:v>
      </x:c>
      <x:c r="F3052" s="7" t="str">
        <x:v>Manual</x:v>
      </x:c>
      <x:c r="G3052" s="7" t="str">
        <x:v>Mid-Size SUV</x:v>
      </x:c>
      <x:c r="H3052" s="7" t="n">
        <x:v>1956</x:v>
      </x:c>
      <x:c r="I3052" s="7" t="n">
        <x:v>168</x:v>
      </x:c>
      <x:c r="J3052" s="9" t="n">
        <x:v>16.8</x:v>
      </x:c>
      <x:c r="K3052" s="9" t="n">
        <x:v>15</x:v>
      </x:c>
      <x:c r="L3052" s="7" t="n">
        <x:v>2025</x:v>
      </x:c>
      <x:c r="M3052" s="11" t="n">
        <x:v>18067</x:v>
      </x:c>
      <x:c r="N3052" s="7" t="n">
        <x:v>1</x:v>
      </x:c>
      <x:c r="O3052" s="7" t="n">
        <x:v>0</x:v>
      </x:c>
      <x:c r="P3052" s="9" t="n">
        <x:v>13.55</x:v>
      </x:c>
      <x:c r="Q3052" s="7" t="n">
        <x:f>'Guide'!$B$5-L3052</x:f>
        <x:v>1</x:v>
      </x:c>
      <x:c r="R3052" s="9" t="n">
        <x:f>K3052-P3052</x:f>
        <x:v>1.4499999999999993</x:v>
      </x:c>
      <x:c r="S3052" s="10" t="n">
        <x:f>IF(K3052&gt;0,R3052/K3052,"")</x:f>
        <x:v>0.09666666666666662</x:v>
      </x:c>
    </x:row>
    <x:row r="3053">
      <x:c r="A3053" s="7" t="n">
        <x:v>3049</x:v>
      </x:c>
      <x:c r="B3053" s="7" t="str">
        <x:v>Tata</x:v>
      </x:c>
      <x:c r="C3053" s="7" t="str">
        <x:v>Harrier</x:v>
      </x:c>
      <x:c r="D3053" s="7" t="str">
        <x:v>Smart</x:v>
      </x:c>
      <x:c r="E3053" s="7" t="str">
        <x:v>Diesel</x:v>
      </x:c>
      <x:c r="F3053" s="7" t="str">
        <x:v>Manual</x:v>
      </x:c>
      <x:c r="G3053" s="7" t="str">
        <x:v>Mid-Size SUV</x:v>
      </x:c>
      <x:c r="H3053" s="7" t="n">
        <x:v>1956</x:v>
      </x:c>
      <x:c r="I3053" s="7" t="n">
        <x:v>168</x:v>
      </x:c>
      <x:c r="J3053" s="9" t="n">
        <x:v>16.8</x:v>
      </x:c>
      <x:c r="K3053" s="9" t="n">
        <x:v>15</x:v>
      </x:c>
      <x:c r="L3053" s="7" t="n">
        <x:v>2020</x:v>
      </x:c>
      <x:c r="M3053" s="11" t="n">
        <x:v>123049</x:v>
      </x:c>
      <x:c r="N3053" s="7" t="n">
        <x:v>2</x:v>
      </x:c>
      <x:c r="O3053" s="7" t="n">
        <x:v>0</x:v>
      </x:c>
      <x:c r="P3053" s="9" t="n">
        <x:v>4.93</x:v>
      </x:c>
      <x:c r="Q3053" s="7" t="n">
        <x:f>'Guide'!$B$5-L3053</x:f>
        <x:v>6</x:v>
      </x:c>
      <x:c r="R3053" s="9" t="n">
        <x:f>K3053-P3053</x:f>
        <x:v>10.07</x:v>
      </x:c>
      <x:c r="S3053" s="10" t="n">
        <x:f>IF(K3053&gt;0,R3053/K3053,"")</x:f>
        <x:v>0.6713333333333333</x:v>
      </x:c>
    </x:row>
    <x:row r="3054">
      <x:c r="A3054" s="7" t="n">
        <x:v>3050</x:v>
      </x:c>
      <x:c r="B3054" s="7" t="str">
        <x:v>Tata</x:v>
      </x:c>
      <x:c r="C3054" s="7" t="str">
        <x:v>Harrier</x:v>
      </x:c>
      <x:c r="D3054" s="7" t="str">
        <x:v>Smart</x:v>
      </x:c>
      <x:c r="E3054" s="7" t="str">
        <x:v>Diesel</x:v>
      </x:c>
      <x:c r="F3054" s="7" t="str">
        <x:v>Manual</x:v>
      </x:c>
      <x:c r="G3054" s="7" t="str">
        <x:v>Mid-Size SUV</x:v>
      </x:c>
      <x:c r="H3054" s="7" t="n">
        <x:v>1956</x:v>
      </x:c>
      <x:c r="I3054" s="7" t="n">
        <x:v>168</x:v>
      </x:c>
      <x:c r="J3054" s="9" t="n">
        <x:v>16.8</x:v>
      </x:c>
      <x:c r="K3054" s="9" t="n">
        <x:v>15</x:v>
      </x:c>
      <x:c r="L3054" s="7" t="n">
        <x:v>2021</x:v>
      </x:c>
      <x:c r="M3054" s="11" t="n">
        <x:v>72337</x:v>
      </x:c>
      <x:c r="N3054" s="7" t="n">
        <x:v>2</x:v>
      </x:c>
      <x:c r="O3054" s="7" t="n">
        <x:v>0</x:v>
      </x:c>
      <x:c r="P3054" s="9" t="n">
        <x:v>7.13</x:v>
      </x:c>
      <x:c r="Q3054" s="7" t="n">
        <x:f>'Guide'!$B$5-L3054</x:f>
        <x:v>5</x:v>
      </x:c>
      <x:c r="R3054" s="9" t="n">
        <x:f>K3054-P3054</x:f>
        <x:v>7.87</x:v>
      </x:c>
      <x:c r="S3054" s="10" t="n">
        <x:f>IF(K3054&gt;0,R3054/K3054,"")</x:f>
        <x:v>0.5246666666666667</x:v>
      </x:c>
    </x:row>
    <x:row r="3055">
      <x:c r="A3055" s="7" t="n">
        <x:v>3051</x:v>
      </x:c>
      <x:c r="B3055" s="7" t="str">
        <x:v>Tata</x:v>
      </x:c>
      <x:c r="C3055" s="7" t="str">
        <x:v>Harrier</x:v>
      </x:c>
      <x:c r="D3055" s="7" t="str">
        <x:v>Smart</x:v>
      </x:c>
      <x:c r="E3055" s="7" t="str">
        <x:v>Diesel</x:v>
      </x:c>
      <x:c r="F3055" s="7" t="str">
        <x:v>Manual</x:v>
      </x:c>
      <x:c r="G3055" s="7" t="str">
        <x:v>Mid-Size SUV</x:v>
      </x:c>
      <x:c r="H3055" s="7" t="n">
        <x:v>1956</x:v>
      </x:c>
      <x:c r="I3055" s="7" t="n">
        <x:v>168</x:v>
      </x:c>
      <x:c r="J3055" s="9" t="n">
        <x:v>16.8</x:v>
      </x:c>
      <x:c r="K3055" s="9" t="n">
        <x:v>15</x:v>
      </x:c>
      <x:c r="L3055" s="7" t="n">
        <x:v>2020</x:v>
      </x:c>
      <x:c r="M3055" s="11" t="n">
        <x:v>105285</x:v>
      </x:c>
      <x:c r="N3055" s="7" t="n">
        <x:v>1</x:v>
      </x:c>
      <x:c r="O3055" s="7" t="n">
        <x:v>1</x:v>
      </x:c>
      <x:c r="P3055" s="9" t="n">
        <x:v>4.8</x:v>
      </x:c>
      <x:c r="Q3055" s="7" t="n">
        <x:f>'Guide'!$B$5-L3055</x:f>
        <x:v>6</x:v>
      </x:c>
      <x:c r="R3055" s="9" t="n">
        <x:f>K3055-P3055</x:f>
        <x:v>10.2</x:v>
      </x:c>
      <x:c r="S3055" s="10" t="n">
        <x:f>IF(K3055&gt;0,R3055/K3055,"")</x:f>
        <x:v>0.6799999999999999</x:v>
      </x:c>
    </x:row>
    <x:row r="3056">
      <x:c r="A3056" s="7" t="n">
        <x:v>3052</x:v>
      </x:c>
      <x:c r="B3056" s="7" t="str">
        <x:v>Tata</x:v>
      </x:c>
      <x:c r="C3056" s="7" t="str">
        <x:v>Harrier</x:v>
      </x:c>
      <x:c r="D3056" s="7" t="str">
        <x:v>Smart</x:v>
      </x:c>
      <x:c r="E3056" s="7" t="str">
        <x:v>Diesel</x:v>
      </x:c>
      <x:c r="F3056" s="7" t="str">
        <x:v>Manual</x:v>
      </x:c>
      <x:c r="G3056" s="7" t="str">
        <x:v>Mid-Size SUV</x:v>
      </x:c>
      <x:c r="H3056" s="7" t="n">
        <x:v>1956</x:v>
      </x:c>
      <x:c r="I3056" s="7" t="n">
        <x:v>168</x:v>
      </x:c>
      <x:c r="J3056" s="9" t="n">
        <x:v>16.8</x:v>
      </x:c>
      <x:c r="K3056" s="9" t="n">
        <x:v>15</x:v>
      </x:c>
      <x:c r="L3056" s="7" t="n">
        <x:v>2020</x:v>
      </x:c>
      <x:c r="M3056" s="11" t="n">
        <x:v>123427</x:v>
      </x:c>
      <x:c r="N3056" s="7" t="n">
        <x:v>3</x:v>
      </x:c>
      <x:c r="O3056" s="7" t="n">
        <x:v>1</x:v>
      </x:c>
      <x:c r="P3056" s="9" t="n">
        <x:v>3.65</x:v>
      </x:c>
      <x:c r="Q3056" s="7" t="n">
        <x:f>'Guide'!$B$5-L3056</x:f>
        <x:v>6</x:v>
      </x:c>
      <x:c r="R3056" s="9" t="n">
        <x:f>K3056-P3056</x:f>
        <x:v>11.35</x:v>
      </x:c>
      <x:c r="S3056" s="10" t="n">
        <x:f>IF(K3056&gt;0,R3056/K3056,"")</x:f>
        <x:v>0.7566666666666666</x:v>
      </x:c>
    </x:row>
    <x:row r="3057">
      <x:c r="A3057" s="7" t="n">
        <x:v>3053</x:v>
      </x:c>
      <x:c r="B3057" s="7" t="str">
        <x:v>Tata</x:v>
      </x:c>
      <x:c r="C3057" s="7" t="str">
        <x:v>Harrier</x:v>
      </x:c>
      <x:c r="D3057" s="7" t="str">
        <x:v>Smart</x:v>
      </x:c>
      <x:c r="E3057" s="7" t="str">
        <x:v>Diesel</x:v>
      </x:c>
      <x:c r="F3057" s="7" t="str">
        <x:v>Manual</x:v>
      </x:c>
      <x:c r="G3057" s="7" t="str">
        <x:v>Mid-Size SUV</x:v>
      </x:c>
      <x:c r="H3057" s="7" t="n">
        <x:v>1956</x:v>
      </x:c>
      <x:c r="I3057" s="7" t="n">
        <x:v>168</x:v>
      </x:c>
      <x:c r="J3057" s="9" t="n">
        <x:v>16.8</x:v>
      </x:c>
      <x:c r="K3057" s="9" t="n">
        <x:v>15</x:v>
      </x:c>
      <x:c r="L3057" s="7" t="n">
        <x:v>2023</x:v>
      </x:c>
      <x:c r="M3057" s="11" t="n">
        <x:v>50890</x:v>
      </x:c>
      <x:c r="N3057" s="7" t="n">
        <x:v>2</x:v>
      </x:c>
      <x:c r="O3057" s="7" t="n">
        <x:v>0</x:v>
      </x:c>
      <x:c r="P3057" s="9" t="n">
        <x:v>10.01</x:v>
      </x:c>
      <x:c r="Q3057" s="7" t="n">
        <x:f>'Guide'!$B$5-L3057</x:f>
        <x:v>3</x:v>
      </x:c>
      <x:c r="R3057" s="9" t="n">
        <x:f>K3057-P3057</x:f>
        <x:v>4.99</x:v>
      </x:c>
      <x:c r="S3057" s="10" t="n">
        <x:f>IF(K3057&gt;0,R3057/K3057,"")</x:f>
        <x:v>0.33266666666666667</x:v>
      </x:c>
    </x:row>
    <x:row r="3058">
      <x:c r="A3058" s="7" t="n">
        <x:v>3054</x:v>
      </x:c>
      <x:c r="B3058" s="7" t="str">
        <x:v>Tata</x:v>
      </x:c>
      <x:c r="C3058" s="7" t="str">
        <x:v>Harrier</x:v>
      </x:c>
      <x:c r="D3058" s="7" t="str">
        <x:v>Smart</x:v>
      </x:c>
      <x:c r="E3058" s="7" t="str">
        <x:v>Diesel</x:v>
      </x:c>
      <x:c r="F3058" s="7" t="str">
        <x:v>Manual</x:v>
      </x:c>
      <x:c r="G3058" s="7" t="str">
        <x:v>Mid-Size SUV</x:v>
      </x:c>
      <x:c r="H3058" s="7" t="n">
        <x:v>1956</x:v>
      </x:c>
      <x:c r="I3058" s="7" t="n">
        <x:v>168</x:v>
      </x:c>
      <x:c r="J3058" s="9" t="n">
        <x:v>16.8</x:v>
      </x:c>
      <x:c r="K3058" s="9" t="n">
        <x:v>15</x:v>
      </x:c>
      <x:c r="L3058" s="7" t="n">
        <x:v>2020</x:v>
      </x:c>
      <x:c r="M3058" s="11" t="n">
        <x:v>90162</x:v>
      </x:c>
      <x:c r="N3058" s="7" t="n">
        <x:v>2</x:v>
      </x:c>
      <x:c r="O3058" s="7" t="n">
        <x:v>0</x:v>
      </x:c>
      <x:c r="P3058" s="9" t="n">
        <x:v>5.52</x:v>
      </x:c>
      <x:c r="Q3058" s="7" t="n">
        <x:f>'Guide'!$B$5-L3058</x:f>
        <x:v>6</x:v>
      </x:c>
      <x:c r="R3058" s="9" t="n">
        <x:f>K3058-P3058</x:f>
        <x:v>9.48</x:v>
      </x:c>
      <x:c r="S3058" s="10" t="n">
        <x:f>IF(K3058&gt;0,R3058/K3058,"")</x:f>
        <x:v>0.632</x:v>
      </x:c>
    </x:row>
    <x:row r="3059">
      <x:c r="A3059" s="7" t="n">
        <x:v>3055</x:v>
      </x:c>
      <x:c r="B3059" s="7" t="str">
        <x:v>Tata</x:v>
      </x:c>
      <x:c r="C3059" s="7" t="str">
        <x:v>Harrier</x:v>
      </x:c>
      <x:c r="D3059" s="7" t="str">
        <x:v>Smart</x:v>
      </x:c>
      <x:c r="E3059" s="7" t="str">
        <x:v>Diesel</x:v>
      </x:c>
      <x:c r="F3059" s="7" t="str">
        <x:v>Manual</x:v>
      </x:c>
      <x:c r="G3059" s="7" t="str">
        <x:v>Mid-Size SUV</x:v>
      </x:c>
      <x:c r="H3059" s="7" t="n">
        <x:v>1956</x:v>
      </x:c>
      <x:c r="I3059" s="7" t="n">
        <x:v>168</x:v>
      </x:c>
      <x:c r="J3059" s="9" t="n">
        <x:v>16.8</x:v>
      </x:c>
      <x:c r="K3059" s="9" t="n">
        <x:v>15</x:v>
      </x:c>
      <x:c r="L3059" s="7" t="n">
        <x:v>2025</x:v>
      </x:c>
      <x:c r="M3059" s="11" t="n">
        <x:v>15358</x:v>
      </x:c>
      <x:c r="N3059" s="7" t="n">
        <x:v>2</x:v>
      </x:c>
      <x:c r="O3059" s="7" t="n">
        <x:v>0</x:v>
      </x:c>
      <x:c r="P3059" s="9" t="n">
        <x:v>13.36</x:v>
      </x:c>
      <x:c r="Q3059" s="7" t="n">
        <x:f>'Guide'!$B$5-L3059</x:f>
        <x:v>1</x:v>
      </x:c>
      <x:c r="R3059" s="9" t="n">
        <x:f>K3059-P3059</x:f>
        <x:v>1.6400000000000006</x:v>
      </x:c>
      <x:c r="S3059" s="10" t="n">
        <x:f>IF(K3059&gt;0,R3059/K3059,"")</x:f>
        <x:v>0.10933333333333337</x:v>
      </x:c>
    </x:row>
    <x:row r="3060">
      <x:c r="A3060" s="7" t="n">
        <x:v>3056</x:v>
      </x:c>
      <x:c r="B3060" s="7" t="str">
        <x:v>Tata</x:v>
      </x:c>
      <x:c r="C3060" s="7" t="str">
        <x:v>Harrier</x:v>
      </x:c>
      <x:c r="D3060" s="7" t="str">
        <x:v>Smart</x:v>
      </x:c>
      <x:c r="E3060" s="7" t="str">
        <x:v>Diesel</x:v>
      </x:c>
      <x:c r="F3060" s="7" t="str">
        <x:v>Manual</x:v>
      </x:c>
      <x:c r="G3060" s="7" t="str">
        <x:v>Mid-Size SUV</x:v>
      </x:c>
      <x:c r="H3060" s="7" t="n">
        <x:v>1956</x:v>
      </x:c>
      <x:c r="I3060" s="7" t="n">
        <x:v>168</x:v>
      </x:c>
      <x:c r="J3060" s="9" t="n">
        <x:v>16.8</x:v>
      </x:c>
      <x:c r="K3060" s="9" t="n">
        <x:v>15</x:v>
      </x:c>
      <x:c r="L3060" s="7" t="n">
        <x:v>2021</x:v>
      </x:c>
      <x:c r="M3060" s="11" t="n">
        <x:v>51673</x:v>
      </x:c>
      <x:c r="N3060" s="7" t="n">
        <x:v>1</x:v>
      </x:c>
      <x:c r="O3060" s="7" t="n">
        <x:v>0</x:v>
      </x:c>
      <x:c r="P3060" s="9" t="n">
        <x:v>8.02</x:v>
      </x:c>
      <x:c r="Q3060" s="7" t="n">
        <x:f>'Guide'!$B$5-L3060</x:f>
        <x:v>5</x:v>
      </x:c>
      <x:c r="R3060" s="9" t="n">
        <x:f>K3060-P3060</x:f>
        <x:v>6.98</x:v>
      </x:c>
      <x:c r="S3060" s="10" t="n">
        <x:f>IF(K3060&gt;0,R3060/K3060,"")</x:f>
        <x:v>0.4653333333333334</x:v>
      </x:c>
    </x:row>
    <x:row r="3061">
      <x:c r="A3061" s="7" t="n">
        <x:v>3057</x:v>
      </x:c>
      <x:c r="B3061" s="7" t="str">
        <x:v>Tata</x:v>
      </x:c>
      <x:c r="C3061" s="7" t="str">
        <x:v>Harrier</x:v>
      </x:c>
      <x:c r="D3061" s="7" t="str">
        <x:v>Smart</x:v>
      </x:c>
      <x:c r="E3061" s="7" t="str">
        <x:v>Diesel</x:v>
      </x:c>
      <x:c r="F3061" s="7" t="str">
        <x:v>Manual</x:v>
      </x:c>
      <x:c r="G3061" s="7" t="str">
        <x:v>Mid-Size SUV</x:v>
      </x:c>
      <x:c r="H3061" s="7" t="n">
        <x:v>1956</x:v>
      </x:c>
      <x:c r="I3061" s="7" t="n">
        <x:v>168</x:v>
      </x:c>
      <x:c r="J3061" s="9" t="n">
        <x:v>16.8</x:v>
      </x:c>
      <x:c r="K3061" s="9" t="n">
        <x:v>15</x:v>
      </x:c>
      <x:c r="L3061" s="7" t="n">
        <x:v>2023</x:v>
      </x:c>
      <x:c r="M3061" s="11" t="n">
        <x:v>63184</x:v>
      </x:c>
      <x:c r="N3061" s="7" t="n">
        <x:v>1</x:v>
      </x:c>
      <x:c r="O3061" s="7" t="n">
        <x:v>0</x:v>
      </x:c>
      <x:c r="P3061" s="9" t="n">
        <x:v>9.96</x:v>
      </x:c>
      <x:c r="Q3061" s="7" t="n">
        <x:f>'Guide'!$B$5-L3061</x:f>
        <x:v>3</x:v>
      </x:c>
      <x:c r="R3061" s="9" t="n">
        <x:f>K3061-P3061</x:f>
        <x:v>5.039999999999999</x:v>
      </x:c>
      <x:c r="S3061" s="10" t="n">
        <x:f>IF(K3061&gt;0,R3061/K3061,"")</x:f>
        <x:v>0.33599999999999997</x:v>
      </x:c>
    </x:row>
    <x:row r="3062">
      <x:c r="A3062" s="7" t="n">
        <x:v>3058</x:v>
      </x:c>
      <x:c r="B3062" s="7" t="str">
        <x:v>Tata</x:v>
      </x:c>
      <x:c r="C3062" s="7" t="str">
        <x:v>Harrier</x:v>
      </x:c>
      <x:c r="D3062" s="7" t="str">
        <x:v>Smart</x:v>
      </x:c>
      <x:c r="E3062" s="7" t="str">
        <x:v>Diesel</x:v>
      </x:c>
      <x:c r="F3062" s="7" t="str">
        <x:v>Manual</x:v>
      </x:c>
      <x:c r="G3062" s="7" t="str">
        <x:v>Mid-Size SUV</x:v>
      </x:c>
      <x:c r="H3062" s="7" t="n">
        <x:v>1956</x:v>
      </x:c>
      <x:c r="I3062" s="7" t="n">
        <x:v>168</x:v>
      </x:c>
      <x:c r="J3062" s="9" t="n">
        <x:v>16.8</x:v>
      </x:c>
      <x:c r="K3062" s="9" t="n">
        <x:v>15</x:v>
      </x:c>
      <x:c r="L3062" s="7" t="n">
        <x:v>2020</x:v>
      </x:c>
      <x:c r="M3062" s="11" t="n">
        <x:v>96689</x:v>
      </x:c>
      <x:c r="N3062" s="7" t="n">
        <x:v>1</x:v>
      </x:c>
      <x:c r="O3062" s="7" t="n">
        <x:v>0</x:v>
      </x:c>
      <x:c r="P3062" s="9" t="n">
        <x:v>5.78</x:v>
      </x:c>
      <x:c r="Q3062" s="7" t="n">
        <x:f>'Guide'!$B$5-L3062</x:f>
        <x:v>6</x:v>
      </x:c>
      <x:c r="R3062" s="9" t="n">
        <x:f>K3062-P3062</x:f>
        <x:v>9.219999999999999</x:v>
      </x:c>
      <x:c r="S3062" s="10" t="n">
        <x:f>IF(K3062&gt;0,R3062/K3062,"")</x:f>
        <x:v>0.6146666666666666</x:v>
      </x:c>
    </x:row>
    <x:row r="3063">
      <x:c r="A3063" s="7" t="n">
        <x:v>3059</x:v>
      </x:c>
      <x:c r="B3063" s="7" t="str">
        <x:v>Tata</x:v>
      </x:c>
      <x:c r="C3063" s="7" t="str">
        <x:v>Harrier</x:v>
      </x:c>
      <x:c r="D3063" s="7" t="str">
        <x:v>Smart</x:v>
      </x:c>
      <x:c r="E3063" s="7" t="str">
        <x:v>Diesel</x:v>
      </x:c>
      <x:c r="F3063" s="7" t="str">
        <x:v>Manual</x:v>
      </x:c>
      <x:c r="G3063" s="7" t="str">
        <x:v>Mid-Size SUV</x:v>
      </x:c>
      <x:c r="H3063" s="7" t="n">
        <x:v>1956</x:v>
      </x:c>
      <x:c r="I3063" s="7" t="n">
        <x:v>168</x:v>
      </x:c>
      <x:c r="J3063" s="9" t="n">
        <x:v>16.8</x:v>
      </x:c>
      <x:c r="K3063" s="9" t="n">
        <x:v>15</x:v>
      </x:c>
      <x:c r="L3063" s="7" t="n">
        <x:v>2020</x:v>
      </x:c>
      <x:c r="M3063" s="11" t="n">
        <x:v>109838</x:v>
      </x:c>
      <x:c r="N3063" s="7" t="n">
        <x:v>1</x:v>
      </x:c>
      <x:c r="O3063" s="7" t="n">
        <x:v>0</x:v>
      </x:c>
      <x:c r="P3063" s="9" t="n">
        <x:v>5.91</x:v>
      </x:c>
      <x:c r="Q3063" s="7" t="n">
        <x:f>'Guide'!$B$5-L3063</x:f>
        <x:v>6</x:v>
      </x:c>
      <x:c r="R3063" s="9" t="n">
        <x:f>K3063-P3063</x:f>
        <x:v>9.09</x:v>
      </x:c>
      <x:c r="S3063" s="10" t="n">
        <x:f>IF(K3063&gt;0,R3063/K3063,"")</x:f>
        <x:v>0.606</x:v>
      </x:c>
    </x:row>
    <x:row r="3064">
      <x:c r="A3064" s="7" t="n">
        <x:v>3060</x:v>
      </x:c>
      <x:c r="B3064" s="7" t="str">
        <x:v>Tata</x:v>
      </x:c>
      <x:c r="C3064" s="7" t="str">
        <x:v>Harrier</x:v>
      </x:c>
      <x:c r="D3064" s="7" t="str">
        <x:v>Smart</x:v>
      </x:c>
      <x:c r="E3064" s="7" t="str">
        <x:v>Diesel</x:v>
      </x:c>
      <x:c r="F3064" s="7" t="str">
        <x:v>Manual</x:v>
      </x:c>
      <x:c r="G3064" s="7" t="str">
        <x:v>Mid-Size SUV</x:v>
      </x:c>
      <x:c r="H3064" s="7" t="n">
        <x:v>1956</x:v>
      </x:c>
      <x:c r="I3064" s="7" t="n">
        <x:v>168</x:v>
      </x:c>
      <x:c r="J3064" s="9" t="n">
        <x:v>16.8</x:v>
      </x:c>
      <x:c r="K3064" s="9" t="n">
        <x:v>15</x:v>
      </x:c>
      <x:c r="L3064" s="7" t="n">
        <x:v>2023</x:v>
      </x:c>
      <x:c r="M3064" s="11" t="n">
        <x:v>67081</x:v>
      </x:c>
      <x:c r="N3064" s="7" t="n">
        <x:v>1</x:v>
      </x:c>
      <x:c r="O3064" s="7" t="n">
        <x:v>0</x:v>
      </x:c>
      <x:c r="P3064" s="9" t="n">
        <x:v>10.26</x:v>
      </x:c>
      <x:c r="Q3064" s="7" t="n">
        <x:f>'Guide'!$B$5-L3064</x:f>
        <x:v>3</x:v>
      </x:c>
      <x:c r="R3064" s="9" t="n">
        <x:f>K3064-P3064</x:f>
        <x:v>4.74</x:v>
      </x:c>
      <x:c r="S3064" s="10" t="n">
        <x:f>IF(K3064&gt;0,R3064/K3064,"")</x:f>
        <x:v>0.316</x:v>
      </x:c>
    </x:row>
    <x:row r="3065">
      <x:c r="A3065" s="7" t="n">
        <x:v>3061</x:v>
      </x:c>
      <x:c r="B3065" s="7" t="str">
        <x:v>Tata</x:v>
      </x:c>
      <x:c r="C3065" s="7" t="str">
        <x:v>Harrier</x:v>
      </x:c>
      <x:c r="D3065" s="7" t="str">
        <x:v>Smart</x:v>
      </x:c>
      <x:c r="E3065" s="7" t="str">
        <x:v>Diesel</x:v>
      </x:c>
      <x:c r="F3065" s="7" t="str">
        <x:v>Manual</x:v>
      </x:c>
      <x:c r="G3065" s="7" t="str">
        <x:v>Mid-Size SUV</x:v>
      </x:c>
      <x:c r="H3065" s="7" t="n">
        <x:v>1956</x:v>
      </x:c>
      <x:c r="I3065" s="7" t="n">
        <x:v>168</x:v>
      </x:c>
      <x:c r="J3065" s="9" t="n">
        <x:v>16.8</x:v>
      </x:c>
      <x:c r="K3065" s="9" t="n">
        <x:v>15</x:v>
      </x:c>
      <x:c r="L3065" s="7" t="n">
        <x:v>2021</x:v>
      </x:c>
      <x:c r="M3065" s="11" t="n">
        <x:v>72934</x:v>
      </x:c>
      <x:c r="N3065" s="7" t="n">
        <x:v>2</x:v>
      </x:c>
      <x:c r="O3065" s="7" t="n">
        <x:v>0</x:v>
      </x:c>
      <x:c r="P3065" s="9" t="n">
        <x:v>6.97</x:v>
      </x:c>
      <x:c r="Q3065" s="7" t="n">
        <x:f>'Guide'!$B$5-L3065</x:f>
        <x:v>5</x:v>
      </x:c>
      <x:c r="R3065" s="9" t="n">
        <x:f>K3065-P3065</x:f>
        <x:v>8.030000000000001</x:v>
      </x:c>
      <x:c r="S3065" s="10" t="n">
        <x:f>IF(K3065&gt;0,R3065/K3065,"")</x:f>
        <x:v>0.5353333333333334</x:v>
      </x:c>
    </x:row>
    <x:row r="3066">
      <x:c r="A3066" s="7" t="n">
        <x:v>3062</x:v>
      </x:c>
      <x:c r="B3066" s="7" t="str">
        <x:v>Tata</x:v>
      </x:c>
      <x:c r="C3066" s="7" t="str">
        <x:v>Harrier</x:v>
      </x:c>
      <x:c r="D3066" s="7" t="str">
        <x:v>Smart</x:v>
      </x:c>
      <x:c r="E3066" s="7" t="str">
        <x:v>Diesel</x:v>
      </x:c>
      <x:c r="F3066" s="7" t="str">
        <x:v>Manual</x:v>
      </x:c>
      <x:c r="G3066" s="7" t="str">
        <x:v>Mid-Size SUV</x:v>
      </x:c>
      <x:c r="H3066" s="7" t="n">
        <x:v>1956</x:v>
      </x:c>
      <x:c r="I3066" s="7" t="n">
        <x:v>168</x:v>
      </x:c>
      <x:c r="J3066" s="9" t="n">
        <x:v>16.8</x:v>
      </x:c>
      <x:c r="K3066" s="9" t="n">
        <x:v>15</x:v>
      </x:c>
      <x:c r="L3066" s="7" t="n">
        <x:v>2020</x:v>
      </x:c>
      <x:c r="M3066" s="11" t="n">
        <x:v>101809</x:v>
      </x:c>
      <x:c r="N3066" s="7" t="n">
        <x:v>1</x:v>
      </x:c>
      <x:c r="O3066" s="7" t="n">
        <x:v>0</x:v>
      </x:c>
      <x:c r="P3066" s="9" t="n">
        <x:v>5.98</x:v>
      </x:c>
      <x:c r="Q3066" s="7" t="n">
        <x:f>'Guide'!$B$5-L3066</x:f>
        <x:v>6</x:v>
      </x:c>
      <x:c r="R3066" s="9" t="n">
        <x:f>K3066-P3066</x:f>
        <x:v>9.02</x:v>
      </x:c>
      <x:c r="S3066" s="10" t="n">
        <x:f>IF(K3066&gt;0,R3066/K3066,"")</x:f>
        <x:v>0.6013333333333333</x:v>
      </x:c>
    </x:row>
    <x:row r="3067">
      <x:c r="A3067" s="7" t="n">
        <x:v>3063</x:v>
      </x:c>
      <x:c r="B3067" s="7" t="str">
        <x:v>Tata</x:v>
      </x:c>
      <x:c r="C3067" s="7" t="str">
        <x:v>Harrier</x:v>
      </x:c>
      <x:c r="D3067" s="7" t="str">
        <x:v>Smart</x:v>
      </x:c>
      <x:c r="E3067" s="7" t="str">
        <x:v>Diesel</x:v>
      </x:c>
      <x:c r="F3067" s="7" t="str">
        <x:v>Manual</x:v>
      </x:c>
      <x:c r="G3067" s="7" t="str">
        <x:v>Mid-Size SUV</x:v>
      </x:c>
      <x:c r="H3067" s="7" t="n">
        <x:v>1956</x:v>
      </x:c>
      <x:c r="I3067" s="7" t="n">
        <x:v>168</x:v>
      </x:c>
      <x:c r="J3067" s="9" t="n">
        <x:v>16.8</x:v>
      </x:c>
      <x:c r="K3067" s="9" t="n">
        <x:v>15</x:v>
      </x:c>
      <x:c r="L3067" s="7" t="n">
        <x:v>2020</x:v>
      </x:c>
      <x:c r="M3067" s="11" t="n">
        <x:v>83374</x:v>
      </x:c>
      <x:c r="N3067" s="7" t="n">
        <x:v>2</x:v>
      </x:c>
      <x:c r="O3067" s="7" t="n">
        <x:v>0</x:v>
      </x:c>
      <x:c r="P3067" s="9" t="n">
        <x:v>5.86</x:v>
      </x:c>
      <x:c r="Q3067" s="7" t="n">
        <x:f>'Guide'!$B$5-L3067</x:f>
        <x:v>6</x:v>
      </x:c>
      <x:c r="R3067" s="9" t="n">
        <x:f>K3067-P3067</x:f>
        <x:v>9.14</x:v>
      </x:c>
      <x:c r="S3067" s="10" t="n">
        <x:f>IF(K3067&gt;0,R3067/K3067,"")</x:f>
        <x:v>0.6093333333333334</x:v>
      </x:c>
    </x:row>
    <x:row r="3068">
      <x:c r="A3068" s="7" t="n">
        <x:v>3064</x:v>
      </x:c>
      <x:c r="B3068" s="7" t="str">
        <x:v>Tata</x:v>
      </x:c>
      <x:c r="C3068" s="7" t="str">
        <x:v>Harrier</x:v>
      </x:c>
      <x:c r="D3068" s="7" t="str">
        <x:v>Smart</x:v>
      </x:c>
      <x:c r="E3068" s="7" t="str">
        <x:v>Diesel</x:v>
      </x:c>
      <x:c r="F3068" s="7" t="str">
        <x:v>Manual</x:v>
      </x:c>
      <x:c r="G3068" s="7" t="str">
        <x:v>Mid-Size SUV</x:v>
      </x:c>
      <x:c r="H3068" s="7" t="n">
        <x:v>1956</x:v>
      </x:c>
      <x:c r="I3068" s="7" t="n">
        <x:v>168</x:v>
      </x:c>
      <x:c r="J3068" s="9" t="n">
        <x:v>16.8</x:v>
      </x:c>
      <x:c r="K3068" s="9" t="n">
        <x:v>15</x:v>
      </x:c>
      <x:c r="L3068" s="7" t="n">
        <x:v>2020</x:v>
      </x:c>
      <x:c r="M3068" s="11" t="n">
        <x:v>123028</x:v>
      </x:c>
      <x:c r="N3068" s="7" t="n">
        <x:v>1</x:v>
      </x:c>
      <x:c r="O3068" s="7" t="n">
        <x:v>0</x:v>
      </x:c>
      <x:c r="P3068" s="9" t="n">
        <x:v>5.65</x:v>
      </x:c>
      <x:c r="Q3068" s="7" t="n">
        <x:f>'Guide'!$B$5-L3068</x:f>
        <x:v>6</x:v>
      </x:c>
      <x:c r="R3068" s="9" t="n">
        <x:f>K3068-P3068</x:f>
        <x:v>9.35</x:v>
      </x:c>
      <x:c r="S3068" s="10" t="n">
        <x:f>IF(K3068&gt;0,R3068/K3068,"")</x:f>
        <x:v>0.6233333333333333</x:v>
      </x:c>
    </x:row>
    <x:row r="3069">
      <x:c r="A3069" s="7" t="n">
        <x:v>3065</x:v>
      </x:c>
      <x:c r="B3069" s="7" t="str">
        <x:v>Tata</x:v>
      </x:c>
      <x:c r="C3069" s="7" t="str">
        <x:v>Harrier</x:v>
      </x:c>
      <x:c r="D3069" s="7" t="str">
        <x:v>Smart</x:v>
      </x:c>
      <x:c r="E3069" s="7" t="str">
        <x:v>Diesel</x:v>
      </x:c>
      <x:c r="F3069" s="7" t="str">
        <x:v>Manual</x:v>
      </x:c>
      <x:c r="G3069" s="7" t="str">
        <x:v>Mid-Size SUV</x:v>
      </x:c>
      <x:c r="H3069" s="7" t="n">
        <x:v>1956</x:v>
      </x:c>
      <x:c r="I3069" s="7" t="n">
        <x:v>168</x:v>
      </x:c>
      <x:c r="J3069" s="9" t="n">
        <x:v>16.8</x:v>
      </x:c>
      <x:c r="K3069" s="9" t="n">
        <x:v>15</x:v>
      </x:c>
      <x:c r="L3069" s="7" t="n">
        <x:v>2020</x:v>
      </x:c>
      <x:c r="M3069" s="11" t="n">
        <x:v>77838</x:v>
      </x:c>
      <x:c r="N3069" s="7" t="n">
        <x:v>1</x:v>
      </x:c>
      <x:c r="O3069" s="7" t="n">
        <x:v>0</x:v>
      </x:c>
      <x:c r="P3069" s="9" t="n">
        <x:v>6.26</x:v>
      </x:c>
      <x:c r="Q3069" s="7" t="n">
        <x:f>'Guide'!$B$5-L3069</x:f>
        <x:v>6</x:v>
      </x:c>
      <x:c r="R3069" s="9" t="n">
        <x:f>K3069-P3069</x:f>
        <x:v>8.74</x:v>
      </x:c>
      <x:c r="S3069" s="10" t="n">
        <x:f>IF(K3069&gt;0,R3069/K3069,"")</x:f>
        <x:v>0.5826666666666667</x:v>
      </x:c>
    </x:row>
    <x:row r="3070">
      <x:c r="A3070" s="7" t="n">
        <x:v>3066</x:v>
      </x:c>
      <x:c r="B3070" s="7" t="str">
        <x:v>Tata</x:v>
      </x:c>
      <x:c r="C3070" s="7" t="str">
        <x:v>Harrier</x:v>
      </x:c>
      <x:c r="D3070" s="7" t="str">
        <x:v>Smart</x:v>
      </x:c>
      <x:c r="E3070" s="7" t="str">
        <x:v>Diesel</x:v>
      </x:c>
      <x:c r="F3070" s="7" t="str">
        <x:v>Manual</x:v>
      </x:c>
      <x:c r="G3070" s="7" t="str">
        <x:v>Mid-Size SUV</x:v>
      </x:c>
      <x:c r="H3070" s="7" t="n">
        <x:v>1956</x:v>
      </x:c>
      <x:c r="I3070" s="7" t="n">
        <x:v>168</x:v>
      </x:c>
      <x:c r="J3070" s="9" t="n">
        <x:v>16.8</x:v>
      </x:c>
      <x:c r="K3070" s="9" t="n">
        <x:v>15</x:v>
      </x:c>
      <x:c r="L3070" s="7" t="n">
        <x:v>2025</x:v>
      </x:c>
      <x:c r="M3070" s="11" t="n">
        <x:v>18497</x:v>
      </x:c>
      <x:c r="N3070" s="7" t="n">
        <x:v>1</x:v>
      </x:c>
      <x:c r="O3070" s="7" t="n">
        <x:v>0</x:v>
      </x:c>
      <x:c r="P3070" s="9" t="n">
        <x:v>13.81</x:v>
      </x:c>
      <x:c r="Q3070" s="7" t="n">
        <x:f>'Guide'!$B$5-L3070</x:f>
        <x:v>1</x:v>
      </x:c>
      <x:c r="R3070" s="9" t="n">
        <x:f>K3070-P3070</x:f>
        <x:v>1.1899999999999995</x:v>
      </x:c>
      <x:c r="S3070" s="10" t="n">
        <x:f>IF(K3070&gt;0,R3070/K3070,"")</x:f>
        <x:v>0.0793333333333333</x:v>
      </x:c>
    </x:row>
    <x:row r="3071">
      <x:c r="A3071" s="7" t="n">
        <x:v>3067</x:v>
      </x:c>
      <x:c r="B3071" s="7" t="str">
        <x:v>Tata</x:v>
      </x:c>
      <x:c r="C3071" s="7" t="str">
        <x:v>Harrier</x:v>
      </x:c>
      <x:c r="D3071" s="7" t="str">
        <x:v>Smart</x:v>
      </x:c>
      <x:c r="E3071" s="7" t="str">
        <x:v>Diesel</x:v>
      </x:c>
      <x:c r="F3071" s="7" t="str">
        <x:v>Manual</x:v>
      </x:c>
      <x:c r="G3071" s="7" t="str">
        <x:v>Mid-Size SUV</x:v>
      </x:c>
      <x:c r="H3071" s="7" t="n">
        <x:v>1956</x:v>
      </x:c>
      <x:c r="I3071" s="7" t="n">
        <x:v>168</x:v>
      </x:c>
      <x:c r="J3071" s="9" t="n">
        <x:v>16.8</x:v>
      </x:c>
      <x:c r="K3071" s="9" t="n">
        <x:v>15</x:v>
      </x:c>
      <x:c r="L3071" s="7" t="n">
        <x:v>2023</x:v>
      </x:c>
      <x:c r="M3071" s="11" t="n">
        <x:v>48731</x:v>
      </x:c>
      <x:c r="N3071" s="7" t="n">
        <x:v>2</x:v>
      </x:c>
      <x:c r="O3071" s="7" t="n">
        <x:v>0</x:v>
      </x:c>
      <x:c r="P3071" s="9" t="n">
        <x:v>10.27</x:v>
      </x:c>
      <x:c r="Q3071" s="7" t="n">
        <x:f>'Guide'!$B$5-L3071</x:f>
        <x:v>3</x:v>
      </x:c>
      <x:c r="R3071" s="9" t="n">
        <x:f>K3071-P3071</x:f>
        <x:v>4.73</x:v>
      </x:c>
      <x:c r="S3071" s="10" t="n">
        <x:f>IF(K3071&gt;0,R3071/K3071,"")</x:f>
        <x:v>0.31533333333333335</x:v>
      </x:c>
    </x:row>
    <x:row r="3072">
      <x:c r="A3072" s="7" t="n">
        <x:v>3068</x:v>
      </x:c>
      <x:c r="B3072" s="7" t="str">
        <x:v>Tata</x:v>
      </x:c>
      <x:c r="C3072" s="7" t="str">
        <x:v>Harrier</x:v>
      </x:c>
      <x:c r="D3072" s="7" t="str">
        <x:v>Smart</x:v>
      </x:c>
      <x:c r="E3072" s="7" t="str">
        <x:v>Diesel</x:v>
      </x:c>
      <x:c r="F3072" s="7" t="str">
        <x:v>Manual</x:v>
      </x:c>
      <x:c r="G3072" s="7" t="str">
        <x:v>Mid-Size SUV</x:v>
      </x:c>
      <x:c r="H3072" s="7" t="n">
        <x:v>1956</x:v>
      </x:c>
      <x:c r="I3072" s="7" t="n">
        <x:v>168</x:v>
      </x:c>
      <x:c r="J3072" s="9" t="n">
        <x:v>16.8</x:v>
      </x:c>
      <x:c r="K3072" s="9" t="n">
        <x:v>15</x:v>
      </x:c>
      <x:c r="L3072" s="7" t="n">
        <x:v>2025</x:v>
      </x:c>
      <x:c r="M3072" s="11" t="n">
        <x:v>17659</x:v>
      </x:c>
      <x:c r="N3072" s="7" t="n">
        <x:v>2</x:v>
      </x:c>
      <x:c r="O3072" s="7" t="n">
        <x:v>0</x:v>
      </x:c>
      <x:c r="P3072" s="9" t="n">
        <x:v>12.79</x:v>
      </x:c>
      <x:c r="Q3072" s="7" t="n">
        <x:f>'Guide'!$B$5-L3072</x:f>
        <x:v>1</x:v>
      </x:c>
      <x:c r="R3072" s="9" t="n">
        <x:f>K3072-P3072</x:f>
        <x:v>2.210000000000001</x:v>
      </x:c>
      <x:c r="S3072" s="10" t="n">
        <x:f>IF(K3072&gt;0,R3072/K3072,"")</x:f>
        <x:v>0.1473333333333334</x:v>
      </x:c>
    </x:row>
    <x:row r="3073">
      <x:c r="A3073" s="7" t="n">
        <x:v>3069</x:v>
      </x:c>
      <x:c r="B3073" s="7" t="str">
        <x:v>Tata</x:v>
      </x:c>
      <x:c r="C3073" s="7" t="str">
        <x:v>Harrier</x:v>
      </x:c>
      <x:c r="D3073" s="7" t="str">
        <x:v>Smart</x:v>
      </x:c>
      <x:c r="E3073" s="7" t="str">
        <x:v>Diesel</x:v>
      </x:c>
      <x:c r="F3073" s="7" t="str">
        <x:v>Manual</x:v>
      </x:c>
      <x:c r="G3073" s="7" t="str">
        <x:v>Mid-Size SUV</x:v>
      </x:c>
      <x:c r="H3073" s="7" t="n">
        <x:v>1956</x:v>
      </x:c>
      <x:c r="I3073" s="7" t="n">
        <x:v>168</x:v>
      </x:c>
      <x:c r="J3073" s="9" t="n">
        <x:v>16.8</x:v>
      </x:c>
      <x:c r="K3073" s="9" t="n">
        <x:v>15</x:v>
      </x:c>
      <x:c r="L3073" s="7" t="n">
        <x:v>2022</x:v>
      </x:c>
      <x:c r="M3073" s="11" t="n">
        <x:v>73724</x:v>
      </x:c>
      <x:c r="N3073" s="7" t="n">
        <x:v>2</x:v>
      </x:c>
      <x:c r="O3073" s="7" t="n">
        <x:v>0</x:v>
      </x:c>
      <x:c r="P3073" s="9" t="n">
        <x:v>8.28</x:v>
      </x:c>
      <x:c r="Q3073" s="7" t="n">
        <x:f>'Guide'!$B$5-L3073</x:f>
        <x:v>4</x:v>
      </x:c>
      <x:c r="R3073" s="9" t="n">
        <x:f>K3073-P3073</x:f>
        <x:v>6.720000000000001</x:v>
      </x:c>
      <x:c r="S3073" s="10" t="n">
        <x:f>IF(K3073&gt;0,R3073/K3073,"")</x:f>
        <x:v>0.44800000000000006</x:v>
      </x:c>
    </x:row>
    <x:row r="3074">
      <x:c r="A3074" s="7" t="n">
        <x:v>3070</x:v>
      </x:c>
      <x:c r="B3074" s="7" t="str">
        <x:v>Tata</x:v>
      </x:c>
      <x:c r="C3074" s="7" t="str">
        <x:v>Harrier</x:v>
      </x:c>
      <x:c r="D3074" s="7" t="str">
        <x:v>Smart</x:v>
      </x:c>
      <x:c r="E3074" s="7" t="str">
        <x:v>Diesel</x:v>
      </x:c>
      <x:c r="F3074" s="7" t="str">
        <x:v>Manual</x:v>
      </x:c>
      <x:c r="G3074" s="7" t="str">
        <x:v>Mid-Size SUV</x:v>
      </x:c>
      <x:c r="H3074" s="7" t="n">
        <x:v>1956</x:v>
      </x:c>
      <x:c r="I3074" s="7" t="n">
        <x:v>168</x:v>
      </x:c>
      <x:c r="J3074" s="9" t="n">
        <x:v>16.8</x:v>
      </x:c>
      <x:c r="K3074" s="9" t="n">
        <x:v>15</x:v>
      </x:c>
      <x:c r="L3074" s="7" t="n">
        <x:v>2026</x:v>
      </x:c>
      <x:c r="M3074" s="11" t="n">
        <x:v>6263</x:v>
      </x:c>
      <x:c r="N3074" s="7" t="n">
        <x:v>1</x:v>
      </x:c>
      <x:c r="O3074" s="7" t="n">
        <x:v>0</x:v>
      </x:c>
      <x:c r="P3074" s="9" t="n">
        <x:v>14.69</x:v>
      </x:c>
      <x:c r="Q3074" s="7" t="n">
        <x:f>'Guide'!$B$5-L3074</x:f>
        <x:v>0</x:v>
      </x:c>
      <x:c r="R3074" s="9" t="n">
        <x:f>K3074-P3074</x:f>
        <x:v>0.3100000000000005</x:v>
      </x:c>
      <x:c r="S3074" s="10" t="n">
        <x:f>IF(K3074&gt;0,R3074/K3074,"")</x:f>
        <x:v>0.0206666666666667</x:v>
      </x:c>
    </x:row>
    <x:row r="3075">
      <x:c r="A3075" s="7" t="n">
        <x:v>3071</x:v>
      </x:c>
      <x:c r="B3075" s="7" t="str">
        <x:v>Tata</x:v>
      </x:c>
      <x:c r="C3075" s="7" t="str">
        <x:v>Harrier</x:v>
      </x:c>
      <x:c r="D3075" s="7" t="str">
        <x:v>Smart</x:v>
      </x:c>
      <x:c r="E3075" s="7" t="str">
        <x:v>Diesel</x:v>
      </x:c>
      <x:c r="F3075" s="7" t="str">
        <x:v>Manual</x:v>
      </x:c>
      <x:c r="G3075" s="7" t="str">
        <x:v>Mid-Size SUV</x:v>
      </x:c>
      <x:c r="H3075" s="7" t="n">
        <x:v>1956</x:v>
      </x:c>
      <x:c r="I3075" s="7" t="n">
        <x:v>168</x:v>
      </x:c>
      <x:c r="J3075" s="9" t="n">
        <x:v>16.8</x:v>
      </x:c>
      <x:c r="K3075" s="9" t="n">
        <x:v>15</x:v>
      </x:c>
      <x:c r="L3075" s="7" t="n">
        <x:v>2025</x:v>
      </x:c>
      <x:c r="M3075" s="11" t="n">
        <x:v>21077</x:v>
      </x:c>
      <x:c r="N3075" s="7" t="n">
        <x:v>2</x:v>
      </x:c>
      <x:c r="O3075" s="7" t="n">
        <x:v>0</x:v>
      </x:c>
      <x:c r="P3075" s="9" t="n">
        <x:v>13.02</x:v>
      </x:c>
      <x:c r="Q3075" s="7" t="n">
        <x:f>'Guide'!$B$5-L3075</x:f>
        <x:v>1</x:v>
      </x:c>
      <x:c r="R3075" s="9" t="n">
        <x:f>K3075-P3075</x:f>
        <x:v>1.9800000000000004</x:v>
      </x:c>
      <x:c r="S3075" s="10" t="n">
        <x:f>IF(K3075&gt;0,R3075/K3075,"")</x:f>
        <x:v>0.13200000000000003</x:v>
      </x:c>
    </x:row>
    <x:row r="3076">
      <x:c r="A3076" s="7" t="n">
        <x:v>3072</x:v>
      </x:c>
      <x:c r="B3076" s="7" t="str">
        <x:v>Tata</x:v>
      </x:c>
      <x:c r="C3076" s="7" t="str">
        <x:v>Harrier</x:v>
      </x:c>
      <x:c r="D3076" s="7" t="str">
        <x:v>Smart</x:v>
      </x:c>
      <x:c r="E3076" s="7" t="str">
        <x:v>Diesel</x:v>
      </x:c>
      <x:c r="F3076" s="7" t="str">
        <x:v>Manual</x:v>
      </x:c>
      <x:c r="G3076" s="7" t="str">
        <x:v>Mid-Size SUV</x:v>
      </x:c>
      <x:c r="H3076" s="7" t="n">
        <x:v>1956</x:v>
      </x:c>
      <x:c r="I3076" s="7" t="n">
        <x:v>168</x:v>
      </x:c>
      <x:c r="J3076" s="9" t="n">
        <x:v>16.8</x:v>
      </x:c>
      <x:c r="K3076" s="9" t="n">
        <x:v>15</x:v>
      </x:c>
      <x:c r="L3076" s="7" t="n">
        <x:v>2025</x:v>
      </x:c>
      <x:c r="M3076" s="11" t="n">
        <x:v>14523</x:v>
      </x:c>
      <x:c r="N3076" s="7" t="n">
        <x:v>2</x:v>
      </x:c>
      <x:c r="O3076" s="7" t="n">
        <x:v>0</x:v>
      </x:c>
      <x:c r="P3076" s="9" t="n">
        <x:v>13.32</x:v>
      </x:c>
      <x:c r="Q3076" s="7" t="n">
        <x:f>'Guide'!$B$5-L3076</x:f>
        <x:v>1</x:v>
      </x:c>
      <x:c r="R3076" s="9" t="n">
        <x:f>K3076-P3076</x:f>
        <x:v>1.6799999999999997</x:v>
      </x:c>
      <x:c r="S3076" s="10" t="n">
        <x:f>IF(K3076&gt;0,R3076/K3076,"")</x:f>
        <x:v>0.11199999999999997</x:v>
      </x:c>
    </x:row>
    <x:row r="3077">
      <x:c r="A3077" s="7" t="n">
        <x:v>3073</x:v>
      </x:c>
      <x:c r="B3077" s="7" t="str">
        <x:v>Tata</x:v>
      </x:c>
      <x:c r="C3077" s="7" t="str">
        <x:v>Harrier</x:v>
      </x:c>
      <x:c r="D3077" s="7" t="str">
        <x:v>Smart</x:v>
      </x:c>
      <x:c r="E3077" s="7" t="str">
        <x:v>Diesel</x:v>
      </x:c>
      <x:c r="F3077" s="7" t="str">
        <x:v>Manual</x:v>
      </x:c>
      <x:c r="G3077" s="7" t="str">
        <x:v>Mid-Size SUV</x:v>
      </x:c>
      <x:c r="H3077" s="7" t="n">
        <x:v>1956</x:v>
      </x:c>
      <x:c r="I3077" s="7" t="n">
        <x:v>168</x:v>
      </x:c>
      <x:c r="J3077" s="9" t="n">
        <x:v>16.8</x:v>
      </x:c>
      <x:c r="K3077" s="9" t="n">
        <x:v>15</x:v>
      </x:c>
      <x:c r="L3077" s="7" t="n">
        <x:v>2023</x:v>
      </x:c>
      <x:c r="M3077" s="11" t="n">
        <x:v>54715</x:v>
      </x:c>
      <x:c r="N3077" s="7" t="n">
        <x:v>1</x:v>
      </x:c>
      <x:c r="O3077" s="7" t="n">
        <x:v>0</x:v>
      </x:c>
      <x:c r="P3077" s="9" t="n">
        <x:v>10.57</x:v>
      </x:c>
      <x:c r="Q3077" s="7" t="n">
        <x:f>'Guide'!$B$5-L3077</x:f>
        <x:v>3</x:v>
      </x:c>
      <x:c r="R3077" s="9" t="n">
        <x:f>K3077-P3077</x:f>
        <x:v>4.43</x:v>
      </x:c>
      <x:c r="S3077" s="10" t="n">
        <x:f>IF(K3077&gt;0,R3077/K3077,"")</x:f>
        <x:v>0.29533333333333334</x:v>
      </x:c>
    </x:row>
    <x:row r="3078">
      <x:c r="A3078" s="7" t="n">
        <x:v>3074</x:v>
      </x:c>
      <x:c r="B3078" s="7" t="str">
        <x:v>Tata</x:v>
      </x:c>
      <x:c r="C3078" s="7" t="str">
        <x:v>Harrier</x:v>
      </x:c>
      <x:c r="D3078" s="7" t="str">
        <x:v>Smart</x:v>
      </x:c>
      <x:c r="E3078" s="7" t="str">
        <x:v>Diesel</x:v>
      </x:c>
      <x:c r="F3078" s="7" t="str">
        <x:v>Manual</x:v>
      </x:c>
      <x:c r="G3078" s="7" t="str">
        <x:v>Mid-Size SUV</x:v>
      </x:c>
      <x:c r="H3078" s="7" t="n">
        <x:v>1956</x:v>
      </x:c>
      <x:c r="I3078" s="7" t="n">
        <x:v>168</x:v>
      </x:c>
      <x:c r="J3078" s="9" t="n">
        <x:v>16.8</x:v>
      </x:c>
      <x:c r="K3078" s="9" t="n">
        <x:v>15</x:v>
      </x:c>
      <x:c r="L3078" s="7" t="n">
        <x:v>2021</x:v>
      </x:c>
      <x:c r="M3078" s="11" t="n">
        <x:v>49360</x:v>
      </x:c>
      <x:c r="N3078" s="7" t="n">
        <x:v>1</x:v>
      </x:c>
      <x:c r="O3078" s="7" t="n">
        <x:v>0</x:v>
      </x:c>
      <x:c r="P3078" s="9" t="n">
        <x:v>8.5</x:v>
      </x:c>
      <x:c r="Q3078" s="7" t="n">
        <x:f>'Guide'!$B$5-L3078</x:f>
        <x:v>5</x:v>
      </x:c>
      <x:c r="R3078" s="9" t="n">
        <x:f>K3078-P3078</x:f>
        <x:v>6.5</x:v>
      </x:c>
      <x:c r="S3078" s="10" t="n">
        <x:f>IF(K3078&gt;0,R3078/K3078,"")</x:f>
        <x:v>0.43333333333333335</x:v>
      </x:c>
    </x:row>
    <x:row r="3079">
      <x:c r="A3079" s="7" t="n">
        <x:v>3075</x:v>
      </x:c>
      <x:c r="B3079" s="7" t="str">
        <x:v>Tata</x:v>
      </x:c>
      <x:c r="C3079" s="7" t="str">
        <x:v>Harrier</x:v>
      </x:c>
      <x:c r="D3079" s="7" t="str">
        <x:v>Smart</x:v>
      </x:c>
      <x:c r="E3079" s="7" t="str">
        <x:v>Diesel</x:v>
      </x:c>
      <x:c r="F3079" s="7" t="str">
        <x:v>Manual</x:v>
      </x:c>
      <x:c r="G3079" s="7" t="str">
        <x:v>Mid-Size SUV</x:v>
      </x:c>
      <x:c r="H3079" s="7" t="n">
        <x:v>1956</x:v>
      </x:c>
      <x:c r="I3079" s="7" t="n">
        <x:v>168</x:v>
      </x:c>
      <x:c r="J3079" s="9" t="n">
        <x:v>16.8</x:v>
      </x:c>
      <x:c r="K3079" s="9" t="n">
        <x:v>15</x:v>
      </x:c>
      <x:c r="L3079" s="7" t="n">
        <x:v>2025</x:v>
      </x:c>
      <x:c r="M3079" s="11" t="n">
        <x:v>24336</x:v>
      </x:c>
      <x:c r="N3079" s="7" t="n">
        <x:v>3</x:v>
      </x:c>
      <x:c r="O3079" s="7" t="n">
        <x:v>1</x:v>
      </x:c>
      <x:c r="P3079" s="9" t="n">
        <x:v>11.97</x:v>
      </x:c>
      <x:c r="Q3079" s="7" t="n">
        <x:f>'Guide'!$B$5-L3079</x:f>
        <x:v>1</x:v>
      </x:c>
      <x:c r="R3079" s="9" t="n">
        <x:f>K3079-P3079</x:f>
        <x:v>3.0299999999999994</x:v>
      </x:c>
      <x:c r="S3079" s="10" t="n">
        <x:f>IF(K3079&gt;0,R3079/K3079,"")</x:f>
        <x:v>0.20199999999999996</x:v>
      </x:c>
    </x:row>
    <x:row r="3080">
      <x:c r="A3080" s="7" t="n">
        <x:v>3076</x:v>
      </x:c>
      <x:c r="B3080" s="7" t="str">
        <x:v>Tata</x:v>
      </x:c>
      <x:c r="C3080" s="7" t="str">
        <x:v>Harrier</x:v>
      </x:c>
      <x:c r="D3080" s="7" t="str">
        <x:v>Smart</x:v>
      </x:c>
      <x:c r="E3080" s="7" t="str">
        <x:v>Diesel</x:v>
      </x:c>
      <x:c r="F3080" s="7" t="str">
        <x:v>Manual</x:v>
      </x:c>
      <x:c r="G3080" s="7" t="str">
        <x:v>Mid-Size SUV</x:v>
      </x:c>
      <x:c r="H3080" s="7" t="n">
        <x:v>1956</x:v>
      </x:c>
      <x:c r="I3080" s="7" t="n">
        <x:v>168</x:v>
      </x:c>
      <x:c r="J3080" s="9" t="n">
        <x:v>16.8</x:v>
      </x:c>
      <x:c r="K3080" s="9" t="n">
        <x:v>15</x:v>
      </x:c>
      <x:c r="L3080" s="7" t="n">
        <x:v>2024</x:v>
      </x:c>
      <x:c r="M3080" s="11" t="n">
        <x:v>23804</x:v>
      </x:c>
      <x:c r="N3080" s="7" t="n">
        <x:v>1</x:v>
      </x:c>
      <x:c r="O3080" s="7" t="n">
        <x:v>0</x:v>
      </x:c>
      <x:c r="P3080" s="9" t="n">
        <x:v>12.15</x:v>
      </x:c>
      <x:c r="Q3080" s="7" t="n">
        <x:f>'Guide'!$B$5-L3080</x:f>
        <x:v>2</x:v>
      </x:c>
      <x:c r="R3080" s="9" t="n">
        <x:f>K3080-P3080</x:f>
        <x:v>2.8499999999999996</x:v>
      </x:c>
      <x:c r="S3080" s="10" t="n">
        <x:f>IF(K3080&gt;0,R3080/K3080,"")</x:f>
        <x:v>0.18999999999999997</x:v>
      </x:c>
    </x:row>
    <x:row r="3081">
      <x:c r="A3081" s="7" t="n">
        <x:v>3077</x:v>
      </x:c>
      <x:c r="B3081" s="7" t="str">
        <x:v>Tata</x:v>
      </x:c>
      <x:c r="C3081" s="7" t="str">
        <x:v>Harrier</x:v>
      </x:c>
      <x:c r="D3081" s="7" t="str">
        <x:v>Smart</x:v>
      </x:c>
      <x:c r="E3081" s="7" t="str">
        <x:v>Diesel</x:v>
      </x:c>
      <x:c r="F3081" s="7" t="str">
        <x:v>Manual</x:v>
      </x:c>
      <x:c r="G3081" s="7" t="str">
        <x:v>Mid-Size SUV</x:v>
      </x:c>
      <x:c r="H3081" s="7" t="n">
        <x:v>1956</x:v>
      </x:c>
      <x:c r="I3081" s="7" t="n">
        <x:v>168</x:v>
      </x:c>
      <x:c r="J3081" s="9" t="n">
        <x:v>16.8</x:v>
      </x:c>
      <x:c r="K3081" s="9" t="n">
        <x:v>15</x:v>
      </x:c>
      <x:c r="L3081" s="7" t="n">
        <x:v>2021</x:v>
      </x:c>
      <x:c r="M3081" s="11" t="n">
        <x:v>85821</x:v>
      </x:c>
      <x:c r="N3081" s="7" t="n">
        <x:v>1</x:v>
      </x:c>
      <x:c r="O3081" s="7" t="n">
        <x:v>0</x:v>
      </x:c>
      <x:c r="P3081" s="9" t="n">
        <x:v>7.26</x:v>
      </x:c>
      <x:c r="Q3081" s="7" t="n">
        <x:f>'Guide'!$B$5-L3081</x:f>
        <x:v>5</x:v>
      </x:c>
      <x:c r="R3081" s="9" t="n">
        <x:f>K3081-P3081</x:f>
        <x:v>7.74</x:v>
      </x:c>
      <x:c r="S3081" s="10" t="n">
        <x:f>IF(K3081&gt;0,R3081/K3081,"")</x:f>
        <x:v>0.516</x:v>
      </x:c>
    </x:row>
    <x:row r="3082">
      <x:c r="A3082" s="7" t="n">
        <x:v>3078</x:v>
      </x:c>
      <x:c r="B3082" s="7" t="str">
        <x:v>Tata</x:v>
      </x:c>
      <x:c r="C3082" s="7" t="str">
        <x:v>Harrier</x:v>
      </x:c>
      <x:c r="D3082" s="7" t="str">
        <x:v>Smart</x:v>
      </x:c>
      <x:c r="E3082" s="7" t="str">
        <x:v>Diesel</x:v>
      </x:c>
      <x:c r="F3082" s="7" t="str">
        <x:v>Manual</x:v>
      </x:c>
      <x:c r="G3082" s="7" t="str">
        <x:v>Mid-Size SUV</x:v>
      </x:c>
      <x:c r="H3082" s="7" t="n">
        <x:v>1956</x:v>
      </x:c>
      <x:c r="I3082" s="7" t="n">
        <x:v>168</x:v>
      </x:c>
      <x:c r="J3082" s="9" t="n">
        <x:v>16.8</x:v>
      </x:c>
      <x:c r="K3082" s="9" t="n">
        <x:v>15</x:v>
      </x:c>
      <x:c r="L3082" s="7" t="n">
        <x:v>2026</x:v>
      </x:c>
      <x:c r="M3082" s="11" t="n">
        <x:v>9377</x:v>
      </x:c>
      <x:c r="N3082" s="7" t="n">
        <x:v>1</x:v>
      </x:c>
      <x:c r="O3082" s="7" t="n">
        <x:v>0</x:v>
      </x:c>
      <x:c r="P3082" s="9" t="n">
        <x:v>14.56</x:v>
      </x:c>
      <x:c r="Q3082" s="7" t="n">
        <x:f>'Guide'!$B$5-L3082</x:f>
        <x:v>0</x:v>
      </x:c>
      <x:c r="R3082" s="9" t="n">
        <x:f>K3082-P3082</x:f>
        <x:v>0.4399999999999995</x:v>
      </x:c>
      <x:c r="S3082" s="10" t="n">
        <x:f>IF(K3082&gt;0,R3082/K3082,"")</x:f>
        <x:v>0.0293333333333333</x:v>
      </x:c>
    </x:row>
    <x:row r="3083">
      <x:c r="A3083" s="7" t="n">
        <x:v>3079</x:v>
      </x:c>
      <x:c r="B3083" s="7" t="str">
        <x:v>Tata</x:v>
      </x:c>
      <x:c r="C3083" s="7" t="str">
        <x:v>Harrier</x:v>
      </x:c>
      <x:c r="D3083" s="7" t="str">
        <x:v>Smart</x:v>
      </x:c>
      <x:c r="E3083" s="7" t="str">
        <x:v>Diesel</x:v>
      </x:c>
      <x:c r="F3083" s="7" t="str">
        <x:v>Manual</x:v>
      </x:c>
      <x:c r="G3083" s="7" t="str">
        <x:v>Mid-Size SUV</x:v>
      </x:c>
      <x:c r="H3083" s="7" t="n">
        <x:v>1956</x:v>
      </x:c>
      <x:c r="I3083" s="7" t="n">
        <x:v>168</x:v>
      </x:c>
      <x:c r="J3083" s="9" t="n">
        <x:v>16.8</x:v>
      </x:c>
      <x:c r="K3083" s="9" t="n">
        <x:v>15</x:v>
      </x:c>
      <x:c r="L3083" s="7" t="n">
        <x:v>2026</x:v>
      </x:c>
      <x:c r="M3083" s="11" t="n">
        <x:v>7793</x:v>
      </x:c>
      <x:c r="N3083" s="7" t="n">
        <x:v>2</x:v>
      </x:c>
      <x:c r="O3083" s="7" t="n">
        <x:v>0</x:v>
      </x:c>
      <x:c r="P3083" s="9" t="n">
        <x:v>14.77</x:v>
      </x:c>
      <x:c r="Q3083" s="7" t="n">
        <x:f>'Guide'!$B$5-L3083</x:f>
        <x:v>0</x:v>
      </x:c>
      <x:c r="R3083" s="9" t="n">
        <x:f>K3083-P3083</x:f>
        <x:v>0.23000000000000043</x:v>
      </x:c>
      <x:c r="S3083" s="10" t="n">
        <x:f>IF(K3083&gt;0,R3083/K3083,"")</x:f>
        <x:v>0.015333333333333362</x:v>
      </x:c>
    </x:row>
    <x:row r="3084">
      <x:c r="A3084" s="7" t="n">
        <x:v>3080</x:v>
      </x:c>
      <x:c r="B3084" s="7" t="str">
        <x:v>Tata</x:v>
      </x:c>
      <x:c r="C3084" s="7" t="str">
        <x:v>Harrier</x:v>
      </x:c>
      <x:c r="D3084" s="7" t="str">
        <x:v>Smart</x:v>
      </x:c>
      <x:c r="E3084" s="7" t="str">
        <x:v>Diesel</x:v>
      </x:c>
      <x:c r="F3084" s="7" t="str">
        <x:v>Manual</x:v>
      </x:c>
      <x:c r="G3084" s="7" t="str">
        <x:v>Mid-Size SUV</x:v>
      </x:c>
      <x:c r="H3084" s="7" t="n">
        <x:v>1956</x:v>
      </x:c>
      <x:c r="I3084" s="7" t="n">
        <x:v>168</x:v>
      </x:c>
      <x:c r="J3084" s="9" t="n">
        <x:v>16.8</x:v>
      </x:c>
      <x:c r="K3084" s="9" t="n">
        <x:v>15</x:v>
      </x:c>
      <x:c r="L3084" s="7" t="n">
        <x:v>2021</x:v>
      </x:c>
      <x:c r="M3084" s="11" t="n">
        <x:v>72979</x:v>
      </x:c>
      <x:c r="N3084" s="7" t="n">
        <x:v>2</x:v>
      </x:c>
      <x:c r="O3084" s="7" t="n">
        <x:v>0</x:v>
      </x:c>
      <x:c r="P3084" s="9" t="n">
        <x:v>7.35</x:v>
      </x:c>
      <x:c r="Q3084" s="7" t="n">
        <x:f>'Guide'!$B$5-L3084</x:f>
        <x:v>5</x:v>
      </x:c>
      <x:c r="R3084" s="9" t="n">
        <x:f>K3084-P3084</x:f>
        <x:v>7.65</x:v>
      </x:c>
      <x:c r="S3084" s="10" t="n">
        <x:f>IF(K3084&gt;0,R3084/K3084,"")</x:f>
        <x:v>0.51</x:v>
      </x:c>
    </x:row>
    <x:row r="3085">
      <x:c r="A3085" s="7" t="n">
        <x:v>3081</x:v>
      </x:c>
      <x:c r="B3085" s="7" t="str">
        <x:v>Tata</x:v>
      </x:c>
      <x:c r="C3085" s="7" t="str">
        <x:v>Harrier</x:v>
      </x:c>
      <x:c r="D3085" s="7" t="str">
        <x:v>Smart</x:v>
      </x:c>
      <x:c r="E3085" s="7" t="str">
        <x:v>Diesel</x:v>
      </x:c>
      <x:c r="F3085" s="7" t="str">
        <x:v>Manual</x:v>
      </x:c>
      <x:c r="G3085" s="7" t="str">
        <x:v>Mid-Size SUV</x:v>
      </x:c>
      <x:c r="H3085" s="7" t="n">
        <x:v>1956</x:v>
      </x:c>
      <x:c r="I3085" s="7" t="n">
        <x:v>168</x:v>
      </x:c>
      <x:c r="J3085" s="9" t="n">
        <x:v>16.8</x:v>
      </x:c>
      <x:c r="K3085" s="9" t="n">
        <x:v>15</x:v>
      </x:c>
      <x:c r="L3085" s="7" t="n">
        <x:v>2023</x:v>
      </x:c>
      <x:c r="M3085" s="11" t="n">
        <x:v>39208</x:v>
      </x:c>
      <x:c r="N3085" s="7" t="n">
        <x:v>2</x:v>
      </x:c>
      <x:c r="O3085" s="7" t="n">
        <x:v>0</x:v>
      </x:c>
      <x:c r="P3085" s="9" t="n">
        <x:v>10.37</x:v>
      </x:c>
      <x:c r="Q3085" s="7" t="n">
        <x:f>'Guide'!$B$5-L3085</x:f>
        <x:v>3</x:v>
      </x:c>
      <x:c r="R3085" s="9" t="n">
        <x:f>K3085-P3085</x:f>
        <x:v>4.630000000000001</x:v>
      </x:c>
      <x:c r="S3085" s="10" t="n">
        <x:f>IF(K3085&gt;0,R3085/K3085,"")</x:f>
        <x:v>0.3086666666666667</x:v>
      </x:c>
    </x:row>
    <x:row r="3086">
      <x:c r="A3086" s="7" t="n">
        <x:v>3082</x:v>
      </x:c>
      <x:c r="B3086" s="7" t="str">
        <x:v>Tata</x:v>
      </x:c>
      <x:c r="C3086" s="7" t="str">
        <x:v>Harrier</x:v>
      </x:c>
      <x:c r="D3086" s="7" t="str">
        <x:v>Smart</x:v>
      </x:c>
      <x:c r="E3086" s="7" t="str">
        <x:v>Diesel</x:v>
      </x:c>
      <x:c r="F3086" s="7" t="str">
        <x:v>Manual</x:v>
      </x:c>
      <x:c r="G3086" s="7" t="str">
        <x:v>Mid-Size SUV</x:v>
      </x:c>
      <x:c r="H3086" s="7" t="n">
        <x:v>1956</x:v>
      </x:c>
      <x:c r="I3086" s="7" t="n">
        <x:v>168</x:v>
      </x:c>
      <x:c r="J3086" s="9" t="n">
        <x:v>16.8</x:v>
      </x:c>
      <x:c r="K3086" s="9" t="n">
        <x:v>15</x:v>
      </x:c>
      <x:c r="L3086" s="7" t="n">
        <x:v>2025</x:v>
      </x:c>
      <x:c r="M3086" s="11" t="n">
        <x:v>29665</x:v>
      </x:c>
      <x:c r="N3086" s="7" t="n">
        <x:v>1</x:v>
      </x:c>
      <x:c r="O3086" s="7" t="n">
        <x:v>0</x:v>
      </x:c>
      <x:c r="P3086" s="9" t="n">
        <x:v>13.49</x:v>
      </x:c>
      <x:c r="Q3086" s="7" t="n">
        <x:f>'Guide'!$B$5-L3086</x:f>
        <x:v>1</x:v>
      </x:c>
      <x:c r="R3086" s="9" t="n">
        <x:f>K3086-P3086</x:f>
        <x:v>1.5099999999999998</x:v>
      </x:c>
      <x:c r="S3086" s="10" t="n">
        <x:f>IF(K3086&gt;0,R3086/K3086,"")</x:f>
        <x:v>0.10066666666666665</x:v>
      </x:c>
    </x:row>
    <x:row r="3087">
      <x:c r="A3087" s="7" t="n">
        <x:v>3083</x:v>
      </x:c>
      <x:c r="B3087" s="7" t="str">
        <x:v>Tata</x:v>
      </x:c>
      <x:c r="C3087" s="7" t="str">
        <x:v>Harrier</x:v>
      </x:c>
      <x:c r="D3087" s="7" t="str">
        <x:v>Smart</x:v>
      </x:c>
      <x:c r="E3087" s="7" t="str">
        <x:v>Diesel</x:v>
      </x:c>
      <x:c r="F3087" s="7" t="str">
        <x:v>Manual</x:v>
      </x:c>
      <x:c r="G3087" s="7" t="str">
        <x:v>Mid-Size SUV</x:v>
      </x:c>
      <x:c r="H3087" s="7" t="n">
        <x:v>1956</x:v>
      </x:c>
      <x:c r="I3087" s="7" t="n">
        <x:v>168</x:v>
      </x:c>
      <x:c r="J3087" s="9" t="n">
        <x:v>16.8</x:v>
      </x:c>
      <x:c r="K3087" s="9" t="n">
        <x:v>15</x:v>
      </x:c>
      <x:c r="L3087" s="7" t="n">
        <x:v>2026</x:v>
      </x:c>
      <x:c r="M3087" s="11" t="n">
        <x:v>8991</x:v>
      </x:c>
      <x:c r="N3087" s="7" t="n">
        <x:v>2</x:v>
      </x:c>
      <x:c r="O3087" s="7" t="n">
        <x:v>0</x:v>
      </x:c>
      <x:c r="P3087" s="9" t="n">
        <x:v>14.41</x:v>
      </x:c>
      <x:c r="Q3087" s="7" t="n">
        <x:f>'Guide'!$B$5-L3087</x:f>
        <x:v>0</x:v>
      </x:c>
      <x:c r="R3087" s="9" t="n">
        <x:f>K3087-P3087</x:f>
        <x:v>0.5899999999999999</x:v>
      </x:c>
      <x:c r="S3087" s="10" t="n">
        <x:f>IF(K3087&gt;0,R3087/K3087,"")</x:f>
        <x:v>0.039333333333333324</x:v>
      </x:c>
    </x:row>
    <x:row r="3088">
      <x:c r="A3088" s="7" t="n">
        <x:v>3084</x:v>
      </x:c>
      <x:c r="B3088" s="7" t="str">
        <x:v>Tata</x:v>
      </x:c>
      <x:c r="C3088" s="7" t="str">
        <x:v>Harrier</x:v>
      </x:c>
      <x:c r="D3088" s="7" t="str">
        <x:v>Smart</x:v>
      </x:c>
      <x:c r="E3088" s="7" t="str">
        <x:v>Diesel</x:v>
      </x:c>
      <x:c r="F3088" s="7" t="str">
        <x:v>Manual</x:v>
      </x:c>
      <x:c r="G3088" s="7" t="str">
        <x:v>Mid-Size SUV</x:v>
      </x:c>
      <x:c r="H3088" s="7" t="n">
        <x:v>1956</x:v>
      </x:c>
      <x:c r="I3088" s="7" t="n">
        <x:v>168</x:v>
      </x:c>
      <x:c r="J3088" s="9" t="n">
        <x:v>16.8</x:v>
      </x:c>
      <x:c r="K3088" s="9" t="n">
        <x:v>15</x:v>
      </x:c>
      <x:c r="L3088" s="7" t="n">
        <x:v>2024</x:v>
      </x:c>
      <x:c r="M3088" s="11" t="n">
        <x:v>22265</x:v>
      </x:c>
      <x:c r="N3088" s="7" t="n">
        <x:v>1</x:v>
      </x:c>
      <x:c r="O3088" s="7" t="n">
        <x:v>0</x:v>
      </x:c>
      <x:c r="P3088" s="9" t="n">
        <x:v>12.09</x:v>
      </x:c>
      <x:c r="Q3088" s="7" t="n">
        <x:f>'Guide'!$B$5-L3088</x:f>
        <x:v>2</x:v>
      </x:c>
      <x:c r="R3088" s="9" t="n">
        <x:f>K3088-P3088</x:f>
        <x:v>2.91</x:v>
      </x:c>
      <x:c r="S3088" s="10" t="n">
        <x:f>IF(K3088&gt;0,R3088/K3088,"")</x:f>
        <x:v>0.194</x:v>
      </x:c>
    </x:row>
    <x:row r="3089">
      <x:c r="A3089" s="7" t="n">
        <x:v>3085</x:v>
      </x:c>
      <x:c r="B3089" s="7" t="str">
        <x:v>Tata</x:v>
      </x:c>
      <x:c r="C3089" s="7" t="str">
        <x:v>Harrier</x:v>
      </x:c>
      <x:c r="D3089" s="7" t="str">
        <x:v>Smart</x:v>
      </x:c>
      <x:c r="E3089" s="7" t="str">
        <x:v>Diesel</x:v>
      </x:c>
      <x:c r="F3089" s="7" t="str">
        <x:v>Manual</x:v>
      </x:c>
      <x:c r="G3089" s="7" t="str">
        <x:v>Mid-Size SUV</x:v>
      </x:c>
      <x:c r="H3089" s="7" t="n">
        <x:v>1956</x:v>
      </x:c>
      <x:c r="I3089" s="7" t="n">
        <x:v>168</x:v>
      </x:c>
      <x:c r="J3089" s="9" t="n">
        <x:v>16.8</x:v>
      </x:c>
      <x:c r="K3089" s="9" t="n">
        <x:v>15</x:v>
      </x:c>
      <x:c r="L3089" s="7" t="n">
        <x:v>2023</x:v>
      </x:c>
      <x:c r="M3089" s="11" t="n">
        <x:v>56770</x:v>
      </x:c>
      <x:c r="N3089" s="7" t="n">
        <x:v>1</x:v>
      </x:c>
      <x:c r="O3089" s="7" t="n">
        <x:v>0</x:v>
      </x:c>
      <x:c r="P3089" s="9" t="n">
        <x:v>10.33</x:v>
      </x:c>
      <x:c r="Q3089" s="7" t="n">
        <x:f>'Guide'!$B$5-L3089</x:f>
        <x:v>3</x:v>
      </x:c>
      <x:c r="R3089" s="9" t="n">
        <x:f>K3089-P3089</x:f>
        <x:v>4.67</x:v>
      </x:c>
      <x:c r="S3089" s="10" t="n">
        <x:f>IF(K3089&gt;0,R3089/K3089,"")</x:f>
        <x:v>0.31133333333333335</x:v>
      </x:c>
    </x:row>
    <x:row r="3090">
      <x:c r="A3090" s="7" t="n">
        <x:v>3086</x:v>
      </x:c>
      <x:c r="B3090" s="7" t="str">
        <x:v>Tata</x:v>
      </x:c>
      <x:c r="C3090" s="7" t="str">
        <x:v>Harrier</x:v>
      </x:c>
      <x:c r="D3090" s="7" t="str">
        <x:v>Smart</x:v>
      </x:c>
      <x:c r="E3090" s="7" t="str">
        <x:v>Diesel</x:v>
      </x:c>
      <x:c r="F3090" s="7" t="str">
        <x:v>Manual</x:v>
      </x:c>
      <x:c r="G3090" s="7" t="str">
        <x:v>Mid-Size SUV</x:v>
      </x:c>
      <x:c r="H3090" s="7" t="n">
        <x:v>1956</x:v>
      </x:c>
      <x:c r="I3090" s="7" t="n">
        <x:v>168</x:v>
      </x:c>
      <x:c r="J3090" s="9" t="n">
        <x:v>16.8</x:v>
      </x:c>
      <x:c r="K3090" s="9" t="n">
        <x:v>15</x:v>
      </x:c>
      <x:c r="L3090" s="7" t="n">
        <x:v>2021</x:v>
      </x:c>
      <x:c r="M3090" s="11" t="n">
        <x:v>106475</x:v>
      </x:c>
      <x:c r="N3090" s="7" t="n">
        <x:v>1</x:v>
      </x:c>
      <x:c r="O3090" s="7" t="n">
        <x:v>0</x:v>
      </x:c>
      <x:c r="P3090" s="9" t="n">
        <x:v>7.04</x:v>
      </x:c>
      <x:c r="Q3090" s="7" t="n">
        <x:f>'Guide'!$B$5-L3090</x:f>
        <x:v>5</x:v>
      </x:c>
      <x:c r="R3090" s="9" t="n">
        <x:f>K3090-P3090</x:f>
        <x:v>7.96</x:v>
      </x:c>
      <x:c r="S3090" s="10" t="n">
        <x:f>IF(K3090&gt;0,R3090/K3090,"")</x:f>
        <x:v>0.5306666666666666</x:v>
      </x:c>
    </x:row>
    <x:row r="3091">
      <x:c r="A3091" s="7" t="n">
        <x:v>3087</x:v>
      </x:c>
      <x:c r="B3091" s="7" t="str">
        <x:v>Tata</x:v>
      </x:c>
      <x:c r="C3091" s="7" t="str">
        <x:v>Harrier</x:v>
      </x:c>
      <x:c r="D3091" s="7" t="str">
        <x:v>Smart</x:v>
      </x:c>
      <x:c r="E3091" s="7" t="str">
        <x:v>Diesel</x:v>
      </x:c>
      <x:c r="F3091" s="7" t="str">
        <x:v>Manual</x:v>
      </x:c>
      <x:c r="G3091" s="7" t="str">
        <x:v>Mid-Size SUV</x:v>
      </x:c>
      <x:c r="H3091" s="7" t="n">
        <x:v>1956</x:v>
      </x:c>
      <x:c r="I3091" s="7" t="n">
        <x:v>168</x:v>
      </x:c>
      <x:c r="J3091" s="9" t="n">
        <x:v>16.8</x:v>
      </x:c>
      <x:c r="K3091" s="9" t="n">
        <x:v>15</x:v>
      </x:c>
      <x:c r="L3091" s="7" t="n">
        <x:v>2021</x:v>
      </x:c>
      <x:c r="M3091" s="11" t="n">
        <x:v>62900</x:v>
      </x:c>
      <x:c r="N3091" s="7" t="n">
        <x:v>1</x:v>
      </x:c>
      <x:c r="O3091" s="7" t="n">
        <x:v>0</x:v>
      </x:c>
      <x:c r="P3091" s="9" t="n">
        <x:v>8.04</x:v>
      </x:c>
      <x:c r="Q3091" s="7" t="n">
        <x:f>'Guide'!$B$5-L3091</x:f>
        <x:v>5</x:v>
      </x:c>
      <x:c r="R3091" s="9" t="n">
        <x:f>K3091-P3091</x:f>
        <x:v>6.960000000000001</x:v>
      </x:c>
      <x:c r="S3091" s="10" t="n">
        <x:f>IF(K3091&gt;0,R3091/K3091,"")</x:f>
        <x:v>0.4640000000000001</x:v>
      </x:c>
    </x:row>
    <x:row r="3092">
      <x:c r="A3092" s="7" t="n">
        <x:v>3088</x:v>
      </x:c>
      <x:c r="B3092" s="7" t="str">
        <x:v>Tata</x:v>
      </x:c>
      <x:c r="C3092" s="7" t="str">
        <x:v>Harrier</x:v>
      </x:c>
      <x:c r="D3092" s="7" t="str">
        <x:v>Smart</x:v>
      </x:c>
      <x:c r="E3092" s="7" t="str">
        <x:v>Diesel</x:v>
      </x:c>
      <x:c r="F3092" s="7" t="str">
        <x:v>Manual</x:v>
      </x:c>
      <x:c r="G3092" s="7" t="str">
        <x:v>Mid-Size SUV</x:v>
      </x:c>
      <x:c r="H3092" s="7" t="n">
        <x:v>1956</x:v>
      </x:c>
      <x:c r="I3092" s="7" t="n">
        <x:v>168</x:v>
      </x:c>
      <x:c r="J3092" s="9" t="n">
        <x:v>16.8</x:v>
      </x:c>
      <x:c r="K3092" s="9" t="n">
        <x:v>15</x:v>
      </x:c>
      <x:c r="L3092" s="7" t="n">
        <x:v>2025</x:v>
      </x:c>
      <x:c r="M3092" s="11" t="n">
        <x:v>26393</x:v>
      </x:c>
      <x:c r="N3092" s="7" t="n">
        <x:v>1</x:v>
      </x:c>
      <x:c r="O3092" s="7" t="n">
        <x:v>0</x:v>
      </x:c>
      <x:c r="P3092" s="9" t="n">
        <x:v>12.99</x:v>
      </x:c>
      <x:c r="Q3092" s="7" t="n">
        <x:f>'Guide'!$B$5-L3092</x:f>
        <x:v>1</x:v>
      </x:c>
      <x:c r="R3092" s="9" t="n">
        <x:f>K3092-P3092</x:f>
        <x:v>2.01</x:v>
      </x:c>
      <x:c r="S3092" s="10" t="n">
        <x:f>IF(K3092&gt;0,R3092/K3092,"")</x:f>
        <x:v>0.13399999999999998</x:v>
      </x:c>
    </x:row>
    <x:row r="3093">
      <x:c r="A3093" s="7" t="n">
        <x:v>3089</x:v>
      </x:c>
      <x:c r="B3093" s="7" t="str">
        <x:v>Tata</x:v>
      </x:c>
      <x:c r="C3093" s="7" t="str">
        <x:v>Harrier</x:v>
      </x:c>
      <x:c r="D3093" s="7" t="str">
        <x:v>Smart</x:v>
      </x:c>
      <x:c r="E3093" s="7" t="str">
        <x:v>Diesel</x:v>
      </x:c>
      <x:c r="F3093" s="7" t="str">
        <x:v>Manual</x:v>
      </x:c>
      <x:c r="G3093" s="7" t="str">
        <x:v>Mid-Size SUV</x:v>
      </x:c>
      <x:c r="H3093" s="7" t="n">
        <x:v>1956</x:v>
      </x:c>
      <x:c r="I3093" s="7" t="n">
        <x:v>168</x:v>
      </x:c>
      <x:c r="J3093" s="9" t="n">
        <x:v>16.8</x:v>
      </x:c>
      <x:c r="K3093" s="9" t="n">
        <x:v>15</x:v>
      </x:c>
      <x:c r="L3093" s="7" t="n">
        <x:v>2023</x:v>
      </x:c>
      <x:c r="M3093" s="11" t="n">
        <x:v>64140</x:v>
      </x:c>
      <x:c r="N3093" s="7" t="n">
        <x:v>1</x:v>
      </x:c>
      <x:c r="O3093" s="7" t="n">
        <x:v>0</x:v>
      </x:c>
      <x:c r="P3093" s="9" t="n">
        <x:v>10.14</x:v>
      </x:c>
      <x:c r="Q3093" s="7" t="n">
        <x:f>'Guide'!$B$5-L3093</x:f>
        <x:v>3</x:v>
      </x:c>
      <x:c r="R3093" s="9" t="n">
        <x:f>K3093-P3093</x:f>
        <x:v>4.859999999999999</x:v>
      </x:c>
      <x:c r="S3093" s="10" t="n">
        <x:f>IF(K3093&gt;0,R3093/K3093,"")</x:f>
        <x:v>0.32399999999999995</x:v>
      </x:c>
    </x:row>
    <x:row r="3094">
      <x:c r="A3094" s="7" t="n">
        <x:v>3090</x:v>
      </x:c>
      <x:c r="B3094" s="7" t="str">
        <x:v>Tata</x:v>
      </x:c>
      <x:c r="C3094" s="7" t="str">
        <x:v>Harrier</x:v>
      </x:c>
      <x:c r="D3094" s="7" t="str">
        <x:v>Smart</x:v>
      </x:c>
      <x:c r="E3094" s="7" t="str">
        <x:v>Diesel</x:v>
      </x:c>
      <x:c r="F3094" s="7" t="str">
        <x:v>Manual</x:v>
      </x:c>
      <x:c r="G3094" s="7" t="str">
        <x:v>Mid-Size SUV</x:v>
      </x:c>
      <x:c r="H3094" s="7" t="n">
        <x:v>1956</x:v>
      </x:c>
      <x:c r="I3094" s="7" t="n">
        <x:v>168</x:v>
      </x:c>
      <x:c r="J3094" s="9" t="n">
        <x:v>16.8</x:v>
      </x:c>
      <x:c r="K3094" s="9" t="n">
        <x:v>15</x:v>
      </x:c>
      <x:c r="L3094" s="7" t="n">
        <x:v>2025</x:v>
      </x:c>
      <x:c r="M3094" s="11" t="n">
        <x:v>22881</x:v>
      </x:c>
      <x:c r="N3094" s="7" t="n">
        <x:v>1</x:v>
      </x:c>
      <x:c r="O3094" s="7" t="n">
        <x:v>0</x:v>
      </x:c>
      <x:c r="P3094" s="9" t="n">
        <x:v>13.74</x:v>
      </x:c>
      <x:c r="Q3094" s="7" t="n">
        <x:f>'Guide'!$B$5-L3094</x:f>
        <x:v>1</x:v>
      </x:c>
      <x:c r="R3094" s="9" t="n">
        <x:f>K3094-P3094</x:f>
        <x:v>1.2599999999999998</x:v>
      </x:c>
      <x:c r="S3094" s="10" t="n">
        <x:f>IF(K3094&gt;0,R3094/K3094,"")</x:f>
        <x:v>0.08399999999999999</x:v>
      </x:c>
    </x:row>
    <x:row r="3095">
      <x:c r="A3095" s="7" t="n">
        <x:v>3091</x:v>
      </x:c>
      <x:c r="B3095" s="7" t="str">
        <x:v>Tata</x:v>
      </x:c>
      <x:c r="C3095" s="7" t="str">
        <x:v>Harrier</x:v>
      </x:c>
      <x:c r="D3095" s="7" t="str">
        <x:v>Smart</x:v>
      </x:c>
      <x:c r="E3095" s="7" t="str">
        <x:v>Diesel</x:v>
      </x:c>
      <x:c r="F3095" s="7" t="str">
        <x:v>Manual</x:v>
      </x:c>
      <x:c r="G3095" s="7" t="str">
        <x:v>Mid-Size SUV</x:v>
      </x:c>
      <x:c r="H3095" s="7" t="n">
        <x:v>1956</x:v>
      </x:c>
      <x:c r="I3095" s="7" t="n">
        <x:v>168</x:v>
      </x:c>
      <x:c r="J3095" s="9" t="n">
        <x:v>16.8</x:v>
      </x:c>
      <x:c r="K3095" s="9" t="n">
        <x:v>15</x:v>
      </x:c>
      <x:c r="L3095" s="7" t="n">
        <x:v>2024</x:v>
      </x:c>
      <x:c r="M3095" s="11" t="n">
        <x:v>30477</x:v>
      </x:c>
      <x:c r="N3095" s="7" t="n">
        <x:v>1</x:v>
      </x:c>
      <x:c r="O3095" s="7" t="n">
        <x:v>0</x:v>
      </x:c>
      <x:c r="P3095" s="9" t="n">
        <x:v>12.26</x:v>
      </x:c>
      <x:c r="Q3095" s="7" t="n">
        <x:f>'Guide'!$B$5-L3095</x:f>
        <x:v>2</x:v>
      </x:c>
      <x:c r="R3095" s="9" t="n">
        <x:f>K3095-P3095</x:f>
        <x:v>2.74</x:v>
      </x:c>
      <x:c r="S3095" s="10" t="n">
        <x:f>IF(K3095&gt;0,R3095/K3095,"")</x:f>
        <x:v>0.18266666666666667</x:v>
      </x:c>
    </x:row>
    <x:row r="3096">
      <x:c r="A3096" s="7" t="n">
        <x:v>3092</x:v>
      </x:c>
      <x:c r="B3096" s="7" t="str">
        <x:v>Tata</x:v>
      </x:c>
      <x:c r="C3096" s="7" t="str">
        <x:v>Harrier</x:v>
      </x:c>
      <x:c r="D3096" s="7" t="str">
        <x:v>Smart</x:v>
      </x:c>
      <x:c r="E3096" s="7" t="str">
        <x:v>Diesel</x:v>
      </x:c>
      <x:c r="F3096" s="7" t="str">
        <x:v>Manual</x:v>
      </x:c>
      <x:c r="G3096" s="7" t="str">
        <x:v>Mid-Size SUV</x:v>
      </x:c>
      <x:c r="H3096" s="7" t="n">
        <x:v>1956</x:v>
      </x:c>
      <x:c r="I3096" s="7" t="n">
        <x:v>168</x:v>
      </x:c>
      <x:c r="J3096" s="9" t="n">
        <x:v>16.8</x:v>
      </x:c>
      <x:c r="K3096" s="9" t="n">
        <x:v>15</x:v>
      </x:c>
      <x:c r="L3096" s="7" t="n">
        <x:v>2023</x:v>
      </x:c>
      <x:c r="M3096" s="11" t="n">
        <x:v>55148</x:v>
      </x:c>
      <x:c r="N3096" s="7" t="n">
        <x:v>1</x:v>
      </x:c>
      <x:c r="O3096" s="7" t="n">
        <x:v>0</x:v>
      </x:c>
      <x:c r="P3096" s="9" t="n">
        <x:v>10.67</x:v>
      </x:c>
      <x:c r="Q3096" s="7" t="n">
        <x:f>'Guide'!$B$5-L3096</x:f>
        <x:v>3</x:v>
      </x:c>
      <x:c r="R3096" s="9" t="n">
        <x:f>K3096-P3096</x:f>
        <x:v>4.33</x:v>
      </x:c>
      <x:c r="S3096" s="10" t="n">
        <x:f>IF(K3096&gt;0,R3096/K3096,"")</x:f>
        <x:v>0.2886666666666667</x:v>
      </x:c>
    </x:row>
    <x:row r="3097">
      <x:c r="A3097" s="7" t="n">
        <x:v>3093</x:v>
      </x:c>
      <x:c r="B3097" s="7" t="str">
        <x:v>Tata</x:v>
      </x:c>
      <x:c r="C3097" s="7" t="str">
        <x:v>Harrier</x:v>
      </x:c>
      <x:c r="D3097" s="7" t="str">
        <x:v>Smart</x:v>
      </x:c>
      <x:c r="E3097" s="7" t="str">
        <x:v>Diesel</x:v>
      </x:c>
      <x:c r="F3097" s="7" t="str">
        <x:v>Manual</x:v>
      </x:c>
      <x:c r="G3097" s="7" t="str">
        <x:v>Mid-Size SUV</x:v>
      </x:c>
      <x:c r="H3097" s="7" t="n">
        <x:v>1956</x:v>
      </x:c>
      <x:c r="I3097" s="7" t="n">
        <x:v>168</x:v>
      </x:c>
      <x:c r="J3097" s="9" t="n">
        <x:v>16.8</x:v>
      </x:c>
      <x:c r="K3097" s="9" t="n">
        <x:v>15</x:v>
      </x:c>
      <x:c r="L3097" s="7" t="n">
        <x:v>2026</x:v>
      </x:c>
      <x:c r="M3097" s="11" t="n">
        <x:v>6719</x:v>
      </x:c>
      <x:c r="N3097" s="7" t="n">
        <x:v>1</x:v>
      </x:c>
      <x:c r="O3097" s="7" t="n">
        <x:v>0</x:v>
      </x:c>
      <x:c r="P3097" s="9" t="n">
        <x:v>14.59</x:v>
      </x:c>
      <x:c r="Q3097" s="7" t="n">
        <x:f>'Guide'!$B$5-L3097</x:f>
        <x:v>0</x:v>
      </x:c>
      <x:c r="R3097" s="9" t="n">
        <x:f>K3097-P3097</x:f>
        <x:v>0.41000000000000014</x:v>
      </x:c>
      <x:c r="S3097" s="10" t="n">
        <x:f>IF(K3097&gt;0,R3097/K3097,"")</x:f>
        <x:v>0.02733333333333334</x:v>
      </x:c>
    </x:row>
    <x:row r="3098">
      <x:c r="A3098" s="7" t="n">
        <x:v>3094</x:v>
      </x:c>
      <x:c r="B3098" s="7" t="str">
        <x:v>Tata</x:v>
      </x:c>
      <x:c r="C3098" s="7" t="str">
        <x:v>Harrier</x:v>
      </x:c>
      <x:c r="D3098" s="7" t="str">
        <x:v>Smart</x:v>
      </x:c>
      <x:c r="E3098" s="7" t="str">
        <x:v>Diesel</x:v>
      </x:c>
      <x:c r="F3098" s="7" t="str">
        <x:v>Manual</x:v>
      </x:c>
      <x:c r="G3098" s="7" t="str">
        <x:v>Mid-Size SUV</x:v>
      </x:c>
      <x:c r="H3098" s="7" t="n">
        <x:v>1956</x:v>
      </x:c>
      <x:c r="I3098" s="7" t="n">
        <x:v>168</x:v>
      </x:c>
      <x:c r="J3098" s="9" t="n">
        <x:v>16.8</x:v>
      </x:c>
      <x:c r="K3098" s="9" t="n">
        <x:v>15</x:v>
      </x:c>
      <x:c r="L3098" s="7" t="n">
        <x:v>2026</x:v>
      </x:c>
      <x:c r="M3098" s="11" t="n">
        <x:v>8591</x:v>
      </x:c>
      <x:c r="N3098" s="7" t="n">
        <x:v>1</x:v>
      </x:c>
      <x:c r="O3098" s="7" t="n">
        <x:v>0</x:v>
      </x:c>
      <x:c r="P3098" s="9" t="n">
        <x:v>15.23</x:v>
      </x:c>
      <x:c r="Q3098" s="7" t="n">
        <x:f>'Guide'!$B$5-L3098</x:f>
        <x:v>0</x:v>
      </x:c>
      <x:c r="R3098" s="9" t="n">
        <x:f>K3098-P3098</x:f>
        <x:v>-0.23000000000000043</x:v>
      </x:c>
      <x:c r="S3098" s="10" t="n">
        <x:f>IF(K3098&gt;0,R3098/K3098,"")</x:f>
        <x:v>-0.015333333333333362</x:v>
      </x:c>
    </x:row>
    <x:row r="3099">
      <x:c r="A3099" s="7" t="n">
        <x:v>3095</x:v>
      </x:c>
      <x:c r="B3099" s="7" t="str">
        <x:v>Tata</x:v>
      </x:c>
      <x:c r="C3099" s="7" t="str">
        <x:v>Harrier</x:v>
      </x:c>
      <x:c r="D3099" s="7" t="str">
        <x:v>Smart</x:v>
      </x:c>
      <x:c r="E3099" s="7" t="str">
        <x:v>Diesel</x:v>
      </x:c>
      <x:c r="F3099" s="7" t="str">
        <x:v>Manual</x:v>
      </x:c>
      <x:c r="G3099" s="7" t="str">
        <x:v>Mid-Size SUV</x:v>
      </x:c>
      <x:c r="H3099" s="7" t="n">
        <x:v>1956</x:v>
      </x:c>
      <x:c r="I3099" s="7" t="n">
        <x:v>168</x:v>
      </x:c>
      <x:c r="J3099" s="9" t="n">
        <x:v>16.8</x:v>
      </x:c>
      <x:c r="K3099" s="9" t="n">
        <x:v>15</x:v>
      </x:c>
      <x:c r="L3099" s="7" t="n">
        <x:v>2022</x:v>
      </x:c>
      <x:c r="M3099" s="11" t="n">
        <x:v>82227</x:v>
      </x:c>
      <x:c r="N3099" s="7" t="n">
        <x:v>1</x:v>
      </x:c>
      <x:c r="O3099" s="7" t="n">
        <x:v>0</x:v>
      </x:c>
      <x:c r="P3099" s="9" t="n">
        <x:v>8.51</x:v>
      </x:c>
      <x:c r="Q3099" s="7" t="n">
        <x:f>'Guide'!$B$5-L3099</x:f>
        <x:v>4</x:v>
      </x:c>
      <x:c r="R3099" s="9" t="n">
        <x:f>K3099-P3099</x:f>
        <x:v>6.49</x:v>
      </x:c>
      <x:c r="S3099" s="10" t="n">
        <x:f>IF(K3099&gt;0,R3099/K3099,"")</x:f>
        <x:v>0.4326666666666667</x:v>
      </x:c>
    </x:row>
    <x:row r="3100">
      <x:c r="A3100" s="7" t="n">
        <x:v>3096</x:v>
      </x:c>
      <x:c r="B3100" s="7" t="str">
        <x:v>Tata</x:v>
      </x:c>
      <x:c r="C3100" s="7" t="str">
        <x:v>Harrier</x:v>
      </x:c>
      <x:c r="D3100" s="7" t="str">
        <x:v>Smart</x:v>
      </x:c>
      <x:c r="E3100" s="7" t="str">
        <x:v>Diesel</x:v>
      </x:c>
      <x:c r="F3100" s="7" t="str">
        <x:v>Manual</x:v>
      </x:c>
      <x:c r="G3100" s="7" t="str">
        <x:v>Mid-Size SUV</x:v>
      </x:c>
      <x:c r="H3100" s="7" t="n">
        <x:v>1956</x:v>
      </x:c>
      <x:c r="I3100" s="7" t="n">
        <x:v>168</x:v>
      </x:c>
      <x:c r="J3100" s="9" t="n">
        <x:v>16.8</x:v>
      </x:c>
      <x:c r="K3100" s="9" t="n">
        <x:v>15</x:v>
      </x:c>
      <x:c r="L3100" s="7" t="n">
        <x:v>2023</x:v>
      </x:c>
      <x:c r="M3100" s="11" t="n">
        <x:v>29723</x:v>
      </x:c>
      <x:c r="N3100" s="7" t="n">
        <x:v>1</x:v>
      </x:c>
      <x:c r="O3100" s="7" t="n">
        <x:v>0</x:v>
      </x:c>
      <x:c r="P3100" s="9" t="n">
        <x:v>10.48</x:v>
      </x:c>
      <x:c r="Q3100" s="7" t="n">
        <x:f>'Guide'!$B$5-L3100</x:f>
        <x:v>3</x:v>
      </x:c>
      <x:c r="R3100" s="9" t="n">
        <x:f>K3100-P3100</x:f>
        <x:v>4.52</x:v>
      </x:c>
      <x:c r="S3100" s="10" t="n">
        <x:f>IF(K3100&gt;0,R3100/K3100,"")</x:f>
        <x:v>0.3013333333333333</x:v>
      </x:c>
    </x:row>
    <x:row r="3101">
      <x:c r="A3101" s="7" t="n">
        <x:v>3097</x:v>
      </x:c>
      <x:c r="B3101" s="7" t="str">
        <x:v>Tata</x:v>
      </x:c>
      <x:c r="C3101" s="7" t="str">
        <x:v>Harrier</x:v>
      </x:c>
      <x:c r="D3101" s="7" t="str">
        <x:v>Smart</x:v>
      </x:c>
      <x:c r="E3101" s="7" t="str">
        <x:v>Diesel</x:v>
      </x:c>
      <x:c r="F3101" s="7" t="str">
        <x:v>Manual</x:v>
      </x:c>
      <x:c r="G3101" s="7" t="str">
        <x:v>Mid-Size SUV</x:v>
      </x:c>
      <x:c r="H3101" s="7" t="n">
        <x:v>1956</x:v>
      </x:c>
      <x:c r="I3101" s="7" t="n">
        <x:v>168</x:v>
      </x:c>
      <x:c r="J3101" s="9" t="n">
        <x:v>16.8</x:v>
      </x:c>
      <x:c r="K3101" s="9" t="n">
        <x:v>15</x:v>
      </x:c>
      <x:c r="L3101" s="7" t="n">
        <x:v>2022</x:v>
      </x:c>
      <x:c r="M3101" s="11" t="n">
        <x:v>78891</x:v>
      </x:c>
      <x:c r="N3101" s="7" t="n">
        <x:v>2</x:v>
      </x:c>
      <x:c r="O3101" s="7" t="n">
        <x:v>1</x:v>
      </x:c>
      <x:c r="P3101" s="9" t="n">
        <x:v>7.75</x:v>
      </x:c>
      <x:c r="Q3101" s="7" t="n">
        <x:f>'Guide'!$B$5-L3101</x:f>
        <x:v>4</x:v>
      </x:c>
      <x:c r="R3101" s="9" t="n">
        <x:f>K3101-P3101</x:f>
        <x:v>7.25</x:v>
      </x:c>
      <x:c r="S3101" s="10" t="n">
        <x:f>IF(K3101&gt;0,R3101/K3101,"")</x:f>
        <x:v>0.48333333333333334</x:v>
      </x:c>
    </x:row>
    <x:row r="3102">
      <x:c r="A3102" s="7" t="n">
        <x:v>3098</x:v>
      </x:c>
      <x:c r="B3102" s="7" t="str">
        <x:v>Tata</x:v>
      </x:c>
      <x:c r="C3102" s="7" t="str">
        <x:v>Harrier</x:v>
      </x:c>
      <x:c r="D3102" s="7" t="str">
        <x:v>Smart</x:v>
      </x:c>
      <x:c r="E3102" s="7" t="str">
        <x:v>Diesel</x:v>
      </x:c>
      <x:c r="F3102" s="7" t="str">
        <x:v>Manual</x:v>
      </x:c>
      <x:c r="G3102" s="7" t="str">
        <x:v>Mid-Size SUV</x:v>
      </x:c>
      <x:c r="H3102" s="7" t="n">
        <x:v>1956</x:v>
      </x:c>
      <x:c r="I3102" s="7" t="n">
        <x:v>168</x:v>
      </x:c>
      <x:c r="J3102" s="9" t="n">
        <x:v>16.8</x:v>
      </x:c>
      <x:c r="K3102" s="9" t="n">
        <x:v>15</x:v>
      </x:c>
      <x:c r="L3102" s="7" t="n">
        <x:v>2021</x:v>
      </x:c>
      <x:c r="M3102" s="11" t="n">
        <x:v>44442</x:v>
      </x:c>
      <x:c r="N3102" s="7" t="n">
        <x:v>1</x:v>
      </x:c>
      <x:c r="O3102" s="7" t="n">
        <x:v>0</x:v>
      </x:c>
      <x:c r="P3102" s="9" t="n">
        <x:v>8.31</x:v>
      </x:c>
      <x:c r="Q3102" s="7" t="n">
        <x:f>'Guide'!$B$5-L3102</x:f>
        <x:v>5</x:v>
      </x:c>
      <x:c r="R3102" s="9" t="n">
        <x:f>K3102-P3102</x:f>
        <x:v>6.6899999999999995</x:v>
      </x:c>
      <x:c r="S3102" s="10" t="n">
        <x:f>IF(K3102&gt;0,R3102/K3102,"")</x:f>
        <x:v>0.44599999999999995</x:v>
      </x:c>
    </x:row>
    <x:row r="3103">
      <x:c r="A3103" s="7" t="n">
        <x:v>3099</x:v>
      </x:c>
      <x:c r="B3103" s="7" t="str">
        <x:v>Tata</x:v>
      </x:c>
      <x:c r="C3103" s="7" t="str">
        <x:v>Harrier</x:v>
      </x:c>
      <x:c r="D3103" s="7" t="str">
        <x:v>Smart</x:v>
      </x:c>
      <x:c r="E3103" s="7" t="str">
        <x:v>Diesel</x:v>
      </x:c>
      <x:c r="F3103" s="7" t="str">
        <x:v>Manual</x:v>
      </x:c>
      <x:c r="G3103" s="7" t="str">
        <x:v>Mid-Size SUV</x:v>
      </x:c>
      <x:c r="H3103" s="7" t="n">
        <x:v>1956</x:v>
      </x:c>
      <x:c r="I3103" s="7" t="n">
        <x:v>168</x:v>
      </x:c>
      <x:c r="J3103" s="9" t="n">
        <x:v>16.8</x:v>
      </x:c>
      <x:c r="K3103" s="9" t="n">
        <x:v>15</x:v>
      </x:c>
      <x:c r="L3103" s="7" t="n">
        <x:v>2022</x:v>
      </x:c>
      <x:c r="M3103" s="11" t="n">
        <x:v>43602</x:v>
      </x:c>
      <x:c r="N3103" s="7" t="n">
        <x:v>1</x:v>
      </x:c>
      <x:c r="O3103" s="7" t="n">
        <x:v>0</x:v>
      </x:c>
      <x:c r="P3103" s="9" t="n">
        <x:v>9.8</x:v>
      </x:c>
      <x:c r="Q3103" s="7" t="n">
        <x:f>'Guide'!$B$5-L3103</x:f>
        <x:v>4</x:v>
      </x:c>
      <x:c r="R3103" s="9" t="n">
        <x:f>K3103-P3103</x:f>
        <x:v>5.199999999999999</x:v>
      </x:c>
      <x:c r="S3103" s="10" t="n">
        <x:f>IF(K3103&gt;0,R3103/K3103,"")</x:f>
        <x:v>0.3466666666666666</x:v>
      </x:c>
    </x:row>
    <x:row r="3104">
      <x:c r="A3104" s="7" t="n">
        <x:v>3100</x:v>
      </x:c>
      <x:c r="B3104" s="7" t="str">
        <x:v>Tata</x:v>
      </x:c>
      <x:c r="C3104" s="7" t="str">
        <x:v>Harrier</x:v>
      </x:c>
      <x:c r="D3104" s="7" t="str">
        <x:v>Smart</x:v>
      </x:c>
      <x:c r="E3104" s="7" t="str">
        <x:v>Diesel</x:v>
      </x:c>
      <x:c r="F3104" s="7" t="str">
        <x:v>Manual</x:v>
      </x:c>
      <x:c r="G3104" s="7" t="str">
        <x:v>Mid-Size SUV</x:v>
      </x:c>
      <x:c r="H3104" s="7" t="n">
        <x:v>1956</x:v>
      </x:c>
      <x:c r="I3104" s="7" t="n">
        <x:v>168</x:v>
      </x:c>
      <x:c r="J3104" s="9" t="n">
        <x:v>16.8</x:v>
      </x:c>
      <x:c r="K3104" s="9" t="n">
        <x:v>15</x:v>
      </x:c>
      <x:c r="L3104" s="7" t="n">
        <x:v>2024</x:v>
      </x:c>
      <x:c r="M3104" s="11" t="n">
        <x:v>24925</x:v>
      </x:c>
      <x:c r="N3104" s="7" t="n">
        <x:v>1</x:v>
      </x:c>
      <x:c r="O3104" s="7" t="n">
        <x:v>0</x:v>
      </x:c>
      <x:c r="P3104" s="9" t="n">
        <x:v>12.51</x:v>
      </x:c>
      <x:c r="Q3104" s="7" t="n">
        <x:f>'Guide'!$B$5-L3104</x:f>
        <x:v>2</x:v>
      </x:c>
      <x:c r="R3104" s="9" t="n">
        <x:f>K3104-P3104</x:f>
        <x:v>2.49</x:v>
      </x:c>
      <x:c r="S3104" s="10" t="n">
        <x:f>IF(K3104&gt;0,R3104/K3104,"")</x:f>
        <x:v>0.166</x:v>
      </x:c>
    </x:row>
    <x:row r="3105">
      <x:c r="A3105" s="7" t="n">
        <x:v>3101</x:v>
      </x:c>
      <x:c r="B3105" s="7" t="str">
        <x:v>Tata</x:v>
      </x:c>
      <x:c r="C3105" s="7" t="str">
        <x:v>Harrier</x:v>
      </x:c>
      <x:c r="D3105" s="7" t="str">
        <x:v>Smart</x:v>
      </x:c>
      <x:c r="E3105" s="7" t="str">
        <x:v>Diesel</x:v>
      </x:c>
      <x:c r="F3105" s="7" t="str">
        <x:v>Manual</x:v>
      </x:c>
      <x:c r="G3105" s="7" t="str">
        <x:v>Mid-Size SUV</x:v>
      </x:c>
      <x:c r="H3105" s="7" t="n">
        <x:v>1956</x:v>
      </x:c>
      <x:c r="I3105" s="7" t="n">
        <x:v>168</x:v>
      </x:c>
      <x:c r="J3105" s="9" t="n">
        <x:v>16.8</x:v>
      </x:c>
      <x:c r="K3105" s="9" t="n">
        <x:v>15</x:v>
      </x:c>
      <x:c r="L3105" s="7" t="n">
        <x:v>2026</x:v>
      </x:c>
      <x:c r="M3105" s="11" t="n">
        <x:v>8805</x:v>
      </x:c>
      <x:c r="N3105" s="7" t="n">
        <x:v>1</x:v>
      </x:c>
      <x:c r="O3105" s="7" t="n">
        <x:v>0</x:v>
      </x:c>
      <x:c r="P3105" s="9" t="n">
        <x:v>14.51</x:v>
      </x:c>
      <x:c r="Q3105" s="7" t="n">
        <x:f>'Guide'!$B$5-L3105</x:f>
        <x:v>0</x:v>
      </x:c>
      <x:c r="R3105" s="9" t="n">
        <x:f>K3105-P3105</x:f>
        <x:v>0.4900000000000002</x:v>
      </x:c>
      <x:c r="S3105" s="10" t="n">
        <x:f>IF(K3105&gt;0,R3105/K3105,"")</x:f>
        <x:v>0.032666666666666684</x:v>
      </x:c>
    </x:row>
    <x:row r="3106">
      <x:c r="A3106" s="7" t="n">
        <x:v>3102</x:v>
      </x:c>
      <x:c r="B3106" s="7" t="str">
        <x:v>Tata</x:v>
      </x:c>
      <x:c r="C3106" s="7" t="str">
        <x:v>Harrier</x:v>
      </x:c>
      <x:c r="D3106" s="7" t="str">
        <x:v>Smart</x:v>
      </x:c>
      <x:c r="E3106" s="7" t="str">
        <x:v>Diesel</x:v>
      </x:c>
      <x:c r="F3106" s="7" t="str">
        <x:v>Manual</x:v>
      </x:c>
      <x:c r="G3106" s="7" t="str">
        <x:v>Mid-Size SUV</x:v>
      </x:c>
      <x:c r="H3106" s="7" t="n">
        <x:v>1956</x:v>
      </x:c>
      <x:c r="I3106" s="7" t="n">
        <x:v>168</x:v>
      </x:c>
      <x:c r="J3106" s="9" t="n">
        <x:v>16.8</x:v>
      </x:c>
      <x:c r="K3106" s="9" t="n">
        <x:v>15</x:v>
      </x:c>
      <x:c r="L3106" s="7" t="n">
        <x:v>2024</x:v>
      </x:c>
      <x:c r="M3106" s="11" t="n">
        <x:v>24413</x:v>
      </x:c>
      <x:c r="N3106" s="7" t="n">
        <x:v>1</x:v>
      </x:c>
      <x:c r="O3106" s="7" t="n">
        <x:v>0</x:v>
      </x:c>
      <x:c r="P3106" s="9" t="n">
        <x:v>11.84</x:v>
      </x:c>
      <x:c r="Q3106" s="7" t="n">
        <x:f>'Guide'!$B$5-L3106</x:f>
        <x:v>2</x:v>
      </x:c>
      <x:c r="R3106" s="9" t="n">
        <x:f>K3106-P3106</x:f>
        <x:v>3.16</x:v>
      </x:c>
      <x:c r="S3106" s="10" t="n">
        <x:f>IF(K3106&gt;0,R3106/K3106,"")</x:f>
        <x:v>0.21066666666666667</x:v>
      </x:c>
    </x:row>
    <x:row r="3107">
      <x:c r="A3107" s="7" t="n">
        <x:v>3103</x:v>
      </x:c>
      <x:c r="B3107" s="7" t="str">
        <x:v>Tata</x:v>
      </x:c>
      <x:c r="C3107" s="7" t="str">
        <x:v>Harrier</x:v>
      </x:c>
      <x:c r="D3107" s="7" t="str">
        <x:v>Smart</x:v>
      </x:c>
      <x:c r="E3107" s="7" t="str">
        <x:v>Diesel</x:v>
      </x:c>
      <x:c r="F3107" s="7" t="str">
        <x:v>Manual</x:v>
      </x:c>
      <x:c r="G3107" s="7" t="str">
        <x:v>Mid-Size SUV</x:v>
      </x:c>
      <x:c r="H3107" s="7" t="n">
        <x:v>1956</x:v>
      </x:c>
      <x:c r="I3107" s="7" t="n">
        <x:v>168</x:v>
      </x:c>
      <x:c r="J3107" s="9" t="n">
        <x:v>16.8</x:v>
      </x:c>
      <x:c r="K3107" s="9" t="n">
        <x:v>15</x:v>
      </x:c>
      <x:c r="L3107" s="7" t="n">
        <x:v>2022</x:v>
      </x:c>
      <x:c r="M3107" s="11" t="n">
        <x:v>50433</x:v>
      </x:c>
      <x:c r="N3107" s="7" t="n">
        <x:v>1</x:v>
      </x:c>
      <x:c r="O3107" s="7" t="n">
        <x:v>1</x:v>
      </x:c>
      <x:c r="P3107" s="9" t="n">
        <x:v>8.75</x:v>
      </x:c>
      <x:c r="Q3107" s="7" t="n">
        <x:f>'Guide'!$B$5-L3107</x:f>
        <x:v>4</x:v>
      </x:c>
      <x:c r="R3107" s="9" t="n">
        <x:f>K3107-P3107</x:f>
        <x:v>6.25</x:v>
      </x:c>
      <x:c r="S3107" s="10" t="n">
        <x:f>IF(K3107&gt;0,R3107/K3107,"")</x:f>
        <x:v>0.4166666666666667</x:v>
      </x:c>
    </x:row>
    <x:row r="3108">
      <x:c r="A3108" s="7" t="n">
        <x:v>3104</x:v>
      </x:c>
      <x:c r="B3108" s="7" t="str">
        <x:v>Tata</x:v>
      </x:c>
      <x:c r="C3108" s="7" t="str">
        <x:v>Harrier</x:v>
      </x:c>
      <x:c r="D3108" s="7" t="str">
        <x:v>Smart</x:v>
      </x:c>
      <x:c r="E3108" s="7" t="str">
        <x:v>Diesel</x:v>
      </x:c>
      <x:c r="F3108" s="7" t="str">
        <x:v>Manual</x:v>
      </x:c>
      <x:c r="G3108" s="7" t="str">
        <x:v>Mid-Size SUV</x:v>
      </x:c>
      <x:c r="H3108" s="7" t="n">
        <x:v>1956</x:v>
      </x:c>
      <x:c r="I3108" s="7" t="n">
        <x:v>168</x:v>
      </x:c>
      <x:c r="J3108" s="9" t="n">
        <x:v>16.8</x:v>
      </x:c>
      <x:c r="K3108" s="9" t="n">
        <x:v>15</x:v>
      </x:c>
      <x:c r="L3108" s="7" t="n">
        <x:v>2023</x:v>
      </x:c>
      <x:c r="M3108" s="11" t="n">
        <x:v>30418</x:v>
      </x:c>
      <x:c r="N3108" s="7" t="n">
        <x:v>2</x:v>
      </x:c>
      <x:c r="O3108" s="7" t="n">
        <x:v>0</x:v>
      </x:c>
      <x:c r="P3108" s="9" t="n">
        <x:v>10.26</x:v>
      </x:c>
      <x:c r="Q3108" s="7" t="n">
        <x:f>'Guide'!$B$5-L3108</x:f>
        <x:v>3</x:v>
      </x:c>
      <x:c r="R3108" s="9" t="n">
        <x:f>K3108-P3108</x:f>
        <x:v>4.74</x:v>
      </x:c>
      <x:c r="S3108" s="10" t="n">
        <x:f>IF(K3108&gt;0,R3108/K3108,"")</x:f>
        <x:v>0.316</x:v>
      </x:c>
    </x:row>
    <x:row r="3109">
      <x:c r="A3109" s="7" t="n">
        <x:v>3105</x:v>
      </x:c>
      <x:c r="B3109" s="7" t="str">
        <x:v>Tata</x:v>
      </x:c>
      <x:c r="C3109" s="7" t="str">
        <x:v>Harrier</x:v>
      </x:c>
      <x:c r="D3109" s="7" t="str">
        <x:v>Smart</x:v>
      </x:c>
      <x:c r="E3109" s="7" t="str">
        <x:v>Diesel</x:v>
      </x:c>
      <x:c r="F3109" s="7" t="str">
        <x:v>Manual</x:v>
      </x:c>
      <x:c r="G3109" s="7" t="str">
        <x:v>Mid-Size SUV</x:v>
      </x:c>
      <x:c r="H3109" s="7" t="n">
        <x:v>1956</x:v>
      </x:c>
      <x:c r="I3109" s="7" t="n">
        <x:v>168</x:v>
      </x:c>
      <x:c r="J3109" s="9" t="n">
        <x:v>16.8</x:v>
      </x:c>
      <x:c r="K3109" s="9" t="n">
        <x:v>15</x:v>
      </x:c>
      <x:c r="L3109" s="7" t="n">
        <x:v>2024</x:v>
      </x:c>
      <x:c r="M3109" s="11" t="n">
        <x:v>44375</x:v>
      </x:c>
      <x:c r="N3109" s="7" t="n">
        <x:v>1</x:v>
      </x:c>
      <x:c r="O3109" s="7" t="n">
        <x:v>0</x:v>
      </x:c>
      <x:c r="P3109" s="9" t="n">
        <x:v>11.6</x:v>
      </x:c>
      <x:c r="Q3109" s="7" t="n">
        <x:f>'Guide'!$B$5-L3109</x:f>
        <x:v>2</x:v>
      </x:c>
      <x:c r="R3109" s="9" t="n">
        <x:f>K3109-P3109</x:f>
        <x:v>3.4000000000000004</x:v>
      </x:c>
      <x:c r="S3109" s="10" t="n">
        <x:f>IF(K3109&gt;0,R3109/K3109,"")</x:f>
        <x:v>0.22666666666666668</x:v>
      </x:c>
    </x:row>
    <x:row r="3110">
      <x:c r="A3110" s="7" t="n">
        <x:v>3106</x:v>
      </x:c>
      <x:c r="B3110" s="7" t="str">
        <x:v>Tata</x:v>
      </x:c>
      <x:c r="C3110" s="7" t="str">
        <x:v>Harrier</x:v>
      </x:c>
      <x:c r="D3110" s="7" t="str">
        <x:v>Smart</x:v>
      </x:c>
      <x:c r="E3110" s="7" t="str">
        <x:v>Diesel</x:v>
      </x:c>
      <x:c r="F3110" s="7" t="str">
        <x:v>Manual</x:v>
      </x:c>
      <x:c r="G3110" s="7" t="str">
        <x:v>Mid-Size SUV</x:v>
      </x:c>
      <x:c r="H3110" s="7" t="n">
        <x:v>1956</x:v>
      </x:c>
      <x:c r="I3110" s="7" t="n">
        <x:v>168</x:v>
      </x:c>
      <x:c r="J3110" s="9" t="n">
        <x:v>16.8</x:v>
      </x:c>
      <x:c r="K3110" s="9" t="n">
        <x:v>15</x:v>
      </x:c>
      <x:c r="L3110" s="7" t="n">
        <x:v>2022</x:v>
      </x:c>
      <x:c r="M3110" s="11" t="n">
        <x:v>49103</x:v>
      </x:c>
      <x:c r="N3110" s="7" t="n">
        <x:v>1</x:v>
      </x:c>
      <x:c r="O3110" s="7" t="n">
        <x:v>0</x:v>
      </x:c>
      <x:c r="P3110" s="9" t="n">
        <x:v>9.68</x:v>
      </x:c>
      <x:c r="Q3110" s="7" t="n">
        <x:f>'Guide'!$B$5-L3110</x:f>
        <x:v>4</x:v>
      </x:c>
      <x:c r="R3110" s="9" t="n">
        <x:f>K3110-P3110</x:f>
        <x:v>5.32</x:v>
      </x:c>
      <x:c r="S3110" s="10" t="n">
        <x:f>IF(K3110&gt;0,R3110/K3110,"")</x:f>
        <x:v>0.3546666666666667</x:v>
      </x:c>
    </x:row>
    <x:row r="3111">
      <x:c r="A3111" s="7" t="n">
        <x:v>3107</x:v>
      </x:c>
      <x:c r="B3111" s="7" t="str">
        <x:v>Tata</x:v>
      </x:c>
      <x:c r="C3111" s="7" t="str">
        <x:v>Harrier</x:v>
      </x:c>
      <x:c r="D3111" s="7" t="str">
        <x:v>Smart</x:v>
      </x:c>
      <x:c r="E3111" s="7" t="str">
        <x:v>Diesel</x:v>
      </x:c>
      <x:c r="F3111" s="7" t="str">
        <x:v>Manual</x:v>
      </x:c>
      <x:c r="G3111" s="7" t="str">
        <x:v>Mid-Size SUV</x:v>
      </x:c>
      <x:c r="H3111" s="7" t="n">
        <x:v>1956</x:v>
      </x:c>
      <x:c r="I3111" s="7" t="n">
        <x:v>168</x:v>
      </x:c>
      <x:c r="J3111" s="9" t="n">
        <x:v>16.8</x:v>
      </x:c>
      <x:c r="K3111" s="9" t="n">
        <x:v>15</x:v>
      </x:c>
      <x:c r="L3111" s="7" t="n">
        <x:v>2021</x:v>
      </x:c>
      <x:c r="M3111" s="11" t="n">
        <x:v>70451</x:v>
      </x:c>
      <x:c r="N3111" s="7" t="n">
        <x:v>1</x:v>
      </x:c>
      <x:c r="O3111" s="7" t="n">
        <x:v>1</x:v>
      </x:c>
      <x:c r="P3111" s="9" t="n">
        <x:v>7.14</x:v>
      </x:c>
      <x:c r="Q3111" s="7" t="n">
        <x:f>'Guide'!$B$5-L3111</x:f>
        <x:v>5</x:v>
      </x:c>
      <x:c r="R3111" s="9" t="n">
        <x:f>K3111-P3111</x:f>
        <x:v>7.86</x:v>
      </x:c>
      <x:c r="S3111" s="10" t="n">
        <x:f>IF(K3111&gt;0,R3111/K3111,"")</x:f>
        <x:v>0.524</x:v>
      </x:c>
    </x:row>
    <x:row r="3112">
      <x:c r="A3112" s="7" t="n">
        <x:v>3108</x:v>
      </x:c>
      <x:c r="B3112" s="7" t="str">
        <x:v>Tata</x:v>
      </x:c>
      <x:c r="C3112" s="7" t="str">
        <x:v>Harrier</x:v>
      </x:c>
      <x:c r="D3112" s="7" t="str">
        <x:v>Smart</x:v>
      </x:c>
      <x:c r="E3112" s="7" t="str">
        <x:v>Diesel</x:v>
      </x:c>
      <x:c r="F3112" s="7" t="str">
        <x:v>Manual</x:v>
      </x:c>
      <x:c r="G3112" s="7" t="str">
        <x:v>Mid-Size SUV</x:v>
      </x:c>
      <x:c r="H3112" s="7" t="n">
        <x:v>1956</x:v>
      </x:c>
      <x:c r="I3112" s="7" t="n">
        <x:v>168</x:v>
      </x:c>
      <x:c r="J3112" s="9" t="n">
        <x:v>16.8</x:v>
      </x:c>
      <x:c r="K3112" s="9" t="n">
        <x:v>15</x:v>
      </x:c>
      <x:c r="L3112" s="7" t="n">
        <x:v>2022</x:v>
      </x:c>
      <x:c r="M3112" s="11" t="n">
        <x:v>72912</x:v>
      </x:c>
      <x:c r="N3112" s="7" t="n">
        <x:v>1</x:v>
      </x:c>
      <x:c r="O3112" s="7" t="n">
        <x:v>0</x:v>
      </x:c>
      <x:c r="P3112" s="9" t="n">
        <x:v>9.07</x:v>
      </x:c>
      <x:c r="Q3112" s="7" t="n">
        <x:f>'Guide'!$B$5-L3112</x:f>
        <x:v>4</x:v>
      </x:c>
      <x:c r="R3112" s="9" t="n">
        <x:f>K3112-P3112</x:f>
        <x:v>5.93</x:v>
      </x:c>
      <x:c r="S3112" s="10" t="n">
        <x:f>IF(K3112&gt;0,R3112/K3112,"")</x:f>
        <x:v>0.3953333333333333</x:v>
      </x:c>
    </x:row>
    <x:row r="3113">
      <x:c r="A3113" s="7" t="n">
        <x:v>3109</x:v>
      </x:c>
      <x:c r="B3113" s="7" t="str">
        <x:v>Tata</x:v>
      </x:c>
      <x:c r="C3113" s="7" t="str">
        <x:v>Harrier</x:v>
      </x:c>
      <x:c r="D3113" s="7" t="str">
        <x:v>Smart</x:v>
      </x:c>
      <x:c r="E3113" s="7" t="str">
        <x:v>Diesel</x:v>
      </x:c>
      <x:c r="F3113" s="7" t="str">
        <x:v>Manual</x:v>
      </x:c>
      <x:c r="G3113" s="7" t="str">
        <x:v>Mid-Size SUV</x:v>
      </x:c>
      <x:c r="H3113" s="7" t="n">
        <x:v>1956</x:v>
      </x:c>
      <x:c r="I3113" s="7" t="n">
        <x:v>168</x:v>
      </x:c>
      <x:c r="J3113" s="9" t="n">
        <x:v>16.8</x:v>
      </x:c>
      <x:c r="K3113" s="9" t="n">
        <x:v>15</x:v>
      </x:c>
      <x:c r="L3113" s="7" t="n">
        <x:v>2021</x:v>
      </x:c>
      <x:c r="M3113" s="11" t="n">
        <x:v>74405</x:v>
      </x:c>
      <x:c r="N3113" s="7" t="n">
        <x:v>2</x:v>
      </x:c>
      <x:c r="O3113" s="7" t="n">
        <x:v>0</x:v>
      </x:c>
      <x:c r="P3113" s="9" t="n">
        <x:v>7.06</x:v>
      </x:c>
      <x:c r="Q3113" s="7" t="n">
        <x:f>'Guide'!$B$5-L3113</x:f>
        <x:v>5</x:v>
      </x:c>
      <x:c r="R3113" s="9" t="n">
        <x:f>K3113-P3113</x:f>
        <x:v>7.94</x:v>
      </x:c>
      <x:c r="S3113" s="10" t="n">
        <x:f>IF(K3113&gt;0,R3113/K3113,"")</x:f>
        <x:v>0.5293333333333333</x:v>
      </x:c>
    </x:row>
    <x:row r="3114">
      <x:c r="A3114" s="7" t="n">
        <x:v>3110</x:v>
      </x:c>
      <x:c r="B3114" s="7" t="str">
        <x:v>Tata</x:v>
      </x:c>
      <x:c r="C3114" s="7" t="str">
        <x:v>Harrier</x:v>
      </x:c>
      <x:c r="D3114" s="7" t="str">
        <x:v>Smart</x:v>
      </x:c>
      <x:c r="E3114" s="7" t="str">
        <x:v>Diesel</x:v>
      </x:c>
      <x:c r="F3114" s="7" t="str">
        <x:v>Manual</x:v>
      </x:c>
      <x:c r="G3114" s="7" t="str">
        <x:v>Mid-Size SUV</x:v>
      </x:c>
      <x:c r="H3114" s="7" t="n">
        <x:v>1956</x:v>
      </x:c>
      <x:c r="I3114" s="7" t="n">
        <x:v>168</x:v>
      </x:c>
      <x:c r="J3114" s="9" t="n">
        <x:v>16.8</x:v>
      </x:c>
      <x:c r="K3114" s="9" t="n">
        <x:v>15</x:v>
      </x:c>
      <x:c r="L3114" s="7" t="n">
        <x:v>2024</x:v>
      </x:c>
      <x:c r="M3114" s="11" t="n">
        <x:v>47659</x:v>
      </x:c>
      <x:c r="N3114" s="7" t="n">
        <x:v>2</x:v>
      </x:c>
      <x:c r="O3114" s="7" t="n">
        <x:v>0</x:v>
      </x:c>
      <x:c r="P3114" s="9" t="n">
        <x:v>10.97</x:v>
      </x:c>
      <x:c r="Q3114" s="7" t="n">
        <x:f>'Guide'!$B$5-L3114</x:f>
        <x:v>2</x:v>
      </x:c>
      <x:c r="R3114" s="9" t="n">
        <x:f>K3114-P3114</x:f>
        <x:v>4.029999999999999</x:v>
      </x:c>
      <x:c r="S3114" s="10" t="n">
        <x:f>IF(K3114&gt;0,R3114/K3114,"")</x:f>
        <x:v>0.2686666666666666</x:v>
      </x:c>
    </x:row>
    <x:row r="3115">
      <x:c r="A3115" s="7" t="n">
        <x:v>3111</x:v>
      </x:c>
      <x:c r="B3115" s="7" t="str">
        <x:v>Tata</x:v>
      </x:c>
      <x:c r="C3115" s="7" t="str">
        <x:v>Harrier</x:v>
      </x:c>
      <x:c r="D3115" s="7" t="str">
        <x:v>Smart</x:v>
      </x:c>
      <x:c r="E3115" s="7" t="str">
        <x:v>Diesel</x:v>
      </x:c>
      <x:c r="F3115" s="7" t="str">
        <x:v>Manual</x:v>
      </x:c>
      <x:c r="G3115" s="7" t="str">
        <x:v>Mid-Size SUV</x:v>
      </x:c>
      <x:c r="H3115" s="7" t="n">
        <x:v>1956</x:v>
      </x:c>
      <x:c r="I3115" s="7" t="n">
        <x:v>168</x:v>
      </x:c>
      <x:c r="J3115" s="9" t="n">
        <x:v>16.8</x:v>
      </x:c>
      <x:c r="K3115" s="9" t="n">
        <x:v>15</x:v>
      </x:c>
      <x:c r="L3115" s="7" t="n">
        <x:v>2022</x:v>
      </x:c>
      <x:c r="M3115" s="11" t="n">
        <x:v>45336</x:v>
      </x:c>
      <x:c r="N3115" s="7" t="n">
        <x:v>1</x:v>
      </x:c>
      <x:c r="O3115" s="7" t="n">
        <x:v>0</x:v>
      </x:c>
      <x:c r="P3115" s="9" t="n">
        <x:v>9.36</x:v>
      </x:c>
      <x:c r="Q3115" s="7" t="n">
        <x:f>'Guide'!$B$5-L3115</x:f>
        <x:v>4</x:v>
      </x:c>
      <x:c r="R3115" s="9" t="n">
        <x:f>K3115-P3115</x:f>
        <x:v>5.640000000000001</x:v>
      </x:c>
      <x:c r="S3115" s="10" t="n">
        <x:f>IF(K3115&gt;0,R3115/K3115,"")</x:f>
        <x:v>0.37600000000000006</x:v>
      </x:c>
    </x:row>
    <x:row r="3116">
      <x:c r="A3116" s="7" t="n">
        <x:v>3112</x:v>
      </x:c>
      <x:c r="B3116" s="7" t="str">
        <x:v>Tata</x:v>
      </x:c>
      <x:c r="C3116" s="7" t="str">
        <x:v>Harrier</x:v>
      </x:c>
      <x:c r="D3116" s="7" t="str">
        <x:v>Smart</x:v>
      </x:c>
      <x:c r="E3116" s="7" t="str">
        <x:v>Diesel</x:v>
      </x:c>
      <x:c r="F3116" s="7" t="str">
        <x:v>Manual</x:v>
      </x:c>
      <x:c r="G3116" s="7" t="str">
        <x:v>Mid-Size SUV</x:v>
      </x:c>
      <x:c r="H3116" s="7" t="n">
        <x:v>1956</x:v>
      </x:c>
      <x:c r="I3116" s="7" t="n">
        <x:v>168</x:v>
      </x:c>
      <x:c r="J3116" s="9" t="n">
        <x:v>16.8</x:v>
      </x:c>
      <x:c r="K3116" s="9" t="n">
        <x:v>15</x:v>
      </x:c>
      <x:c r="L3116" s="7" t="n">
        <x:v>2022</x:v>
      </x:c>
      <x:c r="M3116" s="11" t="n">
        <x:v>47807</x:v>
      </x:c>
      <x:c r="N3116" s="7" t="n">
        <x:v>3</x:v>
      </x:c>
      <x:c r="O3116" s="7" t="n">
        <x:v>0</x:v>
      </x:c>
      <x:c r="P3116" s="9" t="n">
        <x:v>8.79</x:v>
      </x:c>
      <x:c r="Q3116" s="7" t="n">
        <x:f>'Guide'!$B$5-L3116</x:f>
        <x:v>4</x:v>
      </x:c>
      <x:c r="R3116" s="9" t="n">
        <x:f>K3116-P3116</x:f>
        <x:v>6.210000000000001</x:v>
      </x:c>
      <x:c r="S3116" s="10" t="n">
        <x:f>IF(K3116&gt;0,R3116/K3116,"")</x:f>
        <x:v>0.41400000000000003</x:v>
      </x:c>
    </x:row>
    <x:row r="3117">
      <x:c r="A3117" s="7" t="n">
        <x:v>3113</x:v>
      </x:c>
      <x:c r="B3117" s="7" t="str">
        <x:v>Tata</x:v>
      </x:c>
      <x:c r="C3117" s="7" t="str">
        <x:v>Harrier</x:v>
      </x:c>
      <x:c r="D3117" s="7" t="str">
        <x:v>Smart</x:v>
      </x:c>
      <x:c r="E3117" s="7" t="str">
        <x:v>Diesel</x:v>
      </x:c>
      <x:c r="F3117" s="7" t="str">
        <x:v>Manual</x:v>
      </x:c>
      <x:c r="G3117" s="7" t="str">
        <x:v>Mid-Size SUV</x:v>
      </x:c>
      <x:c r="H3117" s="7" t="n">
        <x:v>1956</x:v>
      </x:c>
      <x:c r="I3117" s="7" t="n">
        <x:v>168</x:v>
      </x:c>
      <x:c r="J3117" s="9" t="n">
        <x:v>16.8</x:v>
      </x:c>
      <x:c r="K3117" s="9" t="n">
        <x:v>15</x:v>
      </x:c>
      <x:c r="L3117" s="7" t="n">
        <x:v>2025</x:v>
      </x:c>
      <x:c r="M3117" s="11" t="n">
        <x:v>22535</x:v>
      </x:c>
      <x:c r="N3117" s="7" t="n">
        <x:v>1</x:v>
      </x:c>
      <x:c r="O3117" s="7" t="n">
        <x:v>0</x:v>
      </x:c>
      <x:c r="P3117" s="9" t="n">
        <x:v>13.07</x:v>
      </x:c>
      <x:c r="Q3117" s="7" t="n">
        <x:f>'Guide'!$B$5-L3117</x:f>
        <x:v>1</x:v>
      </x:c>
      <x:c r="R3117" s="9" t="n">
        <x:f>K3117-P3117</x:f>
        <x:v>1.9299999999999997</x:v>
      </x:c>
      <x:c r="S3117" s="10" t="n">
        <x:f>IF(K3117&gt;0,R3117/K3117,"")</x:f>
        <x:v>0.12866666666666665</x:v>
      </x:c>
    </x:row>
    <x:row r="3118">
      <x:c r="A3118" s="7" t="n">
        <x:v>3114</x:v>
      </x:c>
      <x:c r="B3118" s="7" t="str">
        <x:v>Tata</x:v>
      </x:c>
      <x:c r="C3118" s="7" t="str">
        <x:v>Harrier</x:v>
      </x:c>
      <x:c r="D3118" s="7" t="str">
        <x:v>Smart</x:v>
      </x:c>
      <x:c r="E3118" s="7" t="str">
        <x:v>Diesel</x:v>
      </x:c>
      <x:c r="F3118" s="7" t="str">
        <x:v>Manual</x:v>
      </x:c>
      <x:c r="G3118" s="7" t="str">
        <x:v>Mid-Size SUV</x:v>
      </x:c>
      <x:c r="H3118" s="7" t="n">
        <x:v>1956</x:v>
      </x:c>
      <x:c r="I3118" s="7" t="n">
        <x:v>168</x:v>
      </x:c>
      <x:c r="J3118" s="9" t="n">
        <x:v>16.8</x:v>
      </x:c>
      <x:c r="K3118" s="9" t="n">
        <x:v>15</x:v>
      </x:c>
      <x:c r="L3118" s="7" t="n">
        <x:v>2025</x:v>
      </x:c>
      <x:c r="M3118" s="11" t="n">
        <x:v>27224</x:v>
      </x:c>
      <x:c r="N3118" s="7" t="n">
        <x:v>1</x:v>
      </x:c>
      <x:c r="O3118" s="7" t="n">
        <x:v>0</x:v>
      </x:c>
      <x:c r="P3118" s="9" t="n">
        <x:v>13.05</x:v>
      </x:c>
      <x:c r="Q3118" s="7" t="n">
        <x:f>'Guide'!$B$5-L3118</x:f>
        <x:v>1</x:v>
      </x:c>
      <x:c r="R3118" s="9" t="n">
        <x:f>K3118-P3118</x:f>
        <x:v>1.9499999999999993</x:v>
      </x:c>
      <x:c r="S3118" s="10" t="n">
        <x:f>IF(K3118&gt;0,R3118/K3118,"")</x:f>
        <x:v>0.12999999999999995</x:v>
      </x:c>
    </x:row>
    <x:row r="3119">
      <x:c r="A3119" s="7" t="n">
        <x:v>3115</x:v>
      </x:c>
      <x:c r="B3119" s="7" t="str">
        <x:v>Tata</x:v>
      </x:c>
      <x:c r="C3119" s="7" t="str">
        <x:v>Harrier</x:v>
      </x:c>
      <x:c r="D3119" s="7" t="str">
        <x:v>Smart</x:v>
      </x:c>
      <x:c r="E3119" s="7" t="str">
        <x:v>Diesel</x:v>
      </x:c>
      <x:c r="F3119" s="7" t="str">
        <x:v>Manual</x:v>
      </x:c>
      <x:c r="G3119" s="7" t="str">
        <x:v>Mid-Size SUV</x:v>
      </x:c>
      <x:c r="H3119" s="7" t="n">
        <x:v>1956</x:v>
      </x:c>
      <x:c r="I3119" s="7" t="n">
        <x:v>168</x:v>
      </x:c>
      <x:c r="J3119" s="9" t="n">
        <x:v>16.8</x:v>
      </x:c>
      <x:c r="K3119" s="9" t="n">
        <x:v>15</x:v>
      </x:c>
      <x:c r="L3119" s="7" t="n">
        <x:v>2024</x:v>
      </x:c>
      <x:c r="M3119" s="11" t="n">
        <x:v>41464</x:v>
      </x:c>
      <x:c r="N3119" s="7" t="n">
        <x:v>1</x:v>
      </x:c>
      <x:c r="O3119" s="7" t="n">
        <x:v>0</x:v>
      </x:c>
      <x:c r="P3119" s="9" t="n">
        <x:v>12.11</x:v>
      </x:c>
      <x:c r="Q3119" s="7" t="n">
        <x:f>'Guide'!$B$5-L3119</x:f>
        <x:v>2</x:v>
      </x:c>
      <x:c r="R3119" s="9" t="n">
        <x:f>K3119-P3119</x:f>
        <x:v>2.8900000000000006</x:v>
      </x:c>
      <x:c r="S3119" s="10" t="n">
        <x:f>IF(K3119&gt;0,R3119/K3119,"")</x:f>
        <x:v>0.1926666666666667</x:v>
      </x:c>
    </x:row>
    <x:row r="3120">
      <x:c r="A3120" s="7" t="n">
        <x:v>3116</x:v>
      </x:c>
      <x:c r="B3120" s="7" t="str">
        <x:v>Tata</x:v>
      </x:c>
      <x:c r="C3120" s="7" t="str">
        <x:v>Harrier</x:v>
      </x:c>
      <x:c r="D3120" s="7" t="str">
        <x:v>Smart</x:v>
      </x:c>
      <x:c r="E3120" s="7" t="str">
        <x:v>Diesel</x:v>
      </x:c>
      <x:c r="F3120" s="7" t="str">
        <x:v>Manual</x:v>
      </x:c>
      <x:c r="G3120" s="7" t="str">
        <x:v>Mid-Size SUV</x:v>
      </x:c>
      <x:c r="H3120" s="7" t="n">
        <x:v>1956</x:v>
      </x:c>
      <x:c r="I3120" s="7" t="n">
        <x:v>168</x:v>
      </x:c>
      <x:c r="J3120" s="9" t="n">
        <x:v>16.8</x:v>
      </x:c>
      <x:c r="K3120" s="9" t="n">
        <x:v>15</x:v>
      </x:c>
      <x:c r="L3120" s="7" t="n">
        <x:v>2023</x:v>
      </x:c>
      <x:c r="M3120" s="11" t="n">
        <x:v>32918</x:v>
      </x:c>
      <x:c r="N3120" s="7" t="n">
        <x:v>1</x:v>
      </x:c>
      <x:c r="O3120" s="7" t="n">
        <x:v>0</x:v>
      </x:c>
      <x:c r="P3120" s="9" t="n">
        <x:v>10.7</x:v>
      </x:c>
      <x:c r="Q3120" s="7" t="n">
        <x:f>'Guide'!$B$5-L3120</x:f>
        <x:v>3</x:v>
      </x:c>
      <x:c r="R3120" s="9" t="n">
        <x:f>K3120-P3120</x:f>
        <x:v>4.300000000000001</x:v>
      </x:c>
      <x:c r="S3120" s="10" t="n">
        <x:f>IF(K3120&gt;0,R3120/K3120,"")</x:f>
        <x:v>0.28666666666666674</x:v>
      </x:c>
    </x:row>
    <x:row r="3121">
      <x:c r="A3121" s="7" t="n">
        <x:v>3117</x:v>
      </x:c>
      <x:c r="B3121" s="7" t="str">
        <x:v>Tata</x:v>
      </x:c>
      <x:c r="C3121" s="7" t="str">
        <x:v>Harrier</x:v>
      </x:c>
      <x:c r="D3121" s="7" t="str">
        <x:v>Smart</x:v>
      </x:c>
      <x:c r="E3121" s="7" t="str">
        <x:v>Diesel</x:v>
      </x:c>
      <x:c r="F3121" s="7" t="str">
        <x:v>Manual</x:v>
      </x:c>
      <x:c r="G3121" s="7" t="str">
        <x:v>Mid-Size SUV</x:v>
      </x:c>
      <x:c r="H3121" s="7" t="n">
        <x:v>1956</x:v>
      </x:c>
      <x:c r="I3121" s="7" t="n">
        <x:v>168</x:v>
      </x:c>
      <x:c r="J3121" s="9" t="n">
        <x:v>16.8</x:v>
      </x:c>
      <x:c r="K3121" s="9" t="n">
        <x:v>15</x:v>
      </x:c>
      <x:c r="L3121" s="7" t="n">
        <x:v>2022</x:v>
      </x:c>
      <x:c r="M3121" s="11" t="n">
        <x:v>59061</x:v>
      </x:c>
      <x:c r="N3121" s="7" t="n">
        <x:v>1</x:v>
      </x:c>
      <x:c r="O3121" s="7" t="n">
        <x:v>0</x:v>
      </x:c>
      <x:c r="P3121" s="9" t="n">
        <x:v>9.25</x:v>
      </x:c>
      <x:c r="Q3121" s="7" t="n">
        <x:f>'Guide'!$B$5-L3121</x:f>
        <x:v>4</x:v>
      </x:c>
      <x:c r="R3121" s="9" t="n">
        <x:f>K3121-P3121</x:f>
        <x:v>5.75</x:v>
      </x:c>
      <x:c r="S3121" s="10" t="n">
        <x:f>IF(K3121&gt;0,R3121/K3121,"")</x:f>
        <x:v>0.38333333333333336</x:v>
      </x:c>
    </x:row>
    <x:row r="3122">
      <x:c r="A3122" s="7" t="n">
        <x:v>3118</x:v>
      </x:c>
      <x:c r="B3122" s="7" t="str">
        <x:v>Tata</x:v>
      </x:c>
      <x:c r="C3122" s="7" t="str">
        <x:v>Harrier</x:v>
      </x:c>
      <x:c r="D3122" s="7" t="str">
        <x:v>Smart</x:v>
      </x:c>
      <x:c r="E3122" s="7" t="str">
        <x:v>Diesel</x:v>
      </x:c>
      <x:c r="F3122" s="7" t="str">
        <x:v>Manual</x:v>
      </x:c>
      <x:c r="G3122" s="7" t="str">
        <x:v>Mid-Size SUV</x:v>
      </x:c>
      <x:c r="H3122" s="7" t="n">
        <x:v>1956</x:v>
      </x:c>
      <x:c r="I3122" s="7" t="n">
        <x:v>168</x:v>
      </x:c>
      <x:c r="J3122" s="9" t="n">
        <x:v>16.8</x:v>
      </x:c>
      <x:c r="K3122" s="9" t="n">
        <x:v>15</x:v>
      </x:c>
      <x:c r="L3122" s="7" t="n">
        <x:v>2024</x:v>
      </x:c>
      <x:c r="M3122" s="11" t="n">
        <x:v>37163</x:v>
      </x:c>
      <x:c r="N3122" s="7" t="n">
        <x:v>1</x:v>
      </x:c>
      <x:c r="O3122" s="7" t="n">
        <x:v>0</x:v>
      </x:c>
      <x:c r="P3122" s="9" t="n">
        <x:v>11.92</x:v>
      </x:c>
      <x:c r="Q3122" s="7" t="n">
        <x:f>'Guide'!$B$5-L3122</x:f>
        <x:v>2</x:v>
      </x:c>
      <x:c r="R3122" s="9" t="n">
        <x:f>K3122-P3122</x:f>
        <x:v>3.08</x:v>
      </x:c>
      <x:c r="S3122" s="10" t="n">
        <x:f>IF(K3122&gt;0,R3122/K3122,"")</x:f>
        <x:v>0.20533333333333334</x:v>
      </x:c>
    </x:row>
    <x:row r="3123">
      <x:c r="A3123" s="7" t="n">
        <x:v>3119</x:v>
      </x:c>
      <x:c r="B3123" s="7" t="str">
        <x:v>Tata</x:v>
      </x:c>
      <x:c r="C3123" s="7" t="str">
        <x:v>Harrier</x:v>
      </x:c>
      <x:c r="D3123" s="7" t="str">
        <x:v>Smart</x:v>
      </x:c>
      <x:c r="E3123" s="7" t="str">
        <x:v>Diesel</x:v>
      </x:c>
      <x:c r="F3123" s="7" t="str">
        <x:v>Manual</x:v>
      </x:c>
      <x:c r="G3123" s="7" t="str">
        <x:v>Mid-Size SUV</x:v>
      </x:c>
      <x:c r="H3123" s="7" t="n">
        <x:v>1956</x:v>
      </x:c>
      <x:c r="I3123" s="7" t="n">
        <x:v>168</x:v>
      </x:c>
      <x:c r="J3123" s="9" t="n">
        <x:v>16.8</x:v>
      </x:c>
      <x:c r="K3123" s="9" t="n">
        <x:v>15</x:v>
      </x:c>
      <x:c r="L3123" s="7" t="n">
        <x:v>2026</x:v>
      </x:c>
      <x:c r="M3123" s="11" t="n">
        <x:v>6465</x:v>
      </x:c>
      <x:c r="N3123" s="7" t="n">
        <x:v>1</x:v>
      </x:c>
      <x:c r="O3123" s="7" t="n">
        <x:v>0</x:v>
      </x:c>
      <x:c r="P3123" s="9" t="n">
        <x:v>14.56</x:v>
      </x:c>
      <x:c r="Q3123" s="7" t="n">
        <x:f>'Guide'!$B$5-L3123</x:f>
        <x:v>0</x:v>
      </x:c>
      <x:c r="R3123" s="9" t="n">
        <x:f>K3123-P3123</x:f>
        <x:v>0.4399999999999995</x:v>
      </x:c>
      <x:c r="S3123" s="10" t="n">
        <x:f>IF(K3123&gt;0,R3123/K3123,"")</x:f>
        <x:v>0.0293333333333333</x:v>
      </x:c>
    </x:row>
    <x:row r="3124">
      <x:c r="A3124" s="7" t="n">
        <x:v>3120</x:v>
      </x:c>
      <x:c r="B3124" s="7" t="str">
        <x:v>Tata</x:v>
      </x:c>
      <x:c r="C3124" s="7" t="str">
        <x:v>Harrier</x:v>
      </x:c>
      <x:c r="D3124" s="7" t="str">
        <x:v>Smart</x:v>
      </x:c>
      <x:c r="E3124" s="7" t="str">
        <x:v>Diesel</x:v>
      </x:c>
      <x:c r="F3124" s="7" t="str">
        <x:v>Manual</x:v>
      </x:c>
      <x:c r="G3124" s="7" t="str">
        <x:v>Mid-Size SUV</x:v>
      </x:c>
      <x:c r="H3124" s="7" t="n">
        <x:v>1956</x:v>
      </x:c>
      <x:c r="I3124" s="7" t="n">
        <x:v>168</x:v>
      </x:c>
      <x:c r="J3124" s="9" t="n">
        <x:v>16.8</x:v>
      </x:c>
      <x:c r="K3124" s="9" t="n">
        <x:v>15</x:v>
      </x:c>
      <x:c r="L3124" s="7" t="n">
        <x:v>2024</x:v>
      </x:c>
      <x:c r="M3124" s="11" t="n">
        <x:v>35914</x:v>
      </x:c>
      <x:c r="N3124" s="7" t="n">
        <x:v>1</x:v>
      </x:c>
      <x:c r="O3124" s="7" t="n">
        <x:v>1</x:v>
      </x:c>
      <x:c r="P3124" s="9" t="n">
        <x:v>11.39</x:v>
      </x:c>
      <x:c r="Q3124" s="7" t="n">
        <x:f>'Guide'!$B$5-L3124</x:f>
        <x:v>2</x:v>
      </x:c>
      <x:c r="R3124" s="9" t="n">
        <x:f>K3124-P3124</x:f>
        <x:v>3.6099999999999994</x:v>
      </x:c>
      <x:c r="S3124" s="10" t="n">
        <x:f>IF(K3124&gt;0,R3124/K3124,"")</x:f>
        <x:v>0.24066666666666664</x:v>
      </x:c>
    </x:row>
    <x:row r="3125">
      <x:c r="A3125" s="7" t="n">
        <x:v>3121</x:v>
      </x:c>
      <x:c r="B3125" s="7" t="str">
        <x:v>Tata</x:v>
      </x:c>
      <x:c r="C3125" s="7" t="str">
        <x:v>Harrier</x:v>
      </x:c>
      <x:c r="D3125" s="7" t="str">
        <x:v>Smart</x:v>
      </x:c>
      <x:c r="E3125" s="7" t="str">
        <x:v>Diesel</x:v>
      </x:c>
      <x:c r="F3125" s="7" t="str">
        <x:v>Manual</x:v>
      </x:c>
      <x:c r="G3125" s="7" t="str">
        <x:v>Mid-Size SUV</x:v>
      </x:c>
      <x:c r="H3125" s="7" t="n">
        <x:v>1956</x:v>
      </x:c>
      <x:c r="I3125" s="7" t="n">
        <x:v>168</x:v>
      </x:c>
      <x:c r="J3125" s="9" t="n">
        <x:v>16.8</x:v>
      </x:c>
      <x:c r="K3125" s="9" t="n">
        <x:v>15</x:v>
      </x:c>
      <x:c r="L3125" s="7" t="n">
        <x:v>2020</x:v>
      </x:c>
      <x:c r="M3125" s="11" t="n">
        <x:v>72267</x:v>
      </x:c>
      <x:c r="N3125" s="7" t="n">
        <x:v>1</x:v>
      </x:c>
      <x:c r="O3125" s="7" t="n">
        <x:v>1</x:v>
      </x:c>
      <x:c r="P3125" s="9" t="n">
        <x:v>5.94</x:v>
      </x:c>
      <x:c r="Q3125" s="7" t="n">
        <x:f>'Guide'!$B$5-L3125</x:f>
        <x:v>6</x:v>
      </x:c>
      <x:c r="R3125" s="9" t="n">
        <x:f>K3125-P3125</x:f>
        <x:v>9.059999999999999</x:v>
      </x:c>
      <x:c r="S3125" s="10" t="n">
        <x:f>IF(K3125&gt;0,R3125/K3125,"")</x:f>
        <x:v>0.6039999999999999</x:v>
      </x:c>
    </x:row>
    <x:row r="3126">
      <x:c r="A3126" s="7" t="n">
        <x:v>3122</x:v>
      </x:c>
      <x:c r="B3126" s="7" t="str">
        <x:v>Tata</x:v>
      </x:c>
      <x:c r="C3126" s="7" t="str">
        <x:v>Harrier</x:v>
      </x:c>
      <x:c r="D3126" s="7" t="str">
        <x:v>Smart</x:v>
      </x:c>
      <x:c r="E3126" s="7" t="str">
        <x:v>Diesel</x:v>
      </x:c>
      <x:c r="F3126" s="7" t="str">
        <x:v>Manual</x:v>
      </x:c>
      <x:c r="G3126" s="7" t="str">
        <x:v>Mid-Size SUV</x:v>
      </x:c>
      <x:c r="H3126" s="7" t="n">
        <x:v>1956</x:v>
      </x:c>
      <x:c r="I3126" s="7" t="n">
        <x:v>168</x:v>
      </x:c>
      <x:c r="J3126" s="9" t="n">
        <x:v>16.8</x:v>
      </x:c>
      <x:c r="K3126" s="9" t="n">
        <x:v>15</x:v>
      </x:c>
      <x:c r="L3126" s="7" t="n">
        <x:v>2024</x:v>
      </x:c>
      <x:c r="M3126" s="11" t="n">
        <x:v>20944</x:v>
      </x:c>
      <x:c r="N3126" s="7" t="n">
        <x:v>1</x:v>
      </x:c>
      <x:c r="O3126" s="7" t="n">
        <x:v>0</x:v>
      </x:c>
      <x:c r="P3126" s="9" t="n">
        <x:v>11.96</x:v>
      </x:c>
      <x:c r="Q3126" s="7" t="n">
        <x:f>'Guide'!$B$5-L3126</x:f>
        <x:v>2</x:v>
      </x:c>
      <x:c r="R3126" s="9" t="n">
        <x:f>K3126-P3126</x:f>
        <x:v>3.039999999999999</x:v>
      </x:c>
      <x:c r="S3126" s="10" t="n">
        <x:f>IF(K3126&gt;0,R3126/K3126,"")</x:f>
        <x:v>0.2026666666666666</x:v>
      </x:c>
    </x:row>
    <x:row r="3127">
      <x:c r="A3127" s="7" t="n">
        <x:v>3123</x:v>
      </x:c>
      <x:c r="B3127" s="7" t="str">
        <x:v>Tata</x:v>
      </x:c>
      <x:c r="C3127" s="7" t="str">
        <x:v>Harrier</x:v>
      </x:c>
      <x:c r="D3127" s="7" t="str">
        <x:v>Smart</x:v>
      </x:c>
      <x:c r="E3127" s="7" t="str">
        <x:v>Diesel</x:v>
      </x:c>
      <x:c r="F3127" s="7" t="str">
        <x:v>Manual</x:v>
      </x:c>
      <x:c r="G3127" s="7" t="str">
        <x:v>Mid-Size SUV</x:v>
      </x:c>
      <x:c r="H3127" s="7" t="n">
        <x:v>1956</x:v>
      </x:c>
      <x:c r="I3127" s="7" t="n">
        <x:v>168</x:v>
      </x:c>
      <x:c r="J3127" s="9" t="n">
        <x:v>16.8</x:v>
      </x:c>
      <x:c r="K3127" s="9" t="n">
        <x:v>15</x:v>
      </x:c>
      <x:c r="L3127" s="7" t="n">
        <x:v>2021</x:v>
      </x:c>
      <x:c r="M3127" s="11" t="n">
        <x:v>75897</x:v>
      </x:c>
      <x:c r="N3127" s="7" t="n">
        <x:v>1</x:v>
      </x:c>
      <x:c r="O3127" s="7" t="n">
        <x:v>0</x:v>
      </x:c>
      <x:c r="P3127" s="9" t="n">
        <x:v>7.95</x:v>
      </x:c>
      <x:c r="Q3127" s="7" t="n">
        <x:f>'Guide'!$B$5-L3127</x:f>
        <x:v>5</x:v>
      </x:c>
      <x:c r="R3127" s="9" t="n">
        <x:f>K3127-P3127</x:f>
        <x:v>7.05</x:v>
      </x:c>
      <x:c r="S3127" s="10" t="n">
        <x:f>IF(K3127&gt;0,R3127/K3127,"")</x:f>
        <x:v>0.47</x:v>
      </x:c>
    </x:row>
    <x:row r="3128">
      <x:c r="A3128" s="7" t="n">
        <x:v>3124</x:v>
      </x:c>
      <x:c r="B3128" s="7" t="str">
        <x:v>Tata</x:v>
      </x:c>
      <x:c r="C3128" s="7" t="str">
        <x:v>Harrier</x:v>
      </x:c>
      <x:c r="D3128" s="7" t="str">
        <x:v>Smart</x:v>
      </x:c>
      <x:c r="E3128" s="7" t="str">
        <x:v>Diesel</x:v>
      </x:c>
      <x:c r="F3128" s="7" t="str">
        <x:v>Manual</x:v>
      </x:c>
      <x:c r="G3128" s="7" t="str">
        <x:v>Mid-Size SUV</x:v>
      </x:c>
      <x:c r="H3128" s="7" t="n">
        <x:v>1956</x:v>
      </x:c>
      <x:c r="I3128" s="7" t="n">
        <x:v>168</x:v>
      </x:c>
      <x:c r="J3128" s="9" t="n">
        <x:v>16.8</x:v>
      </x:c>
      <x:c r="K3128" s="9" t="n">
        <x:v>15</x:v>
      </x:c>
      <x:c r="L3128" s="7" t="n">
        <x:v>2023</x:v>
      </x:c>
      <x:c r="M3128" s="11" t="n">
        <x:v>51654</x:v>
      </x:c>
      <x:c r="N3128" s="7" t="n">
        <x:v>1</x:v>
      </x:c>
      <x:c r="O3128" s="7" t="n">
        <x:v>0</x:v>
      </x:c>
      <x:c r="P3128" s="9" t="n">
        <x:v>10.73</x:v>
      </x:c>
      <x:c r="Q3128" s="7" t="n">
        <x:f>'Guide'!$B$5-L3128</x:f>
        <x:v>3</x:v>
      </x:c>
      <x:c r="R3128" s="9" t="n">
        <x:f>K3128-P3128</x:f>
        <x:v>4.27</x:v>
      </x:c>
      <x:c r="S3128" s="10" t="n">
        <x:f>IF(K3128&gt;0,R3128/K3128,"")</x:f>
        <x:v>0.2846666666666666</x:v>
      </x:c>
    </x:row>
    <x:row r="3129">
      <x:c r="A3129" s="7" t="n">
        <x:v>3125</x:v>
      </x:c>
      <x:c r="B3129" s="7" t="str">
        <x:v>Tata</x:v>
      </x:c>
      <x:c r="C3129" s="7" t="str">
        <x:v>Harrier</x:v>
      </x:c>
      <x:c r="D3129" s="7" t="str">
        <x:v>Smart</x:v>
      </x:c>
      <x:c r="E3129" s="7" t="str">
        <x:v>Diesel</x:v>
      </x:c>
      <x:c r="F3129" s="7" t="str">
        <x:v>Manual</x:v>
      </x:c>
      <x:c r="G3129" s="7" t="str">
        <x:v>Mid-Size SUV</x:v>
      </x:c>
      <x:c r="H3129" s="7" t="n">
        <x:v>1956</x:v>
      </x:c>
      <x:c r="I3129" s="7" t="n">
        <x:v>168</x:v>
      </x:c>
      <x:c r="J3129" s="9" t="n">
        <x:v>16.8</x:v>
      </x:c>
      <x:c r="K3129" s="9" t="n">
        <x:v>15</x:v>
      </x:c>
      <x:c r="L3129" s="7" t="n">
        <x:v>2026</x:v>
      </x:c>
      <x:c r="M3129" s="11" t="n">
        <x:v>5551</x:v>
      </x:c>
      <x:c r="N3129" s="7" t="n">
        <x:v>1</x:v>
      </x:c>
      <x:c r="O3129" s="7" t="n">
        <x:v>0</x:v>
      </x:c>
      <x:c r="P3129" s="9" t="n">
        <x:v>14.8</x:v>
      </x:c>
      <x:c r="Q3129" s="7" t="n">
        <x:f>'Guide'!$B$5-L3129</x:f>
        <x:v>0</x:v>
      </x:c>
      <x:c r="R3129" s="9" t="n">
        <x:f>K3129-P3129</x:f>
        <x:v>0.1999999999999993</x:v>
      </x:c>
      <x:c r="S3129" s="10" t="n">
        <x:f>IF(K3129&gt;0,R3129/K3129,"")</x:f>
        <x:v>0.013333333333333286</x:v>
      </x:c>
    </x:row>
    <x:row r="3130">
      <x:c r="A3130" s="7" t="n">
        <x:v>3126</x:v>
      </x:c>
      <x:c r="B3130" s="7" t="str">
        <x:v>Tata</x:v>
      </x:c>
      <x:c r="C3130" s="7" t="str">
        <x:v>Harrier</x:v>
      </x:c>
      <x:c r="D3130" s="7" t="str">
        <x:v>Smart</x:v>
      </x:c>
      <x:c r="E3130" s="7" t="str">
        <x:v>Diesel</x:v>
      </x:c>
      <x:c r="F3130" s="7" t="str">
        <x:v>Manual</x:v>
      </x:c>
      <x:c r="G3130" s="7" t="str">
        <x:v>Mid-Size SUV</x:v>
      </x:c>
      <x:c r="H3130" s="7" t="n">
        <x:v>1956</x:v>
      </x:c>
      <x:c r="I3130" s="7" t="n">
        <x:v>168</x:v>
      </x:c>
      <x:c r="J3130" s="9" t="n">
        <x:v>16.8</x:v>
      </x:c>
      <x:c r="K3130" s="9" t="n">
        <x:v>15</x:v>
      </x:c>
      <x:c r="L3130" s="7" t="n">
        <x:v>2024</x:v>
      </x:c>
      <x:c r="M3130" s="11" t="n">
        <x:v>34845</x:v>
      </x:c>
      <x:c r="N3130" s="7" t="n">
        <x:v>1</x:v>
      </x:c>
      <x:c r="O3130" s="7" t="n">
        <x:v>0</x:v>
      </x:c>
      <x:c r="P3130" s="9" t="n">
        <x:v>11.9</x:v>
      </x:c>
      <x:c r="Q3130" s="7" t="n">
        <x:f>'Guide'!$B$5-L3130</x:f>
        <x:v>2</x:v>
      </x:c>
      <x:c r="R3130" s="9" t="n">
        <x:f>K3130-P3130</x:f>
        <x:v>3.0999999999999996</x:v>
      </x:c>
      <x:c r="S3130" s="10" t="n">
        <x:f>IF(K3130&gt;0,R3130/K3130,"")</x:f>
        <x:v>0.20666666666666664</x:v>
      </x:c>
    </x:row>
    <x:row r="3131">
      <x:c r="A3131" s="7" t="n">
        <x:v>3127</x:v>
      </x:c>
      <x:c r="B3131" s="7" t="str">
        <x:v>Tata</x:v>
      </x:c>
      <x:c r="C3131" s="7" t="str">
        <x:v>Harrier</x:v>
      </x:c>
      <x:c r="D3131" s="7" t="str">
        <x:v>Smart</x:v>
      </x:c>
      <x:c r="E3131" s="7" t="str">
        <x:v>Diesel</x:v>
      </x:c>
      <x:c r="F3131" s="7" t="str">
        <x:v>Manual</x:v>
      </x:c>
      <x:c r="G3131" s="7" t="str">
        <x:v>Mid-Size SUV</x:v>
      </x:c>
      <x:c r="H3131" s="7" t="n">
        <x:v>1956</x:v>
      </x:c>
      <x:c r="I3131" s="7" t="n">
        <x:v>168</x:v>
      </x:c>
      <x:c r="J3131" s="9" t="n">
        <x:v>16.8</x:v>
      </x:c>
      <x:c r="K3131" s="9" t="n">
        <x:v>15</x:v>
      </x:c>
      <x:c r="L3131" s="7" t="n">
        <x:v>2023</x:v>
      </x:c>
      <x:c r="M3131" s="11" t="n">
        <x:v>55959</x:v>
      </x:c>
      <x:c r="N3131" s="7" t="n">
        <x:v>1</x:v>
      </x:c>
      <x:c r="O3131" s="7" t="n">
        <x:v>0</x:v>
      </x:c>
      <x:c r="P3131" s="9" t="n">
        <x:v>10.57</x:v>
      </x:c>
      <x:c r="Q3131" s="7" t="n">
        <x:f>'Guide'!$B$5-L3131</x:f>
        <x:v>3</x:v>
      </x:c>
      <x:c r="R3131" s="9" t="n">
        <x:f>K3131-P3131</x:f>
        <x:v>4.43</x:v>
      </x:c>
      <x:c r="S3131" s="10" t="n">
        <x:f>IF(K3131&gt;0,R3131/K3131,"")</x:f>
        <x:v>0.29533333333333334</x:v>
      </x:c>
    </x:row>
    <x:row r="3132">
      <x:c r="A3132" s="7" t="n">
        <x:v>3128</x:v>
      </x:c>
      <x:c r="B3132" s="7" t="str">
        <x:v>Tata</x:v>
      </x:c>
      <x:c r="C3132" s="7" t="str">
        <x:v>Harrier</x:v>
      </x:c>
      <x:c r="D3132" s="7" t="str">
        <x:v>Smart</x:v>
      </x:c>
      <x:c r="E3132" s="7" t="str">
        <x:v>Diesel</x:v>
      </x:c>
      <x:c r="F3132" s="7" t="str">
        <x:v>Manual</x:v>
      </x:c>
      <x:c r="G3132" s="7" t="str">
        <x:v>Mid-Size SUV</x:v>
      </x:c>
      <x:c r="H3132" s="7" t="n">
        <x:v>1956</x:v>
      </x:c>
      <x:c r="I3132" s="7" t="n">
        <x:v>168</x:v>
      </x:c>
      <x:c r="J3132" s="9" t="n">
        <x:v>16.8</x:v>
      </x:c>
      <x:c r="K3132" s="9" t="n">
        <x:v>15</x:v>
      </x:c>
      <x:c r="L3132" s="7" t="n">
        <x:v>2020</x:v>
      </x:c>
      <x:c r="M3132" s="11" t="n">
        <x:v>85780</x:v>
      </x:c>
      <x:c r="N3132" s="7" t="n">
        <x:v>3</x:v>
      </x:c>
      <x:c r="O3132" s="7" t="n">
        <x:v>0</x:v>
      </x:c>
      <x:c r="P3132" s="9" t="n">
        <x:v>5.8</x:v>
      </x:c>
      <x:c r="Q3132" s="7" t="n">
        <x:f>'Guide'!$B$5-L3132</x:f>
        <x:v>6</x:v>
      </x:c>
      <x:c r="R3132" s="9" t="n">
        <x:f>K3132-P3132</x:f>
        <x:v>9.2</x:v>
      </x:c>
      <x:c r="S3132" s="10" t="n">
        <x:f>IF(K3132&gt;0,R3132/K3132,"")</x:f>
        <x:v>0.6133333333333333</x:v>
      </x:c>
    </x:row>
    <x:row r="3133">
      <x:c r="A3133" s="7" t="n">
        <x:v>3129</x:v>
      </x:c>
      <x:c r="B3133" s="7" t="str">
        <x:v>Tata</x:v>
      </x:c>
      <x:c r="C3133" s="7" t="str">
        <x:v>Harrier</x:v>
      </x:c>
      <x:c r="D3133" s="7" t="str">
        <x:v>Smart</x:v>
      </x:c>
      <x:c r="E3133" s="7" t="str">
        <x:v>Diesel</x:v>
      </x:c>
      <x:c r="F3133" s="7" t="str">
        <x:v>Manual</x:v>
      </x:c>
      <x:c r="G3133" s="7" t="str">
        <x:v>Mid-Size SUV</x:v>
      </x:c>
      <x:c r="H3133" s="7" t="n">
        <x:v>1956</x:v>
      </x:c>
      <x:c r="I3133" s="7" t="n">
        <x:v>168</x:v>
      </x:c>
      <x:c r="J3133" s="9" t="n">
        <x:v>16.8</x:v>
      </x:c>
      <x:c r="K3133" s="9" t="n">
        <x:v>15</x:v>
      </x:c>
      <x:c r="L3133" s="7" t="n">
        <x:v>2024</x:v>
      </x:c>
      <x:c r="M3133" s="11" t="n">
        <x:v>47950</x:v>
      </x:c>
      <x:c r="N3133" s="7" t="n">
        <x:v>1</x:v>
      </x:c>
      <x:c r="O3133" s="7" t="n">
        <x:v>0</x:v>
      </x:c>
      <x:c r="P3133" s="9" t="n">
        <x:v>11.84</x:v>
      </x:c>
      <x:c r="Q3133" s="7" t="n">
        <x:f>'Guide'!$B$5-L3133</x:f>
        <x:v>2</x:v>
      </x:c>
      <x:c r="R3133" s="9" t="n">
        <x:f>K3133-P3133</x:f>
        <x:v>3.16</x:v>
      </x:c>
      <x:c r="S3133" s="10" t="n">
        <x:f>IF(K3133&gt;0,R3133/K3133,"")</x:f>
        <x:v>0.21066666666666667</x:v>
      </x:c>
    </x:row>
    <x:row r="3134">
      <x:c r="A3134" s="7" t="n">
        <x:v>3130</x:v>
      </x:c>
      <x:c r="B3134" s="7" t="str">
        <x:v>Tata</x:v>
      </x:c>
      <x:c r="C3134" s="7" t="str">
        <x:v>Harrier</x:v>
      </x:c>
      <x:c r="D3134" s="7" t="str">
        <x:v>Smart</x:v>
      </x:c>
      <x:c r="E3134" s="7" t="str">
        <x:v>Diesel</x:v>
      </x:c>
      <x:c r="F3134" s="7" t="str">
        <x:v>Manual</x:v>
      </x:c>
      <x:c r="G3134" s="7" t="str">
        <x:v>Mid-Size SUV</x:v>
      </x:c>
      <x:c r="H3134" s="7" t="n">
        <x:v>1956</x:v>
      </x:c>
      <x:c r="I3134" s="7" t="n">
        <x:v>168</x:v>
      </x:c>
      <x:c r="J3134" s="9" t="n">
        <x:v>16.8</x:v>
      </x:c>
      <x:c r="K3134" s="9" t="n">
        <x:v>15</x:v>
      </x:c>
      <x:c r="L3134" s="7" t="n">
        <x:v>2026</x:v>
      </x:c>
      <x:c r="M3134" s="11" t="n">
        <x:v>8961</x:v>
      </x:c>
      <x:c r="N3134" s="7" t="n">
        <x:v>1</x:v>
      </x:c>
      <x:c r="O3134" s="7" t="n">
        <x:v>0</x:v>
      </x:c>
      <x:c r="P3134" s="9" t="n">
        <x:v>14.83</x:v>
      </x:c>
      <x:c r="Q3134" s="7" t="n">
        <x:f>'Guide'!$B$5-L3134</x:f>
        <x:v>0</x:v>
      </x:c>
      <x:c r="R3134" s="9" t="n">
        <x:f>K3134-P3134</x:f>
        <x:v>0.16999999999999993</x:v>
      </x:c>
      <x:c r="S3134" s="10" t="n">
        <x:f>IF(K3134&gt;0,R3134/K3134,"")</x:f>
        <x:v>0.011333333333333329</x:v>
      </x:c>
    </x:row>
    <x:row r="3135">
      <x:c r="A3135" s="7" t="n">
        <x:v>3131</x:v>
      </x:c>
      <x:c r="B3135" s="7" t="str">
        <x:v>Tata</x:v>
      </x:c>
      <x:c r="C3135" s="7" t="str">
        <x:v>Harrier</x:v>
      </x:c>
      <x:c r="D3135" s="7" t="str">
        <x:v>Smart</x:v>
      </x:c>
      <x:c r="E3135" s="7" t="str">
        <x:v>Diesel</x:v>
      </x:c>
      <x:c r="F3135" s="7" t="str">
        <x:v>Manual</x:v>
      </x:c>
      <x:c r="G3135" s="7" t="str">
        <x:v>Mid-Size SUV</x:v>
      </x:c>
      <x:c r="H3135" s="7" t="n">
        <x:v>1956</x:v>
      </x:c>
      <x:c r="I3135" s="7" t="n">
        <x:v>168</x:v>
      </x:c>
      <x:c r="J3135" s="9" t="n">
        <x:v>16.8</x:v>
      </x:c>
      <x:c r="K3135" s="9" t="n">
        <x:v>15</x:v>
      </x:c>
      <x:c r="L3135" s="7" t="n">
        <x:v>2022</x:v>
      </x:c>
      <x:c r="M3135" s="11" t="n">
        <x:v>41413</x:v>
      </x:c>
      <x:c r="N3135" s="7" t="n">
        <x:v>2</x:v>
      </x:c>
      <x:c r="O3135" s="7" t="n">
        <x:v>0</x:v>
      </x:c>
      <x:c r="P3135" s="9" t="n">
        <x:v>8.85</x:v>
      </x:c>
      <x:c r="Q3135" s="7" t="n">
        <x:f>'Guide'!$B$5-L3135</x:f>
        <x:v>4</x:v>
      </x:c>
      <x:c r="R3135" s="9" t="n">
        <x:f>K3135-P3135</x:f>
        <x:v>6.15</x:v>
      </x:c>
      <x:c r="S3135" s="10" t="n">
        <x:f>IF(K3135&gt;0,R3135/K3135,"")</x:f>
        <x:v>0.41000000000000003</x:v>
      </x:c>
    </x:row>
    <x:row r="3136">
      <x:c r="A3136" s="7" t="n">
        <x:v>3132</x:v>
      </x:c>
      <x:c r="B3136" s="7" t="str">
        <x:v>Tata</x:v>
      </x:c>
      <x:c r="C3136" s="7" t="str">
        <x:v>Harrier</x:v>
      </x:c>
      <x:c r="D3136" s="7" t="str">
        <x:v>Smart</x:v>
      </x:c>
      <x:c r="E3136" s="7" t="str">
        <x:v>Diesel</x:v>
      </x:c>
      <x:c r="F3136" s="7" t="str">
        <x:v>Manual</x:v>
      </x:c>
      <x:c r="G3136" s="7" t="str">
        <x:v>Mid-Size SUV</x:v>
      </x:c>
      <x:c r="H3136" s="7" t="n">
        <x:v>1956</x:v>
      </x:c>
      <x:c r="I3136" s="7" t="n">
        <x:v>168</x:v>
      </x:c>
      <x:c r="J3136" s="9" t="n">
        <x:v>16.8</x:v>
      </x:c>
      <x:c r="K3136" s="9" t="n">
        <x:v>15</x:v>
      </x:c>
      <x:c r="L3136" s="7" t="n">
        <x:v>2026</x:v>
      </x:c>
      <x:c r="M3136" s="11" t="n">
        <x:v>9187</x:v>
      </x:c>
      <x:c r="N3136" s="7" t="n">
        <x:v>1</x:v>
      </x:c>
      <x:c r="O3136" s="7" t="n">
        <x:v>0</x:v>
      </x:c>
      <x:c r="P3136" s="9" t="n">
        <x:v>15.15</x:v>
      </x:c>
      <x:c r="Q3136" s="7" t="n">
        <x:f>'Guide'!$B$5-L3136</x:f>
        <x:v>0</x:v>
      </x:c>
      <x:c r="R3136" s="9" t="n">
        <x:f>K3136-P3136</x:f>
        <x:v>-0.15000000000000036</x:v>
      </x:c>
      <x:c r="S3136" s="10" t="n">
        <x:f>IF(K3136&gt;0,R3136/K3136,"")</x:f>
        <x:v>-0.010000000000000024</x:v>
      </x:c>
    </x:row>
    <x:row r="3137">
      <x:c r="A3137" s="7" t="n">
        <x:v>3133</x:v>
      </x:c>
      <x:c r="B3137" s="7" t="str">
        <x:v>Tata</x:v>
      </x:c>
      <x:c r="C3137" s="7" t="str">
        <x:v>Harrier</x:v>
      </x:c>
      <x:c r="D3137" s="7" t="str">
        <x:v>Smart</x:v>
      </x:c>
      <x:c r="E3137" s="7" t="str">
        <x:v>Diesel</x:v>
      </x:c>
      <x:c r="F3137" s="7" t="str">
        <x:v>Manual</x:v>
      </x:c>
      <x:c r="G3137" s="7" t="str">
        <x:v>Mid-Size SUV</x:v>
      </x:c>
      <x:c r="H3137" s="7" t="n">
        <x:v>1956</x:v>
      </x:c>
      <x:c r="I3137" s="7" t="n">
        <x:v>168</x:v>
      </x:c>
      <x:c r="J3137" s="9" t="n">
        <x:v>16.8</x:v>
      </x:c>
      <x:c r="K3137" s="9" t="n">
        <x:v>15</x:v>
      </x:c>
      <x:c r="L3137" s="7" t="n">
        <x:v>2020</x:v>
      </x:c>
      <x:c r="M3137" s="11" t="n">
        <x:v>82197</x:v>
      </x:c>
      <x:c r="N3137" s="7" t="n">
        <x:v>1</x:v>
      </x:c>
      <x:c r="O3137" s="7" t="n">
        <x:v>0</x:v>
      </x:c>
      <x:c r="P3137" s="9" t="n">
        <x:v>6.17</x:v>
      </x:c>
      <x:c r="Q3137" s="7" t="n">
        <x:f>'Guide'!$B$5-L3137</x:f>
        <x:v>6</x:v>
      </x:c>
      <x:c r="R3137" s="9" t="n">
        <x:f>K3137-P3137</x:f>
        <x:v>8.83</x:v>
      </x:c>
      <x:c r="S3137" s="10" t="n">
        <x:f>IF(K3137&gt;0,R3137/K3137,"")</x:f>
        <x:v>0.5886666666666667</x:v>
      </x:c>
    </x:row>
    <x:row r="3138">
      <x:c r="A3138" s="7" t="n">
        <x:v>3134</x:v>
      </x:c>
      <x:c r="B3138" s="7" t="str">
        <x:v>Tata</x:v>
      </x:c>
      <x:c r="C3138" s="7" t="str">
        <x:v>Harrier</x:v>
      </x:c>
      <x:c r="D3138" s="7" t="str">
        <x:v>Smart</x:v>
      </x:c>
      <x:c r="E3138" s="7" t="str">
        <x:v>Diesel</x:v>
      </x:c>
      <x:c r="F3138" s="7" t="str">
        <x:v>Manual</x:v>
      </x:c>
      <x:c r="G3138" s="7" t="str">
        <x:v>Mid-Size SUV</x:v>
      </x:c>
      <x:c r="H3138" s="7" t="n">
        <x:v>1956</x:v>
      </x:c>
      <x:c r="I3138" s="7" t="n">
        <x:v>168</x:v>
      </x:c>
      <x:c r="J3138" s="9" t="n">
        <x:v>16.8</x:v>
      </x:c>
      <x:c r="K3138" s="9" t="n">
        <x:v>15</x:v>
      </x:c>
      <x:c r="L3138" s="7" t="n">
        <x:v>2021</x:v>
      </x:c>
      <x:c r="M3138" s="11" t="n">
        <x:v>106302</x:v>
      </x:c>
      <x:c r="N3138" s="7" t="n">
        <x:v>1</x:v>
      </x:c>
      <x:c r="O3138" s="7" t="n">
        <x:v>0</x:v>
      </x:c>
      <x:c r="P3138" s="9" t="n">
        <x:v>7.09</x:v>
      </x:c>
      <x:c r="Q3138" s="7" t="n">
        <x:f>'Guide'!$B$5-L3138</x:f>
        <x:v>5</x:v>
      </x:c>
      <x:c r="R3138" s="9" t="n">
        <x:f>K3138-P3138</x:f>
        <x:v>7.91</x:v>
      </x:c>
      <x:c r="S3138" s="10" t="n">
        <x:f>IF(K3138&gt;0,R3138/K3138,"")</x:f>
        <x:v>0.5273333333333333</x:v>
      </x:c>
    </x:row>
    <x:row r="3139">
      <x:c r="A3139" s="7" t="n">
        <x:v>3135</x:v>
      </x:c>
      <x:c r="B3139" s="7" t="str">
        <x:v>Tata</x:v>
      </x:c>
      <x:c r="C3139" s="7" t="str">
        <x:v>Harrier</x:v>
      </x:c>
      <x:c r="D3139" s="7" t="str">
        <x:v>Smart</x:v>
      </x:c>
      <x:c r="E3139" s="7" t="str">
        <x:v>Diesel</x:v>
      </x:c>
      <x:c r="F3139" s="7" t="str">
        <x:v>Manual</x:v>
      </x:c>
      <x:c r="G3139" s="7" t="str">
        <x:v>Mid-Size SUV</x:v>
      </x:c>
      <x:c r="H3139" s="7" t="n">
        <x:v>1956</x:v>
      </x:c>
      <x:c r="I3139" s="7" t="n">
        <x:v>168</x:v>
      </x:c>
      <x:c r="J3139" s="9" t="n">
        <x:v>16.8</x:v>
      </x:c>
      <x:c r="K3139" s="9" t="n">
        <x:v>15</x:v>
      </x:c>
      <x:c r="L3139" s="7" t="n">
        <x:v>2024</x:v>
      </x:c>
      <x:c r="M3139" s="11" t="n">
        <x:v>40074</x:v>
      </x:c>
      <x:c r="N3139" s="7" t="n">
        <x:v>1</x:v>
      </x:c>
      <x:c r="O3139" s="7" t="n">
        <x:v>0</x:v>
      </x:c>
      <x:c r="P3139" s="9" t="n">
        <x:v>12.1</x:v>
      </x:c>
      <x:c r="Q3139" s="7" t="n">
        <x:f>'Guide'!$B$5-L3139</x:f>
        <x:v>2</x:v>
      </x:c>
      <x:c r="R3139" s="9" t="n">
        <x:f>K3139-P3139</x:f>
        <x:v>2.9000000000000004</x:v>
      </x:c>
      <x:c r="S3139" s="10" t="n">
        <x:f>IF(K3139&gt;0,R3139/K3139,"")</x:f>
        <x:v>0.19333333333333336</x:v>
      </x:c>
    </x:row>
    <x:row r="3140">
      <x:c r="A3140" s="7" t="n">
        <x:v>3136</x:v>
      </x:c>
      <x:c r="B3140" s="7" t="str">
        <x:v>Tata</x:v>
      </x:c>
      <x:c r="C3140" s="7" t="str">
        <x:v>Harrier</x:v>
      </x:c>
      <x:c r="D3140" s="7" t="str">
        <x:v>Smart</x:v>
      </x:c>
      <x:c r="E3140" s="7" t="str">
        <x:v>Diesel</x:v>
      </x:c>
      <x:c r="F3140" s="7" t="str">
        <x:v>Manual</x:v>
      </x:c>
      <x:c r="G3140" s="7" t="str">
        <x:v>Mid-Size SUV</x:v>
      </x:c>
      <x:c r="H3140" s="7" t="n">
        <x:v>1956</x:v>
      </x:c>
      <x:c r="I3140" s="7" t="n">
        <x:v>168</x:v>
      </x:c>
      <x:c r="J3140" s="9" t="n">
        <x:v>16.8</x:v>
      </x:c>
      <x:c r="K3140" s="9" t="n">
        <x:v>15</x:v>
      </x:c>
      <x:c r="L3140" s="7" t="n">
        <x:v>2025</x:v>
      </x:c>
      <x:c r="M3140" s="11" t="n">
        <x:v>26395</x:v>
      </x:c>
      <x:c r="N3140" s="7" t="n">
        <x:v>2</x:v>
      </x:c>
      <x:c r="O3140" s="7" t="n">
        <x:v>0</x:v>
      </x:c>
      <x:c r="P3140" s="9" t="n">
        <x:v>12.72</x:v>
      </x:c>
      <x:c r="Q3140" s="7" t="n">
        <x:f>'Guide'!$B$5-L3140</x:f>
        <x:v>1</x:v>
      </x:c>
      <x:c r="R3140" s="9" t="n">
        <x:f>K3140-P3140</x:f>
        <x:v>2.2799999999999994</x:v>
      </x:c>
      <x:c r="S3140" s="10" t="n">
        <x:f>IF(K3140&gt;0,R3140/K3140,"")</x:f>
        <x:v>0.15199999999999997</x:v>
      </x:c>
    </x:row>
    <x:row r="3141">
      <x:c r="A3141" s="7" t="n">
        <x:v>3137</x:v>
      </x:c>
      <x:c r="B3141" s="7" t="str">
        <x:v>Tata</x:v>
      </x:c>
      <x:c r="C3141" s="7" t="str">
        <x:v>Harrier</x:v>
      </x:c>
      <x:c r="D3141" s="7" t="str">
        <x:v>Smart</x:v>
      </x:c>
      <x:c r="E3141" s="7" t="str">
        <x:v>Diesel</x:v>
      </x:c>
      <x:c r="F3141" s="7" t="str">
        <x:v>Manual</x:v>
      </x:c>
      <x:c r="G3141" s="7" t="str">
        <x:v>Mid-Size SUV</x:v>
      </x:c>
      <x:c r="H3141" s="7" t="n">
        <x:v>1956</x:v>
      </x:c>
      <x:c r="I3141" s="7" t="n">
        <x:v>168</x:v>
      </x:c>
      <x:c r="J3141" s="9" t="n">
        <x:v>16.8</x:v>
      </x:c>
      <x:c r="K3141" s="9" t="n">
        <x:v>15</x:v>
      </x:c>
      <x:c r="L3141" s="7" t="n">
        <x:v>2025</x:v>
      </x:c>
      <x:c r="M3141" s="11" t="n">
        <x:v>20052</x:v>
      </x:c>
      <x:c r="N3141" s="7" t="n">
        <x:v>1</x:v>
      </x:c>
      <x:c r="O3141" s="7" t="n">
        <x:v>0</x:v>
      </x:c>
      <x:c r="P3141" s="9" t="n">
        <x:v>13.8</x:v>
      </x:c>
      <x:c r="Q3141" s="7" t="n">
        <x:f>'Guide'!$B$5-L3141</x:f>
        <x:v>1</x:v>
      </x:c>
      <x:c r="R3141" s="9" t="n">
        <x:f>K3141-P3141</x:f>
        <x:v>1.1999999999999993</x:v>
      </x:c>
      <x:c r="S3141" s="10" t="n">
        <x:f>IF(K3141&gt;0,R3141/K3141,"")</x:f>
        <x:v>0.07999999999999995</x:v>
      </x:c>
    </x:row>
    <x:row r="3142">
      <x:c r="A3142" s="7" t="n">
        <x:v>3138</x:v>
      </x:c>
      <x:c r="B3142" s="7" t="str">
        <x:v>Tata</x:v>
      </x:c>
      <x:c r="C3142" s="7" t="str">
        <x:v>Harrier</x:v>
      </x:c>
      <x:c r="D3142" s="7" t="str">
        <x:v>Smart</x:v>
      </x:c>
      <x:c r="E3142" s="7" t="str">
        <x:v>Diesel</x:v>
      </x:c>
      <x:c r="F3142" s="7" t="str">
        <x:v>Manual</x:v>
      </x:c>
      <x:c r="G3142" s="7" t="str">
        <x:v>Mid-Size SUV</x:v>
      </x:c>
      <x:c r="H3142" s="7" t="n">
        <x:v>1956</x:v>
      </x:c>
      <x:c r="I3142" s="7" t="n">
        <x:v>168</x:v>
      </x:c>
      <x:c r="J3142" s="9" t="n">
        <x:v>16.8</x:v>
      </x:c>
      <x:c r="K3142" s="9" t="n">
        <x:v>15</x:v>
      </x:c>
      <x:c r="L3142" s="7" t="n">
        <x:v>2024</x:v>
      </x:c>
      <x:c r="M3142" s="11" t="n">
        <x:v>46498</x:v>
      </x:c>
      <x:c r="N3142" s="7" t="n">
        <x:v>1</x:v>
      </x:c>
      <x:c r="O3142" s="7" t="n">
        <x:v>0</x:v>
      </x:c>
      <x:c r="P3142" s="9" t="n">
        <x:v>12.13</x:v>
      </x:c>
      <x:c r="Q3142" s="7" t="n">
        <x:f>'Guide'!$B$5-L3142</x:f>
        <x:v>2</x:v>
      </x:c>
      <x:c r="R3142" s="9" t="n">
        <x:f>K3142-P3142</x:f>
        <x:v>2.869999999999999</x:v>
      </x:c>
      <x:c r="S3142" s="10" t="n">
        <x:f>IF(K3142&gt;0,R3142/K3142,"")</x:f>
        <x:v>0.19133333333333327</x:v>
      </x:c>
    </x:row>
    <x:row r="3143">
      <x:c r="A3143" s="7" t="n">
        <x:v>3139</x:v>
      </x:c>
      <x:c r="B3143" s="7" t="str">
        <x:v>Tata</x:v>
      </x:c>
      <x:c r="C3143" s="7" t="str">
        <x:v>Harrier</x:v>
      </x:c>
      <x:c r="D3143" s="7" t="str">
        <x:v>Smart</x:v>
      </x:c>
      <x:c r="E3143" s="7" t="str">
        <x:v>Diesel</x:v>
      </x:c>
      <x:c r="F3143" s="7" t="str">
        <x:v>Manual</x:v>
      </x:c>
      <x:c r="G3143" s="7" t="str">
        <x:v>Mid-Size SUV</x:v>
      </x:c>
      <x:c r="H3143" s="7" t="n">
        <x:v>1956</x:v>
      </x:c>
      <x:c r="I3143" s="7" t="n">
        <x:v>168</x:v>
      </x:c>
      <x:c r="J3143" s="9" t="n">
        <x:v>16.8</x:v>
      </x:c>
      <x:c r="K3143" s="9" t="n">
        <x:v>15</x:v>
      </x:c>
      <x:c r="L3143" s="7" t="n">
        <x:v>2023</x:v>
      </x:c>
      <x:c r="M3143" s="11" t="n">
        <x:v>66998</x:v>
      </x:c>
      <x:c r="N3143" s="7" t="n">
        <x:v>1</x:v>
      </x:c>
      <x:c r="O3143" s="7" t="n">
        <x:v>0</x:v>
      </x:c>
      <x:c r="P3143" s="9" t="n">
        <x:v>10</x:v>
      </x:c>
      <x:c r="Q3143" s="7" t="n">
        <x:f>'Guide'!$B$5-L3143</x:f>
        <x:v>3</x:v>
      </x:c>
      <x:c r="R3143" s="9" t="n">
        <x:f>K3143-P3143</x:f>
        <x:v>5</x:v>
      </x:c>
      <x:c r="S3143" s="10" t="n">
        <x:f>IF(K3143&gt;0,R3143/K3143,"")</x:f>
        <x:v>0.3333333333333333</x:v>
      </x:c>
    </x:row>
    <x:row r="3144">
      <x:c r="A3144" s="7" t="n">
        <x:v>3140</x:v>
      </x:c>
      <x:c r="B3144" s="7" t="str">
        <x:v>Tata</x:v>
      </x:c>
      <x:c r="C3144" s="7" t="str">
        <x:v>Harrier</x:v>
      </x:c>
      <x:c r="D3144" s="7" t="str">
        <x:v>Smart</x:v>
      </x:c>
      <x:c r="E3144" s="7" t="str">
        <x:v>Diesel</x:v>
      </x:c>
      <x:c r="F3144" s="7" t="str">
        <x:v>Manual</x:v>
      </x:c>
      <x:c r="G3144" s="7" t="str">
        <x:v>Mid-Size SUV</x:v>
      </x:c>
      <x:c r="H3144" s="7" t="n">
        <x:v>1956</x:v>
      </x:c>
      <x:c r="I3144" s="7" t="n">
        <x:v>168</x:v>
      </x:c>
      <x:c r="J3144" s="9" t="n">
        <x:v>16.8</x:v>
      </x:c>
      <x:c r="K3144" s="9" t="n">
        <x:v>15</x:v>
      </x:c>
      <x:c r="L3144" s="7" t="n">
        <x:v>2026</x:v>
      </x:c>
      <x:c r="M3144" s="11" t="n">
        <x:v>5310</x:v>
      </x:c>
      <x:c r="N3144" s="7" t="n">
        <x:v>1</x:v>
      </x:c>
      <x:c r="O3144" s="7" t="n">
        <x:v>0</x:v>
      </x:c>
      <x:c r="P3144" s="9" t="n">
        <x:v>14.91</x:v>
      </x:c>
      <x:c r="Q3144" s="7" t="n">
        <x:f>'Guide'!$B$5-L3144</x:f>
        <x:v>0</x:v>
      </x:c>
      <x:c r="R3144" s="9" t="n">
        <x:f>K3144-P3144</x:f>
        <x:v>0.08999999999999986</x:v>
      </x:c>
      <x:c r="S3144" s="10" t="n">
        <x:f>IF(K3144&gt;0,R3144/K3144,"")</x:f>
        <x:v>0.005999999999999991</x:v>
      </x:c>
    </x:row>
    <x:row r="3145">
      <x:c r="A3145" s="7" t="n">
        <x:v>3141</x:v>
      </x:c>
      <x:c r="B3145" s="7" t="str">
        <x:v>Tata</x:v>
      </x:c>
      <x:c r="C3145" s="7" t="str">
        <x:v>Harrier</x:v>
      </x:c>
      <x:c r="D3145" s="7" t="str">
        <x:v>Smart</x:v>
      </x:c>
      <x:c r="E3145" s="7" t="str">
        <x:v>Diesel</x:v>
      </x:c>
      <x:c r="F3145" s="7" t="str">
        <x:v>Manual</x:v>
      </x:c>
      <x:c r="G3145" s="7" t="str">
        <x:v>Mid-Size SUV</x:v>
      </x:c>
      <x:c r="H3145" s="7" t="n">
        <x:v>1956</x:v>
      </x:c>
      <x:c r="I3145" s="7" t="n">
        <x:v>168</x:v>
      </x:c>
      <x:c r="J3145" s="9" t="n">
        <x:v>16.8</x:v>
      </x:c>
      <x:c r="K3145" s="9" t="n">
        <x:v>15</x:v>
      </x:c>
      <x:c r="L3145" s="7" t="n">
        <x:v>2022</x:v>
      </x:c>
      <x:c r="M3145" s="11" t="n">
        <x:v>66870</x:v>
      </x:c>
      <x:c r="N3145" s="7" t="n">
        <x:v>1</x:v>
      </x:c>
      <x:c r="O3145" s="7" t="n">
        <x:v>0</x:v>
      </x:c>
      <x:c r="P3145" s="9" t="n">
        <x:v>8.85</x:v>
      </x:c>
      <x:c r="Q3145" s="7" t="n">
        <x:f>'Guide'!$B$5-L3145</x:f>
        <x:v>4</x:v>
      </x:c>
      <x:c r="R3145" s="9" t="n">
        <x:f>K3145-P3145</x:f>
        <x:v>6.15</x:v>
      </x:c>
      <x:c r="S3145" s="10" t="n">
        <x:f>IF(K3145&gt;0,R3145/K3145,"")</x:f>
        <x:v>0.41000000000000003</x:v>
      </x:c>
    </x:row>
    <x:row r="3146">
      <x:c r="A3146" s="7" t="n">
        <x:v>3142</x:v>
      </x:c>
      <x:c r="B3146" s="7" t="str">
        <x:v>Tata</x:v>
      </x:c>
      <x:c r="C3146" s="7" t="str">
        <x:v>Harrier</x:v>
      </x:c>
      <x:c r="D3146" s="7" t="str">
        <x:v>Smart</x:v>
      </x:c>
      <x:c r="E3146" s="7" t="str">
        <x:v>Diesel</x:v>
      </x:c>
      <x:c r="F3146" s="7" t="str">
        <x:v>Manual</x:v>
      </x:c>
      <x:c r="G3146" s="7" t="str">
        <x:v>Mid-Size SUV</x:v>
      </x:c>
      <x:c r="H3146" s="7" t="n">
        <x:v>1956</x:v>
      </x:c>
      <x:c r="I3146" s="7" t="n">
        <x:v>168</x:v>
      </x:c>
      <x:c r="J3146" s="9" t="n">
        <x:v>16.8</x:v>
      </x:c>
      <x:c r="K3146" s="9" t="n">
        <x:v>15</x:v>
      </x:c>
      <x:c r="L3146" s="7" t="n">
        <x:v>2023</x:v>
      </x:c>
      <x:c r="M3146" s="11" t="n">
        <x:v>45508</x:v>
      </x:c>
      <x:c r="N3146" s="7" t="n">
        <x:v>2</x:v>
      </x:c>
      <x:c r="O3146" s="7" t="n">
        <x:v>0</x:v>
      </x:c>
      <x:c r="P3146" s="9" t="n">
        <x:v>10.28</x:v>
      </x:c>
      <x:c r="Q3146" s="7" t="n">
        <x:f>'Guide'!$B$5-L3146</x:f>
        <x:v>3</x:v>
      </x:c>
      <x:c r="R3146" s="9" t="n">
        <x:f>K3146-P3146</x:f>
        <x:v>4.720000000000001</x:v>
      </x:c>
      <x:c r="S3146" s="10" t="n">
        <x:f>IF(K3146&gt;0,R3146/K3146,"")</x:f>
        <x:v>0.3146666666666667</x:v>
      </x:c>
    </x:row>
    <x:row r="3147">
      <x:c r="A3147" s="7" t="n">
        <x:v>3143</x:v>
      </x:c>
      <x:c r="B3147" s="7" t="str">
        <x:v>Tata</x:v>
      </x:c>
      <x:c r="C3147" s="7" t="str">
        <x:v>Harrier</x:v>
      </x:c>
      <x:c r="D3147" s="7" t="str">
        <x:v>Smart</x:v>
      </x:c>
      <x:c r="E3147" s="7" t="str">
        <x:v>Diesel</x:v>
      </x:c>
      <x:c r="F3147" s="7" t="str">
        <x:v>Manual</x:v>
      </x:c>
      <x:c r="G3147" s="7" t="str">
        <x:v>Mid-Size SUV</x:v>
      </x:c>
      <x:c r="H3147" s="7" t="n">
        <x:v>1956</x:v>
      </x:c>
      <x:c r="I3147" s="7" t="n">
        <x:v>168</x:v>
      </x:c>
      <x:c r="J3147" s="9" t="n">
        <x:v>16.8</x:v>
      </x:c>
      <x:c r="K3147" s="9" t="n">
        <x:v>15</x:v>
      </x:c>
      <x:c r="L3147" s="7" t="n">
        <x:v>2021</x:v>
      </x:c>
      <x:c r="M3147" s="11" t="n">
        <x:v>88328</x:v>
      </x:c>
      <x:c r="N3147" s="7" t="n">
        <x:v>1</x:v>
      </x:c>
      <x:c r="O3147" s="7" t="n">
        <x:v>0</x:v>
      </x:c>
      <x:c r="P3147" s="9" t="n">
        <x:v>7.63</x:v>
      </x:c>
      <x:c r="Q3147" s="7" t="n">
        <x:f>'Guide'!$B$5-L3147</x:f>
        <x:v>5</x:v>
      </x:c>
      <x:c r="R3147" s="9" t="n">
        <x:f>K3147-P3147</x:f>
        <x:v>7.37</x:v>
      </x:c>
      <x:c r="S3147" s="10" t="n">
        <x:f>IF(K3147&gt;0,R3147/K3147,"")</x:f>
        <x:v>0.49133333333333334</x:v>
      </x:c>
    </x:row>
    <x:row r="3148">
      <x:c r="A3148" s="7" t="n">
        <x:v>3144</x:v>
      </x:c>
      <x:c r="B3148" s="7" t="str">
        <x:v>Tata</x:v>
      </x:c>
      <x:c r="C3148" s="7" t="str">
        <x:v>Harrier</x:v>
      </x:c>
      <x:c r="D3148" s="7" t="str">
        <x:v>Smart</x:v>
      </x:c>
      <x:c r="E3148" s="7" t="str">
        <x:v>Diesel</x:v>
      </x:c>
      <x:c r="F3148" s="7" t="str">
        <x:v>Manual</x:v>
      </x:c>
      <x:c r="G3148" s="7" t="str">
        <x:v>Mid-Size SUV</x:v>
      </x:c>
      <x:c r="H3148" s="7" t="n">
        <x:v>1956</x:v>
      </x:c>
      <x:c r="I3148" s="7" t="n">
        <x:v>168</x:v>
      </x:c>
      <x:c r="J3148" s="9" t="n">
        <x:v>16.8</x:v>
      </x:c>
      <x:c r="K3148" s="9" t="n">
        <x:v>15</x:v>
      </x:c>
      <x:c r="L3148" s="7" t="n">
        <x:v>2023</x:v>
      </x:c>
      <x:c r="M3148" s="11" t="n">
        <x:v>60982</x:v>
      </x:c>
      <x:c r="N3148" s="7" t="n">
        <x:v>1</x:v>
      </x:c>
      <x:c r="O3148" s="7" t="n">
        <x:v>0</x:v>
      </x:c>
      <x:c r="P3148" s="9" t="n">
        <x:v>9.92</x:v>
      </x:c>
      <x:c r="Q3148" s="7" t="n">
        <x:f>'Guide'!$B$5-L3148</x:f>
        <x:v>3</x:v>
      </x:c>
      <x:c r="R3148" s="9" t="n">
        <x:f>K3148-P3148</x:f>
        <x:v>5.08</x:v>
      </x:c>
      <x:c r="S3148" s="10" t="n">
        <x:f>IF(K3148&gt;0,R3148/K3148,"")</x:f>
        <x:v>0.33866666666666667</x:v>
      </x:c>
    </x:row>
    <x:row r="3149">
      <x:c r="A3149" s="7" t="n">
        <x:v>3145</x:v>
      </x:c>
      <x:c r="B3149" s="7" t="str">
        <x:v>Tata</x:v>
      </x:c>
      <x:c r="C3149" s="7" t="str">
        <x:v>Harrier</x:v>
      </x:c>
      <x:c r="D3149" s="7" t="str">
        <x:v>Smart</x:v>
      </x:c>
      <x:c r="E3149" s="7" t="str">
        <x:v>Diesel</x:v>
      </x:c>
      <x:c r="F3149" s="7" t="str">
        <x:v>Manual</x:v>
      </x:c>
      <x:c r="G3149" s="7" t="str">
        <x:v>Mid-Size SUV</x:v>
      </x:c>
      <x:c r="H3149" s="7" t="n">
        <x:v>1956</x:v>
      </x:c>
      <x:c r="I3149" s="7" t="n">
        <x:v>168</x:v>
      </x:c>
      <x:c r="J3149" s="9" t="n">
        <x:v>16.8</x:v>
      </x:c>
      <x:c r="K3149" s="9" t="n">
        <x:v>15</x:v>
      </x:c>
      <x:c r="L3149" s="7" t="n">
        <x:v>2020</x:v>
      </x:c>
      <x:c r="M3149" s="11" t="n">
        <x:v>129000</x:v>
      </x:c>
      <x:c r="N3149" s="7" t="n">
        <x:v>1</x:v>
      </x:c>
      <x:c r="O3149" s="7" t="n">
        <x:v>0</x:v>
      </x:c>
      <x:c r="P3149" s="9" t="n">
        <x:v>5.66</x:v>
      </x:c>
      <x:c r="Q3149" s="7" t="n">
        <x:f>'Guide'!$B$5-L3149</x:f>
        <x:v>6</x:v>
      </x:c>
      <x:c r="R3149" s="9" t="n">
        <x:f>K3149-P3149</x:f>
        <x:v>9.34</x:v>
      </x:c>
      <x:c r="S3149" s="10" t="n">
        <x:f>IF(K3149&gt;0,R3149/K3149,"")</x:f>
        <x:v>0.6226666666666667</x:v>
      </x:c>
    </x:row>
    <x:row r="3150">
      <x:c r="A3150" s="7" t="n">
        <x:v>3146</x:v>
      </x:c>
      <x:c r="B3150" s="7" t="str">
        <x:v>Tata</x:v>
      </x:c>
      <x:c r="C3150" s="7" t="str">
        <x:v>Harrier</x:v>
      </x:c>
      <x:c r="D3150" s="7" t="str">
        <x:v>Smart</x:v>
      </x:c>
      <x:c r="E3150" s="7" t="str">
        <x:v>Diesel</x:v>
      </x:c>
      <x:c r="F3150" s="7" t="str">
        <x:v>Manual</x:v>
      </x:c>
      <x:c r="G3150" s="7" t="str">
        <x:v>Mid-Size SUV</x:v>
      </x:c>
      <x:c r="H3150" s="7" t="n">
        <x:v>1956</x:v>
      </x:c>
      <x:c r="I3150" s="7" t="n">
        <x:v>168</x:v>
      </x:c>
      <x:c r="J3150" s="9" t="n">
        <x:v>16.8</x:v>
      </x:c>
      <x:c r="K3150" s="9" t="n">
        <x:v>15</x:v>
      </x:c>
      <x:c r="L3150" s="7" t="n">
        <x:v>2022</x:v>
      </x:c>
      <x:c r="M3150" s="11" t="n">
        <x:v>40190</x:v>
      </x:c>
      <x:c r="N3150" s="7" t="n">
        <x:v>1</x:v>
      </x:c>
      <x:c r="O3150" s="7" t="n">
        <x:v>0</x:v>
      </x:c>
      <x:c r="P3150" s="9" t="n">
        <x:v>9.55</x:v>
      </x:c>
      <x:c r="Q3150" s="7" t="n">
        <x:f>'Guide'!$B$5-L3150</x:f>
        <x:v>4</x:v>
      </x:c>
      <x:c r="R3150" s="9" t="n">
        <x:f>K3150-P3150</x:f>
        <x:v>5.449999999999999</x:v>
      </x:c>
      <x:c r="S3150" s="10" t="n">
        <x:f>IF(K3150&gt;0,R3150/K3150,"")</x:f>
        <x:v>0.3633333333333333</x:v>
      </x:c>
    </x:row>
    <x:row r="3151">
      <x:c r="A3151" s="7" t="n">
        <x:v>3147</x:v>
      </x:c>
      <x:c r="B3151" s="7" t="str">
        <x:v>Tata</x:v>
      </x:c>
      <x:c r="C3151" s="7" t="str">
        <x:v>Harrier</x:v>
      </x:c>
      <x:c r="D3151" s="7" t="str">
        <x:v>Smart</x:v>
      </x:c>
      <x:c r="E3151" s="7" t="str">
        <x:v>Diesel</x:v>
      </x:c>
      <x:c r="F3151" s="7" t="str">
        <x:v>Manual</x:v>
      </x:c>
      <x:c r="G3151" s="7" t="str">
        <x:v>Mid-Size SUV</x:v>
      </x:c>
      <x:c r="H3151" s="7" t="n">
        <x:v>1956</x:v>
      </x:c>
      <x:c r="I3151" s="7" t="n">
        <x:v>168</x:v>
      </x:c>
      <x:c r="J3151" s="9" t="n">
        <x:v>16.8</x:v>
      </x:c>
      <x:c r="K3151" s="9" t="n">
        <x:v>15</x:v>
      </x:c>
      <x:c r="L3151" s="7" t="n">
        <x:v>2026</x:v>
      </x:c>
      <x:c r="M3151" s="11" t="n">
        <x:v>7630</x:v>
      </x:c>
      <x:c r="N3151" s="7" t="n">
        <x:v>2</x:v>
      </x:c>
      <x:c r="O3151" s="7" t="n">
        <x:v>0</x:v>
      </x:c>
      <x:c r="P3151" s="9" t="n">
        <x:v>14.49</x:v>
      </x:c>
      <x:c r="Q3151" s="7" t="n">
        <x:f>'Guide'!$B$5-L3151</x:f>
        <x:v>0</x:v>
      </x:c>
      <x:c r="R3151" s="9" t="n">
        <x:f>K3151-P3151</x:f>
        <x:v>0.5099999999999998</x:v>
      </x:c>
      <x:c r="S3151" s="10" t="n">
        <x:f>IF(K3151&gt;0,R3151/K3151,"")</x:f>
        <x:v>0.03399999999999999</x:v>
      </x:c>
    </x:row>
    <x:row r="3152">
      <x:c r="A3152" s="7" t="n">
        <x:v>3148</x:v>
      </x:c>
      <x:c r="B3152" s="7" t="str">
        <x:v>Tata</x:v>
      </x:c>
      <x:c r="C3152" s="7" t="str">
        <x:v>Harrier</x:v>
      </x:c>
      <x:c r="D3152" s="7" t="str">
        <x:v>Smart</x:v>
      </x:c>
      <x:c r="E3152" s="7" t="str">
        <x:v>Diesel</x:v>
      </x:c>
      <x:c r="F3152" s="7" t="str">
        <x:v>Manual</x:v>
      </x:c>
      <x:c r="G3152" s="7" t="str">
        <x:v>Mid-Size SUV</x:v>
      </x:c>
      <x:c r="H3152" s="7" t="n">
        <x:v>1956</x:v>
      </x:c>
      <x:c r="I3152" s="7" t="n">
        <x:v>168</x:v>
      </x:c>
      <x:c r="J3152" s="9" t="n">
        <x:v>16.8</x:v>
      </x:c>
      <x:c r="K3152" s="9" t="n">
        <x:v>15</x:v>
      </x:c>
      <x:c r="L3152" s="7" t="n">
        <x:v>2026</x:v>
      </x:c>
      <x:c r="M3152" s="11" t="n">
        <x:v>4754</x:v>
      </x:c>
      <x:c r="N3152" s="7" t="n">
        <x:v>1</x:v>
      </x:c>
      <x:c r="O3152" s="7" t="n">
        <x:v>0</x:v>
      </x:c>
      <x:c r="P3152" s="9" t="n">
        <x:v>14.65</x:v>
      </x:c>
      <x:c r="Q3152" s="7" t="n">
        <x:f>'Guide'!$B$5-L3152</x:f>
        <x:v>0</x:v>
      </x:c>
      <x:c r="R3152" s="9" t="n">
        <x:f>K3152-P3152</x:f>
        <x:v>0.34999999999999964</x:v>
      </x:c>
      <x:c r="S3152" s="10" t="n">
        <x:f>IF(K3152&gt;0,R3152/K3152,"")</x:f>
        <x:v>0.02333333333333331</x:v>
      </x:c>
    </x:row>
    <x:row r="3153">
      <x:c r="A3153" s="7" t="n">
        <x:v>3149</x:v>
      </x:c>
      <x:c r="B3153" s="7" t="str">
        <x:v>Tata</x:v>
      </x:c>
      <x:c r="C3153" s="7" t="str">
        <x:v>Harrier</x:v>
      </x:c>
      <x:c r="D3153" s="7" t="str">
        <x:v>Smart</x:v>
      </x:c>
      <x:c r="E3153" s="7" t="str">
        <x:v>Diesel</x:v>
      </x:c>
      <x:c r="F3153" s="7" t="str">
        <x:v>Manual</x:v>
      </x:c>
      <x:c r="G3153" s="7" t="str">
        <x:v>Mid-Size SUV</x:v>
      </x:c>
      <x:c r="H3153" s="7" t="n">
        <x:v>1956</x:v>
      </x:c>
      <x:c r="I3153" s="7" t="n">
        <x:v>168</x:v>
      </x:c>
      <x:c r="J3153" s="9" t="n">
        <x:v>16.8</x:v>
      </x:c>
      <x:c r="K3153" s="9" t="n">
        <x:v>15</x:v>
      </x:c>
      <x:c r="L3153" s="7" t="n">
        <x:v>2023</x:v>
      </x:c>
      <x:c r="M3153" s="11" t="n">
        <x:v>58329</x:v>
      </x:c>
      <x:c r="N3153" s="7" t="n">
        <x:v>1</x:v>
      </x:c>
      <x:c r="O3153" s="7" t="n">
        <x:v>1</x:v>
      </x:c>
      <x:c r="P3153" s="9" t="n">
        <x:v>9.64</x:v>
      </x:c>
      <x:c r="Q3153" s="7" t="n">
        <x:f>'Guide'!$B$5-L3153</x:f>
        <x:v>3</x:v>
      </x:c>
      <x:c r="R3153" s="9" t="n">
        <x:f>K3153-P3153</x:f>
        <x:v>5.359999999999999</x:v>
      </x:c>
      <x:c r="S3153" s="10" t="n">
        <x:f>IF(K3153&gt;0,R3153/K3153,"")</x:f>
        <x:v>0.3573333333333333</x:v>
      </x:c>
    </x:row>
    <x:row r="3154">
      <x:c r="A3154" s="7" t="n">
        <x:v>3150</x:v>
      </x:c>
      <x:c r="B3154" s="7" t="str">
        <x:v>Tata</x:v>
      </x:c>
      <x:c r="C3154" s="7" t="str">
        <x:v>Harrier</x:v>
      </x:c>
      <x:c r="D3154" s="7" t="str">
        <x:v>Smart</x:v>
      </x:c>
      <x:c r="E3154" s="7" t="str">
        <x:v>Diesel</x:v>
      </x:c>
      <x:c r="F3154" s="7" t="str">
        <x:v>Manual</x:v>
      </x:c>
      <x:c r="G3154" s="7" t="str">
        <x:v>Mid-Size SUV</x:v>
      </x:c>
      <x:c r="H3154" s="7" t="n">
        <x:v>1956</x:v>
      </x:c>
      <x:c r="I3154" s="7" t="n">
        <x:v>168</x:v>
      </x:c>
      <x:c r="J3154" s="9" t="n">
        <x:v>16.8</x:v>
      </x:c>
      <x:c r="K3154" s="9" t="n">
        <x:v>15</x:v>
      </x:c>
      <x:c r="L3154" s="7" t="n">
        <x:v>2022</x:v>
      </x:c>
      <x:c r="M3154" s="11" t="n">
        <x:v>77713</x:v>
      </x:c>
      <x:c r="N3154" s="7" t="n">
        <x:v>2</x:v>
      </x:c>
      <x:c r="O3154" s="7" t="n">
        <x:v>1</x:v>
      </x:c>
      <x:c r="P3154" s="9" t="n">
        <x:v>7.68</x:v>
      </x:c>
      <x:c r="Q3154" s="7" t="n">
        <x:f>'Guide'!$B$5-L3154</x:f>
        <x:v>4</x:v>
      </x:c>
      <x:c r="R3154" s="9" t="n">
        <x:f>K3154-P3154</x:f>
        <x:v>7.32</x:v>
      </x:c>
      <x:c r="S3154" s="10" t="n">
        <x:f>IF(K3154&gt;0,R3154/K3154,"")</x:f>
        <x:v>0.48800000000000004</x:v>
      </x:c>
    </x:row>
    <x:row r="3155">
      <x:c r="A3155" s="7" t="n">
        <x:v>3151</x:v>
      </x:c>
      <x:c r="B3155" s="7" t="str">
        <x:v>Tata</x:v>
      </x:c>
      <x:c r="C3155" s="7" t="str">
        <x:v>Harrier</x:v>
      </x:c>
      <x:c r="D3155" s="7" t="str">
        <x:v>Smart</x:v>
      </x:c>
      <x:c r="E3155" s="7" t="str">
        <x:v>Diesel</x:v>
      </x:c>
      <x:c r="F3155" s="7" t="str">
        <x:v>Manual</x:v>
      </x:c>
      <x:c r="G3155" s="7" t="str">
        <x:v>Mid-Size SUV</x:v>
      </x:c>
      <x:c r="H3155" s="7" t="n">
        <x:v>1956</x:v>
      </x:c>
      <x:c r="I3155" s="7" t="n">
        <x:v>168</x:v>
      </x:c>
      <x:c r="J3155" s="9" t="n">
        <x:v>16.8</x:v>
      </x:c>
      <x:c r="K3155" s="9" t="n">
        <x:v>15</x:v>
      </x:c>
      <x:c r="L3155" s="7" t="n">
        <x:v>2023</x:v>
      </x:c>
      <x:c r="M3155" s="11" t="n">
        <x:v>48684</x:v>
      </x:c>
      <x:c r="N3155" s="7" t="n">
        <x:v>3</x:v>
      </x:c>
      <x:c r="O3155" s="7" t="n">
        <x:v>0</x:v>
      </x:c>
      <x:c r="P3155" s="9" t="n">
        <x:v>9.85</x:v>
      </x:c>
      <x:c r="Q3155" s="7" t="n">
        <x:f>'Guide'!$B$5-L3155</x:f>
        <x:v>3</x:v>
      </x:c>
      <x:c r="R3155" s="9" t="n">
        <x:f>K3155-P3155</x:f>
        <x:v>5.15</x:v>
      </x:c>
      <x:c r="S3155" s="10" t="n">
        <x:f>IF(K3155&gt;0,R3155/K3155,"")</x:f>
        <x:v>0.3433333333333334</x:v>
      </x:c>
    </x:row>
    <x:row r="3156">
      <x:c r="A3156" s="7" t="n">
        <x:v>3152</x:v>
      </x:c>
      <x:c r="B3156" s="7" t="str">
        <x:v>Tata</x:v>
      </x:c>
      <x:c r="C3156" s="7" t="str">
        <x:v>Harrier</x:v>
      </x:c>
      <x:c r="D3156" s="7" t="str">
        <x:v>Smart</x:v>
      </x:c>
      <x:c r="E3156" s="7" t="str">
        <x:v>Diesel</x:v>
      </x:c>
      <x:c r="F3156" s="7" t="str">
        <x:v>Manual</x:v>
      </x:c>
      <x:c r="G3156" s="7" t="str">
        <x:v>Mid-Size SUV</x:v>
      </x:c>
      <x:c r="H3156" s="7" t="n">
        <x:v>1956</x:v>
      </x:c>
      <x:c r="I3156" s="7" t="n">
        <x:v>168</x:v>
      </x:c>
      <x:c r="J3156" s="9" t="n">
        <x:v>16.8</x:v>
      </x:c>
      <x:c r="K3156" s="9" t="n">
        <x:v>15</x:v>
      </x:c>
      <x:c r="L3156" s="7" t="n">
        <x:v>2026</x:v>
      </x:c>
      <x:c r="M3156" s="11" t="n">
        <x:v>8273</x:v>
      </x:c>
      <x:c r="N3156" s="7" t="n">
        <x:v>1</x:v>
      </x:c>
      <x:c r="O3156" s="7" t="n">
        <x:v>0</x:v>
      </x:c>
      <x:c r="P3156" s="9" t="n">
        <x:v>14.98</x:v>
      </x:c>
      <x:c r="Q3156" s="7" t="n">
        <x:f>'Guide'!$B$5-L3156</x:f>
        <x:v>0</x:v>
      </x:c>
      <x:c r="R3156" s="9" t="n">
        <x:f>K3156-P3156</x:f>
        <x:v>0.019999999999999574</x:v>
      </x:c>
      <x:c r="S3156" s="10" t="n">
        <x:f>IF(K3156&gt;0,R3156/K3156,"")</x:f>
        <x:v>0.0013333333333333049</x:v>
      </x:c>
    </x:row>
    <x:row r="3157">
      <x:c r="A3157" s="7" t="n">
        <x:v>3153</x:v>
      </x:c>
      <x:c r="B3157" s="7" t="str">
        <x:v>Tata</x:v>
      </x:c>
      <x:c r="C3157" s="7" t="str">
        <x:v>Harrier</x:v>
      </x:c>
      <x:c r="D3157" s="7" t="str">
        <x:v>Smart</x:v>
      </x:c>
      <x:c r="E3157" s="7" t="str">
        <x:v>Diesel</x:v>
      </x:c>
      <x:c r="F3157" s="7" t="str">
        <x:v>Manual</x:v>
      </x:c>
      <x:c r="G3157" s="7" t="str">
        <x:v>Mid-Size SUV</x:v>
      </x:c>
      <x:c r="H3157" s="7" t="n">
        <x:v>1956</x:v>
      </x:c>
      <x:c r="I3157" s="7" t="n">
        <x:v>168</x:v>
      </x:c>
      <x:c r="J3157" s="9" t="n">
        <x:v>16.8</x:v>
      </x:c>
      <x:c r="K3157" s="9" t="n">
        <x:v>15</x:v>
      </x:c>
      <x:c r="L3157" s="7" t="n">
        <x:v>2021</x:v>
      </x:c>
      <x:c r="M3157" s="11" t="n">
        <x:v>53430</x:v>
      </x:c>
      <x:c r="N3157" s="7" t="n">
        <x:v>1</x:v>
      </x:c>
      <x:c r="O3157" s="7" t="n">
        <x:v>0</x:v>
      </x:c>
      <x:c r="P3157" s="9" t="n">
        <x:v>7.9</x:v>
      </x:c>
      <x:c r="Q3157" s="7" t="n">
        <x:f>'Guide'!$B$5-L3157</x:f>
        <x:v>5</x:v>
      </x:c>
      <x:c r="R3157" s="9" t="n">
        <x:f>K3157-P3157</x:f>
        <x:v>7.1</x:v>
      </x:c>
      <x:c r="S3157" s="10" t="n">
        <x:f>IF(K3157&gt;0,R3157/K3157,"")</x:f>
        <x:v>0.47333333333333333</x:v>
      </x:c>
    </x:row>
    <x:row r="3158">
      <x:c r="A3158" s="7" t="n">
        <x:v>3154</x:v>
      </x:c>
      <x:c r="B3158" s="7" t="str">
        <x:v>Tata</x:v>
      </x:c>
      <x:c r="C3158" s="7" t="str">
        <x:v>Harrier</x:v>
      </x:c>
      <x:c r="D3158" s="7" t="str">
        <x:v>Smart</x:v>
      </x:c>
      <x:c r="E3158" s="7" t="str">
        <x:v>Diesel</x:v>
      </x:c>
      <x:c r="F3158" s="7" t="str">
        <x:v>Manual</x:v>
      </x:c>
      <x:c r="G3158" s="7" t="str">
        <x:v>Mid-Size SUV</x:v>
      </x:c>
      <x:c r="H3158" s="7" t="n">
        <x:v>1956</x:v>
      </x:c>
      <x:c r="I3158" s="7" t="n">
        <x:v>168</x:v>
      </x:c>
      <x:c r="J3158" s="9" t="n">
        <x:v>16.8</x:v>
      </x:c>
      <x:c r="K3158" s="9" t="n">
        <x:v>15</x:v>
      </x:c>
      <x:c r="L3158" s="7" t="n">
        <x:v>2022</x:v>
      </x:c>
      <x:c r="M3158" s="11" t="n">
        <x:v>41770</x:v>
      </x:c>
      <x:c r="N3158" s="7" t="n">
        <x:v>1</x:v>
      </x:c>
      <x:c r="O3158" s="7" t="n">
        <x:v>0</x:v>
      </x:c>
      <x:c r="P3158" s="9" t="n">
        <x:v>9.08</x:v>
      </x:c>
      <x:c r="Q3158" s="7" t="n">
        <x:f>'Guide'!$B$5-L3158</x:f>
        <x:v>4</x:v>
      </x:c>
      <x:c r="R3158" s="9" t="n">
        <x:f>K3158-P3158</x:f>
        <x:v>5.92</x:v>
      </x:c>
      <x:c r="S3158" s="10" t="n">
        <x:f>IF(K3158&gt;0,R3158/K3158,"")</x:f>
        <x:v>0.39466666666666667</x:v>
      </x:c>
    </x:row>
    <x:row r="3159">
      <x:c r="A3159" s="7" t="n">
        <x:v>3155</x:v>
      </x:c>
      <x:c r="B3159" s="7" t="str">
        <x:v>Tata</x:v>
      </x:c>
      <x:c r="C3159" s="7" t="str">
        <x:v>Harrier</x:v>
      </x:c>
      <x:c r="D3159" s="7" t="str">
        <x:v>Smart</x:v>
      </x:c>
      <x:c r="E3159" s="7" t="str">
        <x:v>Diesel</x:v>
      </x:c>
      <x:c r="F3159" s="7" t="str">
        <x:v>Manual</x:v>
      </x:c>
      <x:c r="G3159" s="7" t="str">
        <x:v>Mid-Size SUV</x:v>
      </x:c>
      <x:c r="H3159" s="7" t="n">
        <x:v>1956</x:v>
      </x:c>
      <x:c r="I3159" s="7" t="n">
        <x:v>168</x:v>
      </x:c>
      <x:c r="J3159" s="9" t="n">
        <x:v>16.8</x:v>
      </x:c>
      <x:c r="K3159" s="9" t="n">
        <x:v>15</x:v>
      </x:c>
      <x:c r="L3159" s="7" t="n">
        <x:v>2024</x:v>
      </x:c>
      <x:c r="M3159" s="11" t="n">
        <x:v>29781</x:v>
      </x:c>
      <x:c r="N3159" s="7" t="n">
        <x:v>1</x:v>
      </x:c>
      <x:c r="O3159" s="7" t="n">
        <x:v>0</x:v>
      </x:c>
      <x:c r="P3159" s="9" t="n">
        <x:v>12.13</x:v>
      </x:c>
      <x:c r="Q3159" s="7" t="n">
        <x:f>'Guide'!$B$5-L3159</x:f>
        <x:v>2</x:v>
      </x:c>
      <x:c r="R3159" s="9" t="n">
        <x:f>K3159-P3159</x:f>
        <x:v>2.869999999999999</x:v>
      </x:c>
      <x:c r="S3159" s="10" t="n">
        <x:f>IF(K3159&gt;0,R3159/K3159,"")</x:f>
        <x:v>0.19133333333333327</x:v>
      </x:c>
    </x:row>
    <x:row r="3160">
      <x:c r="A3160" s="7" t="n">
        <x:v>3156</x:v>
      </x:c>
      <x:c r="B3160" s="7" t="str">
        <x:v>Tata</x:v>
      </x:c>
      <x:c r="C3160" s="7" t="str">
        <x:v>Harrier</x:v>
      </x:c>
      <x:c r="D3160" s="7" t="str">
        <x:v>Smart</x:v>
      </x:c>
      <x:c r="E3160" s="7" t="str">
        <x:v>Diesel</x:v>
      </x:c>
      <x:c r="F3160" s="7" t="str">
        <x:v>Manual</x:v>
      </x:c>
      <x:c r="G3160" s="7" t="str">
        <x:v>Mid-Size SUV</x:v>
      </x:c>
      <x:c r="H3160" s="7" t="n">
        <x:v>1956</x:v>
      </x:c>
      <x:c r="I3160" s="7" t="n">
        <x:v>168</x:v>
      </x:c>
      <x:c r="J3160" s="9" t="n">
        <x:v>16.8</x:v>
      </x:c>
      <x:c r="K3160" s="9" t="n">
        <x:v>15</x:v>
      </x:c>
      <x:c r="L3160" s="7" t="n">
        <x:v>2023</x:v>
      </x:c>
      <x:c r="M3160" s="11" t="n">
        <x:v>61236</x:v>
      </x:c>
      <x:c r="N3160" s="7" t="n">
        <x:v>1</x:v>
      </x:c>
      <x:c r="O3160" s="7" t="n">
        <x:v>0</x:v>
      </x:c>
      <x:c r="P3160" s="9" t="n">
        <x:v>10.06</x:v>
      </x:c>
      <x:c r="Q3160" s="7" t="n">
        <x:f>'Guide'!$B$5-L3160</x:f>
        <x:v>3</x:v>
      </x:c>
      <x:c r="R3160" s="9" t="n">
        <x:f>K3160-P3160</x:f>
        <x:v>4.9399999999999995</x:v>
      </x:c>
      <x:c r="S3160" s="10" t="n">
        <x:f>IF(K3160&gt;0,R3160/K3160,"")</x:f>
        <x:v>0.3293333333333333</x:v>
      </x:c>
    </x:row>
    <x:row r="3161">
      <x:c r="A3161" s="7" t="n">
        <x:v>3157</x:v>
      </x:c>
      <x:c r="B3161" s="7" t="str">
        <x:v>Tata</x:v>
      </x:c>
      <x:c r="C3161" s="7" t="str">
        <x:v>Harrier</x:v>
      </x:c>
      <x:c r="D3161" s="7" t="str">
        <x:v>Smart</x:v>
      </x:c>
      <x:c r="E3161" s="7" t="str">
        <x:v>Diesel</x:v>
      </x:c>
      <x:c r="F3161" s="7" t="str">
        <x:v>Manual</x:v>
      </x:c>
      <x:c r="G3161" s="7" t="str">
        <x:v>Mid-Size SUV</x:v>
      </x:c>
      <x:c r="H3161" s="7" t="n">
        <x:v>1956</x:v>
      </x:c>
      <x:c r="I3161" s="7" t="n">
        <x:v>168</x:v>
      </x:c>
      <x:c r="J3161" s="9" t="n">
        <x:v>16.8</x:v>
      </x:c>
      <x:c r="K3161" s="9" t="n">
        <x:v>15</x:v>
      </x:c>
      <x:c r="L3161" s="7" t="n">
        <x:v>2020</x:v>
      </x:c>
      <x:c r="M3161" s="11" t="n">
        <x:v>73695</x:v>
      </x:c>
      <x:c r="N3161" s="7" t="n">
        <x:v>1</x:v>
      </x:c>
      <x:c r="O3161" s="7" t="n">
        <x:v>0</x:v>
      </x:c>
      <x:c r="P3161" s="9" t="n">
        <x:v>6.49</x:v>
      </x:c>
      <x:c r="Q3161" s="7" t="n">
        <x:f>'Guide'!$B$5-L3161</x:f>
        <x:v>6</x:v>
      </x:c>
      <x:c r="R3161" s="9" t="n">
        <x:f>K3161-P3161</x:f>
        <x:v>8.51</x:v>
      </x:c>
      <x:c r="S3161" s="10" t="n">
        <x:f>IF(K3161&gt;0,R3161/K3161,"")</x:f>
        <x:v>0.5673333333333334</x:v>
      </x:c>
    </x:row>
    <x:row r="3162">
      <x:c r="A3162" s="7" t="n">
        <x:v>3158</x:v>
      </x:c>
      <x:c r="B3162" s="7" t="str">
        <x:v>Tata</x:v>
      </x:c>
      <x:c r="C3162" s="7" t="str">
        <x:v>Harrier</x:v>
      </x:c>
      <x:c r="D3162" s="7" t="str">
        <x:v>Smart</x:v>
      </x:c>
      <x:c r="E3162" s="7" t="str">
        <x:v>Diesel</x:v>
      </x:c>
      <x:c r="F3162" s="7" t="str">
        <x:v>Manual</x:v>
      </x:c>
      <x:c r="G3162" s="7" t="str">
        <x:v>Mid-Size SUV</x:v>
      </x:c>
      <x:c r="H3162" s="7" t="n">
        <x:v>1956</x:v>
      </x:c>
      <x:c r="I3162" s="7" t="n">
        <x:v>168</x:v>
      </x:c>
      <x:c r="J3162" s="9" t="n">
        <x:v>16.8</x:v>
      </x:c>
      <x:c r="K3162" s="9" t="n">
        <x:v>15</x:v>
      </x:c>
      <x:c r="L3162" s="7" t="n">
        <x:v>2024</x:v>
      </x:c>
      <x:c r="M3162" s="11" t="n">
        <x:v>36804</x:v>
      </x:c>
      <x:c r="N3162" s="7" t="n">
        <x:v>1</x:v>
      </x:c>
      <x:c r="O3162" s="7" t="n">
        <x:v>0</x:v>
      </x:c>
      <x:c r="P3162" s="9" t="n">
        <x:v>12.09</x:v>
      </x:c>
      <x:c r="Q3162" s="7" t="n">
        <x:f>'Guide'!$B$5-L3162</x:f>
        <x:v>2</x:v>
      </x:c>
      <x:c r="R3162" s="9" t="n">
        <x:f>K3162-P3162</x:f>
        <x:v>2.91</x:v>
      </x:c>
      <x:c r="S3162" s="10" t="n">
        <x:f>IF(K3162&gt;0,R3162/K3162,"")</x:f>
        <x:v>0.194</x:v>
      </x:c>
    </x:row>
    <x:row r="3163">
      <x:c r="A3163" s="7" t="n">
        <x:v>3159</x:v>
      </x:c>
      <x:c r="B3163" s="7" t="str">
        <x:v>Tata</x:v>
      </x:c>
      <x:c r="C3163" s="7" t="str">
        <x:v>Harrier</x:v>
      </x:c>
      <x:c r="D3163" s="7" t="str">
        <x:v>Smart</x:v>
      </x:c>
      <x:c r="E3163" s="7" t="str">
        <x:v>Diesel</x:v>
      </x:c>
      <x:c r="F3163" s="7" t="str">
        <x:v>Manual</x:v>
      </x:c>
      <x:c r="G3163" s="7" t="str">
        <x:v>Mid-Size SUV</x:v>
      </x:c>
      <x:c r="H3163" s="7" t="n">
        <x:v>1956</x:v>
      </x:c>
      <x:c r="I3163" s="7" t="n">
        <x:v>168</x:v>
      </x:c>
      <x:c r="J3163" s="9" t="n">
        <x:v>16.8</x:v>
      </x:c>
      <x:c r="K3163" s="9" t="n">
        <x:v>15</x:v>
      </x:c>
      <x:c r="L3163" s="7" t="n">
        <x:v>2021</x:v>
      </x:c>
      <x:c r="M3163" s="11" t="n">
        <x:v>87214</x:v>
      </x:c>
      <x:c r="N3163" s="7" t="n">
        <x:v>1</x:v>
      </x:c>
      <x:c r="O3163" s="7" t="n">
        <x:v>0</x:v>
      </x:c>
      <x:c r="P3163" s="9" t="n">
        <x:v>7.74</x:v>
      </x:c>
      <x:c r="Q3163" s="7" t="n">
        <x:f>'Guide'!$B$5-L3163</x:f>
        <x:v>5</x:v>
      </x:c>
      <x:c r="R3163" s="9" t="n">
        <x:f>K3163-P3163</x:f>
        <x:v>7.26</x:v>
      </x:c>
      <x:c r="S3163" s="10" t="n">
        <x:f>IF(K3163&gt;0,R3163/K3163,"")</x:f>
        <x:v>0.484</x:v>
      </x:c>
    </x:row>
    <x:row r="3164">
      <x:c r="A3164" s="7" t="n">
        <x:v>3160</x:v>
      </x:c>
      <x:c r="B3164" s="7" t="str">
        <x:v>Tata</x:v>
      </x:c>
      <x:c r="C3164" s="7" t="str">
        <x:v>Harrier</x:v>
      </x:c>
      <x:c r="D3164" s="7" t="str">
        <x:v>Smart</x:v>
      </x:c>
      <x:c r="E3164" s="7" t="str">
        <x:v>Diesel</x:v>
      </x:c>
      <x:c r="F3164" s="7" t="str">
        <x:v>Manual</x:v>
      </x:c>
      <x:c r="G3164" s="7" t="str">
        <x:v>Mid-Size SUV</x:v>
      </x:c>
      <x:c r="H3164" s="7" t="n">
        <x:v>1956</x:v>
      </x:c>
      <x:c r="I3164" s="7" t="n">
        <x:v>168</x:v>
      </x:c>
      <x:c r="J3164" s="9" t="n">
        <x:v>16.8</x:v>
      </x:c>
      <x:c r="K3164" s="9" t="n">
        <x:v>15</x:v>
      </x:c>
      <x:c r="L3164" s="7" t="n">
        <x:v>2026</x:v>
      </x:c>
      <x:c r="M3164" s="11" t="n">
        <x:v>5494</x:v>
      </x:c>
      <x:c r="N3164" s="7" t="n">
        <x:v>1</x:v>
      </x:c>
      <x:c r="O3164" s="7" t="n">
        <x:v>0</x:v>
      </x:c>
      <x:c r="P3164" s="9" t="n">
        <x:v>15.17</x:v>
      </x:c>
      <x:c r="Q3164" s="7" t="n">
        <x:f>'Guide'!$B$5-L3164</x:f>
        <x:v>0</x:v>
      </x:c>
      <x:c r="R3164" s="9" t="n">
        <x:f>K3164-P3164</x:f>
        <x:v>-0.16999999999999993</x:v>
      </x:c>
      <x:c r="S3164" s="10" t="n">
        <x:f>IF(K3164&gt;0,R3164/K3164,"")</x:f>
        <x:v>-0.011333333333333329</x:v>
      </x:c>
    </x:row>
    <x:row r="3165">
      <x:c r="A3165" s="7" t="n">
        <x:v>3161</x:v>
      </x:c>
      <x:c r="B3165" s="7" t="str">
        <x:v>Tata</x:v>
      </x:c>
      <x:c r="C3165" s="7" t="str">
        <x:v>Harrier</x:v>
      </x:c>
      <x:c r="D3165" s="7" t="str">
        <x:v>Smart</x:v>
      </x:c>
      <x:c r="E3165" s="7" t="str">
        <x:v>Diesel</x:v>
      </x:c>
      <x:c r="F3165" s="7" t="str">
        <x:v>Manual</x:v>
      </x:c>
      <x:c r="G3165" s="7" t="str">
        <x:v>Mid-Size SUV</x:v>
      </x:c>
      <x:c r="H3165" s="7" t="n">
        <x:v>1956</x:v>
      </x:c>
      <x:c r="I3165" s="7" t="n">
        <x:v>168</x:v>
      </x:c>
      <x:c r="J3165" s="9" t="n">
        <x:v>16.8</x:v>
      </x:c>
      <x:c r="K3165" s="9" t="n">
        <x:v>15</x:v>
      </x:c>
      <x:c r="L3165" s="7" t="n">
        <x:v>2020</x:v>
      </x:c>
      <x:c r="M3165" s="11" t="n">
        <x:v>82646</x:v>
      </x:c>
      <x:c r="N3165" s="7" t="n">
        <x:v>1</x:v>
      </x:c>
      <x:c r="O3165" s="7" t="n">
        <x:v>0</x:v>
      </x:c>
      <x:c r="P3165" s="9" t="n">
        <x:v>6.36</x:v>
      </x:c>
      <x:c r="Q3165" s="7" t="n">
        <x:f>'Guide'!$B$5-L3165</x:f>
        <x:v>6</x:v>
      </x:c>
      <x:c r="R3165" s="9" t="n">
        <x:f>K3165-P3165</x:f>
        <x:v>8.64</x:v>
      </x:c>
      <x:c r="S3165" s="10" t="n">
        <x:f>IF(K3165&gt;0,R3165/K3165,"")</x:f>
        <x:v>0.5760000000000001</x:v>
      </x:c>
    </x:row>
    <x:row r="3166">
      <x:c r="A3166" s="7" t="n">
        <x:v>3162</x:v>
      </x:c>
      <x:c r="B3166" s="7" t="str">
        <x:v>Tata</x:v>
      </x:c>
      <x:c r="C3166" s="7" t="str">
        <x:v>Harrier</x:v>
      </x:c>
      <x:c r="D3166" s="7" t="str">
        <x:v>Smart</x:v>
      </x:c>
      <x:c r="E3166" s="7" t="str">
        <x:v>Diesel</x:v>
      </x:c>
      <x:c r="F3166" s="7" t="str">
        <x:v>Manual</x:v>
      </x:c>
      <x:c r="G3166" s="7" t="str">
        <x:v>Mid-Size SUV</x:v>
      </x:c>
      <x:c r="H3166" s="7" t="n">
        <x:v>1956</x:v>
      </x:c>
      <x:c r="I3166" s="7" t="n">
        <x:v>168</x:v>
      </x:c>
      <x:c r="J3166" s="9" t="n">
        <x:v>16.8</x:v>
      </x:c>
      <x:c r="K3166" s="9" t="n">
        <x:v>15</x:v>
      </x:c>
      <x:c r="L3166" s="7" t="n">
        <x:v>2020</x:v>
      </x:c>
      <x:c r="M3166" s="11" t="n">
        <x:v>74349</x:v>
      </x:c>
      <x:c r="N3166" s="7" t="n">
        <x:v>1</x:v>
      </x:c>
      <x:c r="O3166" s="7" t="n">
        <x:v>1</x:v>
      </x:c>
      <x:c r="P3166" s="9" t="n">
        <x:v>5.46</x:v>
      </x:c>
      <x:c r="Q3166" s="7" t="n">
        <x:f>'Guide'!$B$5-L3166</x:f>
        <x:v>6</x:v>
      </x:c>
      <x:c r="R3166" s="9" t="n">
        <x:f>K3166-P3166</x:f>
        <x:v>9.54</x:v>
      </x:c>
      <x:c r="S3166" s="10" t="n">
        <x:f>IF(K3166&gt;0,R3166/K3166,"")</x:f>
        <x:v>0.6359999999999999</x:v>
      </x:c>
    </x:row>
    <x:row r="3167">
      <x:c r="A3167" s="7" t="n">
        <x:v>3163</x:v>
      </x:c>
      <x:c r="B3167" s="7" t="str">
        <x:v>Tata</x:v>
      </x:c>
      <x:c r="C3167" s="7" t="str">
        <x:v>Harrier</x:v>
      </x:c>
      <x:c r="D3167" s="7" t="str">
        <x:v>Smart</x:v>
      </x:c>
      <x:c r="E3167" s="7" t="str">
        <x:v>Diesel</x:v>
      </x:c>
      <x:c r="F3167" s="7" t="str">
        <x:v>Manual</x:v>
      </x:c>
      <x:c r="G3167" s="7" t="str">
        <x:v>Mid-Size SUV</x:v>
      </x:c>
      <x:c r="H3167" s="7" t="n">
        <x:v>1956</x:v>
      </x:c>
      <x:c r="I3167" s="7" t="n">
        <x:v>168</x:v>
      </x:c>
      <x:c r="J3167" s="9" t="n">
        <x:v>16.8</x:v>
      </x:c>
      <x:c r="K3167" s="9" t="n">
        <x:v>15</x:v>
      </x:c>
      <x:c r="L3167" s="7" t="n">
        <x:v>2025</x:v>
      </x:c>
      <x:c r="M3167" s="11" t="n">
        <x:v>25054</x:v>
      </x:c>
      <x:c r="N3167" s="7" t="n">
        <x:v>1</x:v>
      </x:c>
      <x:c r="O3167" s="7" t="n">
        <x:v>0</x:v>
      </x:c>
      <x:c r="P3167" s="9" t="n">
        <x:v>13.36</x:v>
      </x:c>
      <x:c r="Q3167" s="7" t="n">
        <x:f>'Guide'!$B$5-L3167</x:f>
        <x:v>1</x:v>
      </x:c>
      <x:c r="R3167" s="9" t="n">
        <x:f>K3167-P3167</x:f>
        <x:v>1.6400000000000006</x:v>
      </x:c>
      <x:c r="S3167" s="10" t="n">
        <x:f>IF(K3167&gt;0,R3167/K3167,"")</x:f>
        <x:v>0.10933333333333337</x:v>
      </x:c>
    </x:row>
    <x:row r="3168">
      <x:c r="A3168" s="7" t="n">
        <x:v>3164</x:v>
      </x:c>
      <x:c r="B3168" s="7" t="str">
        <x:v>Tata</x:v>
      </x:c>
      <x:c r="C3168" s="7" t="str">
        <x:v>Harrier</x:v>
      </x:c>
      <x:c r="D3168" s="7" t="str">
        <x:v>Smart</x:v>
      </x:c>
      <x:c r="E3168" s="7" t="str">
        <x:v>Diesel</x:v>
      </x:c>
      <x:c r="F3168" s="7" t="str">
        <x:v>Manual</x:v>
      </x:c>
      <x:c r="G3168" s="7" t="str">
        <x:v>Mid-Size SUV</x:v>
      </x:c>
      <x:c r="H3168" s="7" t="n">
        <x:v>1956</x:v>
      </x:c>
      <x:c r="I3168" s="7" t="n">
        <x:v>168</x:v>
      </x:c>
      <x:c r="J3168" s="9" t="n">
        <x:v>16.8</x:v>
      </x:c>
      <x:c r="K3168" s="9" t="n">
        <x:v>15</x:v>
      </x:c>
      <x:c r="L3168" s="7" t="n">
        <x:v>2020</x:v>
      </x:c>
      <x:c r="M3168" s="11" t="n">
        <x:v>97091</x:v>
      </x:c>
      <x:c r="N3168" s="7" t="n">
        <x:v>2</x:v>
      </x:c>
      <x:c r="O3168" s="7" t="n">
        <x:v>0</x:v>
      </x:c>
      <x:c r="P3168" s="9" t="n">
        <x:v>5.85</x:v>
      </x:c>
      <x:c r="Q3168" s="7" t="n">
        <x:f>'Guide'!$B$5-L3168</x:f>
        <x:v>6</x:v>
      </x:c>
      <x:c r="R3168" s="9" t="n">
        <x:f>K3168-P3168</x:f>
        <x:v>9.15</x:v>
      </x:c>
      <x:c r="S3168" s="10" t="n">
        <x:f>IF(K3168&gt;0,R3168/K3168,"")</x:f>
        <x:v>0.61</x:v>
      </x:c>
    </x:row>
    <x:row r="3169">
      <x:c r="A3169" s="7" t="n">
        <x:v>3165</x:v>
      </x:c>
      <x:c r="B3169" s="7" t="str">
        <x:v>Tata</x:v>
      </x:c>
      <x:c r="C3169" s="7" t="str">
        <x:v>Harrier</x:v>
      </x:c>
      <x:c r="D3169" s="7" t="str">
        <x:v>Smart</x:v>
      </x:c>
      <x:c r="E3169" s="7" t="str">
        <x:v>Diesel</x:v>
      </x:c>
      <x:c r="F3169" s="7" t="str">
        <x:v>Manual</x:v>
      </x:c>
      <x:c r="G3169" s="7" t="str">
        <x:v>Mid-Size SUV</x:v>
      </x:c>
      <x:c r="H3169" s="7" t="n">
        <x:v>1956</x:v>
      </x:c>
      <x:c r="I3169" s="7" t="n">
        <x:v>168</x:v>
      </x:c>
      <x:c r="J3169" s="9" t="n">
        <x:v>16.8</x:v>
      </x:c>
      <x:c r="K3169" s="9" t="n">
        <x:v>15</x:v>
      </x:c>
      <x:c r="L3169" s="7" t="n">
        <x:v>2023</x:v>
      </x:c>
      <x:c r="M3169" s="11" t="n">
        <x:v>62220</x:v>
      </x:c>
      <x:c r="N3169" s="7" t="n">
        <x:v>1</x:v>
      </x:c>
      <x:c r="O3169" s="7" t="n">
        <x:v>0</x:v>
      </x:c>
      <x:c r="P3169" s="9" t="n">
        <x:v>10.36</x:v>
      </x:c>
      <x:c r="Q3169" s="7" t="n">
        <x:f>'Guide'!$B$5-L3169</x:f>
        <x:v>3</x:v>
      </x:c>
      <x:c r="R3169" s="9" t="n">
        <x:f>K3169-P3169</x:f>
        <x:v>4.640000000000001</x:v>
      </x:c>
      <x:c r="S3169" s="10" t="n">
        <x:f>IF(K3169&gt;0,R3169/K3169,"")</x:f>
        <x:v>0.30933333333333335</x:v>
      </x:c>
    </x:row>
    <x:row r="3170">
      <x:c r="A3170" s="7" t="n">
        <x:v>3166</x:v>
      </x:c>
      <x:c r="B3170" s="7" t="str">
        <x:v>Tata</x:v>
      </x:c>
      <x:c r="C3170" s="7" t="str">
        <x:v>Harrier</x:v>
      </x:c>
      <x:c r="D3170" s="7" t="str">
        <x:v>Smart</x:v>
      </x:c>
      <x:c r="E3170" s="7" t="str">
        <x:v>Diesel</x:v>
      </x:c>
      <x:c r="F3170" s="7" t="str">
        <x:v>Manual</x:v>
      </x:c>
      <x:c r="G3170" s="7" t="str">
        <x:v>Mid-Size SUV</x:v>
      </x:c>
      <x:c r="H3170" s="7" t="n">
        <x:v>1956</x:v>
      </x:c>
      <x:c r="I3170" s="7" t="n">
        <x:v>168</x:v>
      </x:c>
      <x:c r="J3170" s="9" t="n">
        <x:v>16.8</x:v>
      </x:c>
      <x:c r="K3170" s="9" t="n">
        <x:v>15</x:v>
      </x:c>
      <x:c r="L3170" s="7" t="n">
        <x:v>2026</x:v>
      </x:c>
      <x:c r="M3170" s="11" t="n">
        <x:v>4469</x:v>
      </x:c>
      <x:c r="N3170" s="7" t="n">
        <x:v>1</x:v>
      </x:c>
      <x:c r="O3170" s="7" t="n">
        <x:v>0</x:v>
      </x:c>
      <x:c r="P3170" s="9" t="n">
        <x:v>14.85</x:v>
      </x:c>
      <x:c r="Q3170" s="7" t="n">
        <x:f>'Guide'!$B$5-L3170</x:f>
        <x:v>0</x:v>
      </x:c>
      <x:c r="R3170" s="9" t="n">
        <x:f>K3170-P3170</x:f>
        <x:v>0.15000000000000036</x:v>
      </x:c>
      <x:c r="S3170" s="10" t="n">
        <x:f>IF(K3170&gt;0,R3170/K3170,"")</x:f>
        <x:v>0.010000000000000024</x:v>
      </x:c>
    </x:row>
    <x:row r="3171">
      <x:c r="A3171" s="7" t="n">
        <x:v>3167</x:v>
      </x:c>
      <x:c r="B3171" s="7" t="str">
        <x:v>Tata</x:v>
      </x:c>
      <x:c r="C3171" s="7" t="str">
        <x:v>Harrier</x:v>
      </x:c>
      <x:c r="D3171" s="7" t="str">
        <x:v>Smart</x:v>
      </x:c>
      <x:c r="E3171" s="7" t="str">
        <x:v>Diesel</x:v>
      </x:c>
      <x:c r="F3171" s="7" t="str">
        <x:v>Manual</x:v>
      </x:c>
      <x:c r="G3171" s="7" t="str">
        <x:v>Mid-Size SUV</x:v>
      </x:c>
      <x:c r="H3171" s="7" t="n">
        <x:v>1956</x:v>
      </x:c>
      <x:c r="I3171" s="7" t="n">
        <x:v>168</x:v>
      </x:c>
      <x:c r="J3171" s="9" t="n">
        <x:v>16.8</x:v>
      </x:c>
      <x:c r="K3171" s="9" t="n">
        <x:v>15</x:v>
      </x:c>
      <x:c r="L3171" s="7" t="n">
        <x:v>2020</x:v>
      </x:c>
      <x:c r="M3171" s="11" t="n">
        <x:v>102924</x:v>
      </x:c>
      <x:c r="N3171" s="7" t="n">
        <x:v>1</x:v>
      </x:c>
      <x:c r="O3171" s="7" t="n">
        <x:v>0</x:v>
      </x:c>
      <x:c r="P3171" s="9" t="n">
        <x:v>6.05</x:v>
      </x:c>
      <x:c r="Q3171" s="7" t="n">
        <x:f>'Guide'!$B$5-L3171</x:f>
        <x:v>6</x:v>
      </x:c>
      <x:c r="R3171" s="9" t="n">
        <x:f>K3171-P3171</x:f>
        <x:v>8.95</x:v>
      </x:c>
      <x:c r="S3171" s="10" t="n">
        <x:f>IF(K3171&gt;0,R3171/K3171,"")</x:f>
        <x:v>0.5966666666666666</x:v>
      </x:c>
    </x:row>
    <x:row r="3172">
      <x:c r="A3172" s="7" t="n">
        <x:v>3168</x:v>
      </x:c>
      <x:c r="B3172" s="7" t="str">
        <x:v>Tata</x:v>
      </x:c>
      <x:c r="C3172" s="7" t="str">
        <x:v>Harrier</x:v>
      </x:c>
      <x:c r="D3172" s="7" t="str">
        <x:v>Smart</x:v>
      </x:c>
      <x:c r="E3172" s="7" t="str">
        <x:v>Diesel</x:v>
      </x:c>
      <x:c r="F3172" s="7" t="str">
        <x:v>Manual</x:v>
      </x:c>
      <x:c r="G3172" s="7" t="str">
        <x:v>Mid-Size SUV</x:v>
      </x:c>
      <x:c r="H3172" s="7" t="n">
        <x:v>1956</x:v>
      </x:c>
      <x:c r="I3172" s="7" t="n">
        <x:v>168</x:v>
      </x:c>
      <x:c r="J3172" s="9" t="n">
        <x:v>16.8</x:v>
      </x:c>
      <x:c r="K3172" s="9" t="n">
        <x:v>15</x:v>
      </x:c>
      <x:c r="L3172" s="7" t="n">
        <x:v>2026</x:v>
      </x:c>
      <x:c r="M3172" s="11" t="n">
        <x:v>7958</x:v>
      </x:c>
      <x:c r="N3172" s="7" t="n">
        <x:v>1</x:v>
      </x:c>
      <x:c r="O3172" s="7" t="n">
        <x:v>0</x:v>
      </x:c>
      <x:c r="P3172" s="9" t="n">
        <x:v>14.73</x:v>
      </x:c>
      <x:c r="Q3172" s="7" t="n">
        <x:f>'Guide'!$B$5-L3172</x:f>
        <x:v>0</x:v>
      </x:c>
      <x:c r="R3172" s="9" t="n">
        <x:f>K3172-P3172</x:f>
        <x:v>0.2699999999999996</x:v>
      </x:c>
      <x:c r="S3172" s="10" t="n">
        <x:f>IF(K3172&gt;0,R3172/K3172,"")</x:f>
        <x:v>0.01799999999999997</x:v>
      </x:c>
    </x:row>
    <x:row r="3173">
      <x:c r="A3173" s="7" t="n">
        <x:v>3169</x:v>
      </x:c>
      <x:c r="B3173" s="7" t="str">
        <x:v>Tata</x:v>
      </x:c>
      <x:c r="C3173" s="7" t="str">
        <x:v>Harrier</x:v>
      </x:c>
      <x:c r="D3173" s="7" t="str">
        <x:v>Smart</x:v>
      </x:c>
      <x:c r="E3173" s="7" t="str">
        <x:v>Diesel</x:v>
      </x:c>
      <x:c r="F3173" s="7" t="str">
        <x:v>Manual</x:v>
      </x:c>
      <x:c r="G3173" s="7" t="str">
        <x:v>Mid-Size SUV</x:v>
      </x:c>
      <x:c r="H3173" s="7" t="n">
        <x:v>1956</x:v>
      </x:c>
      <x:c r="I3173" s="7" t="n">
        <x:v>168</x:v>
      </x:c>
      <x:c r="J3173" s="9" t="n">
        <x:v>16.8</x:v>
      </x:c>
      <x:c r="K3173" s="9" t="n">
        <x:v>15</x:v>
      </x:c>
      <x:c r="L3173" s="7" t="n">
        <x:v>2024</x:v>
      </x:c>
      <x:c r="M3173" s="11" t="n">
        <x:v>28910</x:v>
      </x:c>
      <x:c r="N3173" s="7" t="n">
        <x:v>1</x:v>
      </x:c>
      <x:c r="O3173" s="7" t="n">
        <x:v>0</x:v>
      </x:c>
      <x:c r="P3173" s="9" t="n">
        <x:v>11.82</x:v>
      </x:c>
      <x:c r="Q3173" s="7" t="n">
        <x:f>'Guide'!$B$5-L3173</x:f>
        <x:v>2</x:v>
      </x:c>
      <x:c r="R3173" s="9" t="n">
        <x:f>K3173-P3173</x:f>
        <x:v>3.1799999999999997</x:v>
      </x:c>
      <x:c r="S3173" s="10" t="n">
        <x:f>IF(K3173&gt;0,R3173/K3173,"")</x:f>
        <x:v>0.212</x:v>
      </x:c>
    </x:row>
    <x:row r="3174">
      <x:c r="A3174" s="7" t="n">
        <x:v>3170</x:v>
      </x:c>
      <x:c r="B3174" s="7" t="str">
        <x:v>Tata</x:v>
      </x:c>
      <x:c r="C3174" s="7" t="str">
        <x:v>Harrier</x:v>
      </x:c>
      <x:c r="D3174" s="7" t="str">
        <x:v>Smart</x:v>
      </x:c>
      <x:c r="E3174" s="7" t="str">
        <x:v>Diesel</x:v>
      </x:c>
      <x:c r="F3174" s="7" t="str">
        <x:v>Manual</x:v>
      </x:c>
      <x:c r="G3174" s="7" t="str">
        <x:v>Mid-Size SUV</x:v>
      </x:c>
      <x:c r="H3174" s="7" t="n">
        <x:v>1956</x:v>
      </x:c>
      <x:c r="I3174" s="7" t="n">
        <x:v>168</x:v>
      </x:c>
      <x:c r="J3174" s="9" t="n">
        <x:v>16.8</x:v>
      </x:c>
      <x:c r="K3174" s="9" t="n">
        <x:v>15</x:v>
      </x:c>
      <x:c r="L3174" s="7" t="n">
        <x:v>2025</x:v>
      </x:c>
      <x:c r="M3174" s="11" t="n">
        <x:v>26126</x:v>
      </x:c>
      <x:c r="N3174" s="7" t="n">
        <x:v>1</x:v>
      </x:c>
      <x:c r="O3174" s="7" t="n">
        <x:v>0</x:v>
      </x:c>
      <x:c r="P3174" s="9" t="n">
        <x:v>13.21</x:v>
      </x:c>
      <x:c r="Q3174" s="7" t="n">
        <x:f>'Guide'!$B$5-L3174</x:f>
        <x:v>1</x:v>
      </x:c>
      <x:c r="R3174" s="9" t="n">
        <x:f>K3174-P3174</x:f>
        <x:v>1.7899999999999991</x:v>
      </x:c>
      <x:c r="S3174" s="10" t="n">
        <x:f>IF(K3174&gt;0,R3174/K3174,"")</x:f>
        <x:v>0.11933333333333328</x:v>
      </x:c>
    </x:row>
    <x:row r="3175">
      <x:c r="A3175" s="7" t="n">
        <x:v>3171</x:v>
      </x:c>
      <x:c r="B3175" s="7" t="str">
        <x:v>Tata</x:v>
      </x:c>
      <x:c r="C3175" s="7" t="str">
        <x:v>Harrier</x:v>
      </x:c>
      <x:c r="D3175" s="7" t="str">
        <x:v>Smart</x:v>
      </x:c>
      <x:c r="E3175" s="7" t="str">
        <x:v>Diesel</x:v>
      </x:c>
      <x:c r="F3175" s="7" t="str">
        <x:v>Manual</x:v>
      </x:c>
      <x:c r="G3175" s="7" t="str">
        <x:v>Mid-Size SUV</x:v>
      </x:c>
      <x:c r="H3175" s="7" t="n">
        <x:v>1956</x:v>
      </x:c>
      <x:c r="I3175" s="7" t="n">
        <x:v>168</x:v>
      </x:c>
      <x:c r="J3175" s="9" t="n">
        <x:v>16.8</x:v>
      </x:c>
      <x:c r="K3175" s="9" t="n">
        <x:v>15</x:v>
      </x:c>
      <x:c r="L3175" s="7" t="n">
        <x:v>2024</x:v>
      </x:c>
      <x:c r="M3175" s="11" t="n">
        <x:v>30774</x:v>
      </x:c>
      <x:c r="N3175" s="7" t="n">
        <x:v>3</x:v>
      </x:c>
      <x:c r="O3175" s="7" t="n">
        <x:v>1</x:v>
      </x:c>
      <x:c r="P3175" s="9" t="n">
        <x:v>10.41</x:v>
      </x:c>
      <x:c r="Q3175" s="7" t="n">
        <x:f>'Guide'!$B$5-L3175</x:f>
        <x:v>2</x:v>
      </x:c>
      <x:c r="R3175" s="9" t="n">
        <x:f>K3175-P3175</x:f>
        <x:v>4.59</x:v>
      </x:c>
      <x:c r="S3175" s="10" t="n">
        <x:f>IF(K3175&gt;0,R3175/K3175,"")</x:f>
        <x:v>0.306</x:v>
      </x:c>
    </x:row>
    <x:row r="3176">
      <x:c r="A3176" s="7" t="n">
        <x:v>3172</x:v>
      </x:c>
      <x:c r="B3176" s="7" t="str">
        <x:v>Tata</x:v>
      </x:c>
      <x:c r="C3176" s="7" t="str">
        <x:v>Harrier</x:v>
      </x:c>
      <x:c r="D3176" s="7" t="str">
        <x:v>Smart</x:v>
      </x:c>
      <x:c r="E3176" s="7" t="str">
        <x:v>Diesel</x:v>
      </x:c>
      <x:c r="F3176" s="7" t="str">
        <x:v>Manual</x:v>
      </x:c>
      <x:c r="G3176" s="7" t="str">
        <x:v>Mid-Size SUV</x:v>
      </x:c>
      <x:c r="H3176" s="7" t="n">
        <x:v>1956</x:v>
      </x:c>
      <x:c r="I3176" s="7" t="n">
        <x:v>168</x:v>
      </x:c>
      <x:c r="J3176" s="9" t="n">
        <x:v>16.8</x:v>
      </x:c>
      <x:c r="K3176" s="9" t="n">
        <x:v>15</x:v>
      </x:c>
      <x:c r="L3176" s="7" t="n">
        <x:v>2021</x:v>
      </x:c>
      <x:c r="M3176" s="11" t="n">
        <x:v>96508</x:v>
      </x:c>
      <x:c r="N3176" s="7" t="n">
        <x:v>1</x:v>
      </x:c>
      <x:c r="O3176" s="7" t="n">
        <x:v>0</x:v>
      </x:c>
      <x:c r="P3176" s="9" t="n">
        <x:v>6.88</x:v>
      </x:c>
      <x:c r="Q3176" s="7" t="n">
        <x:f>'Guide'!$B$5-L3176</x:f>
        <x:v>5</x:v>
      </x:c>
      <x:c r="R3176" s="9" t="n">
        <x:f>K3176-P3176</x:f>
        <x:v>8.120000000000001</x:v>
      </x:c>
      <x:c r="S3176" s="10" t="n">
        <x:f>IF(K3176&gt;0,R3176/K3176,"")</x:f>
        <x:v>0.5413333333333334</x:v>
      </x:c>
    </x:row>
    <x:row r="3177">
      <x:c r="A3177" s="7" t="n">
        <x:v>3173</x:v>
      </x:c>
      <x:c r="B3177" s="7" t="str">
        <x:v>Tata</x:v>
      </x:c>
      <x:c r="C3177" s="7" t="str">
        <x:v>Harrier</x:v>
      </x:c>
      <x:c r="D3177" s="7" t="str">
        <x:v>Smart</x:v>
      </x:c>
      <x:c r="E3177" s="7" t="str">
        <x:v>Diesel</x:v>
      </x:c>
      <x:c r="F3177" s="7" t="str">
        <x:v>Manual</x:v>
      </x:c>
      <x:c r="G3177" s="7" t="str">
        <x:v>Mid-Size SUV</x:v>
      </x:c>
      <x:c r="H3177" s="7" t="n">
        <x:v>1956</x:v>
      </x:c>
      <x:c r="I3177" s="7" t="n">
        <x:v>168</x:v>
      </x:c>
      <x:c r="J3177" s="9" t="n">
        <x:v>16.8</x:v>
      </x:c>
      <x:c r="K3177" s="9" t="n">
        <x:v>15</x:v>
      </x:c>
      <x:c r="L3177" s="7" t="n">
        <x:v>2025</x:v>
      </x:c>
      <x:c r="M3177" s="11" t="n">
        <x:v>14918</x:v>
      </x:c>
      <x:c r="N3177" s="7" t="n">
        <x:v>1</x:v>
      </x:c>
      <x:c r="O3177" s="7" t="n">
        <x:v>0</x:v>
      </x:c>
      <x:c r="P3177" s="9" t="n">
        <x:v>13.16</x:v>
      </x:c>
      <x:c r="Q3177" s="7" t="n">
        <x:f>'Guide'!$B$5-L3177</x:f>
        <x:v>1</x:v>
      </x:c>
      <x:c r="R3177" s="9" t="n">
        <x:f>K3177-P3177</x:f>
        <x:v>1.8399999999999999</x:v>
      </x:c>
      <x:c r="S3177" s="10" t="n">
        <x:f>IF(K3177&gt;0,R3177/K3177,"")</x:f>
        <x:v>0.12266666666666666</x:v>
      </x:c>
    </x:row>
    <x:row r="3178">
      <x:c r="A3178" s="7" t="n">
        <x:v>3174</x:v>
      </x:c>
      <x:c r="B3178" s="7" t="str">
        <x:v>Tata</x:v>
      </x:c>
      <x:c r="C3178" s="7" t="str">
        <x:v>Harrier</x:v>
      </x:c>
      <x:c r="D3178" s="7" t="str">
        <x:v>Smart</x:v>
      </x:c>
      <x:c r="E3178" s="7" t="str">
        <x:v>Diesel</x:v>
      </x:c>
      <x:c r="F3178" s="7" t="str">
        <x:v>Manual</x:v>
      </x:c>
      <x:c r="G3178" s="7" t="str">
        <x:v>Mid-Size SUV</x:v>
      </x:c>
      <x:c r="H3178" s="7" t="n">
        <x:v>1956</x:v>
      </x:c>
      <x:c r="I3178" s="7" t="n">
        <x:v>168</x:v>
      </x:c>
      <x:c r="J3178" s="9" t="n">
        <x:v>16.8</x:v>
      </x:c>
      <x:c r="K3178" s="9" t="n">
        <x:v>15</x:v>
      </x:c>
      <x:c r="L3178" s="7" t="n">
        <x:v>2026</x:v>
      </x:c>
      <x:c r="M3178" s="11" t="n">
        <x:v>6063</x:v>
      </x:c>
      <x:c r="N3178" s="7" t="n">
        <x:v>1</x:v>
      </x:c>
      <x:c r="O3178" s="7" t="n">
        <x:v>0</x:v>
      </x:c>
      <x:c r="P3178" s="9" t="n">
        <x:v>14.56</x:v>
      </x:c>
      <x:c r="Q3178" s="7" t="n">
        <x:f>'Guide'!$B$5-L3178</x:f>
        <x:v>0</x:v>
      </x:c>
      <x:c r="R3178" s="9" t="n">
        <x:f>K3178-P3178</x:f>
        <x:v>0.4399999999999995</x:v>
      </x:c>
      <x:c r="S3178" s="10" t="n">
        <x:f>IF(K3178&gt;0,R3178/K3178,"")</x:f>
        <x:v>0.0293333333333333</x:v>
      </x:c>
    </x:row>
    <x:row r="3179">
      <x:c r="A3179" s="7" t="n">
        <x:v>3175</x:v>
      </x:c>
      <x:c r="B3179" s="7" t="str">
        <x:v>Tata</x:v>
      </x:c>
      <x:c r="C3179" s="7" t="str">
        <x:v>Harrier</x:v>
      </x:c>
      <x:c r="D3179" s="7" t="str">
        <x:v>Smart</x:v>
      </x:c>
      <x:c r="E3179" s="7" t="str">
        <x:v>Diesel</x:v>
      </x:c>
      <x:c r="F3179" s="7" t="str">
        <x:v>Manual</x:v>
      </x:c>
      <x:c r="G3179" s="7" t="str">
        <x:v>Mid-Size SUV</x:v>
      </x:c>
      <x:c r="H3179" s="7" t="n">
        <x:v>1956</x:v>
      </x:c>
      <x:c r="I3179" s="7" t="n">
        <x:v>168</x:v>
      </x:c>
      <x:c r="J3179" s="9" t="n">
        <x:v>16.8</x:v>
      </x:c>
      <x:c r="K3179" s="9" t="n">
        <x:v>15</x:v>
      </x:c>
      <x:c r="L3179" s="7" t="n">
        <x:v>2020</x:v>
      </x:c>
      <x:c r="M3179" s="11" t="n">
        <x:v>56610</x:v>
      </x:c>
      <x:c r="N3179" s="7" t="n">
        <x:v>2</x:v>
      </x:c>
      <x:c r="O3179" s="7" t="n">
        <x:v>0</x:v>
      </x:c>
      <x:c r="P3179" s="9" t="n">
        <x:v>6.74</x:v>
      </x:c>
      <x:c r="Q3179" s="7" t="n">
        <x:f>'Guide'!$B$5-L3179</x:f>
        <x:v>6</x:v>
      </x:c>
      <x:c r="R3179" s="9" t="n">
        <x:f>K3179-P3179</x:f>
        <x:v>8.26</x:v>
      </x:c>
      <x:c r="S3179" s="10" t="n">
        <x:f>IF(K3179&gt;0,R3179/K3179,"")</x:f>
        <x:v>0.5506666666666666</x:v>
      </x:c>
    </x:row>
    <x:row r="3180">
      <x:c r="A3180" s="7" t="n">
        <x:v>3176</x:v>
      </x:c>
      <x:c r="B3180" s="7" t="str">
        <x:v>Tata</x:v>
      </x:c>
      <x:c r="C3180" s="7" t="str">
        <x:v>Harrier</x:v>
      </x:c>
      <x:c r="D3180" s="7" t="str">
        <x:v>Smart</x:v>
      </x:c>
      <x:c r="E3180" s="7" t="str">
        <x:v>Diesel</x:v>
      </x:c>
      <x:c r="F3180" s="7" t="str">
        <x:v>Manual</x:v>
      </x:c>
      <x:c r="G3180" s="7" t="str">
        <x:v>Mid-Size SUV</x:v>
      </x:c>
      <x:c r="H3180" s="7" t="n">
        <x:v>1956</x:v>
      </x:c>
      <x:c r="I3180" s="7" t="n">
        <x:v>168</x:v>
      </x:c>
      <x:c r="J3180" s="9" t="n">
        <x:v>16.8</x:v>
      </x:c>
      <x:c r="K3180" s="9" t="n">
        <x:v>15</x:v>
      </x:c>
      <x:c r="L3180" s="7" t="n">
        <x:v>2024</x:v>
      </x:c>
      <x:c r="M3180" s="11" t="n">
        <x:v>26363</x:v>
      </x:c>
      <x:c r="N3180" s="7" t="n">
        <x:v>1</x:v>
      </x:c>
      <x:c r="O3180" s="7" t="n">
        <x:v>0</x:v>
      </x:c>
      <x:c r="P3180" s="9" t="n">
        <x:v>12.07</x:v>
      </x:c>
      <x:c r="Q3180" s="7" t="n">
        <x:f>'Guide'!$B$5-L3180</x:f>
        <x:v>2</x:v>
      </x:c>
      <x:c r="R3180" s="9" t="n">
        <x:f>K3180-P3180</x:f>
        <x:v>2.9299999999999997</x:v>
      </x:c>
      <x:c r="S3180" s="10" t="n">
        <x:f>IF(K3180&gt;0,R3180/K3180,"")</x:f>
        <x:v>0.1953333333333333</x:v>
      </x:c>
    </x:row>
    <x:row r="3181">
      <x:c r="A3181" s="7" t="n">
        <x:v>3177</x:v>
      </x:c>
      <x:c r="B3181" s="7" t="str">
        <x:v>Tata</x:v>
      </x:c>
      <x:c r="C3181" s="7" t="str">
        <x:v>Harrier</x:v>
      </x:c>
      <x:c r="D3181" s="7" t="str">
        <x:v>Smart</x:v>
      </x:c>
      <x:c r="E3181" s="7" t="str">
        <x:v>Diesel</x:v>
      </x:c>
      <x:c r="F3181" s="7" t="str">
        <x:v>Manual</x:v>
      </x:c>
      <x:c r="G3181" s="7" t="str">
        <x:v>Mid-Size SUV</x:v>
      </x:c>
      <x:c r="H3181" s="7" t="n">
        <x:v>1956</x:v>
      </x:c>
      <x:c r="I3181" s="7" t="n">
        <x:v>168</x:v>
      </x:c>
      <x:c r="J3181" s="9" t="n">
        <x:v>16.8</x:v>
      </x:c>
      <x:c r="K3181" s="9" t="n">
        <x:v>15</x:v>
      </x:c>
      <x:c r="L3181" s="7" t="n">
        <x:v>2026</x:v>
      </x:c>
      <x:c r="M3181" s="11" t="n">
        <x:v>9588</x:v>
      </x:c>
      <x:c r="N3181" s="7" t="n">
        <x:v>1</x:v>
      </x:c>
      <x:c r="O3181" s="7" t="n">
        <x:v>0</x:v>
      </x:c>
      <x:c r="P3181" s="9" t="n">
        <x:v>15.21</x:v>
      </x:c>
      <x:c r="Q3181" s="7" t="n">
        <x:f>'Guide'!$B$5-L3181</x:f>
        <x:v>0</x:v>
      </x:c>
      <x:c r="R3181" s="9" t="n">
        <x:f>K3181-P3181</x:f>
        <x:v>-0.21000000000000085</x:v>
      </x:c>
      <x:c r="S3181" s="10" t="n">
        <x:f>IF(K3181&gt;0,R3181/K3181,"")</x:f>
        <x:v>-0.014000000000000058</x:v>
      </x:c>
    </x:row>
    <x:row r="3182">
      <x:c r="A3182" s="7" t="n">
        <x:v>3178</x:v>
      </x:c>
      <x:c r="B3182" s="7" t="str">
        <x:v>Tata</x:v>
      </x:c>
      <x:c r="C3182" s="7" t="str">
        <x:v>Harrier</x:v>
      </x:c>
      <x:c r="D3182" s="7" t="str">
        <x:v>Smart</x:v>
      </x:c>
      <x:c r="E3182" s="7" t="str">
        <x:v>Diesel</x:v>
      </x:c>
      <x:c r="F3182" s="7" t="str">
        <x:v>Manual</x:v>
      </x:c>
      <x:c r="G3182" s="7" t="str">
        <x:v>Mid-Size SUV</x:v>
      </x:c>
      <x:c r="H3182" s="7" t="n">
        <x:v>1956</x:v>
      </x:c>
      <x:c r="I3182" s="7" t="n">
        <x:v>168</x:v>
      </x:c>
      <x:c r="J3182" s="9" t="n">
        <x:v>16.8</x:v>
      </x:c>
      <x:c r="K3182" s="9" t="n">
        <x:v>15</x:v>
      </x:c>
      <x:c r="L3182" s="7" t="n">
        <x:v>2024</x:v>
      </x:c>
      <x:c r="M3182" s="11" t="n">
        <x:v>20940</x:v>
      </x:c>
      <x:c r="N3182" s="7" t="n">
        <x:v>1</x:v>
      </x:c>
      <x:c r="O3182" s="7" t="n">
        <x:v>0</x:v>
      </x:c>
      <x:c r="P3182" s="9" t="n">
        <x:v>12.33</x:v>
      </x:c>
      <x:c r="Q3182" s="7" t="n">
        <x:f>'Guide'!$B$5-L3182</x:f>
        <x:v>2</x:v>
      </x:c>
      <x:c r="R3182" s="9" t="n">
        <x:f>K3182-P3182</x:f>
        <x:v>2.67</x:v>
      </x:c>
      <x:c r="S3182" s="10" t="n">
        <x:f>IF(K3182&gt;0,R3182/K3182,"")</x:f>
        <x:v>0.178</x:v>
      </x:c>
    </x:row>
    <x:row r="3183">
      <x:c r="A3183" s="7" t="n">
        <x:v>3179</x:v>
      </x:c>
      <x:c r="B3183" s="7" t="str">
        <x:v>Tata</x:v>
      </x:c>
      <x:c r="C3183" s="7" t="str">
        <x:v>Harrier</x:v>
      </x:c>
      <x:c r="D3183" s="7" t="str">
        <x:v>Smart</x:v>
      </x:c>
      <x:c r="E3183" s="7" t="str">
        <x:v>Diesel</x:v>
      </x:c>
      <x:c r="F3183" s="7" t="str">
        <x:v>Manual</x:v>
      </x:c>
      <x:c r="G3183" s="7" t="str">
        <x:v>Mid-Size SUV</x:v>
      </x:c>
      <x:c r="H3183" s="7" t="n">
        <x:v>1956</x:v>
      </x:c>
      <x:c r="I3183" s="7" t="n">
        <x:v>168</x:v>
      </x:c>
      <x:c r="J3183" s="9" t="n">
        <x:v>16.8</x:v>
      </x:c>
      <x:c r="K3183" s="9" t="n">
        <x:v>15</x:v>
      </x:c>
      <x:c r="L3183" s="7" t="n">
        <x:v>2026</x:v>
      </x:c>
      <x:c r="M3183" s="11" t="n">
        <x:v>4225</x:v>
      </x:c>
      <x:c r="N3183" s="7" t="n">
        <x:v>2</x:v>
      </x:c>
      <x:c r="O3183" s="7" t="n">
        <x:v>0</x:v>
      </x:c>
      <x:c r="P3183" s="9" t="n">
        <x:v>14.56</x:v>
      </x:c>
      <x:c r="Q3183" s="7" t="n">
        <x:f>'Guide'!$B$5-L3183</x:f>
        <x:v>0</x:v>
      </x:c>
      <x:c r="R3183" s="9" t="n">
        <x:f>K3183-P3183</x:f>
        <x:v>0.4399999999999995</x:v>
      </x:c>
      <x:c r="S3183" s="10" t="n">
        <x:f>IF(K3183&gt;0,R3183/K3183,"")</x:f>
        <x:v>0.0293333333333333</x:v>
      </x:c>
    </x:row>
    <x:row r="3184">
      <x:c r="A3184" s="7" t="n">
        <x:v>3180</x:v>
      </x:c>
      <x:c r="B3184" s="7" t="str">
        <x:v>Tata</x:v>
      </x:c>
      <x:c r="C3184" s="7" t="str">
        <x:v>Harrier</x:v>
      </x:c>
      <x:c r="D3184" s="7" t="str">
        <x:v>Smart</x:v>
      </x:c>
      <x:c r="E3184" s="7" t="str">
        <x:v>Diesel</x:v>
      </x:c>
      <x:c r="F3184" s="7" t="str">
        <x:v>Manual</x:v>
      </x:c>
      <x:c r="G3184" s="7" t="str">
        <x:v>Mid-Size SUV</x:v>
      </x:c>
      <x:c r="H3184" s="7" t="n">
        <x:v>1956</x:v>
      </x:c>
      <x:c r="I3184" s="7" t="n">
        <x:v>168</x:v>
      </x:c>
      <x:c r="J3184" s="9" t="n">
        <x:v>16.8</x:v>
      </x:c>
      <x:c r="K3184" s="9" t="n">
        <x:v>15</x:v>
      </x:c>
      <x:c r="L3184" s="7" t="n">
        <x:v>2026</x:v>
      </x:c>
      <x:c r="M3184" s="11" t="n">
        <x:v>8329</x:v>
      </x:c>
      <x:c r="N3184" s="7" t="n">
        <x:v>1</x:v>
      </x:c>
      <x:c r="O3184" s="7" t="n">
        <x:v>0</x:v>
      </x:c>
      <x:c r="P3184" s="9" t="n">
        <x:v>15.15</x:v>
      </x:c>
      <x:c r="Q3184" s="7" t="n">
        <x:f>'Guide'!$B$5-L3184</x:f>
        <x:v>0</x:v>
      </x:c>
      <x:c r="R3184" s="9" t="n">
        <x:f>K3184-P3184</x:f>
        <x:v>-0.15000000000000036</x:v>
      </x:c>
      <x:c r="S3184" s="10" t="n">
        <x:f>IF(K3184&gt;0,R3184/K3184,"")</x:f>
        <x:v>-0.010000000000000024</x:v>
      </x:c>
    </x:row>
    <x:row r="3185">
      <x:c r="A3185" s="7" t="n">
        <x:v>3181</x:v>
      </x:c>
      <x:c r="B3185" s="7" t="str">
        <x:v>Tata</x:v>
      </x:c>
      <x:c r="C3185" s="7" t="str">
        <x:v>Harrier</x:v>
      </x:c>
      <x:c r="D3185" s="7" t="str">
        <x:v>Smart</x:v>
      </x:c>
      <x:c r="E3185" s="7" t="str">
        <x:v>Diesel</x:v>
      </x:c>
      <x:c r="F3185" s="7" t="str">
        <x:v>Manual</x:v>
      </x:c>
      <x:c r="G3185" s="7" t="str">
        <x:v>Mid-Size SUV</x:v>
      </x:c>
      <x:c r="H3185" s="7" t="n">
        <x:v>1956</x:v>
      </x:c>
      <x:c r="I3185" s="7" t="n">
        <x:v>168</x:v>
      </x:c>
      <x:c r="J3185" s="9" t="n">
        <x:v>16.8</x:v>
      </x:c>
      <x:c r="K3185" s="9" t="n">
        <x:v>15</x:v>
      </x:c>
      <x:c r="L3185" s="7" t="n">
        <x:v>2025</x:v>
      </x:c>
      <x:c r="M3185" s="11" t="n">
        <x:v>19346</x:v>
      </x:c>
      <x:c r="N3185" s="7" t="n">
        <x:v>1</x:v>
      </x:c>
      <x:c r="O3185" s="7" t="n">
        <x:v>0</x:v>
      </x:c>
      <x:c r="P3185" s="9" t="n">
        <x:v>13.67</x:v>
      </x:c>
      <x:c r="Q3185" s="7" t="n">
        <x:f>'Guide'!$B$5-L3185</x:f>
        <x:v>1</x:v>
      </x:c>
      <x:c r="R3185" s="9" t="n">
        <x:f>K3185-P3185</x:f>
        <x:v>1.33</x:v>
      </x:c>
      <x:c r="S3185" s="10" t="n">
        <x:f>IF(K3185&gt;0,R3185/K3185,"")</x:f>
        <x:v>0.08866666666666667</x:v>
      </x:c>
    </x:row>
    <x:row r="3186">
      <x:c r="A3186" s="7" t="n">
        <x:v>3182</x:v>
      </x:c>
      <x:c r="B3186" s="7" t="str">
        <x:v>Tata</x:v>
      </x:c>
      <x:c r="C3186" s="7" t="str">
        <x:v>Harrier</x:v>
      </x:c>
      <x:c r="D3186" s="7" t="str">
        <x:v>Smart</x:v>
      </x:c>
      <x:c r="E3186" s="7" t="str">
        <x:v>Diesel</x:v>
      </x:c>
      <x:c r="F3186" s="7" t="str">
        <x:v>Manual</x:v>
      </x:c>
      <x:c r="G3186" s="7" t="str">
        <x:v>Mid-Size SUV</x:v>
      </x:c>
      <x:c r="H3186" s="7" t="n">
        <x:v>1956</x:v>
      </x:c>
      <x:c r="I3186" s="7" t="n">
        <x:v>168</x:v>
      </x:c>
      <x:c r="J3186" s="9" t="n">
        <x:v>16.8</x:v>
      </x:c>
      <x:c r="K3186" s="9" t="n">
        <x:v>15</x:v>
      </x:c>
      <x:c r="L3186" s="7" t="n">
        <x:v>2024</x:v>
      </x:c>
      <x:c r="M3186" s="11" t="n">
        <x:v>45430</x:v>
      </x:c>
      <x:c r="N3186" s="7" t="n">
        <x:v>1</x:v>
      </x:c>
      <x:c r="O3186" s="7" t="n">
        <x:v>0</x:v>
      </x:c>
      <x:c r="P3186" s="9" t="n">
        <x:v>11.96</x:v>
      </x:c>
      <x:c r="Q3186" s="7" t="n">
        <x:f>'Guide'!$B$5-L3186</x:f>
        <x:v>2</x:v>
      </x:c>
      <x:c r="R3186" s="9" t="n">
        <x:f>K3186-P3186</x:f>
        <x:v>3.039999999999999</x:v>
      </x:c>
      <x:c r="S3186" s="10" t="n">
        <x:f>IF(K3186&gt;0,R3186/K3186,"")</x:f>
        <x:v>0.2026666666666666</x:v>
      </x:c>
    </x:row>
    <x:row r="3187">
      <x:c r="A3187" s="7" t="n">
        <x:v>3183</x:v>
      </x:c>
      <x:c r="B3187" s="7" t="str">
        <x:v>Tata</x:v>
      </x:c>
      <x:c r="C3187" s="7" t="str">
        <x:v>Harrier</x:v>
      </x:c>
      <x:c r="D3187" s="7" t="str">
        <x:v>Smart</x:v>
      </x:c>
      <x:c r="E3187" s="7" t="str">
        <x:v>Diesel</x:v>
      </x:c>
      <x:c r="F3187" s="7" t="str">
        <x:v>Manual</x:v>
      </x:c>
      <x:c r="G3187" s="7" t="str">
        <x:v>Mid-Size SUV</x:v>
      </x:c>
      <x:c r="H3187" s="7" t="n">
        <x:v>1956</x:v>
      </x:c>
      <x:c r="I3187" s="7" t="n">
        <x:v>168</x:v>
      </x:c>
      <x:c r="J3187" s="9" t="n">
        <x:v>16.8</x:v>
      </x:c>
      <x:c r="K3187" s="9" t="n">
        <x:v>15</x:v>
      </x:c>
      <x:c r="L3187" s="7" t="n">
        <x:v>2025</x:v>
      </x:c>
      <x:c r="M3187" s="11" t="n">
        <x:v>28956</x:v>
      </x:c>
      <x:c r="N3187" s="7" t="n">
        <x:v>1</x:v>
      </x:c>
      <x:c r="O3187" s="7" t="n">
        <x:v>0</x:v>
      </x:c>
      <x:c r="P3187" s="9" t="n">
        <x:v>13.51</x:v>
      </x:c>
      <x:c r="Q3187" s="7" t="n">
        <x:f>'Guide'!$B$5-L3187</x:f>
        <x:v>1</x:v>
      </x:c>
      <x:c r="R3187" s="9" t="n">
        <x:f>K3187-P3187</x:f>
        <x:v>1.4900000000000002</x:v>
      </x:c>
      <x:c r="S3187" s="10" t="n">
        <x:f>IF(K3187&gt;0,R3187/K3187,"")</x:f>
        <x:v>0.09933333333333334</x:v>
      </x:c>
    </x:row>
    <x:row r="3188">
      <x:c r="A3188" s="7" t="n">
        <x:v>3184</x:v>
      </x:c>
      <x:c r="B3188" s="7" t="str">
        <x:v>Tata</x:v>
      </x:c>
      <x:c r="C3188" s="7" t="str">
        <x:v>Harrier</x:v>
      </x:c>
      <x:c r="D3188" s="7" t="str">
        <x:v>Smart</x:v>
      </x:c>
      <x:c r="E3188" s="7" t="str">
        <x:v>Diesel</x:v>
      </x:c>
      <x:c r="F3188" s="7" t="str">
        <x:v>Manual</x:v>
      </x:c>
      <x:c r="G3188" s="7" t="str">
        <x:v>Mid-Size SUV</x:v>
      </x:c>
      <x:c r="H3188" s="7" t="n">
        <x:v>1956</x:v>
      </x:c>
      <x:c r="I3188" s="7" t="n">
        <x:v>168</x:v>
      </x:c>
      <x:c r="J3188" s="9" t="n">
        <x:v>16.8</x:v>
      </x:c>
      <x:c r="K3188" s="9" t="n">
        <x:v>15</x:v>
      </x:c>
      <x:c r="L3188" s="7" t="n">
        <x:v>2025</x:v>
      </x:c>
      <x:c r="M3188" s="11" t="n">
        <x:v>15983</x:v>
      </x:c>
      <x:c r="N3188" s="7" t="n">
        <x:v>1</x:v>
      </x:c>
      <x:c r="O3188" s="7" t="n">
        <x:v>0</x:v>
      </x:c>
      <x:c r="P3188" s="9" t="n">
        <x:v>13.75</x:v>
      </x:c>
      <x:c r="Q3188" s="7" t="n">
        <x:f>'Guide'!$B$5-L3188</x:f>
        <x:v>1</x:v>
      </x:c>
      <x:c r="R3188" s="9" t="n">
        <x:f>K3188-P3188</x:f>
        <x:v>1.25</x:v>
      </x:c>
      <x:c r="S3188" s="10" t="n">
        <x:f>IF(K3188&gt;0,R3188/K3188,"")</x:f>
        <x:v>0.08333333333333333</x:v>
      </x:c>
    </x:row>
    <x:row r="3189">
      <x:c r="A3189" s="7" t="n">
        <x:v>3185</x:v>
      </x:c>
      <x:c r="B3189" s="7" t="str">
        <x:v>Tata</x:v>
      </x:c>
      <x:c r="C3189" s="7" t="str">
        <x:v>Harrier</x:v>
      </x:c>
      <x:c r="D3189" s="7" t="str">
        <x:v>Smart</x:v>
      </x:c>
      <x:c r="E3189" s="7" t="str">
        <x:v>Diesel</x:v>
      </x:c>
      <x:c r="F3189" s="7" t="str">
        <x:v>Manual</x:v>
      </x:c>
      <x:c r="G3189" s="7" t="str">
        <x:v>Mid-Size SUV</x:v>
      </x:c>
      <x:c r="H3189" s="7" t="n">
        <x:v>1956</x:v>
      </x:c>
      <x:c r="I3189" s="7" t="n">
        <x:v>168</x:v>
      </x:c>
      <x:c r="J3189" s="9" t="n">
        <x:v>16.8</x:v>
      </x:c>
      <x:c r="K3189" s="9" t="n">
        <x:v>15</x:v>
      </x:c>
      <x:c r="L3189" s="7" t="n">
        <x:v>2021</x:v>
      </x:c>
      <x:c r="M3189" s="11" t="n">
        <x:v>92929</x:v>
      </x:c>
      <x:c r="N3189" s="7" t="n">
        <x:v>1</x:v>
      </x:c>
      <x:c r="O3189" s="7" t="n">
        <x:v>0</x:v>
      </x:c>
      <x:c r="P3189" s="9" t="n">
        <x:v>7.51</x:v>
      </x:c>
      <x:c r="Q3189" s="7" t="n">
        <x:f>'Guide'!$B$5-L3189</x:f>
        <x:v>5</x:v>
      </x:c>
      <x:c r="R3189" s="9" t="n">
        <x:f>K3189-P3189</x:f>
        <x:v>7.49</x:v>
      </x:c>
      <x:c r="S3189" s="10" t="n">
        <x:f>IF(K3189&gt;0,R3189/K3189,"")</x:f>
        <x:v>0.49933333333333335</x:v>
      </x:c>
    </x:row>
    <x:row r="3190">
      <x:c r="A3190" s="7" t="n">
        <x:v>3186</x:v>
      </x:c>
      <x:c r="B3190" s="7" t="str">
        <x:v>Tata</x:v>
      </x:c>
      <x:c r="C3190" s="7" t="str">
        <x:v>Harrier</x:v>
      </x:c>
      <x:c r="D3190" s="7" t="str">
        <x:v>Smart</x:v>
      </x:c>
      <x:c r="E3190" s="7" t="str">
        <x:v>Diesel</x:v>
      </x:c>
      <x:c r="F3190" s="7" t="str">
        <x:v>Manual</x:v>
      </x:c>
      <x:c r="G3190" s="7" t="str">
        <x:v>Mid-Size SUV</x:v>
      </x:c>
      <x:c r="H3190" s="7" t="n">
        <x:v>1956</x:v>
      </x:c>
      <x:c r="I3190" s="7" t="n">
        <x:v>168</x:v>
      </x:c>
      <x:c r="J3190" s="9" t="n">
        <x:v>16.8</x:v>
      </x:c>
      <x:c r="K3190" s="9" t="n">
        <x:v>15</x:v>
      </x:c>
      <x:c r="L3190" s="7" t="n">
        <x:v>2021</x:v>
      </x:c>
      <x:c r="M3190" s="11" t="n">
        <x:v>80320</x:v>
      </x:c>
      <x:c r="N3190" s="7" t="n">
        <x:v>1</x:v>
      </x:c>
      <x:c r="O3190" s="7" t="n">
        <x:v>0</x:v>
      </x:c>
      <x:c r="P3190" s="9" t="n">
        <x:v>7.32</x:v>
      </x:c>
      <x:c r="Q3190" s="7" t="n">
        <x:f>'Guide'!$B$5-L3190</x:f>
        <x:v>5</x:v>
      </x:c>
      <x:c r="R3190" s="9" t="n">
        <x:f>K3190-P3190</x:f>
        <x:v>7.68</x:v>
      </x:c>
      <x:c r="S3190" s="10" t="n">
        <x:f>IF(K3190&gt;0,R3190/K3190,"")</x:f>
        <x:v>0.512</x:v>
      </x:c>
    </x:row>
    <x:row r="3191">
      <x:c r="A3191" s="7" t="n">
        <x:v>3187</x:v>
      </x:c>
      <x:c r="B3191" s="7" t="str">
        <x:v>Tata</x:v>
      </x:c>
      <x:c r="C3191" s="7" t="str">
        <x:v>Harrier</x:v>
      </x:c>
      <x:c r="D3191" s="7" t="str">
        <x:v>Smart</x:v>
      </x:c>
      <x:c r="E3191" s="7" t="str">
        <x:v>Diesel</x:v>
      </x:c>
      <x:c r="F3191" s="7" t="str">
        <x:v>Manual</x:v>
      </x:c>
      <x:c r="G3191" s="7" t="str">
        <x:v>Mid-Size SUV</x:v>
      </x:c>
      <x:c r="H3191" s="7" t="n">
        <x:v>1956</x:v>
      </x:c>
      <x:c r="I3191" s="7" t="n">
        <x:v>168</x:v>
      </x:c>
      <x:c r="J3191" s="9" t="n">
        <x:v>16.8</x:v>
      </x:c>
      <x:c r="K3191" s="9" t="n">
        <x:v>15</x:v>
      </x:c>
      <x:c r="L3191" s="7" t="n">
        <x:v>2026</x:v>
      </x:c>
      <x:c r="M3191" s="11" t="n">
        <x:v>8691</x:v>
      </x:c>
      <x:c r="N3191" s="7" t="n">
        <x:v>2</x:v>
      </x:c>
      <x:c r="O3191" s="7" t="n">
        <x:v>0</x:v>
      </x:c>
      <x:c r="P3191" s="9" t="n">
        <x:v>14.72</x:v>
      </x:c>
      <x:c r="Q3191" s="7" t="n">
        <x:f>'Guide'!$B$5-L3191</x:f>
        <x:v>0</x:v>
      </x:c>
      <x:c r="R3191" s="9" t="n">
        <x:f>K3191-P3191</x:f>
        <x:v>0.27999999999999936</x:v>
      </x:c>
      <x:c r="S3191" s="10" t="n">
        <x:f>IF(K3191&gt;0,R3191/K3191,"")</x:f>
        <x:v>0.018666666666666623</x:v>
      </x:c>
    </x:row>
    <x:row r="3192">
      <x:c r="A3192" s="7" t="n">
        <x:v>3188</x:v>
      </x:c>
      <x:c r="B3192" s="7" t="str">
        <x:v>Tata</x:v>
      </x:c>
      <x:c r="C3192" s="7" t="str">
        <x:v>Harrier</x:v>
      </x:c>
      <x:c r="D3192" s="7" t="str">
        <x:v>Smart</x:v>
      </x:c>
      <x:c r="E3192" s="7" t="str">
        <x:v>Diesel</x:v>
      </x:c>
      <x:c r="F3192" s="7" t="str">
        <x:v>Manual</x:v>
      </x:c>
      <x:c r="G3192" s="7" t="str">
        <x:v>Mid-Size SUV</x:v>
      </x:c>
      <x:c r="H3192" s="7" t="n">
        <x:v>1956</x:v>
      </x:c>
      <x:c r="I3192" s="7" t="n">
        <x:v>168</x:v>
      </x:c>
      <x:c r="J3192" s="9" t="n">
        <x:v>16.8</x:v>
      </x:c>
      <x:c r="K3192" s="9" t="n">
        <x:v>15</x:v>
      </x:c>
      <x:c r="L3192" s="7" t="n">
        <x:v>2020</x:v>
      </x:c>
      <x:c r="M3192" s="11" t="n">
        <x:v>77725</x:v>
      </x:c>
      <x:c r="N3192" s="7" t="n">
        <x:v>1</x:v>
      </x:c>
      <x:c r="O3192" s="7" t="n">
        <x:v>0</x:v>
      </x:c>
      <x:c r="P3192" s="9" t="n">
        <x:v>6.26</x:v>
      </x:c>
      <x:c r="Q3192" s="7" t="n">
        <x:f>'Guide'!$B$5-L3192</x:f>
        <x:v>6</x:v>
      </x:c>
      <x:c r="R3192" s="9" t="n">
        <x:f>K3192-P3192</x:f>
        <x:v>8.74</x:v>
      </x:c>
      <x:c r="S3192" s="10" t="n">
        <x:f>IF(K3192&gt;0,R3192/K3192,"")</x:f>
        <x:v>0.5826666666666667</x:v>
      </x:c>
    </x:row>
    <x:row r="3193">
      <x:c r="A3193" s="7" t="n">
        <x:v>3189</x:v>
      </x:c>
      <x:c r="B3193" s="7" t="str">
        <x:v>Tata</x:v>
      </x:c>
      <x:c r="C3193" s="7" t="str">
        <x:v>Harrier</x:v>
      </x:c>
      <x:c r="D3193" s="7" t="str">
        <x:v>Smart</x:v>
      </x:c>
      <x:c r="E3193" s="7" t="str">
        <x:v>Diesel</x:v>
      </x:c>
      <x:c r="F3193" s="7" t="str">
        <x:v>Manual</x:v>
      </x:c>
      <x:c r="G3193" s="7" t="str">
        <x:v>Mid-Size SUV</x:v>
      </x:c>
      <x:c r="H3193" s="7" t="n">
        <x:v>1956</x:v>
      </x:c>
      <x:c r="I3193" s="7" t="n">
        <x:v>168</x:v>
      </x:c>
      <x:c r="J3193" s="9" t="n">
        <x:v>16.8</x:v>
      </x:c>
      <x:c r="K3193" s="9" t="n">
        <x:v>15</x:v>
      </x:c>
      <x:c r="L3193" s="7" t="n">
        <x:v>2022</x:v>
      </x:c>
      <x:c r="M3193" s="11" t="n">
        <x:v>59520</x:v>
      </x:c>
      <x:c r="N3193" s="7" t="n">
        <x:v>1</x:v>
      </x:c>
      <x:c r="O3193" s="7" t="n">
        <x:v>1</x:v>
      </x:c>
      <x:c r="P3193" s="9" t="n">
        <x:v>8.49</x:v>
      </x:c>
      <x:c r="Q3193" s="7" t="n">
        <x:f>'Guide'!$B$5-L3193</x:f>
        <x:v>4</x:v>
      </x:c>
      <x:c r="R3193" s="9" t="n">
        <x:f>K3193-P3193</x:f>
        <x:v>6.51</x:v>
      </x:c>
      <x:c r="S3193" s="10" t="n">
        <x:f>IF(K3193&gt;0,R3193/K3193,"")</x:f>
        <x:v>0.434</x:v>
      </x:c>
    </x:row>
    <x:row r="3194">
      <x:c r="A3194" s="7" t="n">
        <x:v>3190</x:v>
      </x:c>
      <x:c r="B3194" s="7" t="str">
        <x:v>Tata</x:v>
      </x:c>
      <x:c r="C3194" s="7" t="str">
        <x:v>Harrier</x:v>
      </x:c>
      <x:c r="D3194" s="7" t="str">
        <x:v>Smart</x:v>
      </x:c>
      <x:c r="E3194" s="7" t="str">
        <x:v>Diesel</x:v>
      </x:c>
      <x:c r="F3194" s="7" t="str">
        <x:v>Manual</x:v>
      </x:c>
      <x:c r="G3194" s="7" t="str">
        <x:v>Mid-Size SUV</x:v>
      </x:c>
      <x:c r="H3194" s="7" t="n">
        <x:v>1956</x:v>
      </x:c>
      <x:c r="I3194" s="7" t="n">
        <x:v>168</x:v>
      </x:c>
      <x:c r="J3194" s="9" t="n">
        <x:v>16.8</x:v>
      </x:c>
      <x:c r="K3194" s="9" t="n">
        <x:v>15</x:v>
      </x:c>
      <x:c r="L3194" s="7" t="n">
        <x:v>2026</x:v>
      </x:c>
      <x:c r="M3194" s="11" t="n">
        <x:v>4554</x:v>
      </x:c>
      <x:c r="N3194" s="7" t="n">
        <x:v>1</x:v>
      </x:c>
      <x:c r="O3194" s="7" t="n">
        <x:v>0</x:v>
      </x:c>
      <x:c r="P3194" s="9" t="n">
        <x:v>15.09</x:v>
      </x:c>
      <x:c r="Q3194" s="7" t="n">
        <x:f>'Guide'!$B$5-L3194</x:f>
        <x:v>0</x:v>
      </x:c>
      <x:c r="R3194" s="9" t="n">
        <x:f>K3194-P3194</x:f>
        <x:v>-0.08999999999999986</x:v>
      </x:c>
      <x:c r="S3194" s="10" t="n">
        <x:f>IF(K3194&gt;0,R3194/K3194,"")</x:f>
        <x:v>-0.005999999999999991</x:v>
      </x:c>
    </x:row>
    <x:row r="3195">
      <x:c r="A3195" s="7" t="n">
        <x:v>3191</x:v>
      </x:c>
      <x:c r="B3195" s="7" t="str">
        <x:v>Tata</x:v>
      </x:c>
      <x:c r="C3195" s="7" t="str">
        <x:v>Harrier</x:v>
      </x:c>
      <x:c r="D3195" s="7" t="str">
        <x:v>Smart</x:v>
      </x:c>
      <x:c r="E3195" s="7" t="str">
        <x:v>Diesel</x:v>
      </x:c>
      <x:c r="F3195" s="7" t="str">
        <x:v>Manual</x:v>
      </x:c>
      <x:c r="G3195" s="7" t="str">
        <x:v>Mid-Size SUV</x:v>
      </x:c>
      <x:c r="H3195" s="7" t="n">
        <x:v>1956</x:v>
      </x:c>
      <x:c r="I3195" s="7" t="n">
        <x:v>168</x:v>
      </x:c>
      <x:c r="J3195" s="9" t="n">
        <x:v>16.8</x:v>
      </x:c>
      <x:c r="K3195" s="9" t="n">
        <x:v>15</x:v>
      </x:c>
      <x:c r="L3195" s="7" t="n">
        <x:v>2024</x:v>
      </x:c>
      <x:c r="M3195" s="11" t="n">
        <x:v>34797</x:v>
      </x:c>
      <x:c r="N3195" s="7" t="n">
        <x:v>3</x:v>
      </x:c>
      <x:c r="O3195" s="7" t="n">
        <x:v>0</x:v>
      </x:c>
      <x:c r="P3195" s="9" t="n">
        <x:v>10.8</x:v>
      </x:c>
      <x:c r="Q3195" s="7" t="n">
        <x:f>'Guide'!$B$5-L3195</x:f>
        <x:v>2</x:v>
      </x:c>
      <x:c r="R3195" s="9" t="n">
        <x:f>K3195-P3195</x:f>
        <x:v>4.199999999999999</x:v>
      </x:c>
      <x:c r="S3195" s="10" t="n">
        <x:f>IF(K3195&gt;0,R3195/K3195,"")</x:f>
        <x:v>0.27999999999999997</x:v>
      </x:c>
    </x:row>
    <x:row r="3196">
      <x:c r="A3196" s="7" t="n">
        <x:v>3192</x:v>
      </x:c>
      <x:c r="B3196" s="7" t="str">
        <x:v>Tata</x:v>
      </x:c>
      <x:c r="C3196" s="7" t="str">
        <x:v>Harrier</x:v>
      </x:c>
      <x:c r="D3196" s="7" t="str">
        <x:v>Smart</x:v>
      </x:c>
      <x:c r="E3196" s="7" t="str">
        <x:v>Diesel</x:v>
      </x:c>
      <x:c r="F3196" s="7" t="str">
        <x:v>Manual</x:v>
      </x:c>
      <x:c r="G3196" s="7" t="str">
        <x:v>Mid-Size SUV</x:v>
      </x:c>
      <x:c r="H3196" s="7" t="n">
        <x:v>1956</x:v>
      </x:c>
      <x:c r="I3196" s="7" t="n">
        <x:v>168</x:v>
      </x:c>
      <x:c r="J3196" s="9" t="n">
        <x:v>16.8</x:v>
      </x:c>
      <x:c r="K3196" s="9" t="n">
        <x:v>15</x:v>
      </x:c>
      <x:c r="L3196" s="7" t="n">
        <x:v>2020</x:v>
      </x:c>
      <x:c r="M3196" s="11" t="n">
        <x:v>125241</x:v>
      </x:c>
      <x:c r="N3196" s="7" t="n">
        <x:v>1</x:v>
      </x:c>
      <x:c r="O3196" s="7" t="n">
        <x:v>0</x:v>
      </x:c>
      <x:c r="P3196" s="9" t="n">
        <x:v>5.35</x:v>
      </x:c>
      <x:c r="Q3196" s="7" t="n">
        <x:f>'Guide'!$B$5-L3196</x:f>
        <x:v>6</x:v>
      </x:c>
      <x:c r="R3196" s="9" t="n">
        <x:f>K3196-P3196</x:f>
        <x:v>9.65</x:v>
      </x:c>
      <x:c r="S3196" s="10" t="n">
        <x:f>IF(K3196&gt;0,R3196/K3196,"")</x:f>
        <x:v>0.6433333333333333</x:v>
      </x:c>
    </x:row>
    <x:row r="3197">
      <x:c r="A3197" s="7" t="n">
        <x:v>3193</x:v>
      </x:c>
      <x:c r="B3197" s="7" t="str">
        <x:v>Tata</x:v>
      </x:c>
      <x:c r="C3197" s="7" t="str">
        <x:v>Harrier</x:v>
      </x:c>
      <x:c r="D3197" s="7" t="str">
        <x:v>Smart</x:v>
      </x:c>
      <x:c r="E3197" s="7" t="str">
        <x:v>Diesel</x:v>
      </x:c>
      <x:c r="F3197" s="7" t="str">
        <x:v>Manual</x:v>
      </x:c>
      <x:c r="G3197" s="7" t="str">
        <x:v>Mid-Size SUV</x:v>
      </x:c>
      <x:c r="H3197" s="7" t="n">
        <x:v>1956</x:v>
      </x:c>
      <x:c r="I3197" s="7" t="n">
        <x:v>168</x:v>
      </x:c>
      <x:c r="J3197" s="9" t="n">
        <x:v>16.8</x:v>
      </x:c>
      <x:c r="K3197" s="9" t="n">
        <x:v>15</x:v>
      </x:c>
      <x:c r="L3197" s="7" t="n">
        <x:v>2022</x:v>
      </x:c>
      <x:c r="M3197" s="11" t="n">
        <x:v>86642</x:v>
      </x:c>
      <x:c r="N3197" s="7" t="n">
        <x:v>2</x:v>
      </x:c>
      <x:c r="O3197" s="7" t="n">
        <x:v>0</x:v>
      </x:c>
      <x:c r="P3197" s="9" t="n">
        <x:v>7.93</x:v>
      </x:c>
      <x:c r="Q3197" s="7" t="n">
        <x:f>'Guide'!$B$5-L3197</x:f>
        <x:v>4</x:v>
      </x:c>
      <x:c r="R3197" s="9" t="n">
        <x:f>K3197-P3197</x:f>
        <x:v>7.07</x:v>
      </x:c>
      <x:c r="S3197" s="10" t="n">
        <x:f>IF(K3197&gt;0,R3197/K3197,"")</x:f>
        <x:v>0.4713333333333333</x:v>
      </x:c>
    </x:row>
    <x:row r="3198">
      <x:c r="A3198" s="7" t="n">
        <x:v>3194</x:v>
      </x:c>
      <x:c r="B3198" s="7" t="str">
        <x:v>Tata</x:v>
      </x:c>
      <x:c r="C3198" s="7" t="str">
        <x:v>Harrier</x:v>
      </x:c>
      <x:c r="D3198" s="7" t="str">
        <x:v>Smart</x:v>
      </x:c>
      <x:c r="E3198" s="7" t="str">
        <x:v>Diesel</x:v>
      </x:c>
      <x:c r="F3198" s="7" t="str">
        <x:v>Manual</x:v>
      </x:c>
      <x:c r="G3198" s="7" t="str">
        <x:v>Mid-Size SUV</x:v>
      </x:c>
      <x:c r="H3198" s="7" t="n">
        <x:v>1956</x:v>
      </x:c>
      <x:c r="I3198" s="7" t="n">
        <x:v>168</x:v>
      </x:c>
      <x:c r="J3198" s="9" t="n">
        <x:v>16.8</x:v>
      </x:c>
      <x:c r="K3198" s="9" t="n">
        <x:v>15</x:v>
      </x:c>
      <x:c r="L3198" s="7" t="n">
        <x:v>2021</x:v>
      </x:c>
      <x:c r="M3198" s="11" t="n">
        <x:v>65375</x:v>
      </x:c>
      <x:c r="N3198" s="7" t="n">
        <x:v>1</x:v>
      </x:c>
      <x:c r="O3198" s="7" t="n">
        <x:v>0</x:v>
      </x:c>
      <x:c r="P3198" s="9" t="n">
        <x:v>7.82</x:v>
      </x:c>
      <x:c r="Q3198" s="7" t="n">
        <x:f>'Guide'!$B$5-L3198</x:f>
        <x:v>5</x:v>
      </x:c>
      <x:c r="R3198" s="9" t="n">
        <x:f>K3198-P3198</x:f>
        <x:v>7.18</x:v>
      </x:c>
      <x:c r="S3198" s="10" t="n">
        <x:f>IF(K3198&gt;0,R3198/K3198,"")</x:f>
        <x:v>0.47866666666666663</x:v>
      </x:c>
    </x:row>
    <x:row r="3199">
      <x:c r="A3199" s="7" t="n">
        <x:v>3195</x:v>
      </x:c>
      <x:c r="B3199" s="7" t="str">
        <x:v>Tata</x:v>
      </x:c>
      <x:c r="C3199" s="7" t="str">
        <x:v>Harrier</x:v>
      </x:c>
      <x:c r="D3199" s="7" t="str">
        <x:v>Smart</x:v>
      </x:c>
      <x:c r="E3199" s="7" t="str">
        <x:v>Diesel</x:v>
      </x:c>
      <x:c r="F3199" s="7" t="str">
        <x:v>Manual</x:v>
      </x:c>
      <x:c r="G3199" s="7" t="str">
        <x:v>Mid-Size SUV</x:v>
      </x:c>
      <x:c r="H3199" s="7" t="n">
        <x:v>1956</x:v>
      </x:c>
      <x:c r="I3199" s="7" t="n">
        <x:v>168</x:v>
      </x:c>
      <x:c r="J3199" s="9" t="n">
        <x:v>16.8</x:v>
      </x:c>
      <x:c r="K3199" s="9" t="n">
        <x:v>15</x:v>
      </x:c>
      <x:c r="L3199" s="7" t="n">
        <x:v>2021</x:v>
      </x:c>
      <x:c r="M3199" s="11" t="n">
        <x:v>107259</x:v>
      </x:c>
      <x:c r="N3199" s="7" t="n">
        <x:v>1</x:v>
      </x:c>
      <x:c r="O3199" s="7" t="n">
        <x:v>0</x:v>
      </x:c>
      <x:c r="P3199" s="9" t="n">
        <x:v>7.02</x:v>
      </x:c>
      <x:c r="Q3199" s="7" t="n">
        <x:f>'Guide'!$B$5-L3199</x:f>
        <x:v>5</x:v>
      </x:c>
      <x:c r="R3199" s="9" t="n">
        <x:f>K3199-P3199</x:f>
        <x:v>7.98</x:v>
      </x:c>
      <x:c r="S3199" s="10" t="n">
        <x:f>IF(K3199&gt;0,R3199/K3199,"")</x:f>
        <x:v>0.532</x:v>
      </x:c>
    </x:row>
    <x:row r="3200">
      <x:c r="A3200" s="7" t="n">
        <x:v>3196</x:v>
      </x:c>
      <x:c r="B3200" s="7" t="str">
        <x:v>Tata</x:v>
      </x:c>
      <x:c r="C3200" s="7" t="str">
        <x:v>Harrier</x:v>
      </x:c>
      <x:c r="D3200" s="7" t="str">
        <x:v>Smart</x:v>
      </x:c>
      <x:c r="E3200" s="7" t="str">
        <x:v>Diesel</x:v>
      </x:c>
      <x:c r="F3200" s="7" t="str">
        <x:v>Manual</x:v>
      </x:c>
      <x:c r="G3200" s="7" t="str">
        <x:v>Mid-Size SUV</x:v>
      </x:c>
      <x:c r="H3200" s="7" t="n">
        <x:v>1956</x:v>
      </x:c>
      <x:c r="I3200" s="7" t="n">
        <x:v>168</x:v>
      </x:c>
      <x:c r="J3200" s="9" t="n">
        <x:v>16.8</x:v>
      </x:c>
      <x:c r="K3200" s="9" t="n">
        <x:v>15</x:v>
      </x:c>
      <x:c r="L3200" s="7" t="n">
        <x:v>2026</x:v>
      </x:c>
      <x:c r="M3200" s="11" t="n">
        <x:v>7337</x:v>
      </x:c>
      <x:c r="N3200" s="7" t="n">
        <x:v>1</x:v>
      </x:c>
      <x:c r="O3200" s="7" t="n">
        <x:v>0</x:v>
      </x:c>
      <x:c r="P3200" s="9" t="n">
        <x:v>14.71</x:v>
      </x:c>
      <x:c r="Q3200" s="7" t="n">
        <x:f>'Guide'!$B$5-L3200</x:f>
        <x:v>0</x:v>
      </x:c>
      <x:c r="R3200" s="9" t="n">
        <x:f>K3200-P3200</x:f>
        <x:v>0.28999999999999915</x:v>
      </x:c>
      <x:c r="S3200" s="10" t="n">
        <x:f>IF(K3200&gt;0,R3200/K3200,"")</x:f>
        <x:v>0.019333333333333275</x:v>
      </x:c>
    </x:row>
    <x:row r="3201">
      <x:c r="A3201" s="7" t="n">
        <x:v>3197</x:v>
      </x:c>
      <x:c r="B3201" s="7" t="str">
        <x:v>Tata</x:v>
      </x:c>
      <x:c r="C3201" s="7" t="str">
        <x:v>Harrier</x:v>
      </x:c>
      <x:c r="D3201" s="7" t="str">
        <x:v>Smart</x:v>
      </x:c>
      <x:c r="E3201" s="7" t="str">
        <x:v>Diesel</x:v>
      </x:c>
      <x:c r="F3201" s="7" t="str">
        <x:v>Manual</x:v>
      </x:c>
      <x:c r="G3201" s="7" t="str">
        <x:v>Mid-Size SUV</x:v>
      </x:c>
      <x:c r="H3201" s="7" t="n">
        <x:v>1956</x:v>
      </x:c>
      <x:c r="I3201" s="7" t="n">
        <x:v>168</x:v>
      </x:c>
      <x:c r="J3201" s="9" t="n">
        <x:v>16.8</x:v>
      </x:c>
      <x:c r="K3201" s="9" t="n">
        <x:v>15</x:v>
      </x:c>
      <x:c r="L3201" s="7" t="n">
        <x:v>2022</x:v>
      </x:c>
      <x:c r="M3201" s="11" t="n">
        <x:v>76551</x:v>
      </x:c>
      <x:c r="N3201" s="7" t="n">
        <x:v>1</x:v>
      </x:c>
      <x:c r="O3201" s="7" t="n">
        <x:v>0</x:v>
      </x:c>
      <x:c r="P3201" s="9" t="n">
        <x:v>8.9</x:v>
      </x:c>
      <x:c r="Q3201" s="7" t="n">
        <x:f>'Guide'!$B$5-L3201</x:f>
        <x:v>4</x:v>
      </x:c>
      <x:c r="R3201" s="9" t="n">
        <x:f>K3201-P3201</x:f>
        <x:v>6.1</x:v>
      </x:c>
      <x:c r="S3201" s="10" t="n">
        <x:f>IF(K3201&gt;0,R3201/K3201,"")</x:f>
        <x:v>0.4066666666666666</x:v>
      </x:c>
    </x:row>
    <x:row r="3202">
      <x:c r="A3202" s="7" t="n">
        <x:v>3198</x:v>
      </x:c>
      <x:c r="B3202" s="7" t="str">
        <x:v>Tata</x:v>
      </x:c>
      <x:c r="C3202" s="7" t="str">
        <x:v>Harrier</x:v>
      </x:c>
      <x:c r="D3202" s="7" t="str">
        <x:v>Smart</x:v>
      </x:c>
      <x:c r="E3202" s="7" t="str">
        <x:v>Diesel</x:v>
      </x:c>
      <x:c r="F3202" s="7" t="str">
        <x:v>Manual</x:v>
      </x:c>
      <x:c r="G3202" s="7" t="str">
        <x:v>Mid-Size SUV</x:v>
      </x:c>
      <x:c r="H3202" s="7" t="n">
        <x:v>1956</x:v>
      </x:c>
      <x:c r="I3202" s="7" t="n">
        <x:v>168</x:v>
      </x:c>
      <x:c r="J3202" s="9" t="n">
        <x:v>16.8</x:v>
      </x:c>
      <x:c r="K3202" s="9" t="n">
        <x:v>15</x:v>
      </x:c>
      <x:c r="L3202" s="7" t="n">
        <x:v>2021</x:v>
      </x:c>
      <x:c r="M3202" s="11" t="n">
        <x:v>107974</x:v>
      </x:c>
      <x:c r="N3202" s="7" t="n">
        <x:v>1</x:v>
      </x:c>
      <x:c r="O3202" s="7" t="n">
        <x:v>0</x:v>
      </x:c>
      <x:c r="P3202" s="9" t="n">
        <x:v>6.94</x:v>
      </x:c>
      <x:c r="Q3202" s="7" t="n">
        <x:f>'Guide'!$B$5-L3202</x:f>
        <x:v>5</x:v>
      </x:c>
      <x:c r="R3202" s="9" t="n">
        <x:f>K3202-P3202</x:f>
        <x:v>8.059999999999999</x:v>
      </x:c>
      <x:c r="S3202" s="10" t="n">
        <x:f>IF(K3202&gt;0,R3202/K3202,"")</x:f>
        <x:v>0.5373333333333332</x:v>
      </x:c>
    </x:row>
    <x:row r="3203">
      <x:c r="A3203" s="7" t="n">
        <x:v>3199</x:v>
      </x:c>
      <x:c r="B3203" s="7" t="str">
        <x:v>Tata</x:v>
      </x:c>
      <x:c r="C3203" s="7" t="str">
        <x:v>Harrier</x:v>
      </x:c>
      <x:c r="D3203" s="7" t="str">
        <x:v>Smart</x:v>
      </x:c>
      <x:c r="E3203" s="7" t="str">
        <x:v>Diesel</x:v>
      </x:c>
      <x:c r="F3203" s="7" t="str">
        <x:v>Manual</x:v>
      </x:c>
      <x:c r="G3203" s="7" t="str">
        <x:v>Mid-Size SUV</x:v>
      </x:c>
      <x:c r="H3203" s="7" t="n">
        <x:v>1956</x:v>
      </x:c>
      <x:c r="I3203" s="7" t="n">
        <x:v>168</x:v>
      </x:c>
      <x:c r="J3203" s="9" t="n">
        <x:v>16.8</x:v>
      </x:c>
      <x:c r="K3203" s="9" t="n">
        <x:v>15</x:v>
      </x:c>
      <x:c r="L3203" s="7" t="n">
        <x:v>2022</x:v>
      </x:c>
      <x:c r="M3203" s="11" t="n">
        <x:v>48301</x:v>
      </x:c>
      <x:c r="N3203" s="7" t="n">
        <x:v>2</x:v>
      </x:c>
      <x:c r="O3203" s="7" t="n">
        <x:v>1</x:v>
      </x:c>
      <x:c r="P3203" s="9" t="n">
        <x:v>8.25</x:v>
      </x:c>
      <x:c r="Q3203" s="7" t="n">
        <x:f>'Guide'!$B$5-L3203</x:f>
        <x:v>4</x:v>
      </x:c>
      <x:c r="R3203" s="9" t="n">
        <x:f>K3203-P3203</x:f>
        <x:v>6.75</x:v>
      </x:c>
      <x:c r="S3203" s="10" t="n">
        <x:f>IF(K3203&gt;0,R3203/K3203,"")</x:f>
        <x:v>0.45</x:v>
      </x:c>
    </x:row>
    <x:row r="3204">
      <x:c r="A3204" s="7" t="n">
        <x:v>3200</x:v>
      </x:c>
      <x:c r="B3204" s="7" t="str">
        <x:v>Tata</x:v>
      </x:c>
      <x:c r="C3204" s="7" t="str">
        <x:v>Harrier</x:v>
      </x:c>
      <x:c r="D3204" s="7" t="str">
        <x:v>Smart</x:v>
      </x:c>
      <x:c r="E3204" s="7" t="str">
        <x:v>Diesel</x:v>
      </x:c>
      <x:c r="F3204" s="7" t="str">
        <x:v>Manual</x:v>
      </x:c>
      <x:c r="G3204" s="7" t="str">
        <x:v>Mid-Size SUV</x:v>
      </x:c>
      <x:c r="H3204" s="7" t="n">
        <x:v>1956</x:v>
      </x:c>
      <x:c r="I3204" s="7" t="n">
        <x:v>168</x:v>
      </x:c>
      <x:c r="J3204" s="9" t="n">
        <x:v>16.8</x:v>
      </x:c>
      <x:c r="K3204" s="9" t="n">
        <x:v>15</x:v>
      </x:c>
      <x:c r="L3204" s="7" t="n">
        <x:v>2020</x:v>
      </x:c>
      <x:c r="M3204" s="11" t="n">
        <x:v>122591</x:v>
      </x:c>
      <x:c r="N3204" s="7" t="n">
        <x:v>1</x:v>
      </x:c>
      <x:c r="O3204" s="7" t="n">
        <x:v>0</x:v>
      </x:c>
      <x:c r="P3204" s="9" t="n">
        <x:v>5.39</x:v>
      </x:c>
      <x:c r="Q3204" s="7" t="n">
        <x:f>'Guide'!$B$5-L3204</x:f>
        <x:v>6</x:v>
      </x:c>
      <x:c r="R3204" s="9" t="n">
        <x:f>K3204-P3204</x:f>
        <x:v>9.61</x:v>
      </x:c>
      <x:c r="S3204" s="10" t="n">
        <x:f>IF(K3204&gt;0,R3204/K3204,"")</x:f>
        <x:v>0.6406666666666666</x:v>
      </x:c>
    </x:row>
    <x:row r="3205">
      <x:c r="A3205" s="7" t="n">
        <x:v>3201</x:v>
      </x:c>
      <x:c r="B3205" s="7" t="str">
        <x:v>Tata</x:v>
      </x:c>
      <x:c r="C3205" s="7" t="str">
        <x:v>Harrier</x:v>
      </x:c>
      <x:c r="D3205" s="7" t="str">
        <x:v>Fearless AT</x:v>
      </x:c>
      <x:c r="E3205" s="7" t="str">
        <x:v>Diesel</x:v>
      </x:c>
      <x:c r="F3205" s="7" t="str">
        <x:v>Automatic</x:v>
      </x:c>
      <x:c r="G3205" s="7" t="str">
        <x:v>Mid-Size SUV</x:v>
      </x:c>
      <x:c r="H3205" s="7" t="n">
        <x:v>1956</x:v>
      </x:c>
      <x:c r="I3205" s="7" t="n">
        <x:v>168</x:v>
      </x:c>
      <x:c r="J3205" s="9" t="n">
        <x:v>14.6</x:v>
      </x:c>
      <x:c r="K3205" s="9" t="n">
        <x:v>24</x:v>
      </x:c>
      <x:c r="L3205" s="7" t="n">
        <x:v>2025</x:v>
      </x:c>
      <x:c r="M3205" s="11" t="n">
        <x:v>25056</x:v>
      </x:c>
      <x:c r="N3205" s="7" t="n">
        <x:v>1</x:v>
      </x:c>
      <x:c r="O3205" s="7" t="n">
        <x:v>0</x:v>
      </x:c>
      <x:c r="P3205" s="9" t="n">
        <x:v>21.31</x:v>
      </x:c>
      <x:c r="Q3205" s="7" t="n">
        <x:f>'Guide'!$B$5-L3205</x:f>
        <x:v>1</x:v>
      </x:c>
      <x:c r="R3205" s="9" t="n">
        <x:f>K3205-P3205</x:f>
        <x:v>2.6900000000000013</x:v>
      </x:c>
      <x:c r="S3205" s="10" t="n">
        <x:f>IF(K3205&gt;0,R3205/K3205,"")</x:f>
        <x:v>0.11208333333333338</x:v>
      </x:c>
    </x:row>
    <x:row r="3206">
      <x:c r="A3206" s="7" t="n">
        <x:v>3202</x:v>
      </x:c>
      <x:c r="B3206" s="7" t="str">
        <x:v>Tata</x:v>
      </x:c>
      <x:c r="C3206" s="7" t="str">
        <x:v>Harrier</x:v>
      </x:c>
      <x:c r="D3206" s="7" t="str">
        <x:v>Fearless AT</x:v>
      </x:c>
      <x:c r="E3206" s="7" t="str">
        <x:v>Diesel</x:v>
      </x:c>
      <x:c r="F3206" s="7" t="str">
        <x:v>Automatic</x:v>
      </x:c>
      <x:c r="G3206" s="7" t="str">
        <x:v>Mid-Size SUV</x:v>
      </x:c>
      <x:c r="H3206" s="7" t="n">
        <x:v>1956</x:v>
      </x:c>
      <x:c r="I3206" s="7" t="n">
        <x:v>168</x:v>
      </x:c>
      <x:c r="J3206" s="9" t="n">
        <x:v>14.6</x:v>
      </x:c>
      <x:c r="K3206" s="9" t="n">
        <x:v>24</x:v>
      </x:c>
      <x:c r="L3206" s="7" t="n">
        <x:v>2025</x:v>
      </x:c>
      <x:c r="M3206" s="11" t="n">
        <x:v>25712</x:v>
      </x:c>
      <x:c r="N3206" s="7" t="n">
        <x:v>2</x:v>
      </x:c>
      <x:c r="O3206" s="7" t="n">
        <x:v>0</x:v>
      </x:c>
      <x:c r="P3206" s="9" t="n">
        <x:v>20.65</x:v>
      </x:c>
      <x:c r="Q3206" s="7" t="n">
        <x:f>'Guide'!$B$5-L3206</x:f>
        <x:v>1</x:v>
      </x:c>
      <x:c r="R3206" s="9" t="n">
        <x:f>K3206-P3206</x:f>
        <x:v>3.3500000000000014</x:v>
      </x:c>
      <x:c r="S3206" s="10" t="n">
        <x:f>IF(K3206&gt;0,R3206/K3206,"")</x:f>
        <x:v>0.1395833333333334</x:v>
      </x:c>
    </x:row>
    <x:row r="3207">
      <x:c r="A3207" s="7" t="n">
        <x:v>3203</x:v>
      </x:c>
      <x:c r="B3207" s="7" t="str">
        <x:v>Tata</x:v>
      </x:c>
      <x:c r="C3207" s="7" t="str">
        <x:v>Harrier</x:v>
      </x:c>
      <x:c r="D3207" s="7" t="str">
        <x:v>Fearless AT</x:v>
      </x:c>
      <x:c r="E3207" s="7" t="str">
        <x:v>Diesel</x:v>
      </x:c>
      <x:c r="F3207" s="7" t="str">
        <x:v>Automatic</x:v>
      </x:c>
      <x:c r="G3207" s="7" t="str">
        <x:v>Mid-Size SUV</x:v>
      </x:c>
      <x:c r="H3207" s="7" t="n">
        <x:v>1956</x:v>
      </x:c>
      <x:c r="I3207" s="7" t="n">
        <x:v>168</x:v>
      </x:c>
      <x:c r="J3207" s="9" t="n">
        <x:v>14.6</x:v>
      </x:c>
      <x:c r="K3207" s="9" t="n">
        <x:v>24</x:v>
      </x:c>
      <x:c r="L3207" s="7" t="n">
        <x:v>2021</x:v>
      </x:c>
      <x:c r="M3207" s="11" t="n">
        <x:v>103040</x:v>
      </x:c>
      <x:c r="N3207" s="7" t="n">
        <x:v>1</x:v>
      </x:c>
      <x:c r="O3207" s="7" t="n">
        <x:v>1</x:v>
      </x:c>
      <x:c r="P3207" s="9" t="n">
        <x:v>10.95</x:v>
      </x:c>
      <x:c r="Q3207" s="7" t="n">
        <x:f>'Guide'!$B$5-L3207</x:f>
        <x:v>5</x:v>
      </x:c>
      <x:c r="R3207" s="9" t="n">
        <x:f>K3207-P3207</x:f>
        <x:v>13.05</x:v>
      </x:c>
      <x:c r="S3207" s="10" t="n">
        <x:f>IF(K3207&gt;0,R3207/K3207,"")</x:f>
        <x:v>0.5437500000000001</x:v>
      </x:c>
    </x:row>
    <x:row r="3208">
      <x:c r="A3208" s="7" t="n">
        <x:v>3204</x:v>
      </x:c>
      <x:c r="B3208" s="7" t="str">
        <x:v>Tata</x:v>
      </x:c>
      <x:c r="C3208" s="7" t="str">
        <x:v>Harrier</x:v>
      </x:c>
      <x:c r="D3208" s="7" t="str">
        <x:v>Fearless AT</x:v>
      </x:c>
      <x:c r="E3208" s="7" t="str">
        <x:v>Diesel</x:v>
      </x:c>
      <x:c r="F3208" s="7" t="str">
        <x:v>Automatic</x:v>
      </x:c>
      <x:c r="G3208" s="7" t="str">
        <x:v>Mid-Size SUV</x:v>
      </x:c>
      <x:c r="H3208" s="7" t="n">
        <x:v>1956</x:v>
      </x:c>
      <x:c r="I3208" s="7" t="n">
        <x:v>168</x:v>
      </x:c>
      <x:c r="J3208" s="9" t="n">
        <x:v>14.6</x:v>
      </x:c>
      <x:c r="K3208" s="9" t="n">
        <x:v>24</x:v>
      </x:c>
      <x:c r="L3208" s="7" t="n">
        <x:v>2025</x:v>
      </x:c>
      <x:c r="M3208" s="11" t="n">
        <x:v>23315</x:v>
      </x:c>
      <x:c r="N3208" s="7" t="n">
        <x:v>1</x:v>
      </x:c>
      <x:c r="O3208" s="7" t="n">
        <x:v>0</x:v>
      </x:c>
      <x:c r="P3208" s="9" t="n">
        <x:v>21.46</x:v>
      </x:c>
      <x:c r="Q3208" s="7" t="n">
        <x:f>'Guide'!$B$5-L3208</x:f>
        <x:v>1</x:v>
      </x:c>
      <x:c r="R3208" s="9" t="n">
        <x:f>K3208-P3208</x:f>
        <x:v>2.539999999999999</x:v>
      </x:c>
      <x:c r="S3208" s="10" t="n">
        <x:f>IF(K3208&gt;0,R3208/K3208,"")</x:f>
        <x:v>0.1058333333333333</x:v>
      </x:c>
    </x:row>
    <x:row r="3209">
      <x:c r="A3209" s="7" t="n">
        <x:v>3205</x:v>
      </x:c>
      <x:c r="B3209" s="7" t="str">
        <x:v>Tata</x:v>
      </x:c>
      <x:c r="C3209" s="7" t="str">
        <x:v>Harrier</x:v>
      </x:c>
      <x:c r="D3209" s="7" t="str">
        <x:v>Fearless AT</x:v>
      </x:c>
      <x:c r="E3209" s="7" t="str">
        <x:v>Diesel</x:v>
      </x:c>
      <x:c r="F3209" s="7" t="str">
        <x:v>Automatic</x:v>
      </x:c>
      <x:c r="G3209" s="7" t="str">
        <x:v>Mid-Size SUV</x:v>
      </x:c>
      <x:c r="H3209" s="7" t="n">
        <x:v>1956</x:v>
      </x:c>
      <x:c r="I3209" s="7" t="n">
        <x:v>168</x:v>
      </x:c>
      <x:c r="J3209" s="9" t="n">
        <x:v>14.6</x:v>
      </x:c>
      <x:c r="K3209" s="9" t="n">
        <x:v>24</x:v>
      </x:c>
      <x:c r="L3209" s="7" t="n">
        <x:v>2025</x:v>
      </x:c>
      <x:c r="M3209" s="11" t="n">
        <x:v>12654</x:v>
      </x:c>
      <x:c r="N3209" s="7" t="n">
        <x:v>1</x:v>
      </x:c>
      <x:c r="O3209" s="7" t="n">
        <x:v>0</x:v>
      </x:c>
      <x:c r="P3209" s="9" t="n">
        <x:v>21.32</x:v>
      </x:c>
      <x:c r="Q3209" s="7" t="n">
        <x:f>'Guide'!$B$5-L3209</x:f>
        <x:v>1</x:v>
      </x:c>
      <x:c r="R3209" s="9" t="n">
        <x:f>K3209-P3209</x:f>
        <x:v>2.6799999999999997</x:v>
      </x:c>
      <x:c r="S3209" s="10" t="n">
        <x:f>IF(K3209&gt;0,R3209/K3209,"")</x:f>
        <x:v>0.11166666666666665</x:v>
      </x:c>
    </x:row>
    <x:row r="3210">
      <x:c r="A3210" s="7" t="n">
        <x:v>3206</x:v>
      </x:c>
      <x:c r="B3210" s="7" t="str">
        <x:v>Tata</x:v>
      </x:c>
      <x:c r="C3210" s="7" t="str">
        <x:v>Harrier</x:v>
      </x:c>
      <x:c r="D3210" s="7" t="str">
        <x:v>Fearless AT</x:v>
      </x:c>
      <x:c r="E3210" s="7" t="str">
        <x:v>Diesel</x:v>
      </x:c>
      <x:c r="F3210" s="7" t="str">
        <x:v>Automatic</x:v>
      </x:c>
      <x:c r="G3210" s="7" t="str">
        <x:v>Mid-Size SUV</x:v>
      </x:c>
      <x:c r="H3210" s="7" t="n">
        <x:v>1956</x:v>
      </x:c>
      <x:c r="I3210" s="7" t="n">
        <x:v>168</x:v>
      </x:c>
      <x:c r="J3210" s="9" t="n">
        <x:v>14.6</x:v>
      </x:c>
      <x:c r="K3210" s="9" t="n">
        <x:v>24</x:v>
      </x:c>
      <x:c r="L3210" s="7" t="n">
        <x:v>2023</x:v>
      </x:c>
      <x:c r="M3210" s="11" t="n">
        <x:v>32688</x:v>
      </x:c>
      <x:c r="N3210" s="7" t="n">
        <x:v>2</x:v>
      </x:c>
      <x:c r="O3210" s="7" t="n">
        <x:v>1</x:v>
      </x:c>
      <x:c r="P3210" s="9" t="n">
        <x:v>16.46</x:v>
      </x:c>
      <x:c r="Q3210" s="7" t="n">
        <x:f>'Guide'!$B$5-L3210</x:f>
        <x:v>3</x:v>
      </x:c>
      <x:c r="R3210" s="9" t="n">
        <x:f>K3210-P3210</x:f>
        <x:v>7.539999999999999</x:v>
      </x:c>
      <x:c r="S3210" s="10" t="n">
        <x:f>IF(K3210&gt;0,R3210/K3210,"")</x:f>
        <x:v>0.31416666666666665</x:v>
      </x:c>
    </x:row>
    <x:row r="3211">
      <x:c r="A3211" s="7" t="n">
        <x:v>3207</x:v>
      </x:c>
      <x:c r="B3211" s="7" t="str">
        <x:v>Tata</x:v>
      </x:c>
      <x:c r="C3211" s="7" t="str">
        <x:v>Harrier</x:v>
      </x:c>
      <x:c r="D3211" s="7" t="str">
        <x:v>Fearless AT</x:v>
      </x:c>
      <x:c r="E3211" s="7" t="str">
        <x:v>Diesel</x:v>
      </x:c>
      <x:c r="F3211" s="7" t="str">
        <x:v>Automatic</x:v>
      </x:c>
      <x:c r="G3211" s="7" t="str">
        <x:v>Mid-Size SUV</x:v>
      </x:c>
      <x:c r="H3211" s="7" t="n">
        <x:v>1956</x:v>
      </x:c>
      <x:c r="I3211" s="7" t="n">
        <x:v>168</x:v>
      </x:c>
      <x:c r="J3211" s="9" t="n">
        <x:v>14.6</x:v>
      </x:c>
      <x:c r="K3211" s="9" t="n">
        <x:v>24</x:v>
      </x:c>
      <x:c r="L3211" s="7" t="n">
        <x:v>2023</x:v>
      </x:c>
      <x:c r="M3211" s="11" t="n">
        <x:v>66672</x:v>
      </x:c>
      <x:c r="N3211" s="7" t="n">
        <x:v>2</x:v>
      </x:c>
      <x:c r="O3211" s="7" t="n">
        <x:v>0</x:v>
      </x:c>
      <x:c r="P3211" s="9" t="n">
        <x:v>15.79</x:v>
      </x:c>
      <x:c r="Q3211" s="7" t="n">
        <x:f>'Guide'!$B$5-L3211</x:f>
        <x:v>3</x:v>
      </x:c>
      <x:c r="R3211" s="9" t="n">
        <x:f>K3211-P3211</x:f>
        <x:v>8.21</x:v>
      </x:c>
      <x:c r="S3211" s="10" t="n">
        <x:f>IF(K3211&gt;0,R3211/K3211,"")</x:f>
        <x:v>0.34208333333333335</x:v>
      </x:c>
    </x:row>
    <x:row r="3212">
      <x:c r="A3212" s="7" t="n">
        <x:v>3208</x:v>
      </x:c>
      <x:c r="B3212" s="7" t="str">
        <x:v>Tata</x:v>
      </x:c>
      <x:c r="C3212" s="7" t="str">
        <x:v>Harrier</x:v>
      </x:c>
      <x:c r="D3212" s="7" t="str">
        <x:v>Fearless AT</x:v>
      </x:c>
      <x:c r="E3212" s="7" t="str">
        <x:v>Diesel</x:v>
      </x:c>
      <x:c r="F3212" s="7" t="str">
        <x:v>Automatic</x:v>
      </x:c>
      <x:c r="G3212" s="7" t="str">
        <x:v>Mid-Size SUV</x:v>
      </x:c>
      <x:c r="H3212" s="7" t="n">
        <x:v>1956</x:v>
      </x:c>
      <x:c r="I3212" s="7" t="n">
        <x:v>168</x:v>
      </x:c>
      <x:c r="J3212" s="9" t="n">
        <x:v>14.6</x:v>
      </x:c>
      <x:c r="K3212" s="9" t="n">
        <x:v>24</x:v>
      </x:c>
      <x:c r="L3212" s="7" t="n">
        <x:v>2026</x:v>
      </x:c>
      <x:c r="M3212" s="11" t="n">
        <x:v>9653</x:v>
      </x:c>
      <x:c r="N3212" s="7" t="n">
        <x:v>2</x:v>
      </x:c>
      <x:c r="O3212" s="7" t="n">
        <x:v>0</x:v>
      </x:c>
      <x:c r="P3212" s="9" t="n">
        <x:v>23.58</x:v>
      </x:c>
      <x:c r="Q3212" s="7" t="n">
        <x:f>'Guide'!$B$5-L3212</x:f>
        <x:v>0</x:v>
      </x:c>
      <x:c r="R3212" s="9" t="n">
        <x:f>K3212-P3212</x:f>
        <x:v>0.4200000000000017</x:v>
      </x:c>
      <x:c r="S3212" s="10" t="n">
        <x:f>IF(K3212&gt;0,R3212/K3212,"")</x:f>
        <x:v>0.01750000000000007</x:v>
      </x:c>
    </x:row>
    <x:row r="3213">
      <x:c r="A3213" s="7" t="n">
        <x:v>3209</x:v>
      </x:c>
      <x:c r="B3213" s="7" t="str">
        <x:v>Tata</x:v>
      </x:c>
      <x:c r="C3213" s="7" t="str">
        <x:v>Harrier</x:v>
      </x:c>
      <x:c r="D3213" s="7" t="str">
        <x:v>Fearless AT</x:v>
      </x:c>
      <x:c r="E3213" s="7" t="str">
        <x:v>Diesel</x:v>
      </x:c>
      <x:c r="F3213" s="7" t="str">
        <x:v>Automatic</x:v>
      </x:c>
      <x:c r="G3213" s="7" t="str">
        <x:v>Mid-Size SUV</x:v>
      </x:c>
      <x:c r="H3213" s="7" t="n">
        <x:v>1956</x:v>
      </x:c>
      <x:c r="I3213" s="7" t="n">
        <x:v>168</x:v>
      </x:c>
      <x:c r="J3213" s="9" t="n">
        <x:v>14.6</x:v>
      </x:c>
      <x:c r="K3213" s="9" t="n">
        <x:v>24</x:v>
      </x:c>
      <x:c r="L3213" s="7" t="n">
        <x:v>2022</x:v>
      </x:c>
      <x:c r="M3213" s="11" t="n">
        <x:v>54624</x:v>
      </x:c>
      <x:c r="N3213" s="7" t="n">
        <x:v>1</x:v>
      </x:c>
      <x:c r="O3213" s="7" t="n">
        <x:v>0</x:v>
      </x:c>
      <x:c r="P3213" s="9" t="n">
        <x:v>14.99</x:v>
      </x:c>
      <x:c r="Q3213" s="7" t="n">
        <x:f>'Guide'!$B$5-L3213</x:f>
        <x:v>4</x:v>
      </x:c>
      <x:c r="R3213" s="9" t="n">
        <x:f>K3213-P3213</x:f>
        <x:v>9.01</x:v>
      </x:c>
      <x:c r="S3213" s="10" t="n">
        <x:f>IF(K3213&gt;0,R3213/K3213,"")</x:f>
        <x:v>0.3754166666666667</x:v>
      </x:c>
    </x:row>
    <x:row r="3214">
      <x:c r="A3214" s="7" t="n">
        <x:v>3210</x:v>
      </x:c>
      <x:c r="B3214" s="7" t="str">
        <x:v>Tata</x:v>
      </x:c>
      <x:c r="C3214" s="7" t="str">
        <x:v>Harrier</x:v>
      </x:c>
      <x:c r="D3214" s="7" t="str">
        <x:v>Fearless AT</x:v>
      </x:c>
      <x:c r="E3214" s="7" t="str">
        <x:v>Diesel</x:v>
      </x:c>
      <x:c r="F3214" s="7" t="str">
        <x:v>Automatic</x:v>
      </x:c>
      <x:c r="G3214" s="7" t="str">
        <x:v>Mid-Size SUV</x:v>
      </x:c>
      <x:c r="H3214" s="7" t="n">
        <x:v>1956</x:v>
      </x:c>
      <x:c r="I3214" s="7" t="n">
        <x:v>168</x:v>
      </x:c>
      <x:c r="J3214" s="9" t="n">
        <x:v>14.6</x:v>
      </x:c>
      <x:c r="K3214" s="9" t="n">
        <x:v>24</x:v>
      </x:c>
      <x:c r="L3214" s="7" t="n">
        <x:v>2022</x:v>
      </x:c>
      <x:c r="M3214" s="11" t="n">
        <x:v>72687</x:v>
      </x:c>
      <x:c r="N3214" s="7" t="n">
        <x:v>1</x:v>
      </x:c>
      <x:c r="O3214" s="7" t="n">
        <x:v>0</x:v>
      </x:c>
      <x:c r="P3214" s="9" t="n">
        <x:v>14.01</x:v>
      </x:c>
      <x:c r="Q3214" s="7" t="n">
        <x:f>'Guide'!$B$5-L3214</x:f>
        <x:v>4</x:v>
      </x:c>
      <x:c r="R3214" s="9" t="n">
        <x:f>K3214-P3214</x:f>
        <x:v>9.99</x:v>
      </x:c>
      <x:c r="S3214" s="10" t="n">
        <x:f>IF(K3214&gt;0,R3214/K3214,"")</x:f>
        <x:v>0.41625</x:v>
      </x:c>
    </x:row>
    <x:row r="3215">
      <x:c r="A3215" s="7" t="n">
        <x:v>3211</x:v>
      </x:c>
      <x:c r="B3215" s="7" t="str">
        <x:v>Tata</x:v>
      </x:c>
      <x:c r="C3215" s="7" t="str">
        <x:v>Harrier</x:v>
      </x:c>
      <x:c r="D3215" s="7" t="str">
        <x:v>Fearless AT</x:v>
      </x:c>
      <x:c r="E3215" s="7" t="str">
        <x:v>Diesel</x:v>
      </x:c>
      <x:c r="F3215" s="7" t="str">
        <x:v>Automatic</x:v>
      </x:c>
      <x:c r="G3215" s="7" t="str">
        <x:v>Mid-Size SUV</x:v>
      </x:c>
      <x:c r="H3215" s="7" t="n">
        <x:v>1956</x:v>
      </x:c>
      <x:c r="I3215" s="7" t="n">
        <x:v>168</x:v>
      </x:c>
      <x:c r="J3215" s="9" t="n">
        <x:v>14.6</x:v>
      </x:c>
      <x:c r="K3215" s="9" t="n">
        <x:v>24</x:v>
      </x:c>
      <x:c r="L3215" s="7" t="n">
        <x:v>2025</x:v>
      </x:c>
      <x:c r="M3215" s="11" t="n">
        <x:v>14146</x:v>
      </x:c>
      <x:c r="N3215" s="7" t="n">
        <x:v>1</x:v>
      </x:c>
      <x:c r="O3215" s="7" t="n">
        <x:v>1</x:v>
      </x:c>
      <x:c r="P3215" s="9" t="n">
        <x:v>21.15</x:v>
      </x:c>
      <x:c r="Q3215" s="7" t="n">
        <x:f>'Guide'!$B$5-L3215</x:f>
        <x:v>1</x:v>
      </x:c>
      <x:c r="R3215" s="9" t="n">
        <x:f>K3215-P3215</x:f>
        <x:v>2.8500000000000014</x:v>
      </x:c>
      <x:c r="S3215" s="10" t="n">
        <x:f>IF(K3215&gt;0,R3215/K3215,"")</x:f>
        <x:v>0.11875000000000006</x:v>
      </x:c>
    </x:row>
    <x:row r="3216">
      <x:c r="A3216" s="7" t="n">
        <x:v>3212</x:v>
      </x:c>
      <x:c r="B3216" s="7" t="str">
        <x:v>Tata</x:v>
      </x:c>
      <x:c r="C3216" s="7" t="str">
        <x:v>Harrier</x:v>
      </x:c>
      <x:c r="D3216" s="7" t="str">
        <x:v>Fearless AT</x:v>
      </x:c>
      <x:c r="E3216" s="7" t="str">
        <x:v>Diesel</x:v>
      </x:c>
      <x:c r="F3216" s="7" t="str">
        <x:v>Automatic</x:v>
      </x:c>
      <x:c r="G3216" s="7" t="str">
        <x:v>Mid-Size SUV</x:v>
      </x:c>
      <x:c r="H3216" s="7" t="n">
        <x:v>1956</x:v>
      </x:c>
      <x:c r="I3216" s="7" t="n">
        <x:v>168</x:v>
      </x:c>
      <x:c r="J3216" s="9" t="n">
        <x:v>14.6</x:v>
      </x:c>
      <x:c r="K3216" s="9" t="n">
        <x:v>24</x:v>
      </x:c>
      <x:c r="L3216" s="7" t="n">
        <x:v>2022</x:v>
      </x:c>
      <x:c r="M3216" s="11" t="n">
        <x:v>65081</x:v>
      </x:c>
      <x:c r="N3216" s="7" t="n">
        <x:v>3</x:v>
      </x:c>
      <x:c r="O3216" s="7" t="n">
        <x:v>0</x:v>
      </x:c>
      <x:c r="P3216" s="9" t="n">
        <x:v>13.82</x:v>
      </x:c>
      <x:c r="Q3216" s="7" t="n">
        <x:f>'Guide'!$B$5-L3216</x:f>
        <x:v>4</x:v>
      </x:c>
      <x:c r="R3216" s="9" t="n">
        <x:f>K3216-P3216</x:f>
        <x:v>10.18</x:v>
      </x:c>
      <x:c r="S3216" s="10" t="n">
        <x:f>IF(K3216&gt;0,R3216/K3216,"")</x:f>
        <x:v>0.42416666666666664</x:v>
      </x:c>
    </x:row>
    <x:row r="3217">
      <x:c r="A3217" s="7" t="n">
        <x:v>3213</x:v>
      </x:c>
      <x:c r="B3217" s="7" t="str">
        <x:v>Tata</x:v>
      </x:c>
      <x:c r="C3217" s="7" t="str">
        <x:v>Harrier</x:v>
      </x:c>
      <x:c r="D3217" s="7" t="str">
        <x:v>Fearless AT</x:v>
      </x:c>
      <x:c r="E3217" s="7" t="str">
        <x:v>Diesel</x:v>
      </x:c>
      <x:c r="F3217" s="7" t="str">
        <x:v>Automatic</x:v>
      </x:c>
      <x:c r="G3217" s="7" t="str">
        <x:v>Mid-Size SUV</x:v>
      </x:c>
      <x:c r="H3217" s="7" t="n">
        <x:v>1956</x:v>
      </x:c>
      <x:c r="I3217" s="7" t="n">
        <x:v>168</x:v>
      </x:c>
      <x:c r="J3217" s="9" t="n">
        <x:v>14.6</x:v>
      </x:c>
      <x:c r="K3217" s="9" t="n">
        <x:v>24</x:v>
      </x:c>
      <x:c r="L3217" s="7" t="n">
        <x:v>2022</x:v>
      </x:c>
      <x:c r="M3217" s="11" t="n">
        <x:v>36330</x:v>
      </x:c>
      <x:c r="N3217" s="7" t="n">
        <x:v>1</x:v>
      </x:c>
      <x:c r="O3217" s="7" t="n">
        <x:v>0</x:v>
      </x:c>
      <x:c r="P3217" s="9" t="n">
        <x:v>15.23</x:v>
      </x:c>
      <x:c r="Q3217" s="7" t="n">
        <x:f>'Guide'!$B$5-L3217</x:f>
        <x:v>4</x:v>
      </x:c>
      <x:c r="R3217" s="9" t="n">
        <x:f>K3217-P3217</x:f>
        <x:v>8.77</x:v>
      </x:c>
      <x:c r="S3217" s="10" t="n">
        <x:f>IF(K3217&gt;0,R3217/K3217,"")</x:f>
        <x:v>0.36541666666666667</x:v>
      </x:c>
    </x:row>
    <x:row r="3218">
      <x:c r="A3218" s="7" t="n">
        <x:v>3214</x:v>
      </x:c>
      <x:c r="B3218" s="7" t="str">
        <x:v>Tata</x:v>
      </x:c>
      <x:c r="C3218" s="7" t="str">
        <x:v>Harrier</x:v>
      </x:c>
      <x:c r="D3218" s="7" t="str">
        <x:v>Fearless AT</x:v>
      </x:c>
      <x:c r="E3218" s="7" t="str">
        <x:v>Diesel</x:v>
      </x:c>
      <x:c r="F3218" s="7" t="str">
        <x:v>Automatic</x:v>
      </x:c>
      <x:c r="G3218" s="7" t="str">
        <x:v>Mid-Size SUV</x:v>
      </x:c>
      <x:c r="H3218" s="7" t="n">
        <x:v>1956</x:v>
      </x:c>
      <x:c r="I3218" s="7" t="n">
        <x:v>168</x:v>
      </x:c>
      <x:c r="J3218" s="9" t="n">
        <x:v>14.6</x:v>
      </x:c>
      <x:c r="K3218" s="9" t="n">
        <x:v>24</x:v>
      </x:c>
      <x:c r="L3218" s="7" t="n">
        <x:v>2023</x:v>
      </x:c>
      <x:c r="M3218" s="11" t="n">
        <x:v>54956</x:v>
      </x:c>
      <x:c r="N3218" s="7" t="n">
        <x:v>1</x:v>
      </x:c>
      <x:c r="O3218" s="7" t="n">
        <x:v>0</x:v>
      </x:c>
      <x:c r="P3218" s="9" t="n">
        <x:v>16.93</x:v>
      </x:c>
      <x:c r="Q3218" s="7" t="n">
        <x:f>'Guide'!$B$5-L3218</x:f>
        <x:v>3</x:v>
      </x:c>
      <x:c r="R3218" s="9" t="n">
        <x:f>K3218-P3218</x:f>
        <x:v>7.07</x:v>
      </x:c>
      <x:c r="S3218" s="10" t="n">
        <x:f>IF(K3218&gt;0,R3218/K3218,"")</x:f>
        <x:v>0.29458333333333336</x:v>
      </x:c>
    </x:row>
    <x:row r="3219">
      <x:c r="A3219" s="7" t="n">
        <x:v>3215</x:v>
      </x:c>
      <x:c r="B3219" s="7" t="str">
        <x:v>Tata</x:v>
      </x:c>
      <x:c r="C3219" s="7" t="str">
        <x:v>Harrier</x:v>
      </x:c>
      <x:c r="D3219" s="7" t="str">
        <x:v>Fearless AT</x:v>
      </x:c>
      <x:c r="E3219" s="7" t="str">
        <x:v>Diesel</x:v>
      </x:c>
      <x:c r="F3219" s="7" t="str">
        <x:v>Automatic</x:v>
      </x:c>
      <x:c r="G3219" s="7" t="str">
        <x:v>Mid-Size SUV</x:v>
      </x:c>
      <x:c r="H3219" s="7" t="n">
        <x:v>1956</x:v>
      </x:c>
      <x:c r="I3219" s="7" t="n">
        <x:v>168</x:v>
      </x:c>
      <x:c r="J3219" s="9" t="n">
        <x:v>14.6</x:v>
      </x:c>
      <x:c r="K3219" s="9" t="n">
        <x:v>24</x:v>
      </x:c>
      <x:c r="L3219" s="7" t="n">
        <x:v>2022</x:v>
      </x:c>
      <x:c r="M3219" s="11" t="n">
        <x:v>75709</x:v>
      </x:c>
      <x:c r="N3219" s="7" t="n">
        <x:v>2</x:v>
      </x:c>
      <x:c r="O3219" s="7" t="n">
        <x:v>0</x:v>
      </x:c>
      <x:c r="P3219" s="9" t="n">
        <x:v>14.06</x:v>
      </x:c>
      <x:c r="Q3219" s="7" t="n">
        <x:f>'Guide'!$B$5-L3219</x:f>
        <x:v>4</x:v>
      </x:c>
      <x:c r="R3219" s="9" t="n">
        <x:f>K3219-P3219</x:f>
        <x:v>9.94</x:v>
      </x:c>
      <x:c r="S3219" s="10" t="n">
        <x:f>IF(K3219&gt;0,R3219/K3219,"")</x:f>
        <x:v>0.4141666666666666</x:v>
      </x:c>
    </x:row>
    <x:row r="3220">
      <x:c r="A3220" s="7" t="n">
        <x:v>3216</x:v>
      </x:c>
      <x:c r="B3220" s="7" t="str">
        <x:v>Tata</x:v>
      </x:c>
      <x:c r="C3220" s="7" t="str">
        <x:v>Harrier</x:v>
      </x:c>
      <x:c r="D3220" s="7" t="str">
        <x:v>Fearless AT</x:v>
      </x:c>
      <x:c r="E3220" s="7" t="str">
        <x:v>Diesel</x:v>
      </x:c>
      <x:c r="F3220" s="7" t="str">
        <x:v>Automatic</x:v>
      </x:c>
      <x:c r="G3220" s="7" t="str">
        <x:v>Mid-Size SUV</x:v>
      </x:c>
      <x:c r="H3220" s="7" t="n">
        <x:v>1956</x:v>
      </x:c>
      <x:c r="I3220" s="7" t="n">
        <x:v>168</x:v>
      </x:c>
      <x:c r="J3220" s="9" t="n">
        <x:v>14.6</x:v>
      </x:c>
      <x:c r="K3220" s="9" t="n">
        <x:v>24</x:v>
      </x:c>
      <x:c r="L3220" s="7" t="n">
        <x:v>2022</x:v>
      </x:c>
      <x:c r="M3220" s="11" t="n">
        <x:v>79084</x:v>
      </x:c>
      <x:c r="N3220" s="7" t="n">
        <x:v>1</x:v>
      </x:c>
      <x:c r="O3220" s="7" t="n">
        <x:v>0</x:v>
      </x:c>
      <x:c r="P3220" s="9" t="n">
        <x:v>14.34</x:v>
      </x:c>
      <x:c r="Q3220" s="7" t="n">
        <x:f>'Guide'!$B$5-L3220</x:f>
        <x:v>4</x:v>
      </x:c>
      <x:c r="R3220" s="9" t="n">
        <x:f>K3220-P3220</x:f>
        <x:v>9.66</x:v>
      </x:c>
      <x:c r="S3220" s="10" t="n">
        <x:f>IF(K3220&gt;0,R3220/K3220,"")</x:f>
        <x:v>0.4025</x:v>
      </x:c>
    </x:row>
    <x:row r="3221">
      <x:c r="A3221" s="7" t="n">
        <x:v>3217</x:v>
      </x:c>
      <x:c r="B3221" s="7" t="str">
        <x:v>Tata</x:v>
      </x:c>
      <x:c r="C3221" s="7" t="str">
        <x:v>Harrier</x:v>
      </x:c>
      <x:c r="D3221" s="7" t="str">
        <x:v>Fearless AT</x:v>
      </x:c>
      <x:c r="E3221" s="7" t="str">
        <x:v>Diesel</x:v>
      </x:c>
      <x:c r="F3221" s="7" t="str">
        <x:v>Automatic</x:v>
      </x:c>
      <x:c r="G3221" s="7" t="str">
        <x:v>Mid-Size SUV</x:v>
      </x:c>
      <x:c r="H3221" s="7" t="n">
        <x:v>1956</x:v>
      </x:c>
      <x:c r="I3221" s="7" t="n">
        <x:v>168</x:v>
      </x:c>
      <x:c r="J3221" s="9" t="n">
        <x:v>14.6</x:v>
      </x:c>
      <x:c r="K3221" s="9" t="n">
        <x:v>24</x:v>
      </x:c>
      <x:c r="L3221" s="7" t="n">
        <x:v>2025</x:v>
      </x:c>
      <x:c r="M3221" s="11" t="n">
        <x:v>23319</x:v>
      </x:c>
      <x:c r="N3221" s="7" t="n">
        <x:v>1</x:v>
      </x:c>
      <x:c r="O3221" s="7" t="n">
        <x:v>0</x:v>
      </x:c>
      <x:c r="P3221" s="9" t="n">
        <x:v>21.15</x:v>
      </x:c>
      <x:c r="Q3221" s="7" t="n">
        <x:f>'Guide'!$B$5-L3221</x:f>
        <x:v>1</x:v>
      </x:c>
      <x:c r="R3221" s="9" t="n">
        <x:f>K3221-P3221</x:f>
        <x:v>2.8500000000000014</x:v>
      </x:c>
      <x:c r="S3221" s="10" t="n">
        <x:f>IF(K3221&gt;0,R3221/K3221,"")</x:f>
        <x:v>0.11875000000000006</x:v>
      </x:c>
    </x:row>
    <x:row r="3222">
      <x:c r="A3222" s="7" t="n">
        <x:v>3218</x:v>
      </x:c>
      <x:c r="B3222" s="7" t="str">
        <x:v>Tata</x:v>
      </x:c>
      <x:c r="C3222" s="7" t="str">
        <x:v>Harrier</x:v>
      </x:c>
      <x:c r="D3222" s="7" t="str">
        <x:v>Fearless AT</x:v>
      </x:c>
      <x:c r="E3222" s="7" t="str">
        <x:v>Diesel</x:v>
      </x:c>
      <x:c r="F3222" s="7" t="str">
        <x:v>Automatic</x:v>
      </x:c>
      <x:c r="G3222" s="7" t="str">
        <x:v>Mid-Size SUV</x:v>
      </x:c>
      <x:c r="H3222" s="7" t="n">
        <x:v>1956</x:v>
      </x:c>
      <x:c r="I3222" s="7" t="n">
        <x:v>168</x:v>
      </x:c>
      <x:c r="J3222" s="9" t="n">
        <x:v>14.6</x:v>
      </x:c>
      <x:c r="K3222" s="9" t="n">
        <x:v>24</x:v>
      </x:c>
      <x:c r="L3222" s="7" t="n">
        <x:v>2025</x:v>
      </x:c>
      <x:c r="M3222" s="11" t="n">
        <x:v>12960</x:v>
      </x:c>
      <x:c r="N3222" s="7" t="n">
        <x:v>2</x:v>
      </x:c>
      <x:c r="O3222" s="7" t="n">
        <x:v>0</x:v>
      </x:c>
      <x:c r="P3222" s="9" t="n">
        <x:v>21</x:v>
      </x:c>
      <x:c r="Q3222" s="7" t="n">
        <x:f>'Guide'!$B$5-L3222</x:f>
        <x:v>1</x:v>
      </x:c>
      <x:c r="R3222" s="9" t="n">
        <x:f>K3222-P3222</x:f>
        <x:v>3</x:v>
      </x:c>
      <x:c r="S3222" s="10" t="n">
        <x:f>IF(K3222&gt;0,R3222/K3222,"")</x:f>
        <x:v>0.125</x:v>
      </x:c>
    </x:row>
    <x:row r="3223">
      <x:c r="A3223" s="7" t="n">
        <x:v>3219</x:v>
      </x:c>
      <x:c r="B3223" s="7" t="str">
        <x:v>Tata</x:v>
      </x:c>
      <x:c r="C3223" s="7" t="str">
        <x:v>Harrier</x:v>
      </x:c>
      <x:c r="D3223" s="7" t="str">
        <x:v>Fearless AT</x:v>
      </x:c>
      <x:c r="E3223" s="7" t="str">
        <x:v>Diesel</x:v>
      </x:c>
      <x:c r="F3223" s="7" t="str">
        <x:v>Automatic</x:v>
      </x:c>
      <x:c r="G3223" s="7" t="str">
        <x:v>Mid-Size SUV</x:v>
      </x:c>
      <x:c r="H3223" s="7" t="n">
        <x:v>1956</x:v>
      </x:c>
      <x:c r="I3223" s="7" t="n">
        <x:v>168</x:v>
      </x:c>
      <x:c r="J3223" s="9" t="n">
        <x:v>14.6</x:v>
      </x:c>
      <x:c r="K3223" s="9" t="n">
        <x:v>24</x:v>
      </x:c>
      <x:c r="L3223" s="7" t="n">
        <x:v>2025</x:v>
      </x:c>
      <x:c r="M3223" s="11" t="n">
        <x:v>20179</x:v>
      </x:c>
      <x:c r="N3223" s="7" t="n">
        <x:v>2</x:v>
      </x:c>
      <x:c r="O3223" s="7" t="n">
        <x:v>0</x:v>
      </x:c>
      <x:c r="P3223" s="9" t="n">
        <x:v>20.97</x:v>
      </x:c>
      <x:c r="Q3223" s="7" t="n">
        <x:f>'Guide'!$B$5-L3223</x:f>
        <x:v>1</x:v>
      </x:c>
      <x:c r="R3223" s="9" t="n">
        <x:f>K3223-P3223</x:f>
        <x:v>3.030000000000001</x:v>
      </x:c>
      <x:c r="S3223" s="10" t="n">
        <x:f>IF(K3223&gt;0,R3223/K3223,"")</x:f>
        <x:v>0.12625000000000006</x:v>
      </x:c>
    </x:row>
    <x:row r="3224">
      <x:c r="A3224" s="7" t="n">
        <x:v>3220</x:v>
      </x:c>
      <x:c r="B3224" s="7" t="str">
        <x:v>Tata</x:v>
      </x:c>
      <x:c r="C3224" s="7" t="str">
        <x:v>Harrier</x:v>
      </x:c>
      <x:c r="D3224" s="7" t="str">
        <x:v>Fearless AT</x:v>
      </x:c>
      <x:c r="E3224" s="7" t="str">
        <x:v>Diesel</x:v>
      </x:c>
      <x:c r="F3224" s="7" t="str">
        <x:v>Automatic</x:v>
      </x:c>
      <x:c r="G3224" s="7" t="str">
        <x:v>Mid-Size SUV</x:v>
      </x:c>
      <x:c r="H3224" s="7" t="n">
        <x:v>1956</x:v>
      </x:c>
      <x:c r="I3224" s="7" t="n">
        <x:v>168</x:v>
      </x:c>
      <x:c r="J3224" s="9" t="n">
        <x:v>14.6</x:v>
      </x:c>
      <x:c r="K3224" s="9" t="n">
        <x:v>24</x:v>
      </x:c>
      <x:c r="L3224" s="7" t="n">
        <x:v>2026</x:v>
      </x:c>
      <x:c r="M3224" s="11" t="n">
        <x:v>8249</x:v>
      </x:c>
      <x:c r="N3224" s="7" t="n">
        <x:v>2</x:v>
      </x:c>
      <x:c r="O3224" s="7" t="n">
        <x:v>0</x:v>
      </x:c>
      <x:c r="P3224" s="9" t="n">
        <x:v>23.72</x:v>
      </x:c>
      <x:c r="Q3224" s="7" t="n">
        <x:f>'Guide'!$B$5-L3224</x:f>
        <x:v>0</x:v>
      </x:c>
      <x:c r="R3224" s="9" t="n">
        <x:f>K3224-P3224</x:f>
        <x:v>0.28000000000000114</x:v>
      </x:c>
      <x:c r="S3224" s="10" t="n">
        <x:f>IF(K3224&gt;0,R3224/K3224,"")</x:f>
        <x:v>0.011666666666666714</x:v>
      </x:c>
    </x:row>
    <x:row r="3225">
      <x:c r="A3225" s="7" t="n">
        <x:v>3221</x:v>
      </x:c>
      <x:c r="B3225" s="7" t="str">
        <x:v>Tata</x:v>
      </x:c>
      <x:c r="C3225" s="7" t="str">
        <x:v>Harrier</x:v>
      </x:c>
      <x:c r="D3225" s="7" t="str">
        <x:v>Fearless AT</x:v>
      </x:c>
      <x:c r="E3225" s="7" t="str">
        <x:v>Diesel</x:v>
      </x:c>
      <x:c r="F3225" s="7" t="str">
        <x:v>Automatic</x:v>
      </x:c>
      <x:c r="G3225" s="7" t="str">
        <x:v>Mid-Size SUV</x:v>
      </x:c>
      <x:c r="H3225" s="7" t="n">
        <x:v>1956</x:v>
      </x:c>
      <x:c r="I3225" s="7" t="n">
        <x:v>168</x:v>
      </x:c>
      <x:c r="J3225" s="9" t="n">
        <x:v>14.6</x:v>
      </x:c>
      <x:c r="K3225" s="9" t="n">
        <x:v>24</x:v>
      </x:c>
      <x:c r="L3225" s="7" t="n">
        <x:v>2021</x:v>
      </x:c>
      <x:c r="M3225" s="11" t="n">
        <x:v>93936</x:v>
      </x:c>
      <x:c r="N3225" s="7" t="n">
        <x:v>1</x:v>
      </x:c>
      <x:c r="O3225" s="7" t="n">
        <x:v>1</x:v>
      </x:c>
      <x:c r="P3225" s="9" t="n">
        <x:v>10.77</x:v>
      </x:c>
      <x:c r="Q3225" s="7" t="n">
        <x:f>'Guide'!$B$5-L3225</x:f>
        <x:v>5</x:v>
      </x:c>
      <x:c r="R3225" s="9" t="n">
        <x:f>K3225-P3225</x:f>
        <x:v>13.23</x:v>
      </x:c>
      <x:c r="S3225" s="10" t="n">
        <x:f>IF(K3225&gt;0,R3225/K3225,"")</x:f>
        <x:v>0.55125</x:v>
      </x:c>
    </x:row>
    <x:row r="3226">
      <x:c r="A3226" s="7" t="n">
        <x:v>3222</x:v>
      </x:c>
      <x:c r="B3226" s="7" t="str">
        <x:v>Tata</x:v>
      </x:c>
      <x:c r="C3226" s="7" t="str">
        <x:v>Harrier</x:v>
      </x:c>
      <x:c r="D3226" s="7" t="str">
        <x:v>Fearless AT</x:v>
      </x:c>
      <x:c r="E3226" s="7" t="str">
        <x:v>Diesel</x:v>
      </x:c>
      <x:c r="F3226" s="7" t="str">
        <x:v>Automatic</x:v>
      </x:c>
      <x:c r="G3226" s="7" t="str">
        <x:v>Mid-Size SUV</x:v>
      </x:c>
      <x:c r="H3226" s="7" t="n">
        <x:v>1956</x:v>
      </x:c>
      <x:c r="I3226" s="7" t="n">
        <x:v>168</x:v>
      </x:c>
      <x:c r="J3226" s="9" t="n">
        <x:v>14.6</x:v>
      </x:c>
      <x:c r="K3226" s="9" t="n">
        <x:v>24</x:v>
      </x:c>
      <x:c r="L3226" s="7" t="n">
        <x:v>2022</x:v>
      </x:c>
      <x:c r="M3226" s="11" t="n">
        <x:v>61601</x:v>
      </x:c>
      <x:c r="N3226" s="7" t="n">
        <x:v>1</x:v>
      </x:c>
      <x:c r="O3226" s="7" t="n">
        <x:v>0</x:v>
      </x:c>
      <x:c r="P3226" s="9" t="n">
        <x:v>14.89</x:v>
      </x:c>
      <x:c r="Q3226" s="7" t="n">
        <x:f>'Guide'!$B$5-L3226</x:f>
        <x:v>4</x:v>
      </x:c>
      <x:c r="R3226" s="9" t="n">
        <x:f>K3226-P3226</x:f>
        <x:v>9.11</x:v>
      </x:c>
      <x:c r="S3226" s="10" t="n">
        <x:f>IF(K3226&gt;0,R3226/K3226,"")</x:f>
        <x:v>0.37958333333333333</x:v>
      </x:c>
    </x:row>
    <x:row r="3227">
      <x:c r="A3227" s="7" t="n">
        <x:v>3223</x:v>
      </x:c>
      <x:c r="B3227" s="7" t="str">
        <x:v>Tata</x:v>
      </x:c>
      <x:c r="C3227" s="7" t="str">
        <x:v>Harrier</x:v>
      </x:c>
      <x:c r="D3227" s="7" t="str">
        <x:v>Fearless AT</x:v>
      </x:c>
      <x:c r="E3227" s="7" t="str">
        <x:v>Diesel</x:v>
      </x:c>
      <x:c r="F3227" s="7" t="str">
        <x:v>Automatic</x:v>
      </x:c>
      <x:c r="G3227" s="7" t="str">
        <x:v>Mid-Size SUV</x:v>
      </x:c>
      <x:c r="H3227" s="7" t="n">
        <x:v>1956</x:v>
      </x:c>
      <x:c r="I3227" s="7" t="n">
        <x:v>168</x:v>
      </x:c>
      <x:c r="J3227" s="9" t="n">
        <x:v>14.6</x:v>
      </x:c>
      <x:c r="K3227" s="9" t="n">
        <x:v>24</x:v>
      </x:c>
      <x:c r="L3227" s="7" t="n">
        <x:v>2025</x:v>
      </x:c>
      <x:c r="M3227" s="11" t="n">
        <x:v>18447</x:v>
      </x:c>
      <x:c r="N3227" s="7" t="n">
        <x:v>2</x:v>
      </x:c>
      <x:c r="O3227" s="7" t="n">
        <x:v>0</x:v>
      </x:c>
      <x:c r="P3227" s="9" t="n">
        <x:v>21.16</x:v>
      </x:c>
      <x:c r="Q3227" s="7" t="n">
        <x:f>'Guide'!$B$5-L3227</x:f>
        <x:v>1</x:v>
      </x:c>
      <x:c r="R3227" s="9" t="n">
        <x:f>K3227-P3227</x:f>
        <x:v>2.84</x:v>
      </x:c>
      <x:c r="S3227" s="10" t="n">
        <x:f>IF(K3227&gt;0,R3227/K3227,"")</x:f>
        <x:v>0.11833333333333333</x:v>
      </x:c>
    </x:row>
    <x:row r="3228">
      <x:c r="A3228" s="7" t="n">
        <x:v>3224</x:v>
      </x:c>
      <x:c r="B3228" s="7" t="str">
        <x:v>Tata</x:v>
      </x:c>
      <x:c r="C3228" s="7" t="str">
        <x:v>Harrier</x:v>
      </x:c>
      <x:c r="D3228" s="7" t="str">
        <x:v>Fearless AT</x:v>
      </x:c>
      <x:c r="E3228" s="7" t="str">
        <x:v>Diesel</x:v>
      </x:c>
      <x:c r="F3228" s="7" t="str">
        <x:v>Automatic</x:v>
      </x:c>
      <x:c r="G3228" s="7" t="str">
        <x:v>Mid-Size SUV</x:v>
      </x:c>
      <x:c r="H3228" s="7" t="n">
        <x:v>1956</x:v>
      </x:c>
      <x:c r="I3228" s="7" t="n">
        <x:v>168</x:v>
      </x:c>
      <x:c r="J3228" s="9" t="n">
        <x:v>14.6</x:v>
      </x:c>
      <x:c r="K3228" s="9" t="n">
        <x:v>24</x:v>
      </x:c>
      <x:c r="L3228" s="7" t="n">
        <x:v>2022</x:v>
      </x:c>
      <x:c r="M3228" s="11" t="n">
        <x:v>52853</x:v>
      </x:c>
      <x:c r="N3228" s="7" t="n">
        <x:v>2</x:v>
      </x:c>
      <x:c r="O3228" s="7" t="n">
        <x:v>0</x:v>
      </x:c>
      <x:c r="P3228" s="9" t="n">
        <x:v>14.45</x:v>
      </x:c>
      <x:c r="Q3228" s="7" t="n">
        <x:f>'Guide'!$B$5-L3228</x:f>
        <x:v>4</x:v>
      </x:c>
      <x:c r="R3228" s="9" t="n">
        <x:f>K3228-P3228</x:f>
        <x:v>9.55</x:v>
      </x:c>
      <x:c r="S3228" s="10" t="n">
        <x:f>IF(K3228&gt;0,R3228/K3228,"")</x:f>
        <x:v>0.3979166666666667</x:v>
      </x:c>
    </x:row>
    <x:row r="3229">
      <x:c r="A3229" s="7" t="n">
        <x:v>3225</x:v>
      </x:c>
      <x:c r="B3229" s="7" t="str">
        <x:v>Tata</x:v>
      </x:c>
      <x:c r="C3229" s="7" t="str">
        <x:v>Harrier</x:v>
      </x:c>
      <x:c r="D3229" s="7" t="str">
        <x:v>Fearless AT</x:v>
      </x:c>
      <x:c r="E3229" s="7" t="str">
        <x:v>Diesel</x:v>
      </x:c>
      <x:c r="F3229" s="7" t="str">
        <x:v>Automatic</x:v>
      </x:c>
      <x:c r="G3229" s="7" t="str">
        <x:v>Mid-Size SUV</x:v>
      </x:c>
      <x:c r="H3229" s="7" t="n">
        <x:v>1956</x:v>
      </x:c>
      <x:c r="I3229" s="7" t="n">
        <x:v>168</x:v>
      </x:c>
      <x:c r="J3229" s="9" t="n">
        <x:v>14.6</x:v>
      </x:c>
      <x:c r="K3229" s="9" t="n">
        <x:v>24</x:v>
      </x:c>
      <x:c r="L3229" s="7" t="n">
        <x:v>2026</x:v>
      </x:c>
      <x:c r="M3229" s="11" t="n">
        <x:v>6806</x:v>
      </x:c>
      <x:c r="N3229" s="7" t="n">
        <x:v>1</x:v>
      </x:c>
      <x:c r="O3229" s="7" t="n">
        <x:v>0</x:v>
      </x:c>
      <x:c r="P3229" s="9" t="n">
        <x:v>23.46</x:v>
      </x:c>
      <x:c r="Q3229" s="7" t="n">
        <x:f>'Guide'!$B$5-L3229</x:f>
        <x:v>0</x:v>
      </x:c>
      <x:c r="R3229" s="9" t="n">
        <x:f>K3229-P3229</x:f>
        <x:v>0.5399999999999991</x:v>
      </x:c>
      <x:c r="S3229" s="10" t="n">
        <x:f>IF(K3229&gt;0,R3229/K3229,"")</x:f>
        <x:v>0.022499999999999964</x:v>
      </x:c>
    </x:row>
    <x:row r="3230">
      <x:c r="A3230" s="7" t="n">
        <x:v>3226</x:v>
      </x:c>
      <x:c r="B3230" s="7" t="str">
        <x:v>Tata</x:v>
      </x:c>
      <x:c r="C3230" s="7" t="str">
        <x:v>Harrier</x:v>
      </x:c>
      <x:c r="D3230" s="7" t="str">
        <x:v>Fearless AT</x:v>
      </x:c>
      <x:c r="E3230" s="7" t="str">
        <x:v>Diesel</x:v>
      </x:c>
      <x:c r="F3230" s="7" t="str">
        <x:v>Automatic</x:v>
      </x:c>
      <x:c r="G3230" s="7" t="str">
        <x:v>Mid-Size SUV</x:v>
      </x:c>
      <x:c r="H3230" s="7" t="n">
        <x:v>1956</x:v>
      </x:c>
      <x:c r="I3230" s="7" t="n">
        <x:v>168</x:v>
      </x:c>
      <x:c r="J3230" s="9" t="n">
        <x:v>14.6</x:v>
      </x:c>
      <x:c r="K3230" s="9" t="n">
        <x:v>24</x:v>
      </x:c>
      <x:c r="L3230" s="7" t="n">
        <x:v>2022</x:v>
      </x:c>
      <x:c r="M3230" s="11" t="n">
        <x:v>44031</x:v>
      </x:c>
      <x:c r="N3230" s="7" t="n">
        <x:v>2</x:v>
      </x:c>
      <x:c r="O3230" s="7" t="n">
        <x:v>1</x:v>
      </x:c>
      <x:c r="P3230" s="9" t="n">
        <x:v>13.73</x:v>
      </x:c>
      <x:c r="Q3230" s="7" t="n">
        <x:f>'Guide'!$B$5-L3230</x:f>
        <x:v>4</x:v>
      </x:c>
      <x:c r="R3230" s="9" t="n">
        <x:f>K3230-P3230</x:f>
        <x:v>10.27</x:v>
      </x:c>
      <x:c r="S3230" s="10" t="n">
        <x:f>IF(K3230&gt;0,R3230/K3230,"")</x:f>
        <x:v>0.42791666666666667</x:v>
      </x:c>
    </x:row>
    <x:row r="3231">
      <x:c r="A3231" s="7" t="n">
        <x:v>3227</x:v>
      </x:c>
      <x:c r="B3231" s="7" t="str">
        <x:v>Tata</x:v>
      </x:c>
      <x:c r="C3231" s="7" t="str">
        <x:v>Harrier</x:v>
      </x:c>
      <x:c r="D3231" s="7" t="str">
        <x:v>Fearless AT</x:v>
      </x:c>
      <x:c r="E3231" s="7" t="str">
        <x:v>Diesel</x:v>
      </x:c>
      <x:c r="F3231" s="7" t="str">
        <x:v>Automatic</x:v>
      </x:c>
      <x:c r="G3231" s="7" t="str">
        <x:v>Mid-Size SUV</x:v>
      </x:c>
      <x:c r="H3231" s="7" t="n">
        <x:v>1956</x:v>
      </x:c>
      <x:c r="I3231" s="7" t="n">
        <x:v>168</x:v>
      </x:c>
      <x:c r="J3231" s="9" t="n">
        <x:v>14.6</x:v>
      </x:c>
      <x:c r="K3231" s="9" t="n">
        <x:v>24</x:v>
      </x:c>
      <x:c r="L3231" s="7" t="n">
        <x:v>2025</x:v>
      </x:c>
      <x:c r="M3231" s="11" t="n">
        <x:v>17374</x:v>
      </x:c>
      <x:c r="N3231" s="7" t="n">
        <x:v>1</x:v>
      </x:c>
      <x:c r="O3231" s="7" t="n">
        <x:v>0</x:v>
      </x:c>
      <x:c r="P3231" s="9" t="n">
        <x:v>21.85</x:v>
      </x:c>
      <x:c r="Q3231" s="7" t="n">
        <x:f>'Guide'!$B$5-L3231</x:f>
        <x:v>1</x:v>
      </x:c>
      <x:c r="R3231" s="9" t="n">
        <x:f>K3231-P3231</x:f>
        <x:v>2.1499999999999986</x:v>
      </x:c>
      <x:c r="S3231" s="10" t="n">
        <x:f>IF(K3231&gt;0,R3231/K3231,"")</x:f>
        <x:v>0.08958333333333328</x:v>
      </x:c>
    </x:row>
    <x:row r="3232">
      <x:c r="A3232" s="7" t="n">
        <x:v>3228</x:v>
      </x:c>
      <x:c r="B3232" s="7" t="str">
        <x:v>Tata</x:v>
      </x:c>
      <x:c r="C3232" s="7" t="str">
        <x:v>Harrier</x:v>
      </x:c>
      <x:c r="D3232" s="7" t="str">
        <x:v>Fearless AT</x:v>
      </x:c>
      <x:c r="E3232" s="7" t="str">
        <x:v>Diesel</x:v>
      </x:c>
      <x:c r="F3232" s="7" t="str">
        <x:v>Automatic</x:v>
      </x:c>
      <x:c r="G3232" s="7" t="str">
        <x:v>Mid-Size SUV</x:v>
      </x:c>
      <x:c r="H3232" s="7" t="n">
        <x:v>1956</x:v>
      </x:c>
      <x:c r="I3232" s="7" t="n">
        <x:v>168</x:v>
      </x:c>
      <x:c r="J3232" s="9" t="n">
        <x:v>14.6</x:v>
      </x:c>
      <x:c r="K3232" s="9" t="n">
        <x:v>24</x:v>
      </x:c>
      <x:c r="L3232" s="7" t="n">
        <x:v>2023</x:v>
      </x:c>
      <x:c r="M3232" s="11" t="n">
        <x:v>60494</x:v>
      </x:c>
      <x:c r="N3232" s="7" t="n">
        <x:v>1</x:v>
      </x:c>
      <x:c r="O3232" s="7" t="n">
        <x:v>1</x:v>
      </x:c>
      <x:c r="P3232" s="9" t="n">
        <x:v>15.74</x:v>
      </x:c>
      <x:c r="Q3232" s="7" t="n">
        <x:f>'Guide'!$B$5-L3232</x:f>
        <x:v>3</x:v>
      </x:c>
      <x:c r="R3232" s="9" t="n">
        <x:f>K3232-P3232</x:f>
        <x:v>8.26</x:v>
      </x:c>
      <x:c r="S3232" s="10" t="n">
        <x:f>IF(K3232&gt;0,R3232/K3232,"")</x:f>
        <x:v>0.3441666666666667</x:v>
      </x:c>
    </x:row>
    <x:row r="3233">
      <x:c r="A3233" s="7" t="n">
        <x:v>3229</x:v>
      </x:c>
      <x:c r="B3233" s="7" t="str">
        <x:v>Tata</x:v>
      </x:c>
      <x:c r="C3233" s="7" t="str">
        <x:v>Harrier</x:v>
      </x:c>
      <x:c r="D3233" s="7" t="str">
        <x:v>Fearless AT</x:v>
      </x:c>
      <x:c r="E3233" s="7" t="str">
        <x:v>Diesel</x:v>
      </x:c>
      <x:c r="F3233" s="7" t="str">
        <x:v>Automatic</x:v>
      </x:c>
      <x:c r="G3233" s="7" t="str">
        <x:v>Mid-Size SUV</x:v>
      </x:c>
      <x:c r="H3233" s="7" t="n">
        <x:v>1956</x:v>
      </x:c>
      <x:c r="I3233" s="7" t="n">
        <x:v>168</x:v>
      </x:c>
      <x:c r="J3233" s="9" t="n">
        <x:v>14.6</x:v>
      </x:c>
      <x:c r="K3233" s="9" t="n">
        <x:v>24</x:v>
      </x:c>
      <x:c r="L3233" s="7" t="n">
        <x:v>2026</x:v>
      </x:c>
      <x:c r="M3233" s="11" t="n">
        <x:v>4075</x:v>
      </x:c>
      <x:c r="N3233" s="7" t="n">
        <x:v>1</x:v>
      </x:c>
      <x:c r="O3233" s="7" t="n">
        <x:v>1</x:v>
      </x:c>
      <x:c r="P3233" s="9" t="n">
        <x:v>22.83</x:v>
      </x:c>
      <x:c r="Q3233" s="7" t="n">
        <x:f>'Guide'!$B$5-L3233</x:f>
        <x:v>0</x:v>
      </x:c>
      <x:c r="R3233" s="9" t="n">
        <x:f>K3233-P3233</x:f>
        <x:v>1.1700000000000017</x:v>
      </x:c>
      <x:c r="S3233" s="10" t="n">
        <x:f>IF(K3233&gt;0,R3233/K3233,"")</x:f>
        <x:v>0.04875000000000007</x:v>
      </x:c>
    </x:row>
    <x:row r="3234">
      <x:c r="A3234" s="7" t="n">
        <x:v>3230</x:v>
      </x:c>
      <x:c r="B3234" s="7" t="str">
        <x:v>Tata</x:v>
      </x:c>
      <x:c r="C3234" s="7" t="str">
        <x:v>Harrier</x:v>
      </x:c>
      <x:c r="D3234" s="7" t="str">
        <x:v>Fearless AT</x:v>
      </x:c>
      <x:c r="E3234" s="7" t="str">
        <x:v>Diesel</x:v>
      </x:c>
      <x:c r="F3234" s="7" t="str">
        <x:v>Automatic</x:v>
      </x:c>
      <x:c r="G3234" s="7" t="str">
        <x:v>Mid-Size SUV</x:v>
      </x:c>
      <x:c r="H3234" s="7" t="n">
        <x:v>1956</x:v>
      </x:c>
      <x:c r="I3234" s="7" t="n">
        <x:v>168</x:v>
      </x:c>
      <x:c r="J3234" s="9" t="n">
        <x:v>14.6</x:v>
      </x:c>
      <x:c r="K3234" s="9" t="n">
        <x:v>24</x:v>
      </x:c>
      <x:c r="L3234" s="7" t="n">
        <x:v>2025</x:v>
      </x:c>
      <x:c r="M3234" s="11" t="n">
        <x:v>16548</x:v>
      </x:c>
      <x:c r="N3234" s="7" t="n">
        <x:v>1</x:v>
      </x:c>
      <x:c r="O3234" s="7" t="n">
        <x:v>0</x:v>
      </x:c>
      <x:c r="P3234" s="9" t="n">
        <x:v>21.56</x:v>
      </x:c>
      <x:c r="Q3234" s="7" t="n">
        <x:f>'Guide'!$B$5-L3234</x:f>
        <x:v>1</x:v>
      </x:c>
      <x:c r="R3234" s="9" t="n">
        <x:f>K3234-P3234</x:f>
        <x:v>2.4400000000000013</x:v>
      </x:c>
      <x:c r="S3234" s="10" t="n">
        <x:f>IF(K3234&gt;0,R3234/K3234,"")</x:f>
        <x:v>0.10166666666666672</x:v>
      </x:c>
    </x:row>
    <x:row r="3235">
      <x:c r="A3235" s="7" t="n">
        <x:v>3231</x:v>
      </x:c>
      <x:c r="B3235" s="7" t="str">
        <x:v>Tata</x:v>
      </x:c>
      <x:c r="C3235" s="7" t="str">
        <x:v>Harrier</x:v>
      </x:c>
      <x:c r="D3235" s="7" t="str">
        <x:v>Fearless AT</x:v>
      </x:c>
      <x:c r="E3235" s="7" t="str">
        <x:v>Diesel</x:v>
      </x:c>
      <x:c r="F3235" s="7" t="str">
        <x:v>Automatic</x:v>
      </x:c>
      <x:c r="G3235" s="7" t="str">
        <x:v>Mid-Size SUV</x:v>
      </x:c>
      <x:c r="H3235" s="7" t="n">
        <x:v>1956</x:v>
      </x:c>
      <x:c r="I3235" s="7" t="n">
        <x:v>168</x:v>
      </x:c>
      <x:c r="J3235" s="9" t="n">
        <x:v>14.6</x:v>
      </x:c>
      <x:c r="K3235" s="9" t="n">
        <x:v>24</x:v>
      </x:c>
      <x:c r="L3235" s="7" t="n">
        <x:v>2025</x:v>
      </x:c>
      <x:c r="M3235" s="11" t="n">
        <x:v>19931</x:v>
      </x:c>
      <x:c r="N3235" s="7" t="n">
        <x:v>2</x:v>
      </x:c>
      <x:c r="O3235" s="7" t="n">
        <x:v>0</x:v>
      </x:c>
      <x:c r="P3235" s="9" t="n">
        <x:v>21.09</x:v>
      </x:c>
      <x:c r="Q3235" s="7" t="n">
        <x:f>'Guide'!$B$5-L3235</x:f>
        <x:v>1</x:v>
      </x:c>
      <x:c r="R3235" s="9" t="n">
        <x:f>K3235-P3235</x:f>
        <x:v>2.91</x:v>
      </x:c>
      <x:c r="S3235" s="10" t="n">
        <x:f>IF(K3235&gt;0,R3235/K3235,"")</x:f>
        <x:v>0.12125000000000001</x:v>
      </x:c>
    </x:row>
    <x:row r="3236">
      <x:c r="A3236" s="7" t="n">
        <x:v>3232</x:v>
      </x:c>
      <x:c r="B3236" s="7" t="str">
        <x:v>Tata</x:v>
      </x:c>
      <x:c r="C3236" s="7" t="str">
        <x:v>Harrier</x:v>
      </x:c>
      <x:c r="D3236" s="7" t="str">
        <x:v>Fearless AT</x:v>
      </x:c>
      <x:c r="E3236" s="7" t="str">
        <x:v>Diesel</x:v>
      </x:c>
      <x:c r="F3236" s="7" t="str">
        <x:v>Automatic</x:v>
      </x:c>
      <x:c r="G3236" s="7" t="str">
        <x:v>Mid-Size SUV</x:v>
      </x:c>
      <x:c r="H3236" s="7" t="n">
        <x:v>1956</x:v>
      </x:c>
      <x:c r="I3236" s="7" t="n">
        <x:v>168</x:v>
      </x:c>
      <x:c r="J3236" s="9" t="n">
        <x:v>14.6</x:v>
      </x:c>
      <x:c r="K3236" s="9" t="n">
        <x:v>24</x:v>
      </x:c>
      <x:c r="L3236" s="7" t="n">
        <x:v>2023</x:v>
      </x:c>
      <x:c r="M3236" s="11" t="n">
        <x:v>59011</x:v>
      </x:c>
      <x:c r="N3236" s="7" t="n">
        <x:v>1</x:v>
      </x:c>
      <x:c r="O3236" s="7" t="n">
        <x:v>0</x:v>
      </x:c>
      <x:c r="P3236" s="9" t="n">
        <x:v>16.94</x:v>
      </x:c>
      <x:c r="Q3236" s="7" t="n">
        <x:f>'Guide'!$B$5-L3236</x:f>
        <x:v>3</x:v>
      </x:c>
      <x:c r="R3236" s="9" t="n">
        <x:f>K3236-P3236</x:f>
        <x:v>7.059999999999999</x:v>
      </x:c>
      <x:c r="S3236" s="10" t="n">
        <x:f>IF(K3236&gt;0,R3236/K3236,"")</x:f>
        <x:v>0.29416666666666663</x:v>
      </x:c>
    </x:row>
    <x:row r="3237">
      <x:c r="A3237" s="7" t="n">
        <x:v>3233</x:v>
      </x:c>
      <x:c r="B3237" s="7" t="str">
        <x:v>Tata</x:v>
      </x:c>
      <x:c r="C3237" s="7" t="str">
        <x:v>Harrier</x:v>
      </x:c>
      <x:c r="D3237" s="7" t="str">
        <x:v>Fearless AT</x:v>
      </x:c>
      <x:c r="E3237" s="7" t="str">
        <x:v>Diesel</x:v>
      </x:c>
      <x:c r="F3237" s="7" t="str">
        <x:v>Automatic</x:v>
      </x:c>
      <x:c r="G3237" s="7" t="str">
        <x:v>Mid-Size SUV</x:v>
      </x:c>
      <x:c r="H3237" s="7" t="n">
        <x:v>1956</x:v>
      </x:c>
      <x:c r="I3237" s="7" t="n">
        <x:v>168</x:v>
      </x:c>
      <x:c r="J3237" s="9" t="n">
        <x:v>14.6</x:v>
      </x:c>
      <x:c r="K3237" s="9" t="n">
        <x:v>24</x:v>
      </x:c>
      <x:c r="L3237" s="7" t="n">
        <x:v>2025</x:v>
      </x:c>
      <x:c r="M3237" s="11" t="n">
        <x:v>25579</x:v>
      </x:c>
      <x:c r="N3237" s="7" t="n">
        <x:v>2</x:v>
      </x:c>
      <x:c r="O3237" s="7" t="n">
        <x:v>0</x:v>
      </x:c>
      <x:c r="P3237" s="9" t="n">
        <x:v>20.71</x:v>
      </x:c>
      <x:c r="Q3237" s="7" t="n">
        <x:f>'Guide'!$B$5-L3237</x:f>
        <x:v>1</x:v>
      </x:c>
      <x:c r="R3237" s="9" t="n">
        <x:f>K3237-P3237</x:f>
        <x:v>3.289999999999999</x:v>
      </x:c>
      <x:c r="S3237" s="10" t="n">
        <x:f>IF(K3237&gt;0,R3237/K3237,"")</x:f>
        <x:v>0.1370833333333333</x:v>
      </x:c>
    </x:row>
    <x:row r="3238">
      <x:c r="A3238" s="7" t="n">
        <x:v>3234</x:v>
      </x:c>
      <x:c r="B3238" s="7" t="str">
        <x:v>Tata</x:v>
      </x:c>
      <x:c r="C3238" s="7" t="str">
        <x:v>Harrier</x:v>
      </x:c>
      <x:c r="D3238" s="7" t="str">
        <x:v>Fearless AT</x:v>
      </x:c>
      <x:c r="E3238" s="7" t="str">
        <x:v>Diesel</x:v>
      </x:c>
      <x:c r="F3238" s="7" t="str">
        <x:v>Automatic</x:v>
      </x:c>
      <x:c r="G3238" s="7" t="str">
        <x:v>Mid-Size SUV</x:v>
      </x:c>
      <x:c r="H3238" s="7" t="n">
        <x:v>1956</x:v>
      </x:c>
      <x:c r="I3238" s="7" t="n">
        <x:v>168</x:v>
      </x:c>
      <x:c r="J3238" s="9" t="n">
        <x:v>14.6</x:v>
      </x:c>
      <x:c r="K3238" s="9" t="n">
        <x:v>24</x:v>
      </x:c>
      <x:c r="L3238" s="7" t="n">
        <x:v>2020</x:v>
      </x:c>
      <x:c r="M3238" s="11" t="n">
        <x:v>62105</x:v>
      </x:c>
      <x:c r="N3238" s="7" t="n">
        <x:v>1</x:v>
      </x:c>
      <x:c r="O3238" s="7" t="n">
        <x:v>0</x:v>
      </x:c>
      <x:c r="P3238" s="9" t="n">
        <x:v>10.65</x:v>
      </x:c>
      <x:c r="Q3238" s="7" t="n">
        <x:f>'Guide'!$B$5-L3238</x:f>
        <x:v>6</x:v>
      </x:c>
      <x:c r="R3238" s="9" t="n">
        <x:f>K3238-P3238</x:f>
        <x:v>13.35</x:v>
      </x:c>
      <x:c r="S3238" s="10" t="n">
        <x:f>IF(K3238&gt;0,R3238/K3238,"")</x:f>
        <x:v>0.55625</x:v>
      </x:c>
    </x:row>
    <x:row r="3239">
      <x:c r="A3239" s="7" t="n">
        <x:v>3235</x:v>
      </x:c>
      <x:c r="B3239" s="7" t="str">
        <x:v>Tata</x:v>
      </x:c>
      <x:c r="C3239" s="7" t="str">
        <x:v>Harrier</x:v>
      </x:c>
      <x:c r="D3239" s="7" t="str">
        <x:v>Fearless AT</x:v>
      </x:c>
      <x:c r="E3239" s="7" t="str">
        <x:v>Diesel</x:v>
      </x:c>
      <x:c r="F3239" s="7" t="str">
        <x:v>Automatic</x:v>
      </x:c>
      <x:c r="G3239" s="7" t="str">
        <x:v>Mid-Size SUV</x:v>
      </x:c>
      <x:c r="H3239" s="7" t="n">
        <x:v>1956</x:v>
      </x:c>
      <x:c r="I3239" s="7" t="n">
        <x:v>168</x:v>
      </x:c>
      <x:c r="J3239" s="9" t="n">
        <x:v>14.6</x:v>
      </x:c>
      <x:c r="K3239" s="9" t="n">
        <x:v>24</x:v>
      </x:c>
      <x:c r="L3239" s="7" t="n">
        <x:v>2023</x:v>
      </x:c>
      <x:c r="M3239" s="11" t="n">
        <x:v>40050</x:v>
      </x:c>
      <x:c r="N3239" s="7" t="n">
        <x:v>2</x:v>
      </x:c>
      <x:c r="O3239" s="7" t="n">
        <x:v>0</x:v>
      </x:c>
      <x:c r="P3239" s="9" t="n">
        <x:v>17.05</x:v>
      </x:c>
      <x:c r="Q3239" s="7" t="n">
        <x:f>'Guide'!$B$5-L3239</x:f>
        <x:v>3</x:v>
      </x:c>
      <x:c r="R3239" s="9" t="n">
        <x:f>K3239-P3239</x:f>
        <x:v>6.949999999999999</x:v>
      </x:c>
      <x:c r="S3239" s="10" t="n">
        <x:f>IF(K3239&gt;0,R3239/K3239,"")</x:f>
        <x:v>0.2895833333333333</x:v>
      </x:c>
    </x:row>
    <x:row r="3240">
      <x:c r="A3240" s="7" t="n">
        <x:v>3236</x:v>
      </x:c>
      <x:c r="B3240" s="7" t="str">
        <x:v>Tata</x:v>
      </x:c>
      <x:c r="C3240" s="7" t="str">
        <x:v>Harrier</x:v>
      </x:c>
      <x:c r="D3240" s="7" t="str">
        <x:v>Fearless AT</x:v>
      </x:c>
      <x:c r="E3240" s="7" t="str">
        <x:v>Diesel</x:v>
      </x:c>
      <x:c r="F3240" s="7" t="str">
        <x:v>Automatic</x:v>
      </x:c>
      <x:c r="G3240" s="7" t="str">
        <x:v>Mid-Size SUV</x:v>
      </x:c>
      <x:c r="H3240" s="7" t="n">
        <x:v>1956</x:v>
      </x:c>
      <x:c r="I3240" s="7" t="n">
        <x:v>168</x:v>
      </x:c>
      <x:c r="J3240" s="9" t="n">
        <x:v>14.6</x:v>
      </x:c>
      <x:c r="K3240" s="9" t="n">
        <x:v>24</x:v>
      </x:c>
      <x:c r="L3240" s="7" t="n">
        <x:v>2022</x:v>
      </x:c>
      <x:c r="M3240" s="11" t="n">
        <x:v>43319</x:v>
      </x:c>
      <x:c r="N3240" s="7" t="n">
        <x:v>1</x:v>
      </x:c>
      <x:c r="O3240" s="7" t="n">
        <x:v>0</x:v>
      </x:c>
      <x:c r="P3240" s="9" t="n">
        <x:v>15.1</x:v>
      </x:c>
      <x:c r="Q3240" s="7" t="n">
        <x:f>'Guide'!$B$5-L3240</x:f>
        <x:v>4</x:v>
      </x:c>
      <x:c r="R3240" s="9" t="n">
        <x:f>K3240-P3240</x:f>
        <x:v>8.9</x:v>
      </x:c>
      <x:c r="S3240" s="10" t="n">
        <x:f>IF(K3240&gt;0,R3240/K3240,"")</x:f>
        <x:v>0.37083333333333335</x:v>
      </x:c>
    </x:row>
    <x:row r="3241">
      <x:c r="A3241" s="7" t="n">
        <x:v>3237</x:v>
      </x:c>
      <x:c r="B3241" s="7" t="str">
        <x:v>Tata</x:v>
      </x:c>
      <x:c r="C3241" s="7" t="str">
        <x:v>Harrier</x:v>
      </x:c>
      <x:c r="D3241" s="7" t="str">
        <x:v>Fearless AT</x:v>
      </x:c>
      <x:c r="E3241" s="7" t="str">
        <x:v>Diesel</x:v>
      </x:c>
      <x:c r="F3241" s="7" t="str">
        <x:v>Automatic</x:v>
      </x:c>
      <x:c r="G3241" s="7" t="str">
        <x:v>Mid-Size SUV</x:v>
      </x:c>
      <x:c r="H3241" s="7" t="n">
        <x:v>1956</x:v>
      </x:c>
      <x:c r="I3241" s="7" t="n">
        <x:v>168</x:v>
      </x:c>
      <x:c r="J3241" s="9" t="n">
        <x:v>14.6</x:v>
      </x:c>
      <x:c r="K3241" s="9" t="n">
        <x:v>24</x:v>
      </x:c>
      <x:c r="L3241" s="7" t="n">
        <x:v>2022</x:v>
      </x:c>
      <x:c r="M3241" s="11" t="n">
        <x:v>42329</x:v>
      </x:c>
      <x:c r="N3241" s="7" t="n">
        <x:v>2</x:v>
      </x:c>
      <x:c r="O3241" s="7" t="n">
        <x:v>0</x:v>
      </x:c>
      <x:c r="P3241" s="9" t="n">
        <x:v>14.72</x:v>
      </x:c>
      <x:c r="Q3241" s="7" t="n">
        <x:f>'Guide'!$B$5-L3241</x:f>
        <x:v>4</x:v>
      </x:c>
      <x:c r="R3241" s="9" t="n">
        <x:f>K3241-P3241</x:f>
        <x:v>9.28</x:v>
      </x:c>
      <x:c r="S3241" s="10" t="n">
        <x:f>IF(K3241&gt;0,R3241/K3241,"")</x:f>
        <x:v>0.38666666666666666</x:v>
      </x:c>
    </x:row>
    <x:row r="3242">
      <x:c r="A3242" s="7" t="n">
        <x:v>3238</x:v>
      </x:c>
      <x:c r="B3242" s="7" t="str">
        <x:v>Tata</x:v>
      </x:c>
      <x:c r="C3242" s="7" t="str">
        <x:v>Harrier</x:v>
      </x:c>
      <x:c r="D3242" s="7" t="str">
        <x:v>Fearless AT</x:v>
      </x:c>
      <x:c r="E3242" s="7" t="str">
        <x:v>Diesel</x:v>
      </x:c>
      <x:c r="F3242" s="7" t="str">
        <x:v>Automatic</x:v>
      </x:c>
      <x:c r="G3242" s="7" t="str">
        <x:v>Mid-Size SUV</x:v>
      </x:c>
      <x:c r="H3242" s="7" t="n">
        <x:v>1956</x:v>
      </x:c>
      <x:c r="I3242" s="7" t="n">
        <x:v>168</x:v>
      </x:c>
      <x:c r="J3242" s="9" t="n">
        <x:v>14.6</x:v>
      </x:c>
      <x:c r="K3242" s="9" t="n">
        <x:v>24</x:v>
      </x:c>
      <x:c r="L3242" s="7" t="n">
        <x:v>2020</x:v>
      </x:c>
      <x:c r="M3242" s="11" t="n">
        <x:v>93735</x:v>
      </x:c>
      <x:c r="N3242" s="7" t="n">
        <x:v>1</x:v>
      </x:c>
      <x:c r="O3242" s="7" t="n">
        <x:v>0</x:v>
      </x:c>
      <x:c r="P3242" s="9" t="n">
        <x:v>10.17</x:v>
      </x:c>
      <x:c r="Q3242" s="7" t="n">
        <x:f>'Guide'!$B$5-L3242</x:f>
        <x:v>6</x:v>
      </x:c>
      <x:c r="R3242" s="9" t="n">
        <x:f>K3242-P3242</x:f>
        <x:v>13.83</x:v>
      </x:c>
      <x:c r="S3242" s="10" t="n">
        <x:f>IF(K3242&gt;0,R3242/K3242,"")</x:f>
        <x:v>0.57625</x:v>
      </x:c>
    </x:row>
    <x:row r="3243">
      <x:c r="A3243" s="7" t="n">
        <x:v>3239</x:v>
      </x:c>
      <x:c r="B3243" s="7" t="str">
        <x:v>Tata</x:v>
      </x:c>
      <x:c r="C3243" s="7" t="str">
        <x:v>Harrier</x:v>
      </x:c>
      <x:c r="D3243" s="7" t="str">
        <x:v>Fearless AT</x:v>
      </x:c>
      <x:c r="E3243" s="7" t="str">
        <x:v>Diesel</x:v>
      </x:c>
      <x:c r="F3243" s="7" t="str">
        <x:v>Automatic</x:v>
      </x:c>
      <x:c r="G3243" s="7" t="str">
        <x:v>Mid-Size SUV</x:v>
      </x:c>
      <x:c r="H3243" s="7" t="n">
        <x:v>1956</x:v>
      </x:c>
      <x:c r="I3243" s="7" t="n">
        <x:v>168</x:v>
      </x:c>
      <x:c r="J3243" s="9" t="n">
        <x:v>14.6</x:v>
      </x:c>
      <x:c r="K3243" s="9" t="n">
        <x:v>24</x:v>
      </x:c>
      <x:c r="L3243" s="7" t="n">
        <x:v>2026</x:v>
      </x:c>
      <x:c r="M3243" s="11" t="n">
        <x:v>8861</x:v>
      </x:c>
      <x:c r="N3243" s="7" t="n">
        <x:v>1</x:v>
      </x:c>
      <x:c r="O3243" s="7" t="n">
        <x:v>0</x:v>
      </x:c>
      <x:c r="P3243" s="9" t="n">
        <x:v>24.01</x:v>
      </x:c>
      <x:c r="Q3243" s="7" t="n">
        <x:f>'Guide'!$B$5-L3243</x:f>
        <x:v>0</x:v>
      </x:c>
      <x:c r="R3243" s="9" t="n">
        <x:f>K3243-P3243</x:f>
        <x:v>-0.010000000000001563</x:v>
      </x:c>
      <x:c r="S3243" s="10" t="n">
        <x:f>IF(K3243&gt;0,R3243/K3243,"")</x:f>
        <x:v>-0.0004166666666667318</x:v>
      </x:c>
    </x:row>
    <x:row r="3244">
      <x:c r="A3244" s="7" t="n">
        <x:v>3240</x:v>
      </x:c>
      <x:c r="B3244" s="7" t="str">
        <x:v>Tata</x:v>
      </x:c>
      <x:c r="C3244" s="7" t="str">
        <x:v>Harrier</x:v>
      </x:c>
      <x:c r="D3244" s="7" t="str">
        <x:v>Fearless AT</x:v>
      </x:c>
      <x:c r="E3244" s="7" t="str">
        <x:v>Diesel</x:v>
      </x:c>
      <x:c r="F3244" s="7" t="str">
        <x:v>Automatic</x:v>
      </x:c>
      <x:c r="G3244" s="7" t="str">
        <x:v>Mid-Size SUV</x:v>
      </x:c>
      <x:c r="H3244" s="7" t="n">
        <x:v>1956</x:v>
      </x:c>
      <x:c r="I3244" s="7" t="n">
        <x:v>168</x:v>
      </x:c>
      <x:c r="J3244" s="9" t="n">
        <x:v>14.6</x:v>
      </x:c>
      <x:c r="K3244" s="9" t="n">
        <x:v>24</x:v>
      </x:c>
      <x:c r="L3244" s="7" t="n">
        <x:v>2021</x:v>
      </x:c>
      <x:c r="M3244" s="11" t="n">
        <x:v>107689</x:v>
      </x:c>
      <x:c r="N3244" s="7" t="n">
        <x:v>1</x:v>
      </x:c>
      <x:c r="O3244" s="7" t="n">
        <x:v>0</x:v>
      </x:c>
      <x:c r="P3244" s="9" t="n">
        <x:v>11.63</x:v>
      </x:c>
      <x:c r="Q3244" s="7" t="n">
        <x:f>'Guide'!$B$5-L3244</x:f>
        <x:v>5</x:v>
      </x:c>
      <x:c r="R3244" s="9" t="n">
        <x:f>K3244-P3244</x:f>
        <x:v>12.37</x:v>
      </x:c>
      <x:c r="S3244" s="10" t="n">
        <x:f>IF(K3244&gt;0,R3244/K3244,"")</x:f>
        <x:v>0.5154166666666666</x:v>
      </x:c>
    </x:row>
    <x:row r="3245">
      <x:c r="A3245" s="7" t="n">
        <x:v>3241</x:v>
      </x:c>
      <x:c r="B3245" s="7" t="str">
        <x:v>Tata</x:v>
      </x:c>
      <x:c r="C3245" s="7" t="str">
        <x:v>Harrier</x:v>
      </x:c>
      <x:c r="D3245" s="7" t="str">
        <x:v>Fearless AT</x:v>
      </x:c>
      <x:c r="E3245" s="7" t="str">
        <x:v>Diesel</x:v>
      </x:c>
      <x:c r="F3245" s="7" t="str">
        <x:v>Automatic</x:v>
      </x:c>
      <x:c r="G3245" s="7" t="str">
        <x:v>Mid-Size SUV</x:v>
      </x:c>
      <x:c r="H3245" s="7" t="n">
        <x:v>1956</x:v>
      </x:c>
      <x:c r="I3245" s="7" t="n">
        <x:v>168</x:v>
      </x:c>
      <x:c r="J3245" s="9" t="n">
        <x:v>14.6</x:v>
      </x:c>
      <x:c r="K3245" s="9" t="n">
        <x:v>24</x:v>
      </x:c>
      <x:c r="L3245" s="7" t="n">
        <x:v>2023</x:v>
      </x:c>
      <x:c r="M3245" s="11" t="n">
        <x:v>33410</x:v>
      </x:c>
      <x:c r="N3245" s="7" t="n">
        <x:v>1</x:v>
      </x:c>
      <x:c r="O3245" s="7" t="n">
        <x:v>0</x:v>
      </x:c>
      <x:c r="P3245" s="9" t="n">
        <x:v>17.05</x:v>
      </x:c>
      <x:c r="Q3245" s="7" t="n">
        <x:f>'Guide'!$B$5-L3245</x:f>
        <x:v>3</x:v>
      </x:c>
      <x:c r="R3245" s="9" t="n">
        <x:f>K3245-P3245</x:f>
        <x:v>6.949999999999999</x:v>
      </x:c>
      <x:c r="S3245" s="10" t="n">
        <x:f>IF(K3245&gt;0,R3245/K3245,"")</x:f>
        <x:v>0.2895833333333333</x:v>
      </x:c>
    </x:row>
    <x:row r="3246">
      <x:c r="A3246" s="7" t="n">
        <x:v>3242</x:v>
      </x:c>
      <x:c r="B3246" s="7" t="str">
        <x:v>Tata</x:v>
      </x:c>
      <x:c r="C3246" s="7" t="str">
        <x:v>Harrier</x:v>
      </x:c>
      <x:c r="D3246" s="7" t="str">
        <x:v>Fearless AT</x:v>
      </x:c>
      <x:c r="E3246" s="7" t="str">
        <x:v>Diesel</x:v>
      </x:c>
      <x:c r="F3246" s="7" t="str">
        <x:v>Automatic</x:v>
      </x:c>
      <x:c r="G3246" s="7" t="str">
        <x:v>Mid-Size SUV</x:v>
      </x:c>
      <x:c r="H3246" s="7" t="n">
        <x:v>1956</x:v>
      </x:c>
      <x:c r="I3246" s="7" t="n">
        <x:v>168</x:v>
      </x:c>
      <x:c r="J3246" s="9" t="n">
        <x:v>14.6</x:v>
      </x:c>
      <x:c r="K3246" s="9" t="n">
        <x:v>24</x:v>
      </x:c>
      <x:c r="L3246" s="7" t="n">
        <x:v>2026</x:v>
      </x:c>
      <x:c r="M3246" s="11" t="n">
        <x:v>5050</x:v>
      </x:c>
      <x:c r="N3246" s="7" t="n">
        <x:v>2</x:v>
      </x:c>
      <x:c r="O3246" s="7" t="n">
        <x:v>0</x:v>
      </x:c>
      <x:c r="P3246" s="9" t="n">
        <x:v>23.67</x:v>
      </x:c>
      <x:c r="Q3246" s="7" t="n">
        <x:f>'Guide'!$B$5-L3246</x:f>
        <x:v>0</x:v>
      </x:c>
      <x:c r="R3246" s="9" t="n">
        <x:f>K3246-P3246</x:f>
        <x:v>0.3299999999999983</x:v>
      </x:c>
      <x:c r="S3246" s="10" t="n">
        <x:f>IF(K3246&gt;0,R3246/K3246,"")</x:f>
        <x:v>0.013749999999999929</x:v>
      </x:c>
    </x:row>
    <x:row r="3247">
      <x:c r="A3247" s="7" t="n">
        <x:v>3243</x:v>
      </x:c>
      <x:c r="B3247" s="7" t="str">
        <x:v>Tata</x:v>
      </x:c>
      <x:c r="C3247" s="7" t="str">
        <x:v>Harrier</x:v>
      </x:c>
      <x:c r="D3247" s="7" t="str">
        <x:v>Fearless AT</x:v>
      </x:c>
      <x:c r="E3247" s="7" t="str">
        <x:v>Diesel</x:v>
      </x:c>
      <x:c r="F3247" s="7" t="str">
        <x:v>Automatic</x:v>
      </x:c>
      <x:c r="G3247" s="7" t="str">
        <x:v>Mid-Size SUV</x:v>
      </x:c>
      <x:c r="H3247" s="7" t="n">
        <x:v>1956</x:v>
      </x:c>
      <x:c r="I3247" s="7" t="n">
        <x:v>168</x:v>
      </x:c>
      <x:c r="J3247" s="9" t="n">
        <x:v>14.6</x:v>
      </x:c>
      <x:c r="K3247" s="9" t="n">
        <x:v>24</x:v>
      </x:c>
      <x:c r="L3247" s="7" t="n">
        <x:v>2022</x:v>
      </x:c>
      <x:c r="M3247" s="11" t="n">
        <x:v>65367</x:v>
      </x:c>
      <x:c r="N3247" s="7" t="n">
        <x:v>3</x:v>
      </x:c>
      <x:c r="O3247" s="7" t="n">
        <x:v>0</x:v>
      </x:c>
      <x:c r="P3247" s="9" t="n">
        <x:v>13.74</x:v>
      </x:c>
      <x:c r="Q3247" s="7" t="n">
        <x:f>'Guide'!$B$5-L3247</x:f>
        <x:v>4</x:v>
      </x:c>
      <x:c r="R3247" s="9" t="n">
        <x:f>K3247-P3247</x:f>
        <x:v>10.26</x:v>
      </x:c>
      <x:c r="S3247" s="10" t="n">
        <x:f>IF(K3247&gt;0,R3247/K3247,"")</x:f>
        <x:v>0.4275</x:v>
      </x:c>
    </x:row>
    <x:row r="3248">
      <x:c r="A3248" s="7" t="n">
        <x:v>3244</x:v>
      </x:c>
      <x:c r="B3248" s="7" t="str">
        <x:v>Tata</x:v>
      </x:c>
      <x:c r="C3248" s="7" t="str">
        <x:v>Harrier</x:v>
      </x:c>
      <x:c r="D3248" s="7" t="str">
        <x:v>Fearless AT</x:v>
      </x:c>
      <x:c r="E3248" s="7" t="str">
        <x:v>Diesel</x:v>
      </x:c>
      <x:c r="F3248" s="7" t="str">
        <x:v>Automatic</x:v>
      </x:c>
      <x:c r="G3248" s="7" t="str">
        <x:v>Mid-Size SUV</x:v>
      </x:c>
      <x:c r="H3248" s="7" t="n">
        <x:v>1956</x:v>
      </x:c>
      <x:c r="I3248" s="7" t="n">
        <x:v>168</x:v>
      </x:c>
      <x:c r="J3248" s="9" t="n">
        <x:v>14.6</x:v>
      </x:c>
      <x:c r="K3248" s="9" t="n">
        <x:v>24</x:v>
      </x:c>
      <x:c r="L3248" s="7" t="n">
        <x:v>2021</x:v>
      </x:c>
      <x:c r="M3248" s="11" t="n">
        <x:v>85159</x:v>
      </x:c>
      <x:c r="N3248" s="7" t="n">
        <x:v>2</x:v>
      </x:c>
      <x:c r="O3248" s="7" t="n">
        <x:v>0</x:v>
      </x:c>
      <x:c r="P3248" s="9" t="n">
        <x:v>11.73</x:v>
      </x:c>
      <x:c r="Q3248" s="7" t="n">
        <x:f>'Guide'!$B$5-L3248</x:f>
        <x:v>5</x:v>
      </x:c>
      <x:c r="R3248" s="9" t="n">
        <x:f>K3248-P3248</x:f>
        <x:v>12.27</x:v>
      </x:c>
      <x:c r="S3248" s="10" t="n">
        <x:f>IF(K3248&gt;0,R3248/K3248,"")</x:f>
        <x:v>0.51125</x:v>
      </x:c>
    </x:row>
    <x:row r="3249">
      <x:c r="A3249" s="7" t="n">
        <x:v>3245</x:v>
      </x:c>
      <x:c r="B3249" s="7" t="str">
        <x:v>Tata</x:v>
      </x:c>
      <x:c r="C3249" s="7" t="str">
        <x:v>Harrier</x:v>
      </x:c>
      <x:c r="D3249" s="7" t="str">
        <x:v>Fearless AT</x:v>
      </x:c>
      <x:c r="E3249" s="7" t="str">
        <x:v>Diesel</x:v>
      </x:c>
      <x:c r="F3249" s="7" t="str">
        <x:v>Automatic</x:v>
      </x:c>
      <x:c r="G3249" s="7" t="str">
        <x:v>Mid-Size SUV</x:v>
      </x:c>
      <x:c r="H3249" s="7" t="n">
        <x:v>1956</x:v>
      </x:c>
      <x:c r="I3249" s="7" t="n">
        <x:v>168</x:v>
      </x:c>
      <x:c r="J3249" s="9" t="n">
        <x:v>14.6</x:v>
      </x:c>
      <x:c r="K3249" s="9" t="n">
        <x:v>24</x:v>
      </x:c>
      <x:c r="L3249" s="7" t="n">
        <x:v>2023</x:v>
      </x:c>
      <x:c r="M3249" s="11" t="n">
        <x:v>37983</x:v>
      </x:c>
      <x:c r="N3249" s="7" t="n">
        <x:v>2</x:v>
      </x:c>
      <x:c r="O3249" s="7" t="n">
        <x:v>0</x:v>
      </x:c>
      <x:c r="P3249" s="9" t="n">
        <x:v>16.43</x:v>
      </x:c>
      <x:c r="Q3249" s="7" t="n">
        <x:f>'Guide'!$B$5-L3249</x:f>
        <x:v>3</x:v>
      </x:c>
      <x:c r="R3249" s="9" t="n">
        <x:f>K3249-P3249</x:f>
        <x:v>7.57</x:v>
      </x:c>
      <x:c r="S3249" s="10" t="n">
        <x:f>IF(K3249&gt;0,R3249/K3249,"")</x:f>
        <x:v>0.3154166666666667</x:v>
      </x:c>
    </x:row>
    <x:row r="3250">
      <x:c r="A3250" s="7" t="n">
        <x:v>3246</x:v>
      </x:c>
      <x:c r="B3250" s="7" t="str">
        <x:v>Tata</x:v>
      </x:c>
      <x:c r="C3250" s="7" t="str">
        <x:v>Harrier</x:v>
      </x:c>
      <x:c r="D3250" s="7" t="str">
        <x:v>Fearless AT</x:v>
      </x:c>
      <x:c r="E3250" s="7" t="str">
        <x:v>Diesel</x:v>
      </x:c>
      <x:c r="F3250" s="7" t="str">
        <x:v>Automatic</x:v>
      </x:c>
      <x:c r="G3250" s="7" t="str">
        <x:v>Mid-Size SUV</x:v>
      </x:c>
      <x:c r="H3250" s="7" t="n">
        <x:v>1956</x:v>
      </x:c>
      <x:c r="I3250" s="7" t="n">
        <x:v>168</x:v>
      </x:c>
      <x:c r="J3250" s="9" t="n">
        <x:v>14.6</x:v>
      </x:c>
      <x:c r="K3250" s="9" t="n">
        <x:v>24</x:v>
      </x:c>
      <x:c r="L3250" s="7" t="n">
        <x:v>2020</x:v>
      </x:c>
      <x:c r="M3250" s="11" t="n">
        <x:v>106921</x:v>
      </x:c>
      <x:c r="N3250" s="7" t="n">
        <x:v>1</x:v>
      </x:c>
      <x:c r="O3250" s="7" t="n">
        <x:v>0</x:v>
      </x:c>
      <x:c r="P3250" s="9" t="n">
        <x:v>9.29</x:v>
      </x:c>
      <x:c r="Q3250" s="7" t="n">
        <x:f>'Guide'!$B$5-L3250</x:f>
        <x:v>6</x:v>
      </x:c>
      <x:c r="R3250" s="9" t="n">
        <x:f>K3250-P3250</x:f>
        <x:v>14.71</x:v>
      </x:c>
      <x:c r="S3250" s="10" t="n">
        <x:f>IF(K3250&gt;0,R3250/K3250,"")</x:f>
        <x:v>0.6129166666666667</x:v>
      </x:c>
    </x:row>
    <x:row r="3251">
      <x:c r="A3251" s="7" t="n">
        <x:v>3247</x:v>
      </x:c>
      <x:c r="B3251" s="7" t="str">
        <x:v>Tata</x:v>
      </x:c>
      <x:c r="C3251" s="7" t="str">
        <x:v>Harrier</x:v>
      </x:c>
      <x:c r="D3251" s="7" t="str">
        <x:v>Fearless AT</x:v>
      </x:c>
      <x:c r="E3251" s="7" t="str">
        <x:v>Diesel</x:v>
      </x:c>
      <x:c r="F3251" s="7" t="str">
        <x:v>Automatic</x:v>
      </x:c>
      <x:c r="G3251" s="7" t="str">
        <x:v>Mid-Size SUV</x:v>
      </x:c>
      <x:c r="H3251" s="7" t="n">
        <x:v>1956</x:v>
      </x:c>
      <x:c r="I3251" s="7" t="n">
        <x:v>168</x:v>
      </x:c>
      <x:c r="J3251" s="9" t="n">
        <x:v>14.6</x:v>
      </x:c>
      <x:c r="K3251" s="9" t="n">
        <x:v>24</x:v>
      </x:c>
      <x:c r="L3251" s="7" t="n">
        <x:v>2021</x:v>
      </x:c>
      <x:c r="M3251" s="11" t="n">
        <x:v>55440</x:v>
      </x:c>
      <x:c r="N3251" s="7" t="n">
        <x:v>2</x:v>
      </x:c>
      <x:c r="O3251" s="7" t="n">
        <x:v>0</x:v>
      </x:c>
      <x:c r="P3251" s="9" t="n">
        <x:v>12.12</x:v>
      </x:c>
      <x:c r="Q3251" s="7" t="n">
        <x:f>'Guide'!$B$5-L3251</x:f>
        <x:v>5</x:v>
      </x:c>
      <x:c r="R3251" s="9" t="n">
        <x:f>K3251-P3251</x:f>
        <x:v>11.88</x:v>
      </x:c>
      <x:c r="S3251" s="10" t="n">
        <x:f>IF(K3251&gt;0,R3251/K3251,"")</x:f>
        <x:v>0.49500000000000005</x:v>
      </x:c>
    </x:row>
    <x:row r="3252">
      <x:c r="A3252" s="7" t="n">
        <x:v>3248</x:v>
      </x:c>
      <x:c r="B3252" s="7" t="str">
        <x:v>Tata</x:v>
      </x:c>
      <x:c r="C3252" s="7" t="str">
        <x:v>Harrier</x:v>
      </x:c>
      <x:c r="D3252" s="7" t="str">
        <x:v>Fearless AT</x:v>
      </x:c>
      <x:c r="E3252" s="7" t="str">
        <x:v>Diesel</x:v>
      </x:c>
      <x:c r="F3252" s="7" t="str">
        <x:v>Automatic</x:v>
      </x:c>
      <x:c r="G3252" s="7" t="str">
        <x:v>Mid-Size SUV</x:v>
      </x:c>
      <x:c r="H3252" s="7" t="n">
        <x:v>1956</x:v>
      </x:c>
      <x:c r="I3252" s="7" t="n">
        <x:v>168</x:v>
      </x:c>
      <x:c r="J3252" s="9" t="n">
        <x:v>14.6</x:v>
      </x:c>
      <x:c r="K3252" s="9" t="n">
        <x:v>24</x:v>
      </x:c>
      <x:c r="L3252" s="7" t="n">
        <x:v>2020</x:v>
      </x:c>
      <x:c r="M3252" s="11" t="n">
        <x:v>97088</x:v>
      </x:c>
      <x:c r="N3252" s="7" t="n">
        <x:v>1</x:v>
      </x:c>
      <x:c r="O3252" s="7" t="n">
        <x:v>0</x:v>
      </x:c>
      <x:c r="P3252" s="9" t="n">
        <x:v>9.39</x:v>
      </x:c>
      <x:c r="Q3252" s="7" t="n">
        <x:f>'Guide'!$B$5-L3252</x:f>
        <x:v>6</x:v>
      </x:c>
      <x:c r="R3252" s="9" t="n">
        <x:f>K3252-P3252</x:f>
        <x:v>14.61</x:v>
      </x:c>
      <x:c r="S3252" s="10" t="n">
        <x:f>IF(K3252&gt;0,R3252/K3252,"")</x:f>
        <x:v>0.60875</x:v>
      </x:c>
    </x:row>
    <x:row r="3253">
      <x:c r="A3253" s="7" t="n">
        <x:v>3249</x:v>
      </x:c>
      <x:c r="B3253" s="7" t="str">
        <x:v>Tata</x:v>
      </x:c>
      <x:c r="C3253" s="7" t="str">
        <x:v>Harrier</x:v>
      </x:c>
      <x:c r="D3253" s="7" t="str">
        <x:v>Fearless AT</x:v>
      </x:c>
      <x:c r="E3253" s="7" t="str">
        <x:v>Diesel</x:v>
      </x:c>
      <x:c r="F3253" s="7" t="str">
        <x:v>Automatic</x:v>
      </x:c>
      <x:c r="G3253" s="7" t="str">
        <x:v>Mid-Size SUV</x:v>
      </x:c>
      <x:c r="H3253" s="7" t="n">
        <x:v>1956</x:v>
      </x:c>
      <x:c r="I3253" s="7" t="n">
        <x:v>168</x:v>
      </x:c>
      <x:c r="J3253" s="9" t="n">
        <x:v>14.6</x:v>
      </x:c>
      <x:c r="K3253" s="9" t="n">
        <x:v>24</x:v>
      </x:c>
      <x:c r="L3253" s="7" t="n">
        <x:v>2025</x:v>
      </x:c>
      <x:c r="M3253" s="11" t="n">
        <x:v>18018</x:v>
      </x:c>
      <x:c r="N3253" s="7" t="n">
        <x:v>2</x:v>
      </x:c>
      <x:c r="O3253" s="7" t="n">
        <x:v>0</x:v>
      </x:c>
      <x:c r="P3253" s="9" t="n">
        <x:v>21.3</x:v>
      </x:c>
      <x:c r="Q3253" s="7" t="n">
        <x:f>'Guide'!$B$5-L3253</x:f>
        <x:v>1</x:v>
      </x:c>
      <x:c r="R3253" s="9" t="n">
        <x:f>K3253-P3253</x:f>
        <x:v>2.6999999999999993</x:v>
      </x:c>
      <x:c r="S3253" s="10" t="n">
        <x:f>IF(K3253&gt;0,R3253/K3253,"")</x:f>
        <x:v>0.11249999999999998</x:v>
      </x:c>
    </x:row>
    <x:row r="3254">
      <x:c r="A3254" s="7" t="n">
        <x:v>3250</x:v>
      </x:c>
      <x:c r="B3254" s="7" t="str">
        <x:v>Tata</x:v>
      </x:c>
      <x:c r="C3254" s="7" t="str">
        <x:v>Harrier</x:v>
      </x:c>
      <x:c r="D3254" s="7" t="str">
        <x:v>Fearless AT</x:v>
      </x:c>
      <x:c r="E3254" s="7" t="str">
        <x:v>Diesel</x:v>
      </x:c>
      <x:c r="F3254" s="7" t="str">
        <x:v>Automatic</x:v>
      </x:c>
      <x:c r="G3254" s="7" t="str">
        <x:v>Mid-Size SUV</x:v>
      </x:c>
      <x:c r="H3254" s="7" t="n">
        <x:v>1956</x:v>
      </x:c>
      <x:c r="I3254" s="7" t="n">
        <x:v>168</x:v>
      </x:c>
      <x:c r="J3254" s="9" t="n">
        <x:v>14.6</x:v>
      </x:c>
      <x:c r="K3254" s="9" t="n">
        <x:v>24</x:v>
      </x:c>
      <x:c r="L3254" s="7" t="n">
        <x:v>2025</x:v>
      </x:c>
      <x:c r="M3254" s="11" t="n">
        <x:v>22130</x:v>
      </x:c>
      <x:c r="N3254" s="7" t="n">
        <x:v>1</x:v>
      </x:c>
      <x:c r="O3254" s="7" t="n">
        <x:v>0</x:v>
      </x:c>
      <x:c r="P3254" s="9" t="n">
        <x:v>21.64</x:v>
      </x:c>
      <x:c r="Q3254" s="7" t="n">
        <x:f>'Guide'!$B$5-L3254</x:f>
        <x:v>1</x:v>
      </x:c>
      <x:c r="R3254" s="9" t="n">
        <x:f>K3254-P3254</x:f>
        <x:v>2.3599999999999994</x:v>
      </x:c>
      <x:c r="S3254" s="10" t="n">
        <x:f>IF(K3254&gt;0,R3254/K3254,"")</x:f>
        <x:v>0.09833333333333331</x:v>
      </x:c>
    </x:row>
    <x:row r="3255">
      <x:c r="A3255" s="7" t="n">
        <x:v>3251</x:v>
      </x:c>
      <x:c r="B3255" s="7" t="str">
        <x:v>Tata</x:v>
      </x:c>
      <x:c r="C3255" s="7" t="str">
        <x:v>Harrier</x:v>
      </x:c>
      <x:c r="D3255" s="7" t="str">
        <x:v>Fearless AT</x:v>
      </x:c>
      <x:c r="E3255" s="7" t="str">
        <x:v>Diesel</x:v>
      </x:c>
      <x:c r="F3255" s="7" t="str">
        <x:v>Automatic</x:v>
      </x:c>
      <x:c r="G3255" s="7" t="str">
        <x:v>Mid-Size SUV</x:v>
      </x:c>
      <x:c r="H3255" s="7" t="n">
        <x:v>1956</x:v>
      </x:c>
      <x:c r="I3255" s="7" t="n">
        <x:v>168</x:v>
      </x:c>
      <x:c r="J3255" s="9" t="n">
        <x:v>14.6</x:v>
      </x:c>
      <x:c r="K3255" s="9" t="n">
        <x:v>24</x:v>
      </x:c>
      <x:c r="L3255" s="7" t="n">
        <x:v>2023</x:v>
      </x:c>
      <x:c r="M3255" s="11" t="n">
        <x:v>44488</x:v>
      </x:c>
      <x:c r="N3255" s="7" t="n">
        <x:v>1</x:v>
      </x:c>
      <x:c r="O3255" s="7" t="n">
        <x:v>0</x:v>
      </x:c>
      <x:c r="P3255" s="9" t="n">
        <x:v>16.76</x:v>
      </x:c>
      <x:c r="Q3255" s="7" t="n">
        <x:f>'Guide'!$B$5-L3255</x:f>
        <x:v>3</x:v>
      </x:c>
      <x:c r="R3255" s="9" t="n">
        <x:f>K3255-P3255</x:f>
        <x:v>7.239999999999998</x:v>
      </x:c>
      <x:c r="S3255" s="10" t="n">
        <x:f>IF(K3255&gt;0,R3255/K3255,"")</x:f>
        <x:v>0.3016666666666666</x:v>
      </x:c>
    </x:row>
    <x:row r="3256">
      <x:c r="A3256" s="7" t="n">
        <x:v>3252</x:v>
      </x:c>
      <x:c r="B3256" s="7" t="str">
        <x:v>Tata</x:v>
      </x:c>
      <x:c r="C3256" s="7" t="str">
        <x:v>Harrier</x:v>
      </x:c>
      <x:c r="D3256" s="7" t="str">
        <x:v>Fearless AT</x:v>
      </x:c>
      <x:c r="E3256" s="7" t="str">
        <x:v>Diesel</x:v>
      </x:c>
      <x:c r="F3256" s="7" t="str">
        <x:v>Automatic</x:v>
      </x:c>
      <x:c r="G3256" s="7" t="str">
        <x:v>Mid-Size SUV</x:v>
      </x:c>
      <x:c r="H3256" s="7" t="n">
        <x:v>1956</x:v>
      </x:c>
      <x:c r="I3256" s="7" t="n">
        <x:v>168</x:v>
      </x:c>
      <x:c r="J3256" s="9" t="n">
        <x:v>14.6</x:v>
      </x:c>
      <x:c r="K3256" s="9" t="n">
        <x:v>24</x:v>
      </x:c>
      <x:c r="L3256" s="7" t="n">
        <x:v>2020</x:v>
      </x:c>
      <x:c r="M3256" s="11" t="n">
        <x:v>57100</x:v>
      </x:c>
      <x:c r="N3256" s="7" t="n">
        <x:v>1</x:v>
      </x:c>
      <x:c r="O3256" s="7" t="n">
        <x:v>0</x:v>
      </x:c>
      <x:c r="P3256" s="9" t="n">
        <x:v>10.9</x:v>
      </x:c>
      <x:c r="Q3256" s="7" t="n">
        <x:f>'Guide'!$B$5-L3256</x:f>
        <x:v>6</x:v>
      </x:c>
      <x:c r="R3256" s="9" t="n">
        <x:f>K3256-P3256</x:f>
        <x:v>13.1</x:v>
      </x:c>
      <x:c r="S3256" s="10" t="n">
        <x:f>IF(K3256&gt;0,R3256/K3256,"")</x:f>
        <x:v>0.5458333333333333</x:v>
      </x:c>
    </x:row>
    <x:row r="3257">
      <x:c r="A3257" s="7" t="n">
        <x:v>3253</x:v>
      </x:c>
      <x:c r="B3257" s="7" t="str">
        <x:v>Tata</x:v>
      </x:c>
      <x:c r="C3257" s="7" t="str">
        <x:v>Harrier</x:v>
      </x:c>
      <x:c r="D3257" s="7" t="str">
        <x:v>Fearless AT</x:v>
      </x:c>
      <x:c r="E3257" s="7" t="str">
        <x:v>Diesel</x:v>
      </x:c>
      <x:c r="F3257" s="7" t="str">
        <x:v>Automatic</x:v>
      </x:c>
      <x:c r="G3257" s="7" t="str">
        <x:v>Mid-Size SUV</x:v>
      </x:c>
      <x:c r="H3257" s="7" t="n">
        <x:v>1956</x:v>
      </x:c>
      <x:c r="I3257" s="7" t="n">
        <x:v>168</x:v>
      </x:c>
      <x:c r="J3257" s="9" t="n">
        <x:v>14.6</x:v>
      </x:c>
      <x:c r="K3257" s="9" t="n">
        <x:v>24</x:v>
      </x:c>
      <x:c r="L3257" s="7" t="n">
        <x:v>2026</x:v>
      </x:c>
      <x:c r="M3257" s="11" t="n">
        <x:v>4804</x:v>
      </x:c>
      <x:c r="N3257" s="7" t="n">
        <x:v>2</x:v>
      </x:c>
      <x:c r="O3257" s="7" t="n">
        <x:v>0</x:v>
      </x:c>
      <x:c r="P3257" s="9" t="n">
        <x:v>23.31</x:v>
      </x:c>
      <x:c r="Q3257" s="7" t="n">
        <x:f>'Guide'!$B$5-L3257</x:f>
        <x:v>0</x:v>
      </x:c>
      <x:c r="R3257" s="9" t="n">
        <x:f>K3257-P3257</x:f>
        <x:v>0.6900000000000013</x:v>
      </x:c>
      <x:c r="S3257" s="10" t="n">
        <x:f>IF(K3257&gt;0,R3257/K3257,"")</x:f>
        <x:v>0.028750000000000053</x:v>
      </x:c>
    </x:row>
    <x:row r="3258">
      <x:c r="A3258" s="7" t="n">
        <x:v>3254</x:v>
      </x:c>
      <x:c r="B3258" s="7" t="str">
        <x:v>Tata</x:v>
      </x:c>
      <x:c r="C3258" s="7" t="str">
        <x:v>Harrier</x:v>
      </x:c>
      <x:c r="D3258" s="7" t="str">
        <x:v>Fearless AT</x:v>
      </x:c>
      <x:c r="E3258" s="7" t="str">
        <x:v>Diesel</x:v>
      </x:c>
      <x:c r="F3258" s="7" t="str">
        <x:v>Automatic</x:v>
      </x:c>
      <x:c r="G3258" s="7" t="str">
        <x:v>Mid-Size SUV</x:v>
      </x:c>
      <x:c r="H3258" s="7" t="n">
        <x:v>1956</x:v>
      </x:c>
      <x:c r="I3258" s="7" t="n">
        <x:v>168</x:v>
      </x:c>
      <x:c r="J3258" s="9" t="n">
        <x:v>14.6</x:v>
      </x:c>
      <x:c r="K3258" s="9" t="n">
        <x:v>24</x:v>
      </x:c>
      <x:c r="L3258" s="7" t="n">
        <x:v>2025</x:v>
      </x:c>
      <x:c r="M3258" s="11" t="n">
        <x:v>26758</x:v>
      </x:c>
      <x:c r="N3258" s="7" t="n">
        <x:v>2</x:v>
      </x:c>
      <x:c r="O3258" s="7" t="n">
        <x:v>0</x:v>
      </x:c>
      <x:c r="P3258" s="9" t="n">
        <x:v>20.55</x:v>
      </x:c>
      <x:c r="Q3258" s="7" t="n">
        <x:f>'Guide'!$B$5-L3258</x:f>
        <x:v>1</x:v>
      </x:c>
      <x:c r="R3258" s="9" t="n">
        <x:f>K3258-P3258</x:f>
        <x:v>3.4499999999999993</x:v>
      </x:c>
      <x:c r="S3258" s="10" t="n">
        <x:f>IF(K3258&gt;0,R3258/K3258,"")</x:f>
        <x:v>0.14374999999999996</x:v>
      </x:c>
    </x:row>
    <x:row r="3259">
      <x:c r="A3259" s="7" t="n">
        <x:v>3255</x:v>
      </x:c>
      <x:c r="B3259" s="7" t="str">
        <x:v>Tata</x:v>
      </x:c>
      <x:c r="C3259" s="7" t="str">
        <x:v>Harrier</x:v>
      </x:c>
      <x:c r="D3259" s="7" t="str">
        <x:v>Fearless AT</x:v>
      </x:c>
      <x:c r="E3259" s="7" t="str">
        <x:v>Diesel</x:v>
      </x:c>
      <x:c r="F3259" s="7" t="str">
        <x:v>Automatic</x:v>
      </x:c>
      <x:c r="G3259" s="7" t="str">
        <x:v>Mid-Size SUV</x:v>
      </x:c>
      <x:c r="H3259" s="7" t="n">
        <x:v>1956</x:v>
      </x:c>
      <x:c r="I3259" s="7" t="n">
        <x:v>168</x:v>
      </x:c>
      <x:c r="J3259" s="9" t="n">
        <x:v>14.6</x:v>
      </x:c>
      <x:c r="K3259" s="9" t="n">
        <x:v>24</x:v>
      </x:c>
      <x:c r="L3259" s="7" t="n">
        <x:v>2023</x:v>
      </x:c>
      <x:c r="M3259" s="11" t="n">
        <x:v>68319</x:v>
      </x:c>
      <x:c r="N3259" s="7" t="n">
        <x:v>1</x:v>
      </x:c>
      <x:c r="O3259" s="7" t="n">
        <x:v>0</x:v>
      </x:c>
      <x:c r="P3259" s="9" t="n">
        <x:v>16.48</x:v>
      </x:c>
      <x:c r="Q3259" s="7" t="n">
        <x:f>'Guide'!$B$5-L3259</x:f>
        <x:v>3</x:v>
      </x:c>
      <x:c r="R3259" s="9" t="n">
        <x:f>K3259-P3259</x:f>
        <x:v>7.52</x:v>
      </x:c>
      <x:c r="S3259" s="10" t="n">
        <x:f>IF(K3259&gt;0,R3259/K3259,"")</x:f>
        <x:v>0.3133333333333333</x:v>
      </x:c>
    </x:row>
    <x:row r="3260">
      <x:c r="A3260" s="7" t="n">
        <x:v>3256</x:v>
      </x:c>
      <x:c r="B3260" s="7" t="str">
        <x:v>Tata</x:v>
      </x:c>
      <x:c r="C3260" s="7" t="str">
        <x:v>Harrier</x:v>
      </x:c>
      <x:c r="D3260" s="7" t="str">
        <x:v>Fearless AT</x:v>
      </x:c>
      <x:c r="E3260" s="7" t="str">
        <x:v>Diesel</x:v>
      </x:c>
      <x:c r="F3260" s="7" t="str">
        <x:v>Automatic</x:v>
      </x:c>
      <x:c r="G3260" s="7" t="str">
        <x:v>Mid-Size SUV</x:v>
      </x:c>
      <x:c r="H3260" s="7" t="n">
        <x:v>1956</x:v>
      </x:c>
      <x:c r="I3260" s="7" t="n">
        <x:v>168</x:v>
      </x:c>
      <x:c r="J3260" s="9" t="n">
        <x:v>14.6</x:v>
      </x:c>
      <x:c r="K3260" s="9" t="n">
        <x:v>24</x:v>
      </x:c>
      <x:c r="L3260" s="7" t="n">
        <x:v>2020</x:v>
      </x:c>
      <x:c r="M3260" s="11" t="n">
        <x:v>64062</x:v>
      </x:c>
      <x:c r="N3260" s="7" t="n">
        <x:v>2</x:v>
      </x:c>
      <x:c r="O3260" s="7" t="n">
        <x:v>0</x:v>
      </x:c>
      <x:c r="P3260" s="9" t="n">
        <x:v>10.56</x:v>
      </x:c>
      <x:c r="Q3260" s="7" t="n">
        <x:f>'Guide'!$B$5-L3260</x:f>
        <x:v>6</x:v>
      </x:c>
      <x:c r="R3260" s="9" t="n">
        <x:f>K3260-P3260</x:f>
        <x:v>13.44</x:v>
      </x:c>
      <x:c r="S3260" s="10" t="n">
        <x:f>IF(K3260&gt;0,R3260/K3260,"")</x:f>
        <x:v>0.5599999999999999</x:v>
      </x:c>
    </x:row>
    <x:row r="3261">
      <x:c r="A3261" s="7" t="n">
        <x:v>3257</x:v>
      </x:c>
      <x:c r="B3261" s="7" t="str">
        <x:v>Tata</x:v>
      </x:c>
      <x:c r="C3261" s="7" t="str">
        <x:v>Harrier</x:v>
      </x:c>
      <x:c r="D3261" s="7" t="str">
        <x:v>Fearless AT</x:v>
      </x:c>
      <x:c r="E3261" s="7" t="str">
        <x:v>Diesel</x:v>
      </x:c>
      <x:c r="F3261" s="7" t="str">
        <x:v>Automatic</x:v>
      </x:c>
      <x:c r="G3261" s="7" t="str">
        <x:v>Mid-Size SUV</x:v>
      </x:c>
      <x:c r="H3261" s="7" t="n">
        <x:v>1956</x:v>
      </x:c>
      <x:c r="I3261" s="7" t="n">
        <x:v>168</x:v>
      </x:c>
      <x:c r="J3261" s="9" t="n">
        <x:v>14.6</x:v>
      </x:c>
      <x:c r="K3261" s="9" t="n">
        <x:v>24</x:v>
      </x:c>
      <x:c r="L3261" s="7" t="n">
        <x:v>2025</x:v>
      </x:c>
      <x:c r="M3261" s="11" t="n">
        <x:v>22021</x:v>
      </x:c>
      <x:c r="N3261" s="7" t="n">
        <x:v>1</x:v>
      </x:c>
      <x:c r="O3261" s="7" t="n">
        <x:v>0</x:v>
      </x:c>
      <x:c r="P3261" s="9" t="n">
        <x:v>21.38</x:v>
      </x:c>
      <x:c r="Q3261" s="7" t="n">
        <x:f>'Guide'!$B$5-L3261</x:f>
        <x:v>1</x:v>
      </x:c>
      <x:c r="R3261" s="9" t="n">
        <x:f>K3261-P3261</x:f>
        <x:v>2.620000000000001</x:v>
      </x:c>
      <x:c r="S3261" s="10" t="n">
        <x:f>IF(K3261&gt;0,R3261/K3261,"")</x:f>
        <x:v>0.1091666666666667</x:v>
      </x:c>
    </x:row>
    <x:row r="3262">
      <x:c r="A3262" s="7" t="n">
        <x:v>3258</x:v>
      </x:c>
      <x:c r="B3262" s="7" t="str">
        <x:v>Tata</x:v>
      </x:c>
      <x:c r="C3262" s="7" t="str">
        <x:v>Harrier</x:v>
      </x:c>
      <x:c r="D3262" s="7" t="str">
        <x:v>Fearless AT</x:v>
      </x:c>
      <x:c r="E3262" s="7" t="str">
        <x:v>Diesel</x:v>
      </x:c>
      <x:c r="F3262" s="7" t="str">
        <x:v>Automatic</x:v>
      </x:c>
      <x:c r="G3262" s="7" t="str">
        <x:v>Mid-Size SUV</x:v>
      </x:c>
      <x:c r="H3262" s="7" t="n">
        <x:v>1956</x:v>
      </x:c>
      <x:c r="I3262" s="7" t="n">
        <x:v>168</x:v>
      </x:c>
      <x:c r="J3262" s="9" t="n">
        <x:v>14.6</x:v>
      </x:c>
      <x:c r="K3262" s="9" t="n">
        <x:v>24</x:v>
      </x:c>
      <x:c r="L3262" s="7" t="n">
        <x:v>2020</x:v>
      </x:c>
      <x:c r="M3262" s="11" t="n">
        <x:v>95591</x:v>
      </x:c>
      <x:c r="N3262" s="7" t="n">
        <x:v>1</x:v>
      </x:c>
      <x:c r="O3262" s="7" t="n">
        <x:v>0</x:v>
      </x:c>
      <x:c r="P3262" s="9" t="n">
        <x:v>9.56</x:v>
      </x:c>
      <x:c r="Q3262" s="7" t="n">
        <x:f>'Guide'!$B$5-L3262</x:f>
        <x:v>6</x:v>
      </x:c>
      <x:c r="R3262" s="9" t="n">
        <x:f>K3262-P3262</x:f>
        <x:v>14.44</x:v>
      </x:c>
      <x:c r="S3262" s="10" t="n">
        <x:f>IF(K3262&gt;0,R3262/K3262,"")</x:f>
        <x:v>0.6016666666666667</x:v>
      </x:c>
    </x:row>
    <x:row r="3263">
      <x:c r="A3263" s="7" t="n">
        <x:v>3259</x:v>
      </x:c>
      <x:c r="B3263" s="7" t="str">
        <x:v>Tata</x:v>
      </x:c>
      <x:c r="C3263" s="7" t="str">
        <x:v>Harrier</x:v>
      </x:c>
      <x:c r="D3263" s="7" t="str">
        <x:v>Fearless AT</x:v>
      </x:c>
      <x:c r="E3263" s="7" t="str">
        <x:v>Diesel</x:v>
      </x:c>
      <x:c r="F3263" s="7" t="str">
        <x:v>Automatic</x:v>
      </x:c>
      <x:c r="G3263" s="7" t="str">
        <x:v>Mid-Size SUV</x:v>
      </x:c>
      <x:c r="H3263" s="7" t="n">
        <x:v>1956</x:v>
      </x:c>
      <x:c r="I3263" s="7" t="n">
        <x:v>168</x:v>
      </x:c>
      <x:c r="J3263" s="9" t="n">
        <x:v>14.6</x:v>
      </x:c>
      <x:c r="K3263" s="9" t="n">
        <x:v>24</x:v>
      </x:c>
      <x:c r="L3263" s="7" t="n">
        <x:v>2024</x:v>
      </x:c>
      <x:c r="M3263" s="11" t="n">
        <x:v>37984</x:v>
      </x:c>
      <x:c r="N3263" s="7" t="n">
        <x:v>2</x:v>
      </x:c>
      <x:c r="O3263" s="7" t="n">
        <x:v>0</x:v>
      </x:c>
      <x:c r="P3263" s="9" t="n">
        <x:v>18.37</x:v>
      </x:c>
      <x:c r="Q3263" s="7" t="n">
        <x:f>'Guide'!$B$5-L3263</x:f>
        <x:v>2</x:v>
      </x:c>
      <x:c r="R3263" s="9" t="n">
        <x:f>K3263-P3263</x:f>
        <x:v>5.629999999999999</x:v>
      </x:c>
      <x:c r="S3263" s="10" t="n">
        <x:f>IF(K3263&gt;0,R3263/K3263,"")</x:f>
        <x:v>0.23458333333333328</x:v>
      </x:c>
    </x:row>
    <x:row r="3264">
      <x:c r="A3264" s="7" t="n">
        <x:v>3260</x:v>
      </x:c>
      <x:c r="B3264" s="7" t="str">
        <x:v>Tata</x:v>
      </x:c>
      <x:c r="C3264" s="7" t="str">
        <x:v>Harrier</x:v>
      </x:c>
      <x:c r="D3264" s="7" t="str">
        <x:v>Fearless AT</x:v>
      </x:c>
      <x:c r="E3264" s="7" t="str">
        <x:v>Diesel</x:v>
      </x:c>
      <x:c r="F3264" s="7" t="str">
        <x:v>Automatic</x:v>
      </x:c>
      <x:c r="G3264" s="7" t="str">
        <x:v>Mid-Size SUV</x:v>
      </x:c>
      <x:c r="H3264" s="7" t="n">
        <x:v>1956</x:v>
      </x:c>
      <x:c r="I3264" s="7" t="n">
        <x:v>168</x:v>
      </x:c>
      <x:c r="J3264" s="9" t="n">
        <x:v>14.6</x:v>
      </x:c>
      <x:c r="K3264" s="9" t="n">
        <x:v>24</x:v>
      </x:c>
      <x:c r="L3264" s="7" t="n">
        <x:v>2025</x:v>
      </x:c>
      <x:c r="M3264" s="11" t="n">
        <x:v>28029</x:v>
      </x:c>
      <x:c r="N3264" s="7" t="n">
        <x:v>2</x:v>
      </x:c>
      <x:c r="O3264" s="7" t="n">
        <x:v>0</x:v>
      </x:c>
      <x:c r="P3264" s="9" t="n">
        <x:v>20.63</x:v>
      </x:c>
      <x:c r="Q3264" s="7" t="n">
        <x:f>'Guide'!$B$5-L3264</x:f>
        <x:v>1</x:v>
      </x:c>
      <x:c r="R3264" s="9" t="n">
        <x:f>K3264-P3264</x:f>
        <x:v>3.370000000000001</x:v>
      </x:c>
      <x:c r="S3264" s="10" t="n">
        <x:f>IF(K3264&gt;0,R3264/K3264,"")</x:f>
        <x:v>0.14041666666666672</x:v>
      </x:c>
    </x:row>
    <x:row r="3265">
      <x:c r="A3265" s="7" t="n">
        <x:v>3261</x:v>
      </x:c>
      <x:c r="B3265" s="7" t="str">
        <x:v>Tata</x:v>
      </x:c>
      <x:c r="C3265" s="7" t="str">
        <x:v>Harrier</x:v>
      </x:c>
      <x:c r="D3265" s="7" t="str">
        <x:v>Fearless AT</x:v>
      </x:c>
      <x:c r="E3265" s="7" t="str">
        <x:v>Diesel</x:v>
      </x:c>
      <x:c r="F3265" s="7" t="str">
        <x:v>Automatic</x:v>
      </x:c>
      <x:c r="G3265" s="7" t="str">
        <x:v>Mid-Size SUV</x:v>
      </x:c>
      <x:c r="H3265" s="7" t="n">
        <x:v>1956</x:v>
      </x:c>
      <x:c r="I3265" s="7" t="n">
        <x:v>168</x:v>
      </x:c>
      <x:c r="J3265" s="9" t="n">
        <x:v>14.6</x:v>
      </x:c>
      <x:c r="K3265" s="9" t="n">
        <x:v>24</x:v>
      </x:c>
      <x:c r="L3265" s="7" t="n">
        <x:v>2026</x:v>
      </x:c>
      <x:c r="M3265" s="11" t="n">
        <x:v>6116</x:v>
      </x:c>
      <x:c r="N3265" s="7" t="n">
        <x:v>1</x:v>
      </x:c>
      <x:c r="O3265" s="7" t="n">
        <x:v>0</x:v>
      </x:c>
      <x:c r="P3265" s="9" t="n">
        <x:v>24.06</x:v>
      </x:c>
      <x:c r="Q3265" s="7" t="n">
        <x:f>'Guide'!$B$5-L3265</x:f>
        <x:v>0</x:v>
      </x:c>
      <x:c r="R3265" s="9" t="n">
        <x:f>K3265-P3265</x:f>
        <x:v>-0.05999999999999872</x:v>
      </x:c>
      <x:c r="S3265" s="10" t="n">
        <x:f>IF(K3265&gt;0,R3265/K3265,"")</x:f>
        <x:v>-0.0024999999999999467</x:v>
      </x:c>
    </x:row>
    <x:row r="3266">
      <x:c r="A3266" s="7" t="n">
        <x:v>3262</x:v>
      </x:c>
      <x:c r="B3266" s="7" t="str">
        <x:v>Tata</x:v>
      </x:c>
      <x:c r="C3266" s="7" t="str">
        <x:v>Harrier</x:v>
      </x:c>
      <x:c r="D3266" s="7" t="str">
        <x:v>Fearless AT</x:v>
      </x:c>
      <x:c r="E3266" s="7" t="str">
        <x:v>Diesel</x:v>
      </x:c>
      <x:c r="F3266" s="7" t="str">
        <x:v>Automatic</x:v>
      </x:c>
      <x:c r="G3266" s="7" t="str">
        <x:v>Mid-Size SUV</x:v>
      </x:c>
      <x:c r="H3266" s="7" t="n">
        <x:v>1956</x:v>
      </x:c>
      <x:c r="I3266" s="7" t="n">
        <x:v>168</x:v>
      </x:c>
      <x:c r="J3266" s="9" t="n">
        <x:v>14.6</x:v>
      </x:c>
      <x:c r="K3266" s="9" t="n">
        <x:v>24</x:v>
      </x:c>
      <x:c r="L3266" s="7" t="n">
        <x:v>2022</x:v>
      </x:c>
      <x:c r="M3266" s="11" t="n">
        <x:v>50170</x:v>
      </x:c>
      <x:c r="N3266" s="7" t="n">
        <x:v>1</x:v>
      </x:c>
      <x:c r="O3266" s="7" t="n">
        <x:v>0</x:v>
      </x:c>
      <x:c r="P3266" s="9" t="n">
        <x:v>14.55</x:v>
      </x:c>
      <x:c r="Q3266" s="7" t="n">
        <x:f>'Guide'!$B$5-L3266</x:f>
        <x:v>4</x:v>
      </x:c>
      <x:c r="R3266" s="9" t="n">
        <x:f>K3266-P3266</x:f>
        <x:v>9.45</x:v>
      </x:c>
      <x:c r="S3266" s="10" t="n">
        <x:f>IF(K3266&gt;0,R3266/K3266,"")</x:f>
        <x:v>0.39375</x:v>
      </x:c>
    </x:row>
    <x:row r="3267">
      <x:c r="A3267" s="7" t="n">
        <x:v>3263</x:v>
      </x:c>
      <x:c r="B3267" s="7" t="str">
        <x:v>Tata</x:v>
      </x:c>
      <x:c r="C3267" s="7" t="str">
        <x:v>Harrier</x:v>
      </x:c>
      <x:c r="D3267" s="7" t="str">
        <x:v>Fearless AT</x:v>
      </x:c>
      <x:c r="E3267" s="7" t="str">
        <x:v>Diesel</x:v>
      </x:c>
      <x:c r="F3267" s="7" t="str">
        <x:v>Automatic</x:v>
      </x:c>
      <x:c r="G3267" s="7" t="str">
        <x:v>Mid-Size SUV</x:v>
      </x:c>
      <x:c r="H3267" s="7" t="n">
        <x:v>1956</x:v>
      </x:c>
      <x:c r="I3267" s="7" t="n">
        <x:v>168</x:v>
      </x:c>
      <x:c r="J3267" s="9" t="n">
        <x:v>14.6</x:v>
      </x:c>
      <x:c r="K3267" s="9" t="n">
        <x:v>24</x:v>
      </x:c>
      <x:c r="L3267" s="7" t="n">
        <x:v>2021</x:v>
      </x:c>
      <x:c r="M3267" s="11" t="n">
        <x:v>81055</x:v>
      </x:c>
      <x:c r="N3267" s="7" t="n">
        <x:v>1</x:v>
      </x:c>
      <x:c r="O3267" s="7" t="n">
        <x:v>0</x:v>
      </x:c>
      <x:c r="P3267" s="9" t="n">
        <x:v>12.16</x:v>
      </x:c>
      <x:c r="Q3267" s="7" t="n">
        <x:f>'Guide'!$B$5-L3267</x:f>
        <x:v>5</x:v>
      </x:c>
      <x:c r="R3267" s="9" t="n">
        <x:f>K3267-P3267</x:f>
        <x:v>11.84</x:v>
      </x:c>
      <x:c r="S3267" s="10" t="n">
        <x:f>IF(K3267&gt;0,R3267/K3267,"")</x:f>
        <x:v>0.49333333333333335</x:v>
      </x:c>
    </x:row>
    <x:row r="3268">
      <x:c r="A3268" s="7" t="n">
        <x:v>3264</x:v>
      </x:c>
      <x:c r="B3268" s="7" t="str">
        <x:v>Tata</x:v>
      </x:c>
      <x:c r="C3268" s="7" t="str">
        <x:v>Harrier</x:v>
      </x:c>
      <x:c r="D3268" s="7" t="str">
        <x:v>Fearless AT</x:v>
      </x:c>
      <x:c r="E3268" s="7" t="str">
        <x:v>Diesel</x:v>
      </x:c>
      <x:c r="F3268" s="7" t="str">
        <x:v>Automatic</x:v>
      </x:c>
      <x:c r="G3268" s="7" t="str">
        <x:v>Mid-Size SUV</x:v>
      </x:c>
      <x:c r="H3268" s="7" t="n">
        <x:v>1956</x:v>
      </x:c>
      <x:c r="I3268" s="7" t="n">
        <x:v>168</x:v>
      </x:c>
      <x:c r="J3268" s="9" t="n">
        <x:v>14.6</x:v>
      </x:c>
      <x:c r="K3268" s="9" t="n">
        <x:v>24</x:v>
      </x:c>
      <x:c r="L3268" s="7" t="n">
        <x:v>2023</x:v>
      </x:c>
      <x:c r="M3268" s="11" t="n">
        <x:v>38894</x:v>
      </x:c>
      <x:c r="N3268" s="7" t="n">
        <x:v>1</x:v>
      </x:c>
      <x:c r="O3268" s="7" t="n">
        <x:v>0</x:v>
      </x:c>
      <x:c r="P3268" s="9" t="n">
        <x:v>17.21</x:v>
      </x:c>
      <x:c r="Q3268" s="7" t="n">
        <x:f>'Guide'!$B$5-L3268</x:f>
        <x:v>3</x:v>
      </x:c>
      <x:c r="R3268" s="9" t="n">
        <x:f>K3268-P3268</x:f>
        <x:v>6.789999999999999</x:v>
      </x:c>
      <x:c r="S3268" s="10" t="n">
        <x:f>IF(K3268&gt;0,R3268/K3268,"")</x:f>
        <x:v>0.28291666666666665</x:v>
      </x:c>
    </x:row>
    <x:row r="3269">
      <x:c r="A3269" s="7" t="n">
        <x:v>3265</x:v>
      </x:c>
      <x:c r="B3269" s="7" t="str">
        <x:v>Tata</x:v>
      </x:c>
      <x:c r="C3269" s="7" t="str">
        <x:v>Harrier</x:v>
      </x:c>
      <x:c r="D3269" s="7" t="str">
        <x:v>Fearless AT</x:v>
      </x:c>
      <x:c r="E3269" s="7" t="str">
        <x:v>Diesel</x:v>
      </x:c>
      <x:c r="F3269" s="7" t="str">
        <x:v>Automatic</x:v>
      </x:c>
      <x:c r="G3269" s="7" t="str">
        <x:v>Mid-Size SUV</x:v>
      </x:c>
      <x:c r="H3269" s="7" t="n">
        <x:v>1956</x:v>
      </x:c>
      <x:c r="I3269" s="7" t="n">
        <x:v>168</x:v>
      </x:c>
      <x:c r="J3269" s="9" t="n">
        <x:v>14.6</x:v>
      </x:c>
      <x:c r="K3269" s="9" t="n">
        <x:v>24</x:v>
      </x:c>
      <x:c r="L3269" s="7" t="n">
        <x:v>2023</x:v>
      </x:c>
      <x:c r="M3269" s="11" t="n">
        <x:v>36630</x:v>
      </x:c>
      <x:c r="N3269" s="7" t="n">
        <x:v>2</x:v>
      </x:c>
      <x:c r="O3269" s="7" t="n">
        <x:v>1</x:v>
      </x:c>
      <x:c r="P3269" s="9" t="n">
        <x:v>15.89</x:v>
      </x:c>
      <x:c r="Q3269" s="7" t="n">
        <x:f>'Guide'!$B$5-L3269</x:f>
        <x:v>3</x:v>
      </x:c>
      <x:c r="R3269" s="9" t="n">
        <x:f>K3269-P3269</x:f>
        <x:v>8.11</x:v>
      </x:c>
      <x:c r="S3269" s="10" t="n">
        <x:f>IF(K3269&gt;0,R3269/K3269,"")</x:f>
        <x:v>0.33791666666666664</x:v>
      </x:c>
    </x:row>
    <x:row r="3270">
      <x:c r="A3270" s="7" t="n">
        <x:v>3266</x:v>
      </x:c>
      <x:c r="B3270" s="7" t="str">
        <x:v>Tata</x:v>
      </x:c>
      <x:c r="C3270" s="7" t="str">
        <x:v>Harrier</x:v>
      </x:c>
      <x:c r="D3270" s="7" t="str">
        <x:v>Fearless AT</x:v>
      </x:c>
      <x:c r="E3270" s="7" t="str">
        <x:v>Diesel</x:v>
      </x:c>
      <x:c r="F3270" s="7" t="str">
        <x:v>Automatic</x:v>
      </x:c>
      <x:c r="G3270" s="7" t="str">
        <x:v>Mid-Size SUV</x:v>
      </x:c>
      <x:c r="H3270" s="7" t="n">
        <x:v>1956</x:v>
      </x:c>
      <x:c r="I3270" s="7" t="n">
        <x:v>168</x:v>
      </x:c>
      <x:c r="J3270" s="9" t="n">
        <x:v>14.6</x:v>
      </x:c>
      <x:c r="K3270" s="9" t="n">
        <x:v>24</x:v>
      </x:c>
      <x:c r="L3270" s="7" t="n">
        <x:v>2024</x:v>
      </x:c>
      <x:c r="M3270" s="11" t="n">
        <x:v>46403</x:v>
      </x:c>
      <x:c r="N3270" s="7" t="n">
        <x:v>1</x:v>
      </x:c>
      <x:c r="O3270" s="7" t="n">
        <x:v>0</x:v>
      </x:c>
      <x:c r="P3270" s="9" t="n">
        <x:v>18.82</x:v>
      </x:c>
      <x:c r="Q3270" s="7" t="n">
        <x:f>'Guide'!$B$5-L3270</x:f>
        <x:v>2</x:v>
      </x:c>
      <x:c r="R3270" s="9" t="n">
        <x:f>K3270-P3270</x:f>
        <x:v>5.18</x:v>
      </x:c>
      <x:c r="S3270" s="10" t="n">
        <x:f>IF(K3270&gt;0,R3270/K3270,"")</x:f>
        <x:v>0.21583333333333332</x:v>
      </x:c>
    </x:row>
    <x:row r="3271">
      <x:c r="A3271" s="7" t="n">
        <x:v>3267</x:v>
      </x:c>
      <x:c r="B3271" s="7" t="str">
        <x:v>Tata</x:v>
      </x:c>
      <x:c r="C3271" s="7" t="str">
        <x:v>Harrier</x:v>
      </x:c>
      <x:c r="D3271" s="7" t="str">
        <x:v>Fearless AT</x:v>
      </x:c>
      <x:c r="E3271" s="7" t="str">
        <x:v>Diesel</x:v>
      </x:c>
      <x:c r="F3271" s="7" t="str">
        <x:v>Automatic</x:v>
      </x:c>
      <x:c r="G3271" s="7" t="str">
        <x:v>Mid-Size SUV</x:v>
      </x:c>
      <x:c r="H3271" s="7" t="n">
        <x:v>1956</x:v>
      </x:c>
      <x:c r="I3271" s="7" t="n">
        <x:v>168</x:v>
      </x:c>
      <x:c r="J3271" s="9" t="n">
        <x:v>14.6</x:v>
      </x:c>
      <x:c r="K3271" s="9" t="n">
        <x:v>24</x:v>
      </x:c>
      <x:c r="L3271" s="7" t="n">
        <x:v>2022</x:v>
      </x:c>
      <x:c r="M3271" s="11" t="n">
        <x:v>55152</x:v>
      </x:c>
      <x:c r="N3271" s="7" t="n">
        <x:v>2</x:v>
      </x:c>
      <x:c r="O3271" s="7" t="n">
        <x:v>0</x:v>
      </x:c>
      <x:c r="P3271" s="9" t="n">
        <x:v>14.46</x:v>
      </x:c>
      <x:c r="Q3271" s="7" t="n">
        <x:f>'Guide'!$B$5-L3271</x:f>
        <x:v>4</x:v>
      </x:c>
      <x:c r="R3271" s="9" t="n">
        <x:f>K3271-P3271</x:f>
        <x:v>9.54</x:v>
      </x:c>
      <x:c r="S3271" s="10" t="n">
        <x:f>IF(K3271&gt;0,R3271/K3271,"")</x:f>
        <x:v>0.39749999999999996</x:v>
      </x:c>
    </x:row>
    <x:row r="3272">
      <x:c r="A3272" s="7" t="n">
        <x:v>3268</x:v>
      </x:c>
      <x:c r="B3272" s="7" t="str">
        <x:v>Tata</x:v>
      </x:c>
      <x:c r="C3272" s="7" t="str">
        <x:v>Harrier</x:v>
      </x:c>
      <x:c r="D3272" s="7" t="str">
        <x:v>Fearless AT</x:v>
      </x:c>
      <x:c r="E3272" s="7" t="str">
        <x:v>Diesel</x:v>
      </x:c>
      <x:c r="F3272" s="7" t="str">
        <x:v>Automatic</x:v>
      </x:c>
      <x:c r="G3272" s="7" t="str">
        <x:v>Mid-Size SUV</x:v>
      </x:c>
      <x:c r="H3272" s="7" t="n">
        <x:v>1956</x:v>
      </x:c>
      <x:c r="I3272" s="7" t="n">
        <x:v>168</x:v>
      </x:c>
      <x:c r="J3272" s="9" t="n">
        <x:v>14.6</x:v>
      </x:c>
      <x:c r="K3272" s="9" t="n">
        <x:v>24</x:v>
      </x:c>
      <x:c r="L3272" s="7" t="n">
        <x:v>2023</x:v>
      </x:c>
      <x:c r="M3272" s="11" t="n">
        <x:v>43042</x:v>
      </x:c>
      <x:c r="N3272" s="7" t="n">
        <x:v>1</x:v>
      </x:c>
      <x:c r="O3272" s="7" t="n">
        <x:v>0</x:v>
      </x:c>
      <x:c r="P3272" s="9" t="n">
        <x:v>16.86</x:v>
      </x:c>
      <x:c r="Q3272" s="7" t="n">
        <x:f>'Guide'!$B$5-L3272</x:f>
        <x:v>3</x:v>
      </x:c>
      <x:c r="R3272" s="9" t="n">
        <x:f>K3272-P3272</x:f>
        <x:v>7.140000000000001</x:v>
      </x:c>
      <x:c r="S3272" s="10" t="n">
        <x:f>IF(K3272&gt;0,R3272/K3272,"")</x:f>
        <x:v>0.29750000000000004</x:v>
      </x:c>
    </x:row>
    <x:row r="3273">
      <x:c r="A3273" s="7" t="n">
        <x:v>3269</x:v>
      </x:c>
      <x:c r="B3273" s="7" t="str">
        <x:v>Tata</x:v>
      </x:c>
      <x:c r="C3273" s="7" t="str">
        <x:v>Harrier</x:v>
      </x:c>
      <x:c r="D3273" s="7" t="str">
        <x:v>Fearless AT</x:v>
      </x:c>
      <x:c r="E3273" s="7" t="str">
        <x:v>Diesel</x:v>
      </x:c>
      <x:c r="F3273" s="7" t="str">
        <x:v>Automatic</x:v>
      </x:c>
      <x:c r="G3273" s="7" t="str">
        <x:v>Mid-Size SUV</x:v>
      </x:c>
      <x:c r="H3273" s="7" t="n">
        <x:v>1956</x:v>
      </x:c>
      <x:c r="I3273" s="7" t="n">
        <x:v>168</x:v>
      </x:c>
      <x:c r="J3273" s="9" t="n">
        <x:v>14.6</x:v>
      </x:c>
      <x:c r="K3273" s="9" t="n">
        <x:v>24</x:v>
      </x:c>
      <x:c r="L3273" s="7" t="n">
        <x:v>2026</x:v>
      </x:c>
      <x:c r="M3273" s="11" t="n">
        <x:v>6896</x:v>
      </x:c>
      <x:c r="N3273" s="7" t="n">
        <x:v>2</x:v>
      </x:c>
      <x:c r="O3273" s="7" t="n">
        <x:v>0</x:v>
      </x:c>
      <x:c r="P3273" s="9" t="n">
        <x:v>23.54</x:v>
      </x:c>
      <x:c r="Q3273" s="7" t="n">
        <x:f>'Guide'!$B$5-L3273</x:f>
        <x:v>0</x:v>
      </x:c>
      <x:c r="R3273" s="9" t="n">
        <x:f>K3273-P3273</x:f>
        <x:v>0.46000000000000085</x:v>
      </x:c>
      <x:c r="S3273" s="10" t="n">
        <x:f>IF(K3273&gt;0,R3273/K3273,"")</x:f>
        <x:v>0.019166666666666703</x:v>
      </x:c>
    </x:row>
    <x:row r="3274">
      <x:c r="A3274" s="7" t="n">
        <x:v>3270</x:v>
      </x:c>
      <x:c r="B3274" s="7" t="str">
        <x:v>Tata</x:v>
      </x:c>
      <x:c r="C3274" s="7" t="str">
        <x:v>Harrier</x:v>
      </x:c>
      <x:c r="D3274" s="7" t="str">
        <x:v>Fearless AT</x:v>
      </x:c>
      <x:c r="E3274" s="7" t="str">
        <x:v>Diesel</x:v>
      </x:c>
      <x:c r="F3274" s="7" t="str">
        <x:v>Automatic</x:v>
      </x:c>
      <x:c r="G3274" s="7" t="str">
        <x:v>Mid-Size SUV</x:v>
      </x:c>
      <x:c r="H3274" s="7" t="n">
        <x:v>1956</x:v>
      </x:c>
      <x:c r="I3274" s="7" t="n">
        <x:v>168</x:v>
      </x:c>
      <x:c r="J3274" s="9" t="n">
        <x:v>14.6</x:v>
      </x:c>
      <x:c r="K3274" s="9" t="n">
        <x:v>24</x:v>
      </x:c>
      <x:c r="L3274" s="7" t="n">
        <x:v>2025</x:v>
      </x:c>
      <x:c r="M3274" s="11" t="n">
        <x:v>14009</x:v>
      </x:c>
      <x:c r="N3274" s="7" t="n">
        <x:v>1</x:v>
      </x:c>
      <x:c r="O3274" s="7" t="n">
        <x:v>0</x:v>
      </x:c>
      <x:c r="P3274" s="9" t="n">
        <x:v>21.87</x:v>
      </x:c>
      <x:c r="Q3274" s="7" t="n">
        <x:f>'Guide'!$B$5-L3274</x:f>
        <x:v>1</x:v>
      </x:c>
      <x:c r="R3274" s="9" t="n">
        <x:f>K3274-P3274</x:f>
        <x:v>2.129999999999999</x:v>
      </x:c>
      <x:c r="S3274" s="10" t="n">
        <x:f>IF(K3274&gt;0,R3274/K3274,"")</x:f>
        <x:v>0.08874999999999995</x:v>
      </x:c>
    </x:row>
    <x:row r="3275">
      <x:c r="A3275" s="7" t="n">
        <x:v>3271</x:v>
      </x:c>
      <x:c r="B3275" s="7" t="str">
        <x:v>Tata</x:v>
      </x:c>
      <x:c r="C3275" s="7" t="str">
        <x:v>Harrier</x:v>
      </x:c>
      <x:c r="D3275" s="7" t="str">
        <x:v>Fearless AT</x:v>
      </x:c>
      <x:c r="E3275" s="7" t="str">
        <x:v>Diesel</x:v>
      </x:c>
      <x:c r="F3275" s="7" t="str">
        <x:v>Automatic</x:v>
      </x:c>
      <x:c r="G3275" s="7" t="str">
        <x:v>Mid-Size SUV</x:v>
      </x:c>
      <x:c r="H3275" s="7" t="n">
        <x:v>1956</x:v>
      </x:c>
      <x:c r="I3275" s="7" t="n">
        <x:v>168</x:v>
      </x:c>
      <x:c r="J3275" s="9" t="n">
        <x:v>14.6</x:v>
      </x:c>
      <x:c r="K3275" s="9" t="n">
        <x:v>24</x:v>
      </x:c>
      <x:c r="L3275" s="7" t="n">
        <x:v>2020</x:v>
      </x:c>
      <x:c r="M3275" s="11" t="n">
        <x:v>111777</x:v>
      </x:c>
      <x:c r="N3275" s="7" t="n">
        <x:v>2</x:v>
      </x:c>
      <x:c r="O3275" s="7" t="n">
        <x:v>0</x:v>
      </x:c>
      <x:c r="P3275" s="9" t="n">
        <x:v>8.63</x:v>
      </x:c>
      <x:c r="Q3275" s="7" t="n">
        <x:f>'Guide'!$B$5-L3275</x:f>
        <x:v>6</x:v>
      </x:c>
      <x:c r="R3275" s="9" t="n">
        <x:f>K3275-P3275</x:f>
        <x:v>15.37</x:v>
      </x:c>
      <x:c r="S3275" s="10" t="n">
        <x:f>IF(K3275&gt;0,R3275/K3275,"")</x:f>
        <x:v>0.6404166666666666</x:v>
      </x:c>
    </x:row>
    <x:row r="3276">
      <x:c r="A3276" s="7" t="n">
        <x:v>3272</x:v>
      </x:c>
      <x:c r="B3276" s="7" t="str">
        <x:v>Tata</x:v>
      </x:c>
      <x:c r="C3276" s="7" t="str">
        <x:v>Harrier</x:v>
      </x:c>
      <x:c r="D3276" s="7" t="str">
        <x:v>Fearless AT</x:v>
      </x:c>
      <x:c r="E3276" s="7" t="str">
        <x:v>Diesel</x:v>
      </x:c>
      <x:c r="F3276" s="7" t="str">
        <x:v>Automatic</x:v>
      </x:c>
      <x:c r="G3276" s="7" t="str">
        <x:v>Mid-Size SUV</x:v>
      </x:c>
      <x:c r="H3276" s="7" t="n">
        <x:v>1956</x:v>
      </x:c>
      <x:c r="I3276" s="7" t="n">
        <x:v>168</x:v>
      </x:c>
      <x:c r="J3276" s="9" t="n">
        <x:v>14.6</x:v>
      </x:c>
      <x:c r="K3276" s="9" t="n">
        <x:v>24</x:v>
      </x:c>
      <x:c r="L3276" s="7" t="n">
        <x:v>2023</x:v>
      </x:c>
      <x:c r="M3276" s="11" t="n">
        <x:v>52295</x:v>
      </x:c>
      <x:c r="N3276" s="7" t="n">
        <x:v>1</x:v>
      </x:c>
      <x:c r="O3276" s="7" t="n">
        <x:v>0</x:v>
      </x:c>
      <x:c r="P3276" s="9" t="n">
        <x:v>16.57</x:v>
      </x:c>
      <x:c r="Q3276" s="7" t="n">
        <x:f>'Guide'!$B$5-L3276</x:f>
        <x:v>3</x:v>
      </x:c>
      <x:c r="R3276" s="9" t="n">
        <x:f>K3276-P3276</x:f>
        <x:v>7.43</x:v>
      </x:c>
      <x:c r="S3276" s="10" t="n">
        <x:f>IF(K3276&gt;0,R3276/K3276,"")</x:f>
        <x:v>0.3095833333333333</x:v>
      </x:c>
    </x:row>
    <x:row r="3277">
      <x:c r="A3277" s="7" t="n">
        <x:v>3273</x:v>
      </x:c>
      <x:c r="B3277" s="7" t="str">
        <x:v>Tata</x:v>
      </x:c>
      <x:c r="C3277" s="7" t="str">
        <x:v>Harrier</x:v>
      </x:c>
      <x:c r="D3277" s="7" t="str">
        <x:v>Fearless AT</x:v>
      </x:c>
      <x:c r="E3277" s="7" t="str">
        <x:v>Diesel</x:v>
      </x:c>
      <x:c r="F3277" s="7" t="str">
        <x:v>Automatic</x:v>
      </x:c>
      <x:c r="G3277" s="7" t="str">
        <x:v>Mid-Size SUV</x:v>
      </x:c>
      <x:c r="H3277" s="7" t="n">
        <x:v>1956</x:v>
      </x:c>
      <x:c r="I3277" s="7" t="n">
        <x:v>168</x:v>
      </x:c>
      <x:c r="J3277" s="9" t="n">
        <x:v>14.6</x:v>
      </x:c>
      <x:c r="K3277" s="9" t="n">
        <x:v>24</x:v>
      </x:c>
      <x:c r="L3277" s="7" t="n">
        <x:v>2021</x:v>
      </x:c>
      <x:c r="M3277" s="11" t="n">
        <x:v>106455</x:v>
      </x:c>
      <x:c r="N3277" s="7" t="n">
        <x:v>1</x:v>
      </x:c>
      <x:c r="O3277" s="7" t="n">
        <x:v>0</x:v>
      </x:c>
      <x:c r="P3277" s="9" t="n">
        <x:v>11.53</x:v>
      </x:c>
      <x:c r="Q3277" s="7" t="n">
        <x:f>'Guide'!$B$5-L3277</x:f>
        <x:v>5</x:v>
      </x:c>
      <x:c r="R3277" s="9" t="n">
        <x:f>K3277-P3277</x:f>
        <x:v>12.47</x:v>
      </x:c>
      <x:c r="S3277" s="10" t="n">
        <x:f>IF(K3277&gt;0,R3277/K3277,"")</x:f>
        <x:v>0.5195833333333334</x:v>
      </x:c>
    </x:row>
    <x:row r="3278">
      <x:c r="A3278" s="7" t="n">
        <x:v>3274</x:v>
      </x:c>
      <x:c r="B3278" s="7" t="str">
        <x:v>Tata</x:v>
      </x:c>
      <x:c r="C3278" s="7" t="str">
        <x:v>Harrier</x:v>
      </x:c>
      <x:c r="D3278" s="7" t="str">
        <x:v>Fearless AT</x:v>
      </x:c>
      <x:c r="E3278" s="7" t="str">
        <x:v>Diesel</x:v>
      </x:c>
      <x:c r="F3278" s="7" t="str">
        <x:v>Automatic</x:v>
      </x:c>
      <x:c r="G3278" s="7" t="str">
        <x:v>Mid-Size SUV</x:v>
      </x:c>
      <x:c r="H3278" s="7" t="n">
        <x:v>1956</x:v>
      </x:c>
      <x:c r="I3278" s="7" t="n">
        <x:v>168</x:v>
      </x:c>
      <x:c r="J3278" s="9" t="n">
        <x:v>14.6</x:v>
      </x:c>
      <x:c r="K3278" s="9" t="n">
        <x:v>24</x:v>
      </x:c>
      <x:c r="L3278" s="7" t="n">
        <x:v>2023</x:v>
      </x:c>
      <x:c r="M3278" s="11" t="n">
        <x:v>57264</x:v>
      </x:c>
      <x:c r="N3278" s="7" t="n">
        <x:v>1</x:v>
      </x:c>
      <x:c r="O3278" s="7" t="n">
        <x:v>0</x:v>
      </x:c>
      <x:c r="P3278" s="9" t="n">
        <x:v>16.92</x:v>
      </x:c>
      <x:c r="Q3278" s="7" t="n">
        <x:f>'Guide'!$B$5-L3278</x:f>
        <x:v>3</x:v>
      </x:c>
      <x:c r="R3278" s="9" t="n">
        <x:f>K3278-P3278</x:f>
        <x:v>7.079999999999998</x:v>
      </x:c>
      <x:c r="S3278" s="10" t="n">
        <x:f>IF(K3278&gt;0,R3278/K3278,"")</x:f>
        <x:v>0.29499999999999993</x:v>
      </x:c>
    </x:row>
    <x:row r="3279">
      <x:c r="A3279" s="7" t="n">
        <x:v>3275</x:v>
      </x:c>
      <x:c r="B3279" s="7" t="str">
        <x:v>Tata</x:v>
      </x:c>
      <x:c r="C3279" s="7" t="str">
        <x:v>Harrier</x:v>
      </x:c>
      <x:c r="D3279" s="7" t="str">
        <x:v>Fearless AT</x:v>
      </x:c>
      <x:c r="E3279" s="7" t="str">
        <x:v>Diesel</x:v>
      </x:c>
      <x:c r="F3279" s="7" t="str">
        <x:v>Automatic</x:v>
      </x:c>
      <x:c r="G3279" s="7" t="str">
        <x:v>Mid-Size SUV</x:v>
      </x:c>
      <x:c r="H3279" s="7" t="n">
        <x:v>1956</x:v>
      </x:c>
      <x:c r="I3279" s="7" t="n">
        <x:v>168</x:v>
      </x:c>
      <x:c r="J3279" s="9" t="n">
        <x:v>14.6</x:v>
      </x:c>
      <x:c r="K3279" s="9" t="n">
        <x:v>24</x:v>
      </x:c>
      <x:c r="L3279" s="7" t="n">
        <x:v>2022</x:v>
      </x:c>
      <x:c r="M3279" s="11" t="n">
        <x:v>55592</x:v>
      </x:c>
      <x:c r="N3279" s="7" t="n">
        <x:v>1</x:v>
      </x:c>
      <x:c r="O3279" s="7" t="n">
        <x:v>1</x:v>
      </x:c>
      <x:c r="P3279" s="9" t="n">
        <x:v>13.73</x:v>
      </x:c>
      <x:c r="Q3279" s="7" t="n">
        <x:f>'Guide'!$B$5-L3279</x:f>
        <x:v>4</x:v>
      </x:c>
      <x:c r="R3279" s="9" t="n">
        <x:f>K3279-P3279</x:f>
        <x:v>10.27</x:v>
      </x:c>
      <x:c r="S3279" s="10" t="n">
        <x:f>IF(K3279&gt;0,R3279/K3279,"")</x:f>
        <x:v>0.42791666666666667</x:v>
      </x:c>
    </x:row>
    <x:row r="3280">
      <x:c r="A3280" s="7" t="n">
        <x:v>3276</x:v>
      </x:c>
      <x:c r="B3280" s="7" t="str">
        <x:v>Tata</x:v>
      </x:c>
      <x:c r="C3280" s="7" t="str">
        <x:v>Harrier</x:v>
      </x:c>
      <x:c r="D3280" s="7" t="str">
        <x:v>Fearless AT</x:v>
      </x:c>
      <x:c r="E3280" s="7" t="str">
        <x:v>Diesel</x:v>
      </x:c>
      <x:c r="F3280" s="7" t="str">
        <x:v>Automatic</x:v>
      </x:c>
      <x:c r="G3280" s="7" t="str">
        <x:v>Mid-Size SUV</x:v>
      </x:c>
      <x:c r="H3280" s="7" t="n">
        <x:v>1956</x:v>
      </x:c>
      <x:c r="I3280" s="7" t="n">
        <x:v>168</x:v>
      </x:c>
      <x:c r="J3280" s="9" t="n">
        <x:v>14.6</x:v>
      </x:c>
      <x:c r="K3280" s="9" t="n">
        <x:v>24</x:v>
      </x:c>
      <x:c r="L3280" s="7" t="n">
        <x:v>2021</x:v>
      </x:c>
      <x:c r="M3280" s="11" t="n">
        <x:v>99312</x:v>
      </x:c>
      <x:c r="N3280" s="7" t="n">
        <x:v>3</x:v>
      </x:c>
      <x:c r="O3280" s="7" t="n">
        <x:v>0</x:v>
      </x:c>
      <x:c r="P3280" s="9" t="n">
        <x:v>11.12</x:v>
      </x:c>
      <x:c r="Q3280" s="7" t="n">
        <x:f>'Guide'!$B$5-L3280</x:f>
        <x:v>5</x:v>
      </x:c>
      <x:c r="R3280" s="9" t="n">
        <x:f>K3280-P3280</x:f>
        <x:v>12.88</x:v>
      </x:c>
      <x:c r="S3280" s="10" t="n">
        <x:f>IF(K3280&gt;0,R3280/K3280,"")</x:f>
        <x:v>0.5366666666666667</x:v>
      </x:c>
    </x:row>
    <x:row r="3281">
      <x:c r="A3281" s="7" t="n">
        <x:v>3277</x:v>
      </x:c>
      <x:c r="B3281" s="7" t="str">
        <x:v>Tata</x:v>
      </x:c>
      <x:c r="C3281" s="7" t="str">
        <x:v>Harrier</x:v>
      </x:c>
      <x:c r="D3281" s="7" t="str">
        <x:v>Fearless AT</x:v>
      </x:c>
      <x:c r="E3281" s="7" t="str">
        <x:v>Diesel</x:v>
      </x:c>
      <x:c r="F3281" s="7" t="str">
        <x:v>Automatic</x:v>
      </x:c>
      <x:c r="G3281" s="7" t="str">
        <x:v>Mid-Size SUV</x:v>
      </x:c>
      <x:c r="H3281" s="7" t="n">
        <x:v>1956</x:v>
      </x:c>
      <x:c r="I3281" s="7" t="n">
        <x:v>168</x:v>
      </x:c>
      <x:c r="J3281" s="9" t="n">
        <x:v>14.6</x:v>
      </x:c>
      <x:c r="K3281" s="9" t="n">
        <x:v>24</x:v>
      </x:c>
      <x:c r="L3281" s="7" t="n">
        <x:v>2022</x:v>
      </x:c>
      <x:c r="M3281" s="11" t="n">
        <x:v>77272</x:v>
      </x:c>
      <x:c r="N3281" s="7" t="n">
        <x:v>1</x:v>
      </x:c>
      <x:c r="O3281" s="7" t="n">
        <x:v>0</x:v>
      </x:c>
      <x:c r="P3281" s="9" t="n">
        <x:v>14.36</x:v>
      </x:c>
      <x:c r="Q3281" s="7" t="n">
        <x:f>'Guide'!$B$5-L3281</x:f>
        <x:v>4</x:v>
      </x:c>
      <x:c r="R3281" s="9" t="n">
        <x:f>K3281-P3281</x:f>
        <x:v>9.64</x:v>
      </x:c>
      <x:c r="S3281" s="10" t="n">
        <x:f>IF(K3281&gt;0,R3281/K3281,"")</x:f>
        <x:v>0.40166666666666667</x:v>
      </x:c>
    </x:row>
    <x:row r="3282">
      <x:c r="A3282" s="7" t="n">
        <x:v>3278</x:v>
      </x:c>
      <x:c r="B3282" s="7" t="str">
        <x:v>Tata</x:v>
      </x:c>
      <x:c r="C3282" s="7" t="str">
        <x:v>Harrier</x:v>
      </x:c>
      <x:c r="D3282" s="7" t="str">
        <x:v>Fearless AT</x:v>
      </x:c>
      <x:c r="E3282" s="7" t="str">
        <x:v>Diesel</x:v>
      </x:c>
      <x:c r="F3282" s="7" t="str">
        <x:v>Automatic</x:v>
      </x:c>
      <x:c r="G3282" s="7" t="str">
        <x:v>Mid-Size SUV</x:v>
      </x:c>
      <x:c r="H3282" s="7" t="n">
        <x:v>1956</x:v>
      </x:c>
      <x:c r="I3282" s="7" t="n">
        <x:v>168</x:v>
      </x:c>
      <x:c r="J3282" s="9" t="n">
        <x:v>14.6</x:v>
      </x:c>
      <x:c r="K3282" s="9" t="n">
        <x:v>24</x:v>
      </x:c>
      <x:c r="L3282" s="7" t="n">
        <x:v>2023</x:v>
      </x:c>
      <x:c r="M3282" s="11" t="n">
        <x:v>33564</x:v>
      </x:c>
      <x:c r="N3282" s="7" t="n">
        <x:v>2</x:v>
      </x:c>
      <x:c r="O3282" s="7" t="n">
        <x:v>0</x:v>
      </x:c>
      <x:c r="P3282" s="9" t="n">
        <x:v>16.61</x:v>
      </x:c>
      <x:c r="Q3282" s="7" t="n">
        <x:f>'Guide'!$B$5-L3282</x:f>
        <x:v>3</x:v>
      </x:c>
      <x:c r="R3282" s="9" t="n">
        <x:f>K3282-P3282</x:f>
        <x:v>7.390000000000001</x:v>
      </x:c>
      <x:c r="S3282" s="10" t="n">
        <x:f>IF(K3282&gt;0,R3282/K3282,"")</x:f>
        <x:v>0.30791666666666667</x:v>
      </x:c>
    </x:row>
    <x:row r="3283">
      <x:c r="A3283" s="7" t="n">
        <x:v>3279</x:v>
      </x:c>
      <x:c r="B3283" s="7" t="str">
        <x:v>Tata</x:v>
      </x:c>
      <x:c r="C3283" s="7" t="str">
        <x:v>Harrier</x:v>
      </x:c>
      <x:c r="D3283" s="7" t="str">
        <x:v>Fearless AT</x:v>
      </x:c>
      <x:c r="E3283" s="7" t="str">
        <x:v>Diesel</x:v>
      </x:c>
      <x:c r="F3283" s="7" t="str">
        <x:v>Automatic</x:v>
      </x:c>
      <x:c r="G3283" s="7" t="str">
        <x:v>Mid-Size SUV</x:v>
      </x:c>
      <x:c r="H3283" s="7" t="n">
        <x:v>1956</x:v>
      </x:c>
      <x:c r="I3283" s="7" t="n">
        <x:v>168</x:v>
      </x:c>
      <x:c r="J3283" s="9" t="n">
        <x:v>14.6</x:v>
      </x:c>
      <x:c r="K3283" s="9" t="n">
        <x:v>24</x:v>
      </x:c>
      <x:c r="L3283" s="7" t="n">
        <x:v>2020</x:v>
      </x:c>
      <x:c r="M3283" s="11" t="n">
        <x:v>92999</x:v>
      </x:c>
      <x:c r="N3283" s="7" t="n">
        <x:v>1</x:v>
      </x:c>
      <x:c r="O3283" s="7" t="n">
        <x:v>0</x:v>
      </x:c>
      <x:c r="P3283" s="9" t="n">
        <x:v>10.03</x:v>
      </x:c>
      <x:c r="Q3283" s="7" t="n">
        <x:f>'Guide'!$B$5-L3283</x:f>
        <x:v>6</x:v>
      </x:c>
      <x:c r="R3283" s="9" t="n">
        <x:f>K3283-P3283</x:f>
        <x:v>13.97</x:v>
      </x:c>
      <x:c r="S3283" s="10" t="n">
        <x:f>IF(K3283&gt;0,R3283/K3283,"")</x:f>
        <x:v>0.5820833333333334</x:v>
      </x:c>
    </x:row>
    <x:row r="3284">
      <x:c r="A3284" s="7" t="n">
        <x:v>3280</x:v>
      </x:c>
      <x:c r="B3284" s="7" t="str">
        <x:v>Tata</x:v>
      </x:c>
      <x:c r="C3284" s="7" t="str">
        <x:v>Harrier</x:v>
      </x:c>
      <x:c r="D3284" s="7" t="str">
        <x:v>Fearless AT</x:v>
      </x:c>
      <x:c r="E3284" s="7" t="str">
        <x:v>Diesel</x:v>
      </x:c>
      <x:c r="F3284" s="7" t="str">
        <x:v>Automatic</x:v>
      </x:c>
      <x:c r="G3284" s="7" t="str">
        <x:v>Mid-Size SUV</x:v>
      </x:c>
      <x:c r="H3284" s="7" t="n">
        <x:v>1956</x:v>
      </x:c>
      <x:c r="I3284" s="7" t="n">
        <x:v>168</x:v>
      </x:c>
      <x:c r="J3284" s="9" t="n">
        <x:v>14.6</x:v>
      </x:c>
      <x:c r="K3284" s="9" t="n">
        <x:v>24</x:v>
      </x:c>
      <x:c r="L3284" s="7" t="n">
        <x:v>2021</x:v>
      </x:c>
      <x:c r="M3284" s="11" t="n">
        <x:v>47505</x:v>
      </x:c>
      <x:c r="N3284" s="7" t="n">
        <x:v>1</x:v>
      </x:c>
      <x:c r="O3284" s="7" t="n">
        <x:v>0</x:v>
      </x:c>
      <x:c r="P3284" s="9" t="n">
        <x:v>13.03</x:v>
      </x:c>
      <x:c r="Q3284" s="7" t="n">
        <x:f>'Guide'!$B$5-L3284</x:f>
        <x:v>5</x:v>
      </x:c>
      <x:c r="R3284" s="9" t="n">
        <x:f>K3284-P3284</x:f>
        <x:v>10.97</x:v>
      </x:c>
      <x:c r="S3284" s="10" t="n">
        <x:f>IF(K3284&gt;0,R3284/K3284,"")</x:f>
        <x:v>0.45708333333333334</x:v>
      </x:c>
    </x:row>
    <x:row r="3285">
      <x:c r="A3285" s="7" t="n">
        <x:v>3281</x:v>
      </x:c>
      <x:c r="B3285" s="7" t="str">
        <x:v>Tata</x:v>
      </x:c>
      <x:c r="C3285" s="7" t="str">
        <x:v>Harrier</x:v>
      </x:c>
      <x:c r="D3285" s="7" t="str">
        <x:v>Fearless AT</x:v>
      </x:c>
      <x:c r="E3285" s="7" t="str">
        <x:v>Diesel</x:v>
      </x:c>
      <x:c r="F3285" s="7" t="str">
        <x:v>Automatic</x:v>
      </x:c>
      <x:c r="G3285" s="7" t="str">
        <x:v>Mid-Size SUV</x:v>
      </x:c>
      <x:c r="H3285" s="7" t="n">
        <x:v>1956</x:v>
      </x:c>
      <x:c r="I3285" s="7" t="n">
        <x:v>168</x:v>
      </x:c>
      <x:c r="J3285" s="9" t="n">
        <x:v>14.6</x:v>
      </x:c>
      <x:c r="K3285" s="9" t="n">
        <x:v>24</x:v>
      </x:c>
      <x:c r="L3285" s="7" t="n">
        <x:v>2025</x:v>
      </x:c>
      <x:c r="M3285" s="11" t="n">
        <x:v>13924</x:v>
      </x:c>
      <x:c r="N3285" s="7" t="n">
        <x:v>1</x:v>
      </x:c>
      <x:c r="O3285" s="7" t="n">
        <x:v>0</x:v>
      </x:c>
      <x:c r="P3285" s="9" t="n">
        <x:v>21.44</x:v>
      </x:c>
      <x:c r="Q3285" s="7" t="n">
        <x:f>'Guide'!$B$5-L3285</x:f>
        <x:v>1</x:v>
      </x:c>
      <x:c r="R3285" s="9" t="n">
        <x:f>K3285-P3285</x:f>
        <x:v>2.5599999999999987</x:v>
      </x:c>
      <x:c r="S3285" s="10" t="n">
        <x:f>IF(K3285&gt;0,R3285/K3285,"")</x:f>
        <x:v>0.10666666666666662</x:v>
      </x:c>
    </x:row>
    <x:row r="3286">
      <x:c r="A3286" s="7" t="n">
        <x:v>3282</x:v>
      </x:c>
      <x:c r="B3286" s="7" t="str">
        <x:v>Tata</x:v>
      </x:c>
      <x:c r="C3286" s="7" t="str">
        <x:v>Harrier</x:v>
      </x:c>
      <x:c r="D3286" s="7" t="str">
        <x:v>Fearless AT</x:v>
      </x:c>
      <x:c r="E3286" s="7" t="str">
        <x:v>Diesel</x:v>
      </x:c>
      <x:c r="F3286" s="7" t="str">
        <x:v>Automatic</x:v>
      </x:c>
      <x:c r="G3286" s="7" t="str">
        <x:v>Mid-Size SUV</x:v>
      </x:c>
      <x:c r="H3286" s="7" t="n">
        <x:v>1956</x:v>
      </x:c>
      <x:c r="I3286" s="7" t="n">
        <x:v>168</x:v>
      </x:c>
      <x:c r="J3286" s="9" t="n">
        <x:v>14.6</x:v>
      </x:c>
      <x:c r="K3286" s="9" t="n">
        <x:v>24</x:v>
      </x:c>
      <x:c r="L3286" s="7" t="n">
        <x:v>2025</x:v>
      </x:c>
      <x:c r="M3286" s="11" t="n">
        <x:v>18537</x:v>
      </x:c>
      <x:c r="N3286" s="7" t="n">
        <x:v>2</x:v>
      </x:c>
      <x:c r="O3286" s="7" t="n">
        <x:v>0</x:v>
      </x:c>
      <x:c r="P3286" s="9" t="n">
        <x:v>21.38</x:v>
      </x:c>
      <x:c r="Q3286" s="7" t="n">
        <x:f>'Guide'!$B$5-L3286</x:f>
        <x:v>1</x:v>
      </x:c>
      <x:c r="R3286" s="9" t="n">
        <x:f>K3286-P3286</x:f>
        <x:v>2.620000000000001</x:v>
      </x:c>
      <x:c r="S3286" s="10" t="n">
        <x:f>IF(K3286&gt;0,R3286/K3286,"")</x:f>
        <x:v>0.1091666666666667</x:v>
      </x:c>
    </x:row>
    <x:row r="3287">
      <x:c r="A3287" s="7" t="n">
        <x:v>3283</x:v>
      </x:c>
      <x:c r="B3287" s="7" t="str">
        <x:v>Tata</x:v>
      </x:c>
      <x:c r="C3287" s="7" t="str">
        <x:v>Harrier</x:v>
      </x:c>
      <x:c r="D3287" s="7" t="str">
        <x:v>Fearless AT</x:v>
      </x:c>
      <x:c r="E3287" s="7" t="str">
        <x:v>Diesel</x:v>
      </x:c>
      <x:c r="F3287" s="7" t="str">
        <x:v>Automatic</x:v>
      </x:c>
      <x:c r="G3287" s="7" t="str">
        <x:v>Mid-Size SUV</x:v>
      </x:c>
      <x:c r="H3287" s="7" t="n">
        <x:v>1956</x:v>
      </x:c>
      <x:c r="I3287" s="7" t="n">
        <x:v>168</x:v>
      </x:c>
      <x:c r="J3287" s="9" t="n">
        <x:v>14.6</x:v>
      </x:c>
      <x:c r="K3287" s="9" t="n">
        <x:v>24</x:v>
      </x:c>
      <x:c r="L3287" s="7" t="n">
        <x:v>2020</x:v>
      </x:c>
      <x:c r="M3287" s="11" t="n">
        <x:v>129036</x:v>
      </x:c>
      <x:c r="N3287" s="7" t="n">
        <x:v>2</x:v>
      </x:c>
      <x:c r="O3287" s="7" t="n">
        <x:v>0</x:v>
      </x:c>
      <x:c r="P3287" s="9" t="n">
        <x:v>8.17</x:v>
      </x:c>
      <x:c r="Q3287" s="7" t="n">
        <x:f>'Guide'!$B$5-L3287</x:f>
        <x:v>6</x:v>
      </x:c>
      <x:c r="R3287" s="9" t="n">
        <x:f>K3287-P3287</x:f>
        <x:v>15.83</x:v>
      </x:c>
      <x:c r="S3287" s="10" t="n">
        <x:f>IF(K3287&gt;0,R3287/K3287,"")</x:f>
        <x:v>0.6595833333333333</x:v>
      </x:c>
    </x:row>
    <x:row r="3288">
      <x:c r="A3288" s="7" t="n">
        <x:v>3284</x:v>
      </x:c>
      <x:c r="B3288" s="7" t="str">
        <x:v>Tata</x:v>
      </x:c>
      <x:c r="C3288" s="7" t="str">
        <x:v>Harrier</x:v>
      </x:c>
      <x:c r="D3288" s="7" t="str">
        <x:v>Fearless AT</x:v>
      </x:c>
      <x:c r="E3288" s="7" t="str">
        <x:v>Diesel</x:v>
      </x:c>
      <x:c r="F3288" s="7" t="str">
        <x:v>Automatic</x:v>
      </x:c>
      <x:c r="G3288" s="7" t="str">
        <x:v>Mid-Size SUV</x:v>
      </x:c>
      <x:c r="H3288" s="7" t="n">
        <x:v>1956</x:v>
      </x:c>
      <x:c r="I3288" s="7" t="n">
        <x:v>168</x:v>
      </x:c>
      <x:c r="J3288" s="9" t="n">
        <x:v>14.6</x:v>
      </x:c>
      <x:c r="K3288" s="9" t="n">
        <x:v>24</x:v>
      </x:c>
      <x:c r="L3288" s="7" t="n">
        <x:v>2025</x:v>
      </x:c>
      <x:c r="M3288" s="11" t="n">
        <x:v>13346</x:v>
      </x:c>
      <x:c r="N3288" s="7" t="n">
        <x:v>1</x:v>
      </x:c>
      <x:c r="O3288" s="7" t="n">
        <x:v>0</x:v>
      </x:c>
      <x:c r="P3288" s="9" t="n">
        <x:v>21.6</x:v>
      </x:c>
      <x:c r="Q3288" s="7" t="n">
        <x:f>'Guide'!$B$5-L3288</x:f>
        <x:v>1</x:v>
      </x:c>
      <x:c r="R3288" s="9" t="n">
        <x:f>K3288-P3288</x:f>
        <x:v>2.3999999999999986</x:v>
      </x:c>
      <x:c r="S3288" s="10" t="n">
        <x:f>IF(K3288&gt;0,R3288/K3288,"")</x:f>
        <x:v>0.09999999999999994</x:v>
      </x:c>
    </x:row>
    <x:row r="3289">
      <x:c r="A3289" s="7" t="n">
        <x:v>3285</x:v>
      </x:c>
      <x:c r="B3289" s="7" t="str">
        <x:v>Tata</x:v>
      </x:c>
      <x:c r="C3289" s="7" t="str">
        <x:v>Harrier</x:v>
      </x:c>
      <x:c r="D3289" s="7" t="str">
        <x:v>Fearless AT</x:v>
      </x:c>
      <x:c r="E3289" s="7" t="str">
        <x:v>Diesel</x:v>
      </x:c>
      <x:c r="F3289" s="7" t="str">
        <x:v>Automatic</x:v>
      </x:c>
      <x:c r="G3289" s="7" t="str">
        <x:v>Mid-Size SUV</x:v>
      </x:c>
      <x:c r="H3289" s="7" t="n">
        <x:v>1956</x:v>
      </x:c>
      <x:c r="I3289" s="7" t="n">
        <x:v>168</x:v>
      </x:c>
      <x:c r="J3289" s="9" t="n">
        <x:v>14.6</x:v>
      </x:c>
      <x:c r="K3289" s="9" t="n">
        <x:v>24</x:v>
      </x:c>
      <x:c r="L3289" s="7" t="n">
        <x:v>2020</x:v>
      </x:c>
      <x:c r="M3289" s="11" t="n">
        <x:v>61515</x:v>
      </x:c>
      <x:c r="N3289" s="7" t="n">
        <x:v>1</x:v>
      </x:c>
      <x:c r="O3289" s="7" t="n">
        <x:v>0</x:v>
      </x:c>
      <x:c r="P3289" s="9" t="n">
        <x:v>10.54</x:v>
      </x:c>
      <x:c r="Q3289" s="7" t="n">
        <x:f>'Guide'!$B$5-L3289</x:f>
        <x:v>6</x:v>
      </x:c>
      <x:c r="R3289" s="9" t="n">
        <x:f>K3289-P3289</x:f>
        <x:v>13.46</x:v>
      </x:c>
      <x:c r="S3289" s="10" t="n">
        <x:f>IF(K3289&gt;0,R3289/K3289,"")</x:f>
        <x:v>0.5608333333333334</x:v>
      </x:c>
    </x:row>
    <x:row r="3290">
      <x:c r="A3290" s="7" t="n">
        <x:v>3286</x:v>
      </x:c>
      <x:c r="B3290" s="7" t="str">
        <x:v>Tata</x:v>
      </x:c>
      <x:c r="C3290" s="7" t="str">
        <x:v>Harrier</x:v>
      </x:c>
      <x:c r="D3290" s="7" t="str">
        <x:v>Fearless AT</x:v>
      </x:c>
      <x:c r="E3290" s="7" t="str">
        <x:v>Diesel</x:v>
      </x:c>
      <x:c r="F3290" s="7" t="str">
        <x:v>Automatic</x:v>
      </x:c>
      <x:c r="G3290" s="7" t="str">
        <x:v>Mid-Size SUV</x:v>
      </x:c>
      <x:c r="H3290" s="7" t="n">
        <x:v>1956</x:v>
      </x:c>
      <x:c r="I3290" s="7" t="n">
        <x:v>168</x:v>
      </x:c>
      <x:c r="J3290" s="9" t="n">
        <x:v>14.6</x:v>
      </x:c>
      <x:c r="K3290" s="9" t="n">
        <x:v>24</x:v>
      </x:c>
      <x:c r="L3290" s="7" t="n">
        <x:v>2024</x:v>
      </x:c>
      <x:c r="M3290" s="11" t="n">
        <x:v>35162</x:v>
      </x:c>
      <x:c r="N3290" s="7" t="n">
        <x:v>1</x:v>
      </x:c>
      <x:c r="O3290" s="7" t="n">
        <x:v>0</x:v>
      </x:c>
      <x:c r="P3290" s="9" t="n">
        <x:v>19.48</x:v>
      </x:c>
      <x:c r="Q3290" s="7" t="n">
        <x:f>'Guide'!$B$5-L3290</x:f>
        <x:v>2</x:v>
      </x:c>
      <x:c r="R3290" s="9" t="n">
        <x:f>K3290-P3290</x:f>
        <x:v>4.52</x:v>
      </x:c>
      <x:c r="S3290" s="10" t="n">
        <x:f>IF(K3290&gt;0,R3290/K3290,"")</x:f>
        <x:v>0.18833333333333332</x:v>
      </x:c>
    </x:row>
    <x:row r="3291">
      <x:c r="A3291" s="7" t="n">
        <x:v>3287</x:v>
      </x:c>
      <x:c r="B3291" s="7" t="str">
        <x:v>Tata</x:v>
      </x:c>
      <x:c r="C3291" s="7" t="str">
        <x:v>Harrier</x:v>
      </x:c>
      <x:c r="D3291" s="7" t="str">
        <x:v>Fearless AT</x:v>
      </x:c>
      <x:c r="E3291" s="7" t="str">
        <x:v>Diesel</x:v>
      </x:c>
      <x:c r="F3291" s="7" t="str">
        <x:v>Automatic</x:v>
      </x:c>
      <x:c r="G3291" s="7" t="str">
        <x:v>Mid-Size SUV</x:v>
      </x:c>
      <x:c r="H3291" s="7" t="n">
        <x:v>1956</x:v>
      </x:c>
      <x:c r="I3291" s="7" t="n">
        <x:v>168</x:v>
      </x:c>
      <x:c r="J3291" s="9" t="n">
        <x:v>14.6</x:v>
      </x:c>
      <x:c r="K3291" s="9" t="n">
        <x:v>24</x:v>
      </x:c>
      <x:c r="L3291" s="7" t="n">
        <x:v>2026</x:v>
      </x:c>
      <x:c r="M3291" s="11" t="n">
        <x:v>5090</x:v>
      </x:c>
      <x:c r="N3291" s="7" t="n">
        <x:v>2</x:v>
      </x:c>
      <x:c r="O3291" s="7" t="n">
        <x:v>1</x:v>
      </x:c>
      <x:c r="P3291" s="9" t="n">
        <x:v>22.4</x:v>
      </x:c>
      <x:c r="Q3291" s="7" t="n">
        <x:f>'Guide'!$B$5-L3291</x:f>
        <x:v>0</x:v>
      </x:c>
      <x:c r="R3291" s="9" t="n">
        <x:f>K3291-P3291</x:f>
        <x:v>1.6000000000000014</x:v>
      </x:c>
      <x:c r="S3291" s="10" t="n">
        <x:f>IF(K3291&gt;0,R3291/K3291,"")</x:f>
        <x:v>0.06666666666666672</x:v>
      </x:c>
    </x:row>
    <x:row r="3292">
      <x:c r="A3292" s="7" t="n">
        <x:v>3288</x:v>
      </x:c>
      <x:c r="B3292" s="7" t="str">
        <x:v>Tata</x:v>
      </x:c>
      <x:c r="C3292" s="7" t="str">
        <x:v>Harrier</x:v>
      </x:c>
      <x:c r="D3292" s="7" t="str">
        <x:v>Fearless AT</x:v>
      </x:c>
      <x:c r="E3292" s="7" t="str">
        <x:v>Diesel</x:v>
      </x:c>
      <x:c r="F3292" s="7" t="str">
        <x:v>Automatic</x:v>
      </x:c>
      <x:c r="G3292" s="7" t="str">
        <x:v>Mid-Size SUV</x:v>
      </x:c>
      <x:c r="H3292" s="7" t="n">
        <x:v>1956</x:v>
      </x:c>
      <x:c r="I3292" s="7" t="n">
        <x:v>168</x:v>
      </x:c>
      <x:c r="J3292" s="9" t="n">
        <x:v>14.6</x:v>
      </x:c>
      <x:c r="K3292" s="9" t="n">
        <x:v>24</x:v>
      </x:c>
      <x:c r="L3292" s="7" t="n">
        <x:v>2021</x:v>
      </x:c>
      <x:c r="M3292" s="11" t="n">
        <x:v>107517</x:v>
      </x:c>
      <x:c r="N3292" s="7" t="n">
        <x:v>1</x:v>
      </x:c>
      <x:c r="O3292" s="7" t="n">
        <x:v>1</x:v>
      </x:c>
      <x:c r="P3292" s="9" t="n">
        <x:v>10.84</x:v>
      </x:c>
      <x:c r="Q3292" s="7" t="n">
        <x:f>'Guide'!$B$5-L3292</x:f>
        <x:v>5</x:v>
      </x:c>
      <x:c r="R3292" s="9" t="n">
        <x:f>K3292-P3292</x:f>
        <x:v>13.16</x:v>
      </x:c>
      <x:c r="S3292" s="10" t="n">
        <x:f>IF(K3292&gt;0,R3292/K3292,"")</x:f>
        <x:v>0.5483333333333333</x:v>
      </x:c>
    </x:row>
    <x:row r="3293">
      <x:c r="A3293" s="7" t="n">
        <x:v>3289</x:v>
      </x:c>
      <x:c r="B3293" s="7" t="str">
        <x:v>Tata</x:v>
      </x:c>
      <x:c r="C3293" s="7" t="str">
        <x:v>Harrier</x:v>
      </x:c>
      <x:c r="D3293" s="7" t="str">
        <x:v>Fearless AT</x:v>
      </x:c>
      <x:c r="E3293" s="7" t="str">
        <x:v>Diesel</x:v>
      </x:c>
      <x:c r="F3293" s="7" t="str">
        <x:v>Automatic</x:v>
      </x:c>
      <x:c r="G3293" s="7" t="str">
        <x:v>Mid-Size SUV</x:v>
      </x:c>
      <x:c r="H3293" s="7" t="n">
        <x:v>1956</x:v>
      </x:c>
      <x:c r="I3293" s="7" t="n">
        <x:v>168</x:v>
      </x:c>
      <x:c r="J3293" s="9" t="n">
        <x:v>14.6</x:v>
      </x:c>
      <x:c r="K3293" s="9" t="n">
        <x:v>24</x:v>
      </x:c>
      <x:c r="L3293" s="7" t="n">
        <x:v>2024</x:v>
      </x:c>
      <x:c r="M3293" s="11" t="n">
        <x:v>24356</x:v>
      </x:c>
      <x:c r="N3293" s="7" t="n">
        <x:v>1</x:v>
      </x:c>
      <x:c r="O3293" s="7" t="n">
        <x:v>0</x:v>
      </x:c>
      <x:c r="P3293" s="9" t="n">
        <x:v>19.61</x:v>
      </x:c>
      <x:c r="Q3293" s="7" t="n">
        <x:f>'Guide'!$B$5-L3293</x:f>
        <x:v>2</x:v>
      </x:c>
      <x:c r="R3293" s="9" t="n">
        <x:f>K3293-P3293</x:f>
        <x:v>4.390000000000001</x:v>
      </x:c>
      <x:c r="S3293" s="10" t="n">
        <x:f>IF(K3293&gt;0,R3293/K3293,"")</x:f>
        <x:v>0.1829166666666667</x:v>
      </x:c>
    </x:row>
    <x:row r="3294">
      <x:c r="A3294" s="7" t="n">
        <x:v>3290</x:v>
      </x:c>
      <x:c r="B3294" s="7" t="str">
        <x:v>Tata</x:v>
      </x:c>
      <x:c r="C3294" s="7" t="str">
        <x:v>Harrier</x:v>
      </x:c>
      <x:c r="D3294" s="7" t="str">
        <x:v>Fearless AT</x:v>
      </x:c>
      <x:c r="E3294" s="7" t="str">
        <x:v>Diesel</x:v>
      </x:c>
      <x:c r="F3294" s="7" t="str">
        <x:v>Automatic</x:v>
      </x:c>
      <x:c r="G3294" s="7" t="str">
        <x:v>Mid-Size SUV</x:v>
      </x:c>
      <x:c r="H3294" s="7" t="n">
        <x:v>1956</x:v>
      </x:c>
      <x:c r="I3294" s="7" t="n">
        <x:v>168</x:v>
      </x:c>
      <x:c r="J3294" s="9" t="n">
        <x:v>14.6</x:v>
      </x:c>
      <x:c r="K3294" s="9" t="n">
        <x:v>24</x:v>
      </x:c>
      <x:c r="L3294" s="7" t="n">
        <x:v>2023</x:v>
      </x:c>
      <x:c r="M3294" s="11" t="n">
        <x:v>58949</x:v>
      </x:c>
      <x:c r="N3294" s="7" t="n">
        <x:v>2</x:v>
      </x:c>
      <x:c r="O3294" s="7" t="n">
        <x:v>1</x:v>
      </x:c>
      <x:c r="P3294" s="9" t="n">
        <x:v>15.28</x:v>
      </x:c>
      <x:c r="Q3294" s="7" t="n">
        <x:f>'Guide'!$B$5-L3294</x:f>
        <x:v>3</x:v>
      </x:c>
      <x:c r="R3294" s="9" t="n">
        <x:f>K3294-P3294</x:f>
        <x:v>8.72</x:v>
      </x:c>
      <x:c r="S3294" s="10" t="n">
        <x:f>IF(K3294&gt;0,R3294/K3294,"")</x:f>
        <x:v>0.36333333333333334</x:v>
      </x:c>
    </x:row>
    <x:row r="3295">
      <x:c r="A3295" s="7" t="n">
        <x:v>3291</x:v>
      </x:c>
      <x:c r="B3295" s="7" t="str">
        <x:v>Tata</x:v>
      </x:c>
      <x:c r="C3295" s="7" t="str">
        <x:v>Harrier</x:v>
      </x:c>
      <x:c r="D3295" s="7" t="str">
        <x:v>Fearless AT</x:v>
      </x:c>
      <x:c r="E3295" s="7" t="str">
        <x:v>Diesel</x:v>
      </x:c>
      <x:c r="F3295" s="7" t="str">
        <x:v>Automatic</x:v>
      </x:c>
      <x:c r="G3295" s="7" t="str">
        <x:v>Mid-Size SUV</x:v>
      </x:c>
      <x:c r="H3295" s="7" t="n">
        <x:v>1956</x:v>
      </x:c>
      <x:c r="I3295" s="7" t="n">
        <x:v>168</x:v>
      </x:c>
      <x:c r="J3295" s="9" t="n">
        <x:v>14.6</x:v>
      </x:c>
      <x:c r="K3295" s="9" t="n">
        <x:v>24</x:v>
      </x:c>
      <x:c r="L3295" s="7" t="n">
        <x:v>2023</x:v>
      </x:c>
      <x:c r="M3295" s="11" t="n">
        <x:v>49881</x:v>
      </x:c>
      <x:c r="N3295" s="7" t="n">
        <x:v>1</x:v>
      </x:c>
      <x:c r="O3295" s="7" t="n">
        <x:v>0</x:v>
      </x:c>
      <x:c r="P3295" s="9" t="n">
        <x:v>16.87</x:v>
      </x:c>
      <x:c r="Q3295" s="7" t="n">
        <x:f>'Guide'!$B$5-L3295</x:f>
        <x:v>3</x:v>
      </x:c>
      <x:c r="R3295" s="9" t="n">
        <x:f>K3295-P3295</x:f>
        <x:v>7.129999999999999</x:v>
      </x:c>
      <x:c r="S3295" s="10" t="n">
        <x:f>IF(K3295&gt;0,R3295/K3295,"")</x:f>
        <x:v>0.2970833333333333</x:v>
      </x:c>
    </x:row>
    <x:row r="3296">
      <x:c r="A3296" s="7" t="n">
        <x:v>3292</x:v>
      </x:c>
      <x:c r="B3296" s="7" t="str">
        <x:v>Tata</x:v>
      </x:c>
      <x:c r="C3296" s="7" t="str">
        <x:v>Harrier</x:v>
      </x:c>
      <x:c r="D3296" s="7" t="str">
        <x:v>Fearless AT</x:v>
      </x:c>
      <x:c r="E3296" s="7" t="str">
        <x:v>Diesel</x:v>
      </x:c>
      <x:c r="F3296" s="7" t="str">
        <x:v>Automatic</x:v>
      </x:c>
      <x:c r="G3296" s="7" t="str">
        <x:v>Mid-Size SUV</x:v>
      </x:c>
      <x:c r="H3296" s="7" t="n">
        <x:v>1956</x:v>
      </x:c>
      <x:c r="I3296" s="7" t="n">
        <x:v>168</x:v>
      </x:c>
      <x:c r="J3296" s="9" t="n">
        <x:v>14.6</x:v>
      </x:c>
      <x:c r="K3296" s="9" t="n">
        <x:v>24</x:v>
      </x:c>
      <x:c r="L3296" s="7" t="n">
        <x:v>2026</x:v>
      </x:c>
      <x:c r="M3296" s="11" t="n">
        <x:v>7908</x:v>
      </x:c>
      <x:c r="N3296" s="7" t="n">
        <x:v>2</x:v>
      </x:c>
      <x:c r="O3296" s="7" t="n">
        <x:v>0</x:v>
      </x:c>
      <x:c r="P3296" s="9" t="n">
        <x:v>23.05</x:v>
      </x:c>
      <x:c r="Q3296" s="7" t="n">
        <x:f>'Guide'!$B$5-L3296</x:f>
        <x:v>0</x:v>
      </x:c>
      <x:c r="R3296" s="9" t="n">
        <x:f>K3296-P3296</x:f>
        <x:v>0.9499999999999993</x:v>
      </x:c>
      <x:c r="S3296" s="10" t="n">
        <x:f>IF(K3296&gt;0,R3296/K3296,"")</x:f>
        <x:v>0.039583333333333304</x:v>
      </x:c>
    </x:row>
    <x:row r="3297">
      <x:c r="A3297" s="7" t="n">
        <x:v>3293</x:v>
      </x:c>
      <x:c r="B3297" s="7" t="str">
        <x:v>Tata</x:v>
      </x:c>
      <x:c r="C3297" s="7" t="str">
        <x:v>Harrier</x:v>
      </x:c>
      <x:c r="D3297" s="7" t="str">
        <x:v>Fearless AT</x:v>
      </x:c>
      <x:c r="E3297" s="7" t="str">
        <x:v>Diesel</x:v>
      </x:c>
      <x:c r="F3297" s="7" t="str">
        <x:v>Automatic</x:v>
      </x:c>
      <x:c r="G3297" s="7" t="str">
        <x:v>Mid-Size SUV</x:v>
      </x:c>
      <x:c r="H3297" s="7" t="n">
        <x:v>1956</x:v>
      </x:c>
      <x:c r="I3297" s="7" t="n">
        <x:v>168</x:v>
      </x:c>
      <x:c r="J3297" s="9" t="n">
        <x:v>14.6</x:v>
      </x:c>
      <x:c r="K3297" s="9" t="n">
        <x:v>24</x:v>
      </x:c>
      <x:c r="L3297" s="7" t="n">
        <x:v>2020</x:v>
      </x:c>
      <x:c r="M3297" s="11" t="n">
        <x:v>128783</x:v>
      </x:c>
      <x:c r="N3297" s="7" t="n">
        <x:v>2</x:v>
      </x:c>
      <x:c r="O3297" s="7" t="n">
        <x:v>0</x:v>
      </x:c>
      <x:c r="P3297" s="9" t="n">
        <x:v>8.13</x:v>
      </x:c>
      <x:c r="Q3297" s="7" t="n">
        <x:f>'Guide'!$B$5-L3297</x:f>
        <x:v>6</x:v>
      </x:c>
      <x:c r="R3297" s="9" t="n">
        <x:f>K3297-P3297</x:f>
        <x:v>15.87</x:v>
      </x:c>
      <x:c r="S3297" s="10" t="n">
        <x:f>IF(K3297&gt;0,R3297/K3297,"")</x:f>
        <x:v>0.66125</x:v>
      </x:c>
    </x:row>
    <x:row r="3298">
      <x:c r="A3298" s="7" t="n">
        <x:v>3294</x:v>
      </x:c>
      <x:c r="B3298" s="7" t="str">
        <x:v>Tata</x:v>
      </x:c>
      <x:c r="C3298" s="7" t="str">
        <x:v>Harrier</x:v>
      </x:c>
      <x:c r="D3298" s="7" t="str">
        <x:v>Fearless AT</x:v>
      </x:c>
      <x:c r="E3298" s="7" t="str">
        <x:v>Diesel</x:v>
      </x:c>
      <x:c r="F3298" s="7" t="str">
        <x:v>Automatic</x:v>
      </x:c>
      <x:c r="G3298" s="7" t="str">
        <x:v>Mid-Size SUV</x:v>
      </x:c>
      <x:c r="H3298" s="7" t="n">
        <x:v>1956</x:v>
      </x:c>
      <x:c r="I3298" s="7" t="n">
        <x:v>168</x:v>
      </x:c>
      <x:c r="J3298" s="9" t="n">
        <x:v>14.6</x:v>
      </x:c>
      <x:c r="K3298" s="9" t="n">
        <x:v>24</x:v>
      </x:c>
      <x:c r="L3298" s="7" t="n">
        <x:v>2023</x:v>
      </x:c>
      <x:c r="M3298" s="11" t="n">
        <x:v>55418</x:v>
      </x:c>
      <x:c r="N3298" s="7" t="n">
        <x:v>2</x:v>
      </x:c>
      <x:c r="O3298" s="7" t="n">
        <x:v>0</x:v>
      </x:c>
      <x:c r="P3298" s="9" t="n">
        <x:v>16.5</x:v>
      </x:c>
      <x:c r="Q3298" s="7" t="n">
        <x:f>'Guide'!$B$5-L3298</x:f>
        <x:v>3</x:v>
      </x:c>
      <x:c r="R3298" s="9" t="n">
        <x:f>K3298-P3298</x:f>
        <x:v>7.5</x:v>
      </x:c>
      <x:c r="S3298" s="10" t="n">
        <x:f>IF(K3298&gt;0,R3298/K3298,"")</x:f>
        <x:v>0.3125</x:v>
      </x:c>
    </x:row>
    <x:row r="3299">
      <x:c r="A3299" s="7" t="n">
        <x:v>3295</x:v>
      </x:c>
      <x:c r="B3299" s="7" t="str">
        <x:v>Tata</x:v>
      </x:c>
      <x:c r="C3299" s="7" t="str">
        <x:v>Harrier</x:v>
      </x:c>
      <x:c r="D3299" s="7" t="str">
        <x:v>Fearless AT</x:v>
      </x:c>
      <x:c r="E3299" s="7" t="str">
        <x:v>Diesel</x:v>
      </x:c>
      <x:c r="F3299" s="7" t="str">
        <x:v>Automatic</x:v>
      </x:c>
      <x:c r="G3299" s="7" t="str">
        <x:v>Mid-Size SUV</x:v>
      </x:c>
      <x:c r="H3299" s="7" t="n">
        <x:v>1956</x:v>
      </x:c>
      <x:c r="I3299" s="7" t="n">
        <x:v>168</x:v>
      </x:c>
      <x:c r="J3299" s="9" t="n">
        <x:v>14.6</x:v>
      </x:c>
      <x:c r="K3299" s="9" t="n">
        <x:v>24</x:v>
      </x:c>
      <x:c r="L3299" s="7" t="n">
        <x:v>2025</x:v>
      </x:c>
      <x:c r="M3299" s="11" t="n">
        <x:v>20165</x:v>
      </x:c>
      <x:c r="N3299" s="7" t="n">
        <x:v>1</x:v>
      </x:c>
      <x:c r="O3299" s="7" t="n">
        <x:v>1</x:v>
      </x:c>
      <x:c r="P3299" s="9" t="n">
        <x:v>20.91</x:v>
      </x:c>
      <x:c r="Q3299" s="7" t="n">
        <x:f>'Guide'!$B$5-L3299</x:f>
        <x:v>1</x:v>
      </x:c>
      <x:c r="R3299" s="9" t="n">
        <x:f>K3299-P3299</x:f>
        <x:v>3.09</x:v>
      </x:c>
      <x:c r="S3299" s="10" t="n">
        <x:f>IF(K3299&gt;0,R3299/K3299,"")</x:f>
        <x:v>0.12875</x:v>
      </x:c>
    </x:row>
    <x:row r="3300">
      <x:c r="A3300" s="7" t="n">
        <x:v>3296</x:v>
      </x:c>
      <x:c r="B3300" s="7" t="str">
        <x:v>Tata</x:v>
      </x:c>
      <x:c r="C3300" s="7" t="str">
        <x:v>Harrier</x:v>
      </x:c>
      <x:c r="D3300" s="7" t="str">
        <x:v>Fearless AT</x:v>
      </x:c>
      <x:c r="E3300" s="7" t="str">
        <x:v>Diesel</x:v>
      </x:c>
      <x:c r="F3300" s="7" t="str">
        <x:v>Automatic</x:v>
      </x:c>
      <x:c r="G3300" s="7" t="str">
        <x:v>Mid-Size SUV</x:v>
      </x:c>
      <x:c r="H3300" s="7" t="n">
        <x:v>1956</x:v>
      </x:c>
      <x:c r="I3300" s="7" t="n">
        <x:v>168</x:v>
      </x:c>
      <x:c r="J3300" s="9" t="n">
        <x:v>14.6</x:v>
      </x:c>
      <x:c r="K3300" s="9" t="n">
        <x:v>24</x:v>
      </x:c>
      <x:c r="L3300" s="7" t="n">
        <x:v>2026</x:v>
      </x:c>
      <x:c r="M3300" s="11" t="n">
        <x:v>4766</x:v>
      </x:c>
      <x:c r="N3300" s="7" t="n">
        <x:v>1</x:v>
      </x:c>
      <x:c r="O3300" s="7" t="n">
        <x:v>0</x:v>
      </x:c>
      <x:c r="P3300" s="9" t="n">
        <x:v>23.94</x:v>
      </x:c>
      <x:c r="Q3300" s="7" t="n">
        <x:f>'Guide'!$B$5-L3300</x:f>
        <x:v>0</x:v>
      </x:c>
      <x:c r="R3300" s="9" t="n">
        <x:f>K3300-P3300</x:f>
        <x:v>0.05999999999999872</x:v>
      </x:c>
      <x:c r="S3300" s="10" t="n">
        <x:f>IF(K3300&gt;0,R3300/K3300,"")</x:f>
        <x:v>0.0024999999999999467</x:v>
      </x:c>
    </x:row>
    <x:row r="3301">
      <x:c r="A3301" s="7" t="n">
        <x:v>3297</x:v>
      </x:c>
      <x:c r="B3301" s="7" t="str">
        <x:v>Tata</x:v>
      </x:c>
      <x:c r="C3301" s="7" t="str">
        <x:v>Harrier</x:v>
      </x:c>
      <x:c r="D3301" s="7" t="str">
        <x:v>Fearless AT</x:v>
      </x:c>
      <x:c r="E3301" s="7" t="str">
        <x:v>Diesel</x:v>
      </x:c>
      <x:c r="F3301" s="7" t="str">
        <x:v>Automatic</x:v>
      </x:c>
      <x:c r="G3301" s="7" t="str">
        <x:v>Mid-Size SUV</x:v>
      </x:c>
      <x:c r="H3301" s="7" t="n">
        <x:v>1956</x:v>
      </x:c>
      <x:c r="I3301" s="7" t="n">
        <x:v>168</x:v>
      </x:c>
      <x:c r="J3301" s="9" t="n">
        <x:v>14.6</x:v>
      </x:c>
      <x:c r="K3301" s="9" t="n">
        <x:v>24</x:v>
      </x:c>
      <x:c r="L3301" s="7" t="n">
        <x:v>2024</x:v>
      </x:c>
      <x:c r="M3301" s="11" t="n">
        <x:v>49396</x:v>
      </x:c>
      <x:c r="N3301" s="7" t="n">
        <x:v>1</x:v>
      </x:c>
      <x:c r="O3301" s="7" t="n">
        <x:v>0</x:v>
      </x:c>
      <x:c r="P3301" s="9" t="n">
        <x:v>18.49</x:v>
      </x:c>
      <x:c r="Q3301" s="7" t="n">
        <x:f>'Guide'!$B$5-L3301</x:f>
        <x:v>2</x:v>
      </x:c>
      <x:c r="R3301" s="9" t="n">
        <x:f>K3301-P3301</x:f>
        <x:v>5.510000000000002</x:v>
      </x:c>
      <x:c r="S3301" s="10" t="n">
        <x:f>IF(K3301&gt;0,R3301/K3301,"")</x:f>
        <x:v>0.2295833333333334</x:v>
      </x:c>
    </x:row>
    <x:row r="3302">
      <x:c r="A3302" s="7" t="n">
        <x:v>3298</x:v>
      </x:c>
      <x:c r="B3302" s="7" t="str">
        <x:v>Tata</x:v>
      </x:c>
      <x:c r="C3302" s="7" t="str">
        <x:v>Harrier</x:v>
      </x:c>
      <x:c r="D3302" s="7" t="str">
        <x:v>Fearless AT</x:v>
      </x:c>
      <x:c r="E3302" s="7" t="str">
        <x:v>Diesel</x:v>
      </x:c>
      <x:c r="F3302" s="7" t="str">
        <x:v>Automatic</x:v>
      </x:c>
      <x:c r="G3302" s="7" t="str">
        <x:v>Mid-Size SUV</x:v>
      </x:c>
      <x:c r="H3302" s="7" t="n">
        <x:v>1956</x:v>
      </x:c>
      <x:c r="I3302" s="7" t="n">
        <x:v>168</x:v>
      </x:c>
      <x:c r="J3302" s="9" t="n">
        <x:v>14.6</x:v>
      </x:c>
      <x:c r="K3302" s="9" t="n">
        <x:v>24</x:v>
      </x:c>
      <x:c r="L3302" s="7" t="n">
        <x:v>2025</x:v>
      </x:c>
      <x:c r="M3302" s="11" t="n">
        <x:v>29881</x:v>
      </x:c>
      <x:c r="N3302" s="7" t="n">
        <x:v>1</x:v>
      </x:c>
      <x:c r="O3302" s="7" t="n">
        <x:v>0</x:v>
      </x:c>
      <x:c r="P3302" s="9" t="n">
        <x:v>21.23</x:v>
      </x:c>
      <x:c r="Q3302" s="7" t="n">
        <x:f>'Guide'!$B$5-L3302</x:f>
        <x:v>1</x:v>
      </x:c>
      <x:c r="R3302" s="9" t="n">
        <x:f>K3302-P3302</x:f>
        <x:v>2.7699999999999996</x:v>
      </x:c>
      <x:c r="S3302" s="10" t="n">
        <x:f>IF(K3302&gt;0,R3302/K3302,"")</x:f>
        <x:v>0.11541666666666665</x:v>
      </x:c>
    </x:row>
    <x:row r="3303">
      <x:c r="A3303" s="7" t="n">
        <x:v>3299</x:v>
      </x:c>
      <x:c r="B3303" s="7" t="str">
        <x:v>Tata</x:v>
      </x:c>
      <x:c r="C3303" s="7" t="str">
        <x:v>Harrier</x:v>
      </x:c>
      <x:c r="D3303" s="7" t="str">
        <x:v>Fearless AT</x:v>
      </x:c>
      <x:c r="E3303" s="7" t="str">
        <x:v>Diesel</x:v>
      </x:c>
      <x:c r="F3303" s="7" t="str">
        <x:v>Automatic</x:v>
      </x:c>
      <x:c r="G3303" s="7" t="str">
        <x:v>Mid-Size SUV</x:v>
      </x:c>
      <x:c r="H3303" s="7" t="n">
        <x:v>1956</x:v>
      </x:c>
      <x:c r="I3303" s="7" t="n">
        <x:v>168</x:v>
      </x:c>
      <x:c r="J3303" s="9" t="n">
        <x:v>14.6</x:v>
      </x:c>
      <x:c r="K3303" s="9" t="n">
        <x:v>24</x:v>
      </x:c>
      <x:c r="L3303" s="7" t="n">
        <x:v>2021</x:v>
      </x:c>
      <x:c r="M3303" s="11" t="n">
        <x:v>54022</x:v>
      </x:c>
      <x:c r="N3303" s="7" t="n">
        <x:v>1</x:v>
      </x:c>
      <x:c r="O3303" s="7" t="n">
        <x:v>0</x:v>
      </x:c>
      <x:c r="P3303" s="9" t="n">
        <x:v>12.58</x:v>
      </x:c>
      <x:c r="Q3303" s="7" t="n">
        <x:f>'Guide'!$B$5-L3303</x:f>
        <x:v>5</x:v>
      </x:c>
      <x:c r="R3303" s="9" t="n">
        <x:f>K3303-P3303</x:f>
        <x:v>11.42</x:v>
      </x:c>
      <x:c r="S3303" s="10" t="n">
        <x:f>IF(K3303&gt;0,R3303/K3303,"")</x:f>
        <x:v>0.47583333333333333</x:v>
      </x:c>
    </x:row>
    <x:row r="3304">
      <x:c r="A3304" s="7" t="n">
        <x:v>3300</x:v>
      </x:c>
      <x:c r="B3304" s="7" t="str">
        <x:v>Tata</x:v>
      </x:c>
      <x:c r="C3304" s="7" t="str">
        <x:v>Harrier</x:v>
      </x:c>
      <x:c r="D3304" s="7" t="str">
        <x:v>Fearless AT</x:v>
      </x:c>
      <x:c r="E3304" s="7" t="str">
        <x:v>Diesel</x:v>
      </x:c>
      <x:c r="F3304" s="7" t="str">
        <x:v>Automatic</x:v>
      </x:c>
      <x:c r="G3304" s="7" t="str">
        <x:v>Mid-Size SUV</x:v>
      </x:c>
      <x:c r="H3304" s="7" t="n">
        <x:v>1956</x:v>
      </x:c>
      <x:c r="I3304" s="7" t="n">
        <x:v>168</x:v>
      </x:c>
      <x:c r="J3304" s="9" t="n">
        <x:v>14.6</x:v>
      </x:c>
      <x:c r="K3304" s="9" t="n">
        <x:v>24</x:v>
      </x:c>
      <x:c r="L3304" s="7" t="n">
        <x:v>2024</x:v>
      </x:c>
      <x:c r="M3304" s="11" t="n">
        <x:v>47342</x:v>
      </x:c>
      <x:c r="N3304" s="7" t="n">
        <x:v>1</x:v>
      </x:c>
      <x:c r="O3304" s="7" t="n">
        <x:v>1</x:v>
      </x:c>
      <x:c r="P3304" s="9" t="n">
        <x:v>17.72</x:v>
      </x:c>
      <x:c r="Q3304" s="7" t="n">
        <x:f>'Guide'!$B$5-L3304</x:f>
        <x:v>2</x:v>
      </x:c>
      <x:c r="R3304" s="9" t="n">
        <x:f>K3304-P3304</x:f>
        <x:v>6.280000000000001</x:v>
      </x:c>
      <x:c r="S3304" s="10" t="n">
        <x:f>IF(K3304&gt;0,R3304/K3304,"")</x:f>
        <x:v>0.2616666666666667</x:v>
      </x:c>
    </x:row>
    <x:row r="3305">
      <x:c r="A3305" s="7" t="n">
        <x:v>3301</x:v>
      </x:c>
      <x:c r="B3305" s="7" t="str">
        <x:v>Tata</x:v>
      </x:c>
      <x:c r="C3305" s="7" t="str">
        <x:v>Harrier</x:v>
      </x:c>
      <x:c r="D3305" s="7" t="str">
        <x:v>Fearless AT</x:v>
      </x:c>
      <x:c r="E3305" s="7" t="str">
        <x:v>Diesel</x:v>
      </x:c>
      <x:c r="F3305" s="7" t="str">
        <x:v>Automatic</x:v>
      </x:c>
      <x:c r="G3305" s="7" t="str">
        <x:v>Mid-Size SUV</x:v>
      </x:c>
      <x:c r="H3305" s="7" t="n">
        <x:v>1956</x:v>
      </x:c>
      <x:c r="I3305" s="7" t="n">
        <x:v>168</x:v>
      </x:c>
      <x:c r="J3305" s="9" t="n">
        <x:v>14.6</x:v>
      </x:c>
      <x:c r="K3305" s="9" t="n">
        <x:v>24</x:v>
      </x:c>
      <x:c r="L3305" s="7" t="n">
        <x:v>2020</x:v>
      </x:c>
      <x:c r="M3305" s="11" t="n">
        <x:v>121960</x:v>
      </x:c>
      <x:c r="N3305" s="7" t="n">
        <x:v>2</x:v>
      </x:c>
      <x:c r="O3305" s="7" t="n">
        <x:v>0</x:v>
      </x:c>
      <x:c r="P3305" s="9" t="n">
        <x:v>8.45</x:v>
      </x:c>
      <x:c r="Q3305" s="7" t="n">
        <x:f>'Guide'!$B$5-L3305</x:f>
        <x:v>6</x:v>
      </x:c>
      <x:c r="R3305" s="9" t="n">
        <x:f>K3305-P3305</x:f>
        <x:v>15.55</x:v>
      </x:c>
      <x:c r="S3305" s="10" t="n">
        <x:f>IF(K3305&gt;0,R3305/K3305,"")</x:f>
        <x:v>0.6479166666666667</x:v>
      </x:c>
    </x:row>
    <x:row r="3306">
      <x:c r="A3306" s="7" t="n">
        <x:v>3302</x:v>
      </x:c>
      <x:c r="B3306" s="7" t="str">
        <x:v>Tata</x:v>
      </x:c>
      <x:c r="C3306" s="7" t="str">
        <x:v>Harrier</x:v>
      </x:c>
      <x:c r="D3306" s="7" t="str">
        <x:v>Fearless AT</x:v>
      </x:c>
      <x:c r="E3306" s="7" t="str">
        <x:v>Diesel</x:v>
      </x:c>
      <x:c r="F3306" s="7" t="str">
        <x:v>Automatic</x:v>
      </x:c>
      <x:c r="G3306" s="7" t="str">
        <x:v>Mid-Size SUV</x:v>
      </x:c>
      <x:c r="H3306" s="7" t="n">
        <x:v>1956</x:v>
      </x:c>
      <x:c r="I3306" s="7" t="n">
        <x:v>168</x:v>
      </x:c>
      <x:c r="J3306" s="9" t="n">
        <x:v>14.6</x:v>
      </x:c>
      <x:c r="K3306" s="9" t="n">
        <x:v>24</x:v>
      </x:c>
      <x:c r="L3306" s="7" t="n">
        <x:v>2020</x:v>
      </x:c>
      <x:c r="M3306" s="11" t="n">
        <x:v>111502</x:v>
      </x:c>
      <x:c r="N3306" s="7" t="n">
        <x:v>1</x:v>
      </x:c>
      <x:c r="O3306" s="7" t="n">
        <x:v>0</x:v>
      </x:c>
      <x:c r="P3306" s="9" t="n">
        <x:v>9.01</x:v>
      </x:c>
      <x:c r="Q3306" s="7" t="n">
        <x:f>'Guide'!$B$5-L3306</x:f>
        <x:v>6</x:v>
      </x:c>
      <x:c r="R3306" s="9" t="n">
        <x:f>K3306-P3306</x:f>
        <x:v>14.99</x:v>
      </x:c>
      <x:c r="S3306" s="10" t="n">
        <x:f>IF(K3306&gt;0,R3306/K3306,"")</x:f>
        <x:v>0.6245833333333334</x:v>
      </x:c>
    </x:row>
    <x:row r="3307">
      <x:c r="A3307" s="7" t="n">
        <x:v>3303</x:v>
      </x:c>
      <x:c r="B3307" s="7" t="str">
        <x:v>Tata</x:v>
      </x:c>
      <x:c r="C3307" s="7" t="str">
        <x:v>Harrier</x:v>
      </x:c>
      <x:c r="D3307" s="7" t="str">
        <x:v>Fearless AT</x:v>
      </x:c>
      <x:c r="E3307" s="7" t="str">
        <x:v>Diesel</x:v>
      </x:c>
      <x:c r="F3307" s="7" t="str">
        <x:v>Automatic</x:v>
      </x:c>
      <x:c r="G3307" s="7" t="str">
        <x:v>Mid-Size SUV</x:v>
      </x:c>
      <x:c r="H3307" s="7" t="n">
        <x:v>1956</x:v>
      </x:c>
      <x:c r="I3307" s="7" t="n">
        <x:v>168</x:v>
      </x:c>
      <x:c r="J3307" s="9" t="n">
        <x:v>14.6</x:v>
      </x:c>
      <x:c r="K3307" s="9" t="n">
        <x:v>24</x:v>
      </x:c>
      <x:c r="L3307" s="7" t="n">
        <x:v>2025</x:v>
      </x:c>
      <x:c r="M3307" s="11" t="n">
        <x:v>18629</x:v>
      </x:c>
      <x:c r="N3307" s="7" t="n">
        <x:v>1</x:v>
      </x:c>
      <x:c r="O3307" s="7" t="n">
        <x:v>0</x:v>
      </x:c>
      <x:c r="P3307" s="9" t="n">
        <x:v>21.66</x:v>
      </x:c>
      <x:c r="Q3307" s="7" t="n">
        <x:f>'Guide'!$B$5-L3307</x:f>
        <x:v>1</x:v>
      </x:c>
      <x:c r="R3307" s="9" t="n">
        <x:f>K3307-P3307</x:f>
        <x:v>2.34</x:v>
      </x:c>
      <x:c r="S3307" s="10" t="n">
        <x:f>IF(K3307&gt;0,R3307/K3307,"")</x:f>
        <x:v>0.09749999999999999</x:v>
      </x:c>
    </x:row>
    <x:row r="3308">
      <x:c r="A3308" s="7" t="n">
        <x:v>3304</x:v>
      </x:c>
      <x:c r="B3308" s="7" t="str">
        <x:v>Tata</x:v>
      </x:c>
      <x:c r="C3308" s="7" t="str">
        <x:v>Harrier</x:v>
      </x:c>
      <x:c r="D3308" s="7" t="str">
        <x:v>Fearless AT</x:v>
      </x:c>
      <x:c r="E3308" s="7" t="str">
        <x:v>Diesel</x:v>
      </x:c>
      <x:c r="F3308" s="7" t="str">
        <x:v>Automatic</x:v>
      </x:c>
      <x:c r="G3308" s="7" t="str">
        <x:v>Mid-Size SUV</x:v>
      </x:c>
      <x:c r="H3308" s="7" t="n">
        <x:v>1956</x:v>
      </x:c>
      <x:c r="I3308" s="7" t="n">
        <x:v>168</x:v>
      </x:c>
      <x:c r="J3308" s="9" t="n">
        <x:v>14.6</x:v>
      </x:c>
      <x:c r="K3308" s="9" t="n">
        <x:v>24</x:v>
      </x:c>
      <x:c r="L3308" s="7" t="n">
        <x:v>2023</x:v>
      </x:c>
      <x:c r="M3308" s="11" t="n">
        <x:v>66742</x:v>
      </x:c>
      <x:c r="N3308" s="7" t="n">
        <x:v>1</x:v>
      </x:c>
      <x:c r="O3308" s="7" t="n">
        <x:v>1</x:v>
      </x:c>
      <x:c r="P3308" s="9" t="n">
        <x:v>15.35</x:v>
      </x:c>
      <x:c r="Q3308" s="7" t="n">
        <x:f>'Guide'!$B$5-L3308</x:f>
        <x:v>3</x:v>
      </x:c>
      <x:c r="R3308" s="9" t="n">
        <x:f>K3308-P3308</x:f>
        <x:v>8.65</x:v>
      </x:c>
      <x:c r="S3308" s="10" t="n">
        <x:f>IF(K3308&gt;0,R3308/K3308,"")</x:f>
        <x:v>0.36041666666666666</x:v>
      </x:c>
    </x:row>
    <x:row r="3309">
      <x:c r="A3309" s="7" t="n">
        <x:v>3305</x:v>
      </x:c>
      <x:c r="B3309" s="7" t="str">
        <x:v>Tata</x:v>
      </x:c>
      <x:c r="C3309" s="7" t="str">
        <x:v>Harrier</x:v>
      </x:c>
      <x:c r="D3309" s="7" t="str">
        <x:v>Fearless AT</x:v>
      </x:c>
      <x:c r="E3309" s="7" t="str">
        <x:v>Diesel</x:v>
      </x:c>
      <x:c r="F3309" s="7" t="str">
        <x:v>Automatic</x:v>
      </x:c>
      <x:c r="G3309" s="7" t="str">
        <x:v>Mid-Size SUV</x:v>
      </x:c>
      <x:c r="H3309" s="7" t="n">
        <x:v>1956</x:v>
      </x:c>
      <x:c r="I3309" s="7" t="n">
        <x:v>168</x:v>
      </x:c>
      <x:c r="J3309" s="9" t="n">
        <x:v>14.6</x:v>
      </x:c>
      <x:c r="K3309" s="9" t="n">
        <x:v>24</x:v>
      </x:c>
      <x:c r="L3309" s="7" t="n">
        <x:v>2026</x:v>
      </x:c>
      <x:c r="M3309" s="11" t="n">
        <x:v>4902</x:v>
      </x:c>
      <x:c r="N3309" s="7" t="n">
        <x:v>1</x:v>
      </x:c>
      <x:c r="O3309" s="7" t="n">
        <x:v>0</x:v>
      </x:c>
      <x:c r="P3309" s="9" t="n">
        <x:v>24.25</x:v>
      </x:c>
      <x:c r="Q3309" s="7" t="n">
        <x:f>'Guide'!$B$5-L3309</x:f>
        <x:v>0</x:v>
      </x:c>
      <x:c r="R3309" s="9" t="n">
        <x:f>K3309-P3309</x:f>
        <x:v>-0.25</x:v>
      </x:c>
      <x:c r="S3309" s="10" t="n">
        <x:f>IF(K3309&gt;0,R3309/K3309,"")</x:f>
        <x:v>-0.010416666666666666</x:v>
      </x:c>
    </x:row>
    <x:row r="3310">
      <x:c r="A3310" s="7" t="n">
        <x:v>3306</x:v>
      </x:c>
      <x:c r="B3310" s="7" t="str">
        <x:v>Tata</x:v>
      </x:c>
      <x:c r="C3310" s="7" t="str">
        <x:v>Harrier</x:v>
      </x:c>
      <x:c r="D3310" s="7" t="str">
        <x:v>Fearless AT</x:v>
      </x:c>
      <x:c r="E3310" s="7" t="str">
        <x:v>Diesel</x:v>
      </x:c>
      <x:c r="F3310" s="7" t="str">
        <x:v>Automatic</x:v>
      </x:c>
      <x:c r="G3310" s="7" t="str">
        <x:v>Mid-Size SUV</x:v>
      </x:c>
      <x:c r="H3310" s="7" t="n">
        <x:v>1956</x:v>
      </x:c>
      <x:c r="I3310" s="7" t="n">
        <x:v>168</x:v>
      </x:c>
      <x:c r="J3310" s="9" t="n">
        <x:v>14.6</x:v>
      </x:c>
      <x:c r="K3310" s="9" t="n">
        <x:v>24</x:v>
      </x:c>
      <x:c r="L3310" s="7" t="n">
        <x:v>2024</x:v>
      </x:c>
      <x:c r="M3310" s="11" t="n">
        <x:v>47884</x:v>
      </x:c>
      <x:c r="N3310" s="7" t="n">
        <x:v>2</x:v>
      </x:c>
      <x:c r="O3310" s="7" t="n">
        <x:v>0</x:v>
      </x:c>
      <x:c r="P3310" s="9" t="n">
        <x:v>18.43</x:v>
      </x:c>
      <x:c r="Q3310" s="7" t="n">
        <x:f>'Guide'!$B$5-L3310</x:f>
        <x:v>2</x:v>
      </x:c>
      <x:c r="R3310" s="9" t="n">
        <x:f>K3310-P3310</x:f>
        <x:v>5.57</x:v>
      </x:c>
      <x:c r="S3310" s="10" t="n">
        <x:f>IF(K3310&gt;0,R3310/K3310,"")</x:f>
        <x:v>0.23208333333333334</x:v>
      </x:c>
    </x:row>
    <x:row r="3311">
      <x:c r="A3311" s="7" t="n">
        <x:v>3307</x:v>
      </x:c>
      <x:c r="B3311" s="7" t="str">
        <x:v>Tata</x:v>
      </x:c>
      <x:c r="C3311" s="7" t="str">
        <x:v>Harrier</x:v>
      </x:c>
      <x:c r="D3311" s="7" t="str">
        <x:v>Fearless AT</x:v>
      </x:c>
      <x:c r="E3311" s="7" t="str">
        <x:v>Diesel</x:v>
      </x:c>
      <x:c r="F3311" s="7" t="str">
        <x:v>Automatic</x:v>
      </x:c>
      <x:c r="G3311" s="7" t="str">
        <x:v>Mid-Size SUV</x:v>
      </x:c>
      <x:c r="H3311" s="7" t="n">
        <x:v>1956</x:v>
      </x:c>
      <x:c r="I3311" s="7" t="n">
        <x:v>168</x:v>
      </x:c>
      <x:c r="J3311" s="9" t="n">
        <x:v>14.6</x:v>
      </x:c>
      <x:c r="K3311" s="9" t="n">
        <x:v>24</x:v>
      </x:c>
      <x:c r="L3311" s="7" t="n">
        <x:v>2020</x:v>
      </x:c>
      <x:c r="M3311" s="11" t="n">
        <x:v>98913</x:v>
      </x:c>
      <x:c r="N3311" s="7" t="n">
        <x:v>2</x:v>
      </x:c>
      <x:c r="O3311" s="7" t="n">
        <x:v>0</x:v>
      </x:c>
      <x:c r="P3311" s="9" t="n">
        <x:v>9.06</x:v>
      </x:c>
      <x:c r="Q3311" s="7" t="n">
        <x:f>'Guide'!$B$5-L3311</x:f>
        <x:v>6</x:v>
      </x:c>
      <x:c r="R3311" s="9" t="n">
        <x:f>K3311-P3311</x:f>
        <x:v>14.94</x:v>
      </x:c>
      <x:c r="S3311" s="10" t="n">
        <x:f>IF(K3311&gt;0,R3311/K3311,"")</x:f>
        <x:v>0.6224999999999999</x:v>
      </x:c>
    </x:row>
    <x:row r="3312">
      <x:c r="A3312" s="7" t="n">
        <x:v>3308</x:v>
      </x:c>
      <x:c r="B3312" s="7" t="str">
        <x:v>Tata</x:v>
      </x:c>
      <x:c r="C3312" s="7" t="str">
        <x:v>Harrier</x:v>
      </x:c>
      <x:c r="D3312" s="7" t="str">
        <x:v>Fearless AT</x:v>
      </x:c>
      <x:c r="E3312" s="7" t="str">
        <x:v>Diesel</x:v>
      </x:c>
      <x:c r="F3312" s="7" t="str">
        <x:v>Automatic</x:v>
      </x:c>
      <x:c r="G3312" s="7" t="str">
        <x:v>Mid-Size SUV</x:v>
      </x:c>
      <x:c r="H3312" s="7" t="n">
        <x:v>1956</x:v>
      </x:c>
      <x:c r="I3312" s="7" t="n">
        <x:v>168</x:v>
      </x:c>
      <x:c r="J3312" s="9" t="n">
        <x:v>14.6</x:v>
      </x:c>
      <x:c r="K3312" s="9" t="n">
        <x:v>24</x:v>
      </x:c>
      <x:c r="L3312" s="7" t="n">
        <x:v>2020</x:v>
      </x:c>
      <x:c r="M3312" s="11" t="n">
        <x:v>72122</x:v>
      </x:c>
      <x:c r="N3312" s="7" t="n">
        <x:v>2</x:v>
      </x:c>
      <x:c r="O3312" s="7" t="n">
        <x:v>0</x:v>
      </x:c>
      <x:c r="P3312" s="9" t="n">
        <x:v>10</x:v>
      </x:c>
      <x:c r="Q3312" s="7" t="n">
        <x:f>'Guide'!$B$5-L3312</x:f>
        <x:v>6</x:v>
      </x:c>
      <x:c r="R3312" s="9" t="n">
        <x:f>K3312-P3312</x:f>
        <x:v>14</x:v>
      </x:c>
      <x:c r="S3312" s="10" t="n">
        <x:f>IF(K3312&gt;0,R3312/K3312,"")</x:f>
        <x:v>0.5833333333333334</x:v>
      </x:c>
    </x:row>
    <x:row r="3313">
      <x:c r="A3313" s="7" t="n">
        <x:v>3309</x:v>
      </x:c>
      <x:c r="B3313" s="7" t="str">
        <x:v>Tata</x:v>
      </x:c>
      <x:c r="C3313" s="7" t="str">
        <x:v>Harrier</x:v>
      </x:c>
      <x:c r="D3313" s="7" t="str">
        <x:v>Fearless AT</x:v>
      </x:c>
      <x:c r="E3313" s="7" t="str">
        <x:v>Diesel</x:v>
      </x:c>
      <x:c r="F3313" s="7" t="str">
        <x:v>Automatic</x:v>
      </x:c>
      <x:c r="G3313" s="7" t="str">
        <x:v>Mid-Size SUV</x:v>
      </x:c>
      <x:c r="H3313" s="7" t="n">
        <x:v>1956</x:v>
      </x:c>
      <x:c r="I3313" s="7" t="n">
        <x:v>168</x:v>
      </x:c>
      <x:c r="J3313" s="9" t="n">
        <x:v>14.6</x:v>
      </x:c>
      <x:c r="K3313" s="9" t="n">
        <x:v>24</x:v>
      </x:c>
      <x:c r="L3313" s="7" t="n">
        <x:v>2022</x:v>
      </x:c>
      <x:c r="M3313" s="11" t="n">
        <x:v>66166</x:v>
      </x:c>
      <x:c r="N3313" s="7" t="n">
        <x:v>1</x:v>
      </x:c>
      <x:c r="O3313" s="7" t="n">
        <x:v>1</x:v>
      </x:c>
      <x:c r="P3313" s="9" t="n">
        <x:v>13.92</x:v>
      </x:c>
      <x:c r="Q3313" s="7" t="n">
        <x:f>'Guide'!$B$5-L3313</x:f>
        <x:v>4</x:v>
      </x:c>
      <x:c r="R3313" s="9" t="n">
        <x:f>K3313-P3313</x:f>
        <x:v>10.08</x:v>
      </x:c>
      <x:c r="S3313" s="10" t="n">
        <x:f>IF(K3313&gt;0,R3313/K3313,"")</x:f>
        <x:v>0.42</x:v>
      </x:c>
    </x:row>
    <x:row r="3314">
      <x:c r="A3314" s="7" t="n">
        <x:v>3310</x:v>
      </x:c>
      <x:c r="B3314" s="7" t="str">
        <x:v>Tata</x:v>
      </x:c>
      <x:c r="C3314" s="7" t="str">
        <x:v>Harrier</x:v>
      </x:c>
      <x:c r="D3314" s="7" t="str">
        <x:v>Fearless AT</x:v>
      </x:c>
      <x:c r="E3314" s="7" t="str">
        <x:v>Diesel</x:v>
      </x:c>
      <x:c r="F3314" s="7" t="str">
        <x:v>Automatic</x:v>
      </x:c>
      <x:c r="G3314" s="7" t="str">
        <x:v>Mid-Size SUV</x:v>
      </x:c>
      <x:c r="H3314" s="7" t="n">
        <x:v>1956</x:v>
      </x:c>
      <x:c r="I3314" s="7" t="n">
        <x:v>168</x:v>
      </x:c>
      <x:c r="J3314" s="9" t="n">
        <x:v>14.6</x:v>
      </x:c>
      <x:c r="K3314" s="9" t="n">
        <x:v>24</x:v>
      </x:c>
      <x:c r="L3314" s="7" t="n">
        <x:v>2023</x:v>
      </x:c>
      <x:c r="M3314" s="11" t="n">
        <x:v>43417</x:v>
      </x:c>
      <x:c r="N3314" s="7" t="n">
        <x:v>1</x:v>
      </x:c>
      <x:c r="O3314" s="7" t="n">
        <x:v>0</x:v>
      </x:c>
      <x:c r="P3314" s="9" t="n">
        <x:v>17.16</x:v>
      </x:c>
      <x:c r="Q3314" s="7" t="n">
        <x:f>'Guide'!$B$5-L3314</x:f>
        <x:v>3</x:v>
      </x:c>
      <x:c r="R3314" s="9" t="n">
        <x:f>K3314-P3314</x:f>
        <x:v>6.84</x:v>
      </x:c>
      <x:c r="S3314" s="10" t="n">
        <x:f>IF(K3314&gt;0,R3314/K3314,"")</x:f>
        <x:v>0.285</x:v>
      </x:c>
    </x:row>
    <x:row r="3315">
      <x:c r="A3315" s="7" t="n">
        <x:v>3311</x:v>
      </x:c>
      <x:c r="B3315" s="7" t="str">
        <x:v>Tata</x:v>
      </x:c>
      <x:c r="C3315" s="7" t="str">
        <x:v>Harrier</x:v>
      </x:c>
      <x:c r="D3315" s="7" t="str">
        <x:v>Fearless AT</x:v>
      </x:c>
      <x:c r="E3315" s="7" t="str">
        <x:v>Diesel</x:v>
      </x:c>
      <x:c r="F3315" s="7" t="str">
        <x:v>Automatic</x:v>
      </x:c>
      <x:c r="G3315" s="7" t="str">
        <x:v>Mid-Size SUV</x:v>
      </x:c>
      <x:c r="H3315" s="7" t="n">
        <x:v>1956</x:v>
      </x:c>
      <x:c r="I3315" s="7" t="n">
        <x:v>168</x:v>
      </x:c>
      <x:c r="J3315" s="9" t="n">
        <x:v>14.6</x:v>
      </x:c>
      <x:c r="K3315" s="9" t="n">
        <x:v>24</x:v>
      </x:c>
      <x:c r="L3315" s="7" t="n">
        <x:v>2022</x:v>
      </x:c>
      <x:c r="M3315" s="11" t="n">
        <x:v>55470</x:v>
      </x:c>
      <x:c r="N3315" s="7" t="n">
        <x:v>1</x:v>
      </x:c>
      <x:c r="O3315" s="7" t="n">
        <x:v>1</x:v>
      </x:c>
      <x:c r="P3315" s="9" t="n">
        <x:v>13.72</x:v>
      </x:c>
      <x:c r="Q3315" s="7" t="n">
        <x:f>'Guide'!$B$5-L3315</x:f>
        <x:v>4</x:v>
      </x:c>
      <x:c r="R3315" s="9" t="n">
        <x:f>K3315-P3315</x:f>
        <x:v>10.28</x:v>
      </x:c>
      <x:c r="S3315" s="10" t="n">
        <x:f>IF(K3315&gt;0,R3315/K3315,"")</x:f>
        <x:v>0.4283333333333333</x:v>
      </x:c>
    </x:row>
    <x:row r="3316">
      <x:c r="A3316" s="7" t="n">
        <x:v>3312</x:v>
      </x:c>
      <x:c r="B3316" s="7" t="str">
        <x:v>Tata</x:v>
      </x:c>
      <x:c r="C3316" s="7" t="str">
        <x:v>Harrier</x:v>
      </x:c>
      <x:c r="D3316" s="7" t="str">
        <x:v>Fearless AT</x:v>
      </x:c>
      <x:c r="E3316" s="7" t="str">
        <x:v>Diesel</x:v>
      </x:c>
      <x:c r="F3316" s="7" t="str">
        <x:v>Automatic</x:v>
      </x:c>
      <x:c r="G3316" s="7" t="str">
        <x:v>Mid-Size SUV</x:v>
      </x:c>
      <x:c r="H3316" s="7" t="n">
        <x:v>1956</x:v>
      </x:c>
      <x:c r="I3316" s="7" t="n">
        <x:v>168</x:v>
      </x:c>
      <x:c r="J3316" s="9" t="n">
        <x:v>14.6</x:v>
      </x:c>
      <x:c r="K3316" s="9" t="n">
        <x:v>24</x:v>
      </x:c>
      <x:c r="L3316" s="7" t="n">
        <x:v>2022</x:v>
      </x:c>
      <x:c r="M3316" s="11" t="n">
        <x:v>43538</x:v>
      </x:c>
      <x:c r="N3316" s="7" t="n">
        <x:v>2</x:v>
      </x:c>
      <x:c r="O3316" s="7" t="n">
        <x:v>0</x:v>
      </x:c>
      <x:c r="P3316" s="9" t="n">
        <x:v>14.86</x:v>
      </x:c>
      <x:c r="Q3316" s="7" t="n">
        <x:f>'Guide'!$B$5-L3316</x:f>
        <x:v>4</x:v>
      </x:c>
      <x:c r="R3316" s="9" t="n">
        <x:f>K3316-P3316</x:f>
        <x:v>9.14</x:v>
      </x:c>
      <x:c r="S3316" s="10" t="n">
        <x:f>IF(K3316&gt;0,R3316/K3316,"")</x:f>
        <x:v>0.38083333333333336</x:v>
      </x:c>
    </x:row>
    <x:row r="3317">
      <x:c r="A3317" s="7" t="n">
        <x:v>3313</x:v>
      </x:c>
      <x:c r="B3317" s="7" t="str">
        <x:v>Tata</x:v>
      </x:c>
      <x:c r="C3317" s="7" t="str">
        <x:v>Harrier</x:v>
      </x:c>
      <x:c r="D3317" s="7" t="str">
        <x:v>Fearless AT</x:v>
      </x:c>
      <x:c r="E3317" s="7" t="str">
        <x:v>Diesel</x:v>
      </x:c>
      <x:c r="F3317" s="7" t="str">
        <x:v>Automatic</x:v>
      </x:c>
      <x:c r="G3317" s="7" t="str">
        <x:v>Mid-Size SUV</x:v>
      </x:c>
      <x:c r="H3317" s="7" t="n">
        <x:v>1956</x:v>
      </x:c>
      <x:c r="I3317" s="7" t="n">
        <x:v>168</x:v>
      </x:c>
      <x:c r="J3317" s="9" t="n">
        <x:v>14.6</x:v>
      </x:c>
      <x:c r="K3317" s="9" t="n">
        <x:v>24</x:v>
      </x:c>
      <x:c r="L3317" s="7" t="n">
        <x:v>2020</x:v>
      </x:c>
      <x:c r="M3317" s="11" t="n">
        <x:v>123494</x:v>
      </x:c>
      <x:c r="N3317" s="7" t="n">
        <x:v>1</x:v>
      </x:c>
      <x:c r="O3317" s="7" t="n">
        <x:v>0</x:v>
      </x:c>
      <x:c r="P3317" s="9" t="n">
        <x:v>8.62</x:v>
      </x:c>
      <x:c r="Q3317" s="7" t="n">
        <x:f>'Guide'!$B$5-L3317</x:f>
        <x:v>6</x:v>
      </x:c>
      <x:c r="R3317" s="9" t="n">
        <x:f>K3317-P3317</x:f>
        <x:v>15.38</x:v>
      </x:c>
      <x:c r="S3317" s="10" t="n">
        <x:f>IF(K3317&gt;0,R3317/K3317,"")</x:f>
        <x:v>0.6408333333333334</x:v>
      </x:c>
    </x:row>
    <x:row r="3318">
      <x:c r="A3318" s="7" t="n">
        <x:v>3314</x:v>
      </x:c>
      <x:c r="B3318" s="7" t="str">
        <x:v>Tata</x:v>
      </x:c>
      <x:c r="C3318" s="7" t="str">
        <x:v>Harrier</x:v>
      </x:c>
      <x:c r="D3318" s="7" t="str">
        <x:v>Fearless AT</x:v>
      </x:c>
      <x:c r="E3318" s="7" t="str">
        <x:v>Diesel</x:v>
      </x:c>
      <x:c r="F3318" s="7" t="str">
        <x:v>Automatic</x:v>
      </x:c>
      <x:c r="G3318" s="7" t="str">
        <x:v>Mid-Size SUV</x:v>
      </x:c>
      <x:c r="H3318" s="7" t="n">
        <x:v>1956</x:v>
      </x:c>
      <x:c r="I3318" s="7" t="n">
        <x:v>168</x:v>
      </x:c>
      <x:c r="J3318" s="9" t="n">
        <x:v>14.6</x:v>
      </x:c>
      <x:c r="K3318" s="9" t="n">
        <x:v>24</x:v>
      </x:c>
      <x:c r="L3318" s="7" t="n">
        <x:v>2021</x:v>
      </x:c>
      <x:c r="M3318" s="11" t="n">
        <x:v>90820</x:v>
      </x:c>
      <x:c r="N3318" s="7" t="n">
        <x:v>1</x:v>
      </x:c>
      <x:c r="O3318" s="7" t="n">
        <x:v>0</x:v>
      </x:c>
      <x:c r="P3318" s="9" t="n">
        <x:v>11.62</x:v>
      </x:c>
      <x:c r="Q3318" s="7" t="n">
        <x:f>'Guide'!$B$5-L3318</x:f>
        <x:v>5</x:v>
      </x:c>
      <x:c r="R3318" s="9" t="n">
        <x:f>K3318-P3318</x:f>
        <x:v>12.38</x:v>
      </x:c>
      <x:c r="S3318" s="10" t="n">
        <x:f>IF(K3318&gt;0,R3318/K3318,"")</x:f>
        <x:v>0.5158333333333334</x:v>
      </x:c>
    </x:row>
    <x:row r="3319">
      <x:c r="A3319" s="7" t="n">
        <x:v>3315</x:v>
      </x:c>
      <x:c r="B3319" s="7" t="str">
        <x:v>Tata</x:v>
      </x:c>
      <x:c r="C3319" s="7" t="str">
        <x:v>Harrier</x:v>
      </x:c>
      <x:c r="D3319" s="7" t="str">
        <x:v>Fearless AT</x:v>
      </x:c>
      <x:c r="E3319" s="7" t="str">
        <x:v>Diesel</x:v>
      </x:c>
      <x:c r="F3319" s="7" t="str">
        <x:v>Automatic</x:v>
      </x:c>
      <x:c r="G3319" s="7" t="str">
        <x:v>Mid-Size SUV</x:v>
      </x:c>
      <x:c r="H3319" s="7" t="n">
        <x:v>1956</x:v>
      </x:c>
      <x:c r="I3319" s="7" t="n">
        <x:v>168</x:v>
      </x:c>
      <x:c r="J3319" s="9" t="n">
        <x:v>14.6</x:v>
      </x:c>
      <x:c r="K3319" s="9" t="n">
        <x:v>24</x:v>
      </x:c>
      <x:c r="L3319" s="7" t="n">
        <x:v>2024</x:v>
      </x:c>
      <x:c r="M3319" s="11" t="n">
        <x:v>38247</x:v>
      </x:c>
      <x:c r="N3319" s="7" t="n">
        <x:v>3</x:v>
      </x:c>
      <x:c r="O3319" s="7" t="n">
        <x:v>0</x:v>
      </x:c>
      <x:c r="P3319" s="9" t="n">
        <x:v>18.24</x:v>
      </x:c>
      <x:c r="Q3319" s="7" t="n">
        <x:f>'Guide'!$B$5-L3319</x:f>
        <x:v>2</x:v>
      </x:c>
      <x:c r="R3319" s="9" t="n">
        <x:f>K3319-P3319</x:f>
        <x:v>5.760000000000002</x:v>
      </x:c>
      <x:c r="S3319" s="10" t="n">
        <x:f>IF(K3319&gt;0,R3319/K3319,"")</x:f>
        <x:v>0.24000000000000007</x:v>
      </x:c>
    </x:row>
    <x:row r="3320">
      <x:c r="A3320" s="7" t="n">
        <x:v>3316</x:v>
      </x:c>
      <x:c r="B3320" s="7" t="str">
        <x:v>Tata</x:v>
      </x:c>
      <x:c r="C3320" s="7" t="str">
        <x:v>Harrier</x:v>
      </x:c>
      <x:c r="D3320" s="7" t="str">
        <x:v>Fearless AT</x:v>
      </x:c>
      <x:c r="E3320" s="7" t="str">
        <x:v>Diesel</x:v>
      </x:c>
      <x:c r="F3320" s="7" t="str">
        <x:v>Automatic</x:v>
      </x:c>
      <x:c r="G3320" s="7" t="str">
        <x:v>Mid-Size SUV</x:v>
      </x:c>
      <x:c r="H3320" s="7" t="n">
        <x:v>1956</x:v>
      </x:c>
      <x:c r="I3320" s="7" t="n">
        <x:v>168</x:v>
      </x:c>
      <x:c r="J3320" s="9" t="n">
        <x:v>14.6</x:v>
      </x:c>
      <x:c r="K3320" s="9" t="n">
        <x:v>24</x:v>
      </x:c>
      <x:c r="L3320" s="7" t="n">
        <x:v>2020</x:v>
      </x:c>
      <x:c r="M3320" s="11" t="n">
        <x:v>88069</x:v>
      </x:c>
      <x:c r="N3320" s="7" t="n">
        <x:v>1</x:v>
      </x:c>
      <x:c r="O3320" s="7" t="n">
        <x:v>0</x:v>
      </x:c>
      <x:c r="P3320" s="9" t="n">
        <x:v>9.75</x:v>
      </x:c>
      <x:c r="Q3320" s="7" t="n">
        <x:f>'Guide'!$B$5-L3320</x:f>
        <x:v>6</x:v>
      </x:c>
      <x:c r="R3320" s="9" t="n">
        <x:f>K3320-P3320</x:f>
        <x:v>14.25</x:v>
      </x:c>
      <x:c r="S3320" s="10" t="n">
        <x:f>IF(K3320&gt;0,R3320/K3320,"")</x:f>
        <x:v>0.59375</x:v>
      </x:c>
    </x:row>
    <x:row r="3321">
      <x:c r="A3321" s="7" t="n">
        <x:v>3317</x:v>
      </x:c>
      <x:c r="B3321" s="7" t="str">
        <x:v>Tata</x:v>
      </x:c>
      <x:c r="C3321" s="7" t="str">
        <x:v>Harrier</x:v>
      </x:c>
      <x:c r="D3321" s="7" t="str">
        <x:v>Fearless AT</x:v>
      </x:c>
      <x:c r="E3321" s="7" t="str">
        <x:v>Diesel</x:v>
      </x:c>
      <x:c r="F3321" s="7" t="str">
        <x:v>Automatic</x:v>
      </x:c>
      <x:c r="G3321" s="7" t="str">
        <x:v>Mid-Size SUV</x:v>
      </x:c>
      <x:c r="H3321" s="7" t="n">
        <x:v>1956</x:v>
      </x:c>
      <x:c r="I3321" s="7" t="n">
        <x:v>168</x:v>
      </x:c>
      <x:c r="J3321" s="9" t="n">
        <x:v>14.6</x:v>
      </x:c>
      <x:c r="K3321" s="9" t="n">
        <x:v>24</x:v>
      </x:c>
      <x:c r="L3321" s="7" t="n">
        <x:v>2021</x:v>
      </x:c>
      <x:c r="M3321" s="11" t="n">
        <x:v>108624</x:v>
      </x:c>
      <x:c r="N3321" s="7" t="n">
        <x:v>1</x:v>
      </x:c>
      <x:c r="O3321" s="7" t="n">
        <x:v>0</x:v>
      </x:c>
      <x:c r="P3321" s="9" t="n">
        <x:v>11.53</x:v>
      </x:c>
      <x:c r="Q3321" s="7" t="n">
        <x:f>'Guide'!$B$5-L3321</x:f>
        <x:v>5</x:v>
      </x:c>
      <x:c r="R3321" s="9" t="n">
        <x:f>K3321-P3321</x:f>
        <x:v>12.47</x:v>
      </x:c>
      <x:c r="S3321" s="10" t="n">
        <x:f>IF(K3321&gt;0,R3321/K3321,"")</x:f>
        <x:v>0.5195833333333334</x:v>
      </x:c>
    </x:row>
    <x:row r="3322">
      <x:c r="A3322" s="7" t="n">
        <x:v>3318</x:v>
      </x:c>
      <x:c r="B3322" s="7" t="str">
        <x:v>Tata</x:v>
      </x:c>
      <x:c r="C3322" s="7" t="str">
        <x:v>Harrier</x:v>
      </x:c>
      <x:c r="D3322" s="7" t="str">
        <x:v>Fearless AT</x:v>
      </x:c>
      <x:c r="E3322" s="7" t="str">
        <x:v>Diesel</x:v>
      </x:c>
      <x:c r="F3322" s="7" t="str">
        <x:v>Automatic</x:v>
      </x:c>
      <x:c r="G3322" s="7" t="str">
        <x:v>Mid-Size SUV</x:v>
      </x:c>
      <x:c r="H3322" s="7" t="n">
        <x:v>1956</x:v>
      </x:c>
      <x:c r="I3322" s="7" t="n">
        <x:v>168</x:v>
      </x:c>
      <x:c r="J3322" s="9" t="n">
        <x:v>14.6</x:v>
      </x:c>
      <x:c r="K3322" s="9" t="n">
        <x:v>24</x:v>
      </x:c>
      <x:c r="L3322" s="7" t="n">
        <x:v>2024</x:v>
      </x:c>
      <x:c r="M3322" s="11" t="n">
        <x:v>30175</x:v>
      </x:c>
      <x:c r="N3322" s="7" t="n">
        <x:v>2</x:v>
      </x:c>
      <x:c r="O3322" s="7" t="n">
        <x:v>0</x:v>
      </x:c>
      <x:c r="P3322" s="9" t="n">
        <x:v>18.94</x:v>
      </x:c>
      <x:c r="Q3322" s="7" t="n">
        <x:f>'Guide'!$B$5-L3322</x:f>
        <x:v>2</x:v>
      </x:c>
      <x:c r="R3322" s="9" t="n">
        <x:f>K3322-P3322</x:f>
        <x:v>5.059999999999999</x:v>
      </x:c>
      <x:c r="S3322" s="10" t="n">
        <x:f>IF(K3322&gt;0,R3322/K3322,"")</x:f>
        <x:v>0.2108333333333333</x:v>
      </x:c>
    </x:row>
    <x:row r="3323">
      <x:c r="A3323" s="7" t="n">
        <x:v>3319</x:v>
      </x:c>
      <x:c r="B3323" s="7" t="str">
        <x:v>Tata</x:v>
      </x:c>
      <x:c r="C3323" s="7" t="str">
        <x:v>Harrier</x:v>
      </x:c>
      <x:c r="D3323" s="7" t="str">
        <x:v>Fearless AT</x:v>
      </x:c>
      <x:c r="E3323" s="7" t="str">
        <x:v>Diesel</x:v>
      </x:c>
      <x:c r="F3323" s="7" t="str">
        <x:v>Automatic</x:v>
      </x:c>
      <x:c r="G3323" s="7" t="str">
        <x:v>Mid-Size SUV</x:v>
      </x:c>
      <x:c r="H3323" s="7" t="n">
        <x:v>1956</x:v>
      </x:c>
      <x:c r="I3323" s="7" t="n">
        <x:v>168</x:v>
      </x:c>
      <x:c r="J3323" s="9" t="n">
        <x:v>14.6</x:v>
      </x:c>
      <x:c r="K3323" s="9" t="n">
        <x:v>24</x:v>
      </x:c>
      <x:c r="L3323" s="7" t="n">
        <x:v>2021</x:v>
      </x:c>
      <x:c r="M3323" s="11" t="n">
        <x:v>100952</x:v>
      </x:c>
      <x:c r="N3323" s="7" t="n">
        <x:v>1</x:v>
      </x:c>
      <x:c r="O3323" s="7" t="n">
        <x:v>1</x:v>
      </x:c>
      <x:c r="P3323" s="9" t="n">
        <x:v>11.07</x:v>
      </x:c>
      <x:c r="Q3323" s="7" t="n">
        <x:f>'Guide'!$B$5-L3323</x:f>
        <x:v>5</x:v>
      </x:c>
      <x:c r="R3323" s="9" t="n">
        <x:f>K3323-P3323</x:f>
        <x:v>12.93</x:v>
      </x:c>
      <x:c r="S3323" s="10" t="n">
        <x:f>IF(K3323&gt;0,R3323/K3323,"")</x:f>
        <x:v>0.53875</x:v>
      </x:c>
    </x:row>
    <x:row r="3324">
      <x:c r="A3324" s="7" t="n">
        <x:v>3320</x:v>
      </x:c>
      <x:c r="B3324" s="7" t="str">
        <x:v>Tata</x:v>
      </x:c>
      <x:c r="C3324" s="7" t="str">
        <x:v>Harrier</x:v>
      </x:c>
      <x:c r="D3324" s="7" t="str">
        <x:v>Fearless AT</x:v>
      </x:c>
      <x:c r="E3324" s="7" t="str">
        <x:v>Diesel</x:v>
      </x:c>
      <x:c r="F3324" s="7" t="str">
        <x:v>Automatic</x:v>
      </x:c>
      <x:c r="G3324" s="7" t="str">
        <x:v>Mid-Size SUV</x:v>
      </x:c>
      <x:c r="H3324" s="7" t="n">
        <x:v>1956</x:v>
      </x:c>
      <x:c r="I3324" s="7" t="n">
        <x:v>168</x:v>
      </x:c>
      <x:c r="J3324" s="9" t="n">
        <x:v>14.6</x:v>
      </x:c>
      <x:c r="K3324" s="9" t="n">
        <x:v>24</x:v>
      </x:c>
      <x:c r="L3324" s="7" t="n">
        <x:v>2025</x:v>
      </x:c>
      <x:c r="M3324" s="11" t="n">
        <x:v>28895</x:v>
      </x:c>
      <x:c r="N3324" s="7" t="n">
        <x:v>1</x:v>
      </x:c>
      <x:c r="O3324" s="7" t="n">
        <x:v>0</x:v>
      </x:c>
      <x:c r="P3324" s="9" t="n">
        <x:v>21.33</x:v>
      </x:c>
      <x:c r="Q3324" s="7" t="n">
        <x:f>'Guide'!$B$5-L3324</x:f>
        <x:v>1</x:v>
      </x:c>
      <x:c r="R3324" s="9" t="n">
        <x:f>K3324-P3324</x:f>
        <x:v>2.6700000000000017</x:v>
      </x:c>
      <x:c r="S3324" s="10" t="n">
        <x:f>IF(K3324&gt;0,R3324/K3324,"")</x:f>
        <x:v>0.11125000000000007</x:v>
      </x:c>
    </x:row>
    <x:row r="3325">
      <x:c r="A3325" s="7" t="n">
        <x:v>3321</x:v>
      </x:c>
      <x:c r="B3325" s="7" t="str">
        <x:v>Tata</x:v>
      </x:c>
      <x:c r="C3325" s="7" t="str">
        <x:v>Harrier</x:v>
      </x:c>
      <x:c r="D3325" s="7" t="str">
        <x:v>Fearless AT</x:v>
      </x:c>
      <x:c r="E3325" s="7" t="str">
        <x:v>Diesel</x:v>
      </x:c>
      <x:c r="F3325" s="7" t="str">
        <x:v>Automatic</x:v>
      </x:c>
      <x:c r="G3325" s="7" t="str">
        <x:v>Mid-Size SUV</x:v>
      </x:c>
      <x:c r="H3325" s="7" t="n">
        <x:v>1956</x:v>
      </x:c>
      <x:c r="I3325" s="7" t="n">
        <x:v>168</x:v>
      </x:c>
      <x:c r="J3325" s="9" t="n">
        <x:v>14.6</x:v>
      </x:c>
      <x:c r="K3325" s="9" t="n">
        <x:v>24</x:v>
      </x:c>
      <x:c r="L3325" s="7" t="n">
        <x:v>2025</x:v>
      </x:c>
      <x:c r="M3325" s="11" t="n">
        <x:v>21151</x:v>
      </x:c>
      <x:c r="N3325" s="7" t="n">
        <x:v>1</x:v>
      </x:c>
      <x:c r="O3325" s="7" t="n">
        <x:v>0</x:v>
      </x:c>
      <x:c r="P3325" s="9" t="n">
        <x:v>21.78</x:v>
      </x:c>
      <x:c r="Q3325" s="7" t="n">
        <x:f>'Guide'!$B$5-L3325</x:f>
        <x:v>1</x:v>
      </x:c>
      <x:c r="R3325" s="9" t="n">
        <x:f>K3325-P3325</x:f>
        <x:v>2.219999999999999</x:v>
      </x:c>
      <x:c r="S3325" s="10" t="n">
        <x:f>IF(K3325&gt;0,R3325/K3325,"")</x:f>
        <x:v>0.09249999999999996</x:v>
      </x:c>
    </x:row>
    <x:row r="3326">
      <x:c r="A3326" s="7" t="n">
        <x:v>3322</x:v>
      </x:c>
      <x:c r="B3326" s="7" t="str">
        <x:v>Tata</x:v>
      </x:c>
      <x:c r="C3326" s="7" t="str">
        <x:v>Harrier</x:v>
      </x:c>
      <x:c r="D3326" s="7" t="str">
        <x:v>Fearless AT</x:v>
      </x:c>
      <x:c r="E3326" s="7" t="str">
        <x:v>Diesel</x:v>
      </x:c>
      <x:c r="F3326" s="7" t="str">
        <x:v>Automatic</x:v>
      </x:c>
      <x:c r="G3326" s="7" t="str">
        <x:v>Mid-Size SUV</x:v>
      </x:c>
      <x:c r="H3326" s="7" t="n">
        <x:v>1956</x:v>
      </x:c>
      <x:c r="I3326" s="7" t="n">
        <x:v>168</x:v>
      </x:c>
      <x:c r="J3326" s="9" t="n">
        <x:v>14.6</x:v>
      </x:c>
      <x:c r="K3326" s="9" t="n">
        <x:v>24</x:v>
      </x:c>
      <x:c r="L3326" s="7" t="n">
        <x:v>2026</x:v>
      </x:c>
      <x:c r="M3326" s="11" t="n">
        <x:v>8538</x:v>
      </x:c>
      <x:c r="N3326" s="7" t="n">
        <x:v>1</x:v>
      </x:c>
      <x:c r="O3326" s="7" t="n">
        <x:v>0</x:v>
      </x:c>
      <x:c r="P3326" s="9" t="n">
        <x:v>24.13</x:v>
      </x:c>
      <x:c r="Q3326" s="7" t="n">
        <x:f>'Guide'!$B$5-L3326</x:f>
        <x:v>0</x:v>
      </x:c>
      <x:c r="R3326" s="9" t="n">
        <x:f>K3326-P3326</x:f>
        <x:v>-0.129999999999999</x:v>
      </x:c>
      <x:c r="S3326" s="10" t="n">
        <x:f>IF(K3326&gt;0,R3326/K3326,"")</x:f>
        <x:v>-0.005416666666666625</x:v>
      </x:c>
    </x:row>
    <x:row r="3327">
      <x:c r="A3327" s="7" t="n">
        <x:v>3323</x:v>
      </x:c>
      <x:c r="B3327" s="7" t="str">
        <x:v>Tata</x:v>
      </x:c>
      <x:c r="C3327" s="7" t="str">
        <x:v>Harrier</x:v>
      </x:c>
      <x:c r="D3327" s="7" t="str">
        <x:v>Fearless AT</x:v>
      </x:c>
      <x:c r="E3327" s="7" t="str">
        <x:v>Diesel</x:v>
      </x:c>
      <x:c r="F3327" s="7" t="str">
        <x:v>Automatic</x:v>
      </x:c>
      <x:c r="G3327" s="7" t="str">
        <x:v>Mid-Size SUV</x:v>
      </x:c>
      <x:c r="H3327" s="7" t="n">
        <x:v>1956</x:v>
      </x:c>
      <x:c r="I3327" s="7" t="n">
        <x:v>168</x:v>
      </x:c>
      <x:c r="J3327" s="9" t="n">
        <x:v>14.6</x:v>
      </x:c>
      <x:c r="K3327" s="9" t="n">
        <x:v>24</x:v>
      </x:c>
      <x:c r="L3327" s="7" t="n">
        <x:v>2024</x:v>
      </x:c>
      <x:c r="M3327" s="11" t="n">
        <x:v>43323</x:v>
      </x:c>
      <x:c r="N3327" s="7" t="n">
        <x:v>1</x:v>
      </x:c>
      <x:c r="O3327" s="7" t="n">
        <x:v>0</x:v>
      </x:c>
      <x:c r="P3327" s="9" t="n">
        <x:v>18.98</x:v>
      </x:c>
      <x:c r="Q3327" s="7" t="n">
        <x:f>'Guide'!$B$5-L3327</x:f>
        <x:v>2</x:v>
      </x:c>
      <x:c r="R3327" s="9" t="n">
        <x:f>K3327-P3327</x:f>
        <x:v>5.02</x:v>
      </x:c>
      <x:c r="S3327" s="10" t="n">
        <x:f>IF(K3327&gt;0,R3327/K3327,"")</x:f>
        <x:v>0.20916666666666664</x:v>
      </x:c>
    </x:row>
    <x:row r="3328">
      <x:c r="A3328" s="7" t="n">
        <x:v>3324</x:v>
      </x:c>
      <x:c r="B3328" s="7" t="str">
        <x:v>Tata</x:v>
      </x:c>
      <x:c r="C3328" s="7" t="str">
        <x:v>Harrier</x:v>
      </x:c>
      <x:c r="D3328" s="7" t="str">
        <x:v>Fearless AT</x:v>
      </x:c>
      <x:c r="E3328" s="7" t="str">
        <x:v>Diesel</x:v>
      </x:c>
      <x:c r="F3328" s="7" t="str">
        <x:v>Automatic</x:v>
      </x:c>
      <x:c r="G3328" s="7" t="str">
        <x:v>Mid-Size SUV</x:v>
      </x:c>
      <x:c r="H3328" s="7" t="n">
        <x:v>1956</x:v>
      </x:c>
      <x:c r="I3328" s="7" t="n">
        <x:v>168</x:v>
      </x:c>
      <x:c r="J3328" s="9" t="n">
        <x:v>14.6</x:v>
      </x:c>
      <x:c r="K3328" s="9" t="n">
        <x:v>24</x:v>
      </x:c>
      <x:c r="L3328" s="7" t="n">
        <x:v>2021</x:v>
      </x:c>
      <x:c r="M3328" s="11" t="n">
        <x:v>98825</x:v>
      </x:c>
      <x:c r="N3328" s="7" t="n">
        <x:v>1</x:v>
      </x:c>
      <x:c r="O3328" s="7" t="n">
        <x:v>0</x:v>
      </x:c>
      <x:c r="P3328" s="9" t="n">
        <x:v>11.22</x:v>
      </x:c>
      <x:c r="Q3328" s="7" t="n">
        <x:f>'Guide'!$B$5-L3328</x:f>
        <x:v>5</x:v>
      </x:c>
      <x:c r="R3328" s="9" t="n">
        <x:f>K3328-P3328</x:f>
        <x:v>12.78</x:v>
      </x:c>
      <x:c r="S3328" s="10" t="n">
        <x:f>IF(K3328&gt;0,R3328/K3328,"")</x:f>
        <x:v>0.5325</x:v>
      </x:c>
    </x:row>
    <x:row r="3329">
      <x:c r="A3329" s="7" t="n">
        <x:v>3325</x:v>
      </x:c>
      <x:c r="B3329" s="7" t="str">
        <x:v>Tata</x:v>
      </x:c>
      <x:c r="C3329" s="7" t="str">
        <x:v>Harrier</x:v>
      </x:c>
      <x:c r="D3329" s="7" t="str">
        <x:v>Fearless AT</x:v>
      </x:c>
      <x:c r="E3329" s="7" t="str">
        <x:v>Diesel</x:v>
      </x:c>
      <x:c r="F3329" s="7" t="str">
        <x:v>Automatic</x:v>
      </x:c>
      <x:c r="G3329" s="7" t="str">
        <x:v>Mid-Size SUV</x:v>
      </x:c>
      <x:c r="H3329" s="7" t="n">
        <x:v>1956</x:v>
      </x:c>
      <x:c r="I3329" s="7" t="n">
        <x:v>168</x:v>
      </x:c>
      <x:c r="J3329" s="9" t="n">
        <x:v>14.6</x:v>
      </x:c>
      <x:c r="K3329" s="9" t="n">
        <x:v>24</x:v>
      </x:c>
      <x:c r="L3329" s="7" t="n">
        <x:v>2023</x:v>
      </x:c>
      <x:c r="M3329" s="11" t="n">
        <x:v>51914</x:v>
      </x:c>
      <x:c r="N3329" s="7" t="n">
        <x:v>1</x:v>
      </x:c>
      <x:c r="O3329" s="7" t="n">
        <x:v>0</x:v>
      </x:c>
      <x:c r="P3329" s="9" t="n">
        <x:v>17</x:v>
      </x:c>
      <x:c r="Q3329" s="7" t="n">
        <x:f>'Guide'!$B$5-L3329</x:f>
        <x:v>3</x:v>
      </x:c>
      <x:c r="R3329" s="9" t="n">
        <x:f>K3329-P3329</x:f>
        <x:v>7</x:v>
      </x:c>
      <x:c r="S3329" s="10" t="n">
        <x:f>IF(K3329&gt;0,R3329/K3329,"")</x:f>
        <x:v>0.2916666666666667</x:v>
      </x:c>
    </x:row>
    <x:row r="3330">
      <x:c r="A3330" s="7" t="n">
        <x:v>3326</x:v>
      </x:c>
      <x:c r="B3330" s="7" t="str">
        <x:v>Tata</x:v>
      </x:c>
      <x:c r="C3330" s="7" t="str">
        <x:v>Harrier</x:v>
      </x:c>
      <x:c r="D3330" s="7" t="str">
        <x:v>Fearless AT</x:v>
      </x:c>
      <x:c r="E3330" s="7" t="str">
        <x:v>Diesel</x:v>
      </x:c>
      <x:c r="F3330" s="7" t="str">
        <x:v>Automatic</x:v>
      </x:c>
      <x:c r="G3330" s="7" t="str">
        <x:v>Mid-Size SUV</x:v>
      </x:c>
      <x:c r="H3330" s="7" t="n">
        <x:v>1956</x:v>
      </x:c>
      <x:c r="I3330" s="7" t="n">
        <x:v>168</x:v>
      </x:c>
      <x:c r="J3330" s="9" t="n">
        <x:v>14.6</x:v>
      </x:c>
      <x:c r="K3330" s="9" t="n">
        <x:v>24</x:v>
      </x:c>
      <x:c r="L3330" s="7" t="n">
        <x:v>2020</x:v>
      </x:c>
      <x:c r="M3330" s="11" t="n">
        <x:v>92158</x:v>
      </x:c>
      <x:c r="N3330" s="7" t="n">
        <x:v>1</x:v>
      </x:c>
      <x:c r="O3330" s="7" t="n">
        <x:v>1</x:v>
      </x:c>
      <x:c r="P3330" s="9" t="n">
        <x:v>9.12</x:v>
      </x:c>
      <x:c r="Q3330" s="7" t="n">
        <x:f>'Guide'!$B$5-L3330</x:f>
        <x:v>6</x:v>
      </x:c>
      <x:c r="R3330" s="9" t="n">
        <x:f>K3330-P3330</x:f>
        <x:v>14.88</x:v>
      </x:c>
      <x:c r="S3330" s="10" t="n">
        <x:f>IF(K3330&gt;0,R3330/K3330,"")</x:f>
        <x:v>0.62</x:v>
      </x:c>
    </x:row>
    <x:row r="3331">
      <x:c r="A3331" s="7" t="n">
        <x:v>3327</x:v>
      </x:c>
      <x:c r="B3331" s="7" t="str">
        <x:v>Tata</x:v>
      </x:c>
      <x:c r="C3331" s="7" t="str">
        <x:v>Harrier</x:v>
      </x:c>
      <x:c r="D3331" s="7" t="str">
        <x:v>Fearless AT</x:v>
      </x:c>
      <x:c r="E3331" s="7" t="str">
        <x:v>Diesel</x:v>
      </x:c>
      <x:c r="F3331" s="7" t="str">
        <x:v>Automatic</x:v>
      </x:c>
      <x:c r="G3331" s="7" t="str">
        <x:v>Mid-Size SUV</x:v>
      </x:c>
      <x:c r="H3331" s="7" t="n">
        <x:v>1956</x:v>
      </x:c>
      <x:c r="I3331" s="7" t="n">
        <x:v>168</x:v>
      </x:c>
      <x:c r="J3331" s="9" t="n">
        <x:v>14.6</x:v>
      </x:c>
      <x:c r="K3331" s="9" t="n">
        <x:v>24</x:v>
      </x:c>
      <x:c r="L3331" s="7" t="n">
        <x:v>2026</x:v>
      </x:c>
      <x:c r="M3331" s="11" t="n">
        <x:v>9490</x:v>
      </x:c>
      <x:c r="N3331" s="7" t="n">
        <x:v>1</x:v>
      </x:c>
      <x:c r="O3331" s="7" t="n">
        <x:v>0</x:v>
      </x:c>
      <x:c r="P3331" s="9" t="n">
        <x:v>24.02</x:v>
      </x:c>
      <x:c r="Q3331" s="7" t="n">
        <x:f>'Guide'!$B$5-L3331</x:f>
        <x:v>0</x:v>
      </x:c>
      <x:c r="R3331" s="9" t="n">
        <x:f>K3331-P3331</x:f>
        <x:v>-0.019999999999999574</x:v>
      </x:c>
      <x:c r="S3331" s="10" t="n">
        <x:f>IF(K3331&gt;0,R3331/K3331,"")</x:f>
        <x:v>-0.0008333333333333156</x:v>
      </x:c>
    </x:row>
    <x:row r="3332">
      <x:c r="A3332" s="7" t="n">
        <x:v>3328</x:v>
      </x:c>
      <x:c r="B3332" s="7" t="str">
        <x:v>Tata</x:v>
      </x:c>
      <x:c r="C3332" s="7" t="str">
        <x:v>Harrier</x:v>
      </x:c>
      <x:c r="D3332" s="7" t="str">
        <x:v>Fearless AT</x:v>
      </x:c>
      <x:c r="E3332" s="7" t="str">
        <x:v>Diesel</x:v>
      </x:c>
      <x:c r="F3332" s="7" t="str">
        <x:v>Automatic</x:v>
      </x:c>
      <x:c r="G3332" s="7" t="str">
        <x:v>Mid-Size SUV</x:v>
      </x:c>
      <x:c r="H3332" s="7" t="n">
        <x:v>1956</x:v>
      </x:c>
      <x:c r="I3332" s="7" t="n">
        <x:v>168</x:v>
      </x:c>
      <x:c r="J3332" s="9" t="n">
        <x:v>14.6</x:v>
      </x:c>
      <x:c r="K3332" s="9" t="n">
        <x:v>24</x:v>
      </x:c>
      <x:c r="L3332" s="7" t="n">
        <x:v>2025</x:v>
      </x:c>
      <x:c r="M3332" s="11" t="n">
        <x:v>16594</x:v>
      </x:c>
      <x:c r="N3332" s="7" t="n">
        <x:v>1</x:v>
      </x:c>
      <x:c r="O3332" s="7" t="n">
        <x:v>0</x:v>
      </x:c>
      <x:c r="P3332" s="9" t="n">
        <x:v>21.77</x:v>
      </x:c>
      <x:c r="Q3332" s="7" t="n">
        <x:f>'Guide'!$B$5-L3332</x:f>
        <x:v>1</x:v>
      </x:c>
      <x:c r="R3332" s="9" t="n">
        <x:f>K3332-P3332</x:f>
        <x:v>2.2300000000000004</x:v>
      </x:c>
      <x:c r="S3332" s="10" t="n">
        <x:f>IF(K3332&gt;0,R3332/K3332,"")</x:f>
        <x:v>0.09291666666666669</x:v>
      </x:c>
    </x:row>
    <x:row r="3333">
      <x:c r="A3333" s="7" t="n">
        <x:v>3329</x:v>
      </x:c>
      <x:c r="B3333" s="7" t="str">
        <x:v>Tata</x:v>
      </x:c>
      <x:c r="C3333" s="7" t="str">
        <x:v>Harrier</x:v>
      </x:c>
      <x:c r="D3333" s="7" t="str">
        <x:v>Fearless AT</x:v>
      </x:c>
      <x:c r="E3333" s="7" t="str">
        <x:v>Diesel</x:v>
      </x:c>
      <x:c r="F3333" s="7" t="str">
        <x:v>Automatic</x:v>
      </x:c>
      <x:c r="G3333" s="7" t="str">
        <x:v>Mid-Size SUV</x:v>
      </x:c>
      <x:c r="H3333" s="7" t="n">
        <x:v>1956</x:v>
      </x:c>
      <x:c r="I3333" s="7" t="n">
        <x:v>168</x:v>
      </x:c>
      <x:c r="J3333" s="9" t="n">
        <x:v>14.6</x:v>
      </x:c>
      <x:c r="K3333" s="9" t="n">
        <x:v>24</x:v>
      </x:c>
      <x:c r="L3333" s="7" t="n">
        <x:v>2020</x:v>
      </x:c>
      <x:c r="M3333" s="11" t="n">
        <x:v>84874</x:v>
      </x:c>
      <x:c r="N3333" s="7" t="n">
        <x:v>1</x:v>
      </x:c>
      <x:c r="O3333" s="7" t="n">
        <x:v>0</x:v>
      </x:c>
      <x:c r="P3333" s="9" t="n">
        <x:v>9.79</x:v>
      </x:c>
      <x:c r="Q3333" s="7" t="n">
        <x:f>'Guide'!$B$5-L3333</x:f>
        <x:v>6</x:v>
      </x:c>
      <x:c r="R3333" s="9" t="n">
        <x:f>K3333-P3333</x:f>
        <x:v>14.21</x:v>
      </x:c>
      <x:c r="S3333" s="10" t="n">
        <x:f>IF(K3333&gt;0,R3333/K3333,"")</x:f>
        <x:v>0.5920833333333334</x:v>
      </x:c>
    </x:row>
    <x:row r="3334">
      <x:c r="A3334" s="7" t="n">
        <x:v>3330</x:v>
      </x:c>
      <x:c r="B3334" s="7" t="str">
        <x:v>Tata</x:v>
      </x:c>
      <x:c r="C3334" s="7" t="str">
        <x:v>Harrier</x:v>
      </x:c>
      <x:c r="D3334" s="7" t="str">
        <x:v>Fearless AT</x:v>
      </x:c>
      <x:c r="E3334" s="7" t="str">
        <x:v>Diesel</x:v>
      </x:c>
      <x:c r="F3334" s="7" t="str">
        <x:v>Automatic</x:v>
      </x:c>
      <x:c r="G3334" s="7" t="str">
        <x:v>Mid-Size SUV</x:v>
      </x:c>
      <x:c r="H3334" s="7" t="n">
        <x:v>1956</x:v>
      </x:c>
      <x:c r="I3334" s="7" t="n">
        <x:v>168</x:v>
      </x:c>
      <x:c r="J3334" s="9" t="n">
        <x:v>14.6</x:v>
      </x:c>
      <x:c r="K3334" s="9" t="n">
        <x:v>24</x:v>
      </x:c>
      <x:c r="L3334" s="7" t="n">
        <x:v>2025</x:v>
      </x:c>
      <x:c r="M3334" s="11" t="n">
        <x:v>13190</x:v>
      </x:c>
      <x:c r="N3334" s="7" t="n">
        <x:v>1</x:v>
      </x:c>
      <x:c r="O3334" s="7" t="n">
        <x:v>0</x:v>
      </x:c>
      <x:c r="P3334" s="9" t="n">
        <x:v>21.84</x:v>
      </x:c>
      <x:c r="Q3334" s="7" t="n">
        <x:f>'Guide'!$B$5-L3334</x:f>
        <x:v>1</x:v>
      </x:c>
      <x:c r="R3334" s="9" t="n">
        <x:f>K3334-P3334</x:f>
        <x:v>2.16</x:v>
      </x:c>
      <x:c r="S3334" s="10" t="n">
        <x:f>IF(K3334&gt;0,R3334/K3334,"")</x:f>
        <x:v>0.09000000000000001</x:v>
      </x:c>
    </x:row>
    <x:row r="3335">
      <x:c r="A3335" s="7" t="n">
        <x:v>3331</x:v>
      </x:c>
      <x:c r="B3335" s="7" t="str">
        <x:v>Tata</x:v>
      </x:c>
      <x:c r="C3335" s="7" t="str">
        <x:v>Harrier</x:v>
      </x:c>
      <x:c r="D3335" s="7" t="str">
        <x:v>Fearless AT</x:v>
      </x:c>
      <x:c r="E3335" s="7" t="str">
        <x:v>Diesel</x:v>
      </x:c>
      <x:c r="F3335" s="7" t="str">
        <x:v>Automatic</x:v>
      </x:c>
      <x:c r="G3335" s="7" t="str">
        <x:v>Mid-Size SUV</x:v>
      </x:c>
      <x:c r="H3335" s="7" t="n">
        <x:v>1956</x:v>
      </x:c>
      <x:c r="I3335" s="7" t="n">
        <x:v>168</x:v>
      </x:c>
      <x:c r="J3335" s="9" t="n">
        <x:v>14.6</x:v>
      </x:c>
      <x:c r="K3335" s="9" t="n">
        <x:v>24</x:v>
      </x:c>
      <x:c r="L3335" s="7" t="n">
        <x:v>2023</x:v>
      </x:c>
      <x:c r="M3335" s="11" t="n">
        <x:v>69398</x:v>
      </x:c>
      <x:c r="N3335" s="7" t="n">
        <x:v>3</x:v>
      </x:c>
      <x:c r="O3335" s="7" t="n">
        <x:v>0</x:v>
      </x:c>
      <x:c r="P3335" s="9" t="n">
        <x:v>15.18</x:v>
      </x:c>
      <x:c r="Q3335" s="7" t="n">
        <x:f>'Guide'!$B$5-L3335</x:f>
        <x:v>3</x:v>
      </x:c>
      <x:c r="R3335" s="9" t="n">
        <x:f>K3335-P3335</x:f>
        <x:v>8.82</x:v>
      </x:c>
      <x:c r="S3335" s="10" t="n">
        <x:f>IF(K3335&gt;0,R3335/K3335,"")</x:f>
        <x:v>0.3675</x:v>
      </x:c>
    </x:row>
    <x:row r="3336">
      <x:c r="A3336" s="7" t="n">
        <x:v>3332</x:v>
      </x:c>
      <x:c r="B3336" s="7" t="str">
        <x:v>Tata</x:v>
      </x:c>
      <x:c r="C3336" s="7" t="str">
        <x:v>Harrier</x:v>
      </x:c>
      <x:c r="D3336" s="7" t="str">
        <x:v>Fearless AT</x:v>
      </x:c>
      <x:c r="E3336" s="7" t="str">
        <x:v>Diesel</x:v>
      </x:c>
      <x:c r="F3336" s="7" t="str">
        <x:v>Automatic</x:v>
      </x:c>
      <x:c r="G3336" s="7" t="str">
        <x:v>Mid-Size SUV</x:v>
      </x:c>
      <x:c r="H3336" s="7" t="n">
        <x:v>1956</x:v>
      </x:c>
      <x:c r="I3336" s="7" t="n">
        <x:v>168</x:v>
      </x:c>
      <x:c r="J3336" s="9" t="n">
        <x:v>14.6</x:v>
      </x:c>
      <x:c r="K3336" s="9" t="n">
        <x:v>24</x:v>
      </x:c>
      <x:c r="L3336" s="7" t="n">
        <x:v>2023</x:v>
      </x:c>
      <x:c r="M3336" s="11" t="n">
        <x:v>49401</x:v>
      </x:c>
      <x:c r="N3336" s="7" t="n">
        <x:v>1</x:v>
      </x:c>
      <x:c r="O3336" s="7" t="n">
        <x:v>1</x:v>
      </x:c>
      <x:c r="P3336" s="9" t="n">
        <x:v>16.21</x:v>
      </x:c>
      <x:c r="Q3336" s="7" t="n">
        <x:f>'Guide'!$B$5-L3336</x:f>
        <x:v>3</x:v>
      </x:c>
      <x:c r="R3336" s="9" t="n">
        <x:f>K3336-P3336</x:f>
        <x:v>7.789999999999999</x:v>
      </x:c>
      <x:c r="S3336" s="10" t="n">
        <x:f>IF(K3336&gt;0,R3336/K3336,"")</x:f>
        <x:v>0.3245833333333333</x:v>
      </x:c>
    </x:row>
    <x:row r="3337">
      <x:c r="A3337" s="7" t="n">
        <x:v>3333</x:v>
      </x:c>
      <x:c r="B3337" s="7" t="str">
        <x:v>Tata</x:v>
      </x:c>
      <x:c r="C3337" s="7" t="str">
        <x:v>Harrier</x:v>
      </x:c>
      <x:c r="D3337" s="7" t="str">
        <x:v>Fearless AT</x:v>
      </x:c>
      <x:c r="E3337" s="7" t="str">
        <x:v>Diesel</x:v>
      </x:c>
      <x:c r="F3337" s="7" t="str">
        <x:v>Automatic</x:v>
      </x:c>
      <x:c r="G3337" s="7" t="str">
        <x:v>Mid-Size SUV</x:v>
      </x:c>
      <x:c r="H3337" s="7" t="n">
        <x:v>1956</x:v>
      </x:c>
      <x:c r="I3337" s="7" t="n">
        <x:v>168</x:v>
      </x:c>
      <x:c r="J3337" s="9" t="n">
        <x:v>14.6</x:v>
      </x:c>
      <x:c r="K3337" s="9" t="n">
        <x:v>24</x:v>
      </x:c>
      <x:c r="L3337" s="7" t="n">
        <x:v>2024</x:v>
      </x:c>
      <x:c r="M3337" s="11" t="n">
        <x:v>37892</x:v>
      </x:c>
      <x:c r="N3337" s="7" t="n">
        <x:v>1</x:v>
      </x:c>
      <x:c r="O3337" s="7" t="n">
        <x:v>0</x:v>
      </x:c>
      <x:c r="P3337" s="9" t="n">
        <x:v>19.2</x:v>
      </x:c>
      <x:c r="Q3337" s="7" t="n">
        <x:f>'Guide'!$B$5-L3337</x:f>
        <x:v>2</x:v>
      </x:c>
      <x:c r="R3337" s="9" t="n">
        <x:f>K3337-P3337</x:f>
        <x:v>4.800000000000001</x:v>
      </x:c>
      <x:c r="S3337" s="10" t="n">
        <x:f>IF(K3337&gt;0,R3337/K3337,"")</x:f>
        <x:v>0.20000000000000004</x:v>
      </x:c>
    </x:row>
    <x:row r="3338">
      <x:c r="A3338" s="7" t="n">
        <x:v>3334</x:v>
      </x:c>
      <x:c r="B3338" s="7" t="str">
        <x:v>Tata</x:v>
      </x:c>
      <x:c r="C3338" s="7" t="str">
        <x:v>Harrier</x:v>
      </x:c>
      <x:c r="D3338" s="7" t="str">
        <x:v>Fearless AT</x:v>
      </x:c>
      <x:c r="E3338" s="7" t="str">
        <x:v>Diesel</x:v>
      </x:c>
      <x:c r="F3338" s="7" t="str">
        <x:v>Automatic</x:v>
      </x:c>
      <x:c r="G3338" s="7" t="str">
        <x:v>Mid-Size SUV</x:v>
      </x:c>
      <x:c r="H3338" s="7" t="n">
        <x:v>1956</x:v>
      </x:c>
      <x:c r="I3338" s="7" t="n">
        <x:v>168</x:v>
      </x:c>
      <x:c r="J3338" s="9" t="n">
        <x:v>14.6</x:v>
      </x:c>
      <x:c r="K3338" s="9" t="n">
        <x:v>24</x:v>
      </x:c>
      <x:c r="L3338" s="7" t="n">
        <x:v>2023</x:v>
      </x:c>
      <x:c r="M3338" s="11" t="n">
        <x:v>33045</x:v>
      </x:c>
      <x:c r="N3338" s="7" t="n">
        <x:v>1</x:v>
      </x:c>
      <x:c r="O3338" s="7" t="n">
        <x:v>0</x:v>
      </x:c>
      <x:c r="P3338" s="9" t="n">
        <x:v>17.18</x:v>
      </x:c>
      <x:c r="Q3338" s="7" t="n">
        <x:f>'Guide'!$B$5-L3338</x:f>
        <x:v>3</x:v>
      </x:c>
      <x:c r="R3338" s="9" t="n">
        <x:f>K3338-P3338</x:f>
        <x:v>6.82</x:v>
      </x:c>
      <x:c r="S3338" s="10" t="n">
        <x:f>IF(K3338&gt;0,R3338/K3338,"")</x:f>
        <x:v>0.2841666666666667</x:v>
      </x:c>
    </x:row>
    <x:row r="3339">
      <x:c r="A3339" s="7" t="n">
        <x:v>3335</x:v>
      </x:c>
      <x:c r="B3339" s="7" t="str">
        <x:v>Tata</x:v>
      </x:c>
      <x:c r="C3339" s="7" t="str">
        <x:v>Harrier</x:v>
      </x:c>
      <x:c r="D3339" s="7" t="str">
        <x:v>Fearless AT</x:v>
      </x:c>
      <x:c r="E3339" s="7" t="str">
        <x:v>Diesel</x:v>
      </x:c>
      <x:c r="F3339" s="7" t="str">
        <x:v>Automatic</x:v>
      </x:c>
      <x:c r="G3339" s="7" t="str">
        <x:v>Mid-Size SUV</x:v>
      </x:c>
      <x:c r="H3339" s="7" t="n">
        <x:v>1956</x:v>
      </x:c>
      <x:c r="I3339" s="7" t="n">
        <x:v>168</x:v>
      </x:c>
      <x:c r="J3339" s="9" t="n">
        <x:v>14.6</x:v>
      </x:c>
      <x:c r="K3339" s="9" t="n">
        <x:v>24</x:v>
      </x:c>
      <x:c r="L3339" s="7" t="n">
        <x:v>2025</x:v>
      </x:c>
      <x:c r="M3339" s="11" t="n">
        <x:v>16984</x:v>
      </x:c>
      <x:c r="N3339" s="7" t="n">
        <x:v>2</x:v>
      </x:c>
      <x:c r="O3339" s="7" t="n">
        <x:v>0</x:v>
      </x:c>
      <x:c r="P3339" s="9" t="n">
        <x:v>20.85</x:v>
      </x:c>
      <x:c r="Q3339" s="7" t="n">
        <x:f>'Guide'!$B$5-L3339</x:f>
        <x:v>1</x:v>
      </x:c>
      <x:c r="R3339" s="9" t="n">
        <x:f>K3339-P3339</x:f>
        <x:v>3.1499999999999986</x:v>
      </x:c>
      <x:c r="S3339" s="10" t="n">
        <x:f>IF(K3339&gt;0,R3339/K3339,"")</x:f>
        <x:v>0.13124999999999995</x:v>
      </x:c>
    </x:row>
    <x:row r="3340">
      <x:c r="A3340" s="7" t="n">
        <x:v>3336</x:v>
      </x:c>
      <x:c r="B3340" s="7" t="str">
        <x:v>Tata</x:v>
      </x:c>
      <x:c r="C3340" s="7" t="str">
        <x:v>Harrier</x:v>
      </x:c>
      <x:c r="D3340" s="7" t="str">
        <x:v>Fearless AT</x:v>
      </x:c>
      <x:c r="E3340" s="7" t="str">
        <x:v>Diesel</x:v>
      </x:c>
      <x:c r="F3340" s="7" t="str">
        <x:v>Automatic</x:v>
      </x:c>
      <x:c r="G3340" s="7" t="str">
        <x:v>Mid-Size SUV</x:v>
      </x:c>
      <x:c r="H3340" s="7" t="n">
        <x:v>1956</x:v>
      </x:c>
      <x:c r="I3340" s="7" t="n">
        <x:v>168</x:v>
      </x:c>
      <x:c r="J3340" s="9" t="n">
        <x:v>14.6</x:v>
      </x:c>
      <x:c r="K3340" s="9" t="n">
        <x:v>24</x:v>
      </x:c>
      <x:c r="L3340" s="7" t="n">
        <x:v>2025</x:v>
      </x:c>
      <x:c r="M3340" s="11" t="n">
        <x:v>22452</x:v>
      </x:c>
      <x:c r="N3340" s="7" t="n">
        <x:v>2</x:v>
      </x:c>
      <x:c r="O3340" s="7" t="n">
        <x:v>0</x:v>
      </x:c>
      <x:c r="P3340" s="9" t="n">
        <x:v>20.77</x:v>
      </x:c>
      <x:c r="Q3340" s="7" t="n">
        <x:f>'Guide'!$B$5-L3340</x:f>
        <x:v>1</x:v>
      </x:c>
      <x:c r="R3340" s="9" t="n">
        <x:f>K3340-P3340</x:f>
        <x:v>3.2300000000000004</x:v>
      </x:c>
      <x:c r="S3340" s="10" t="n">
        <x:f>IF(K3340&gt;0,R3340/K3340,"")</x:f>
        <x:v>0.13458333333333336</x:v>
      </x:c>
    </x:row>
    <x:row r="3341">
      <x:c r="A3341" s="7" t="n">
        <x:v>3337</x:v>
      </x:c>
      <x:c r="B3341" s="7" t="str">
        <x:v>Tata</x:v>
      </x:c>
      <x:c r="C3341" s="7" t="str">
        <x:v>Harrier</x:v>
      </x:c>
      <x:c r="D3341" s="7" t="str">
        <x:v>Fearless AT</x:v>
      </x:c>
      <x:c r="E3341" s="7" t="str">
        <x:v>Diesel</x:v>
      </x:c>
      <x:c r="F3341" s="7" t="str">
        <x:v>Automatic</x:v>
      </x:c>
      <x:c r="G3341" s="7" t="str">
        <x:v>Mid-Size SUV</x:v>
      </x:c>
      <x:c r="H3341" s="7" t="n">
        <x:v>1956</x:v>
      </x:c>
      <x:c r="I3341" s="7" t="n">
        <x:v>168</x:v>
      </x:c>
      <x:c r="J3341" s="9" t="n">
        <x:v>14.6</x:v>
      </x:c>
      <x:c r="K3341" s="9" t="n">
        <x:v>24</x:v>
      </x:c>
      <x:c r="L3341" s="7" t="n">
        <x:v>2021</x:v>
      </x:c>
      <x:c r="M3341" s="11" t="n">
        <x:v>108803</x:v>
      </x:c>
      <x:c r="N3341" s="7" t="n">
        <x:v>1</x:v>
      </x:c>
      <x:c r="O3341" s="7" t="n">
        <x:v>0</x:v>
      </x:c>
      <x:c r="P3341" s="9" t="n">
        <x:v>11.15</x:v>
      </x:c>
      <x:c r="Q3341" s="7" t="n">
        <x:f>'Guide'!$B$5-L3341</x:f>
        <x:v>5</x:v>
      </x:c>
      <x:c r="R3341" s="9" t="n">
        <x:f>K3341-P3341</x:f>
        <x:v>12.85</x:v>
      </x:c>
      <x:c r="S3341" s="10" t="n">
        <x:f>IF(K3341&gt;0,R3341/K3341,"")</x:f>
        <x:v>0.5354166666666667</x:v>
      </x:c>
    </x:row>
    <x:row r="3342">
      <x:c r="A3342" s="7" t="n">
        <x:v>3338</x:v>
      </x:c>
      <x:c r="B3342" s="7" t="str">
        <x:v>Tata</x:v>
      </x:c>
      <x:c r="C3342" s="7" t="str">
        <x:v>Harrier</x:v>
      </x:c>
      <x:c r="D3342" s="7" t="str">
        <x:v>Fearless AT</x:v>
      </x:c>
      <x:c r="E3342" s="7" t="str">
        <x:v>Diesel</x:v>
      </x:c>
      <x:c r="F3342" s="7" t="str">
        <x:v>Automatic</x:v>
      </x:c>
      <x:c r="G3342" s="7" t="str">
        <x:v>Mid-Size SUV</x:v>
      </x:c>
      <x:c r="H3342" s="7" t="n">
        <x:v>1956</x:v>
      </x:c>
      <x:c r="I3342" s="7" t="n">
        <x:v>168</x:v>
      </x:c>
      <x:c r="J3342" s="9" t="n">
        <x:v>14.6</x:v>
      </x:c>
      <x:c r="K3342" s="9" t="n">
        <x:v>24</x:v>
      </x:c>
      <x:c r="L3342" s="7" t="n">
        <x:v>2022</x:v>
      </x:c>
      <x:c r="M3342" s="11" t="n">
        <x:v>47796</x:v>
      </x:c>
      <x:c r="N3342" s="7" t="n">
        <x:v>1</x:v>
      </x:c>
      <x:c r="O3342" s="7" t="n">
        <x:v>0</x:v>
      </x:c>
      <x:c r="P3342" s="9" t="n">
        <x:v>14.82</x:v>
      </x:c>
      <x:c r="Q3342" s="7" t="n">
        <x:f>'Guide'!$B$5-L3342</x:f>
        <x:v>4</x:v>
      </x:c>
      <x:c r="R3342" s="9" t="n">
        <x:f>K3342-P3342</x:f>
        <x:v>9.18</x:v>
      </x:c>
      <x:c r="S3342" s="10" t="n">
        <x:f>IF(K3342&gt;0,R3342/K3342,"")</x:f>
        <x:v>0.3825</x:v>
      </x:c>
    </x:row>
    <x:row r="3343">
      <x:c r="A3343" s="7" t="n">
        <x:v>3339</x:v>
      </x:c>
      <x:c r="B3343" s="7" t="str">
        <x:v>Tata</x:v>
      </x:c>
      <x:c r="C3343" s="7" t="str">
        <x:v>Harrier</x:v>
      </x:c>
      <x:c r="D3343" s="7" t="str">
        <x:v>Fearless AT</x:v>
      </x:c>
      <x:c r="E3343" s="7" t="str">
        <x:v>Diesel</x:v>
      </x:c>
      <x:c r="F3343" s="7" t="str">
        <x:v>Automatic</x:v>
      </x:c>
      <x:c r="G3343" s="7" t="str">
        <x:v>Mid-Size SUV</x:v>
      </x:c>
      <x:c r="H3343" s="7" t="n">
        <x:v>1956</x:v>
      </x:c>
      <x:c r="I3343" s="7" t="n">
        <x:v>168</x:v>
      </x:c>
      <x:c r="J3343" s="9" t="n">
        <x:v>14.6</x:v>
      </x:c>
      <x:c r="K3343" s="9" t="n">
        <x:v>24</x:v>
      </x:c>
      <x:c r="L3343" s="7" t="n">
        <x:v>2022</x:v>
      </x:c>
      <x:c r="M3343" s="11" t="n">
        <x:v>68621</x:v>
      </x:c>
      <x:c r="N3343" s="7" t="n">
        <x:v>3</x:v>
      </x:c>
      <x:c r="O3343" s="7" t="n">
        <x:v>0</x:v>
      </x:c>
      <x:c r="P3343" s="9" t="n">
        <x:v>13.57</x:v>
      </x:c>
      <x:c r="Q3343" s="7" t="n">
        <x:f>'Guide'!$B$5-L3343</x:f>
        <x:v>4</x:v>
      </x:c>
      <x:c r="R3343" s="9" t="n">
        <x:f>K3343-P3343</x:f>
        <x:v>10.43</x:v>
      </x:c>
      <x:c r="S3343" s="10" t="n">
        <x:f>IF(K3343&gt;0,R3343/K3343,"")</x:f>
        <x:v>0.4345833333333333</x:v>
      </x:c>
    </x:row>
    <x:row r="3344">
      <x:c r="A3344" s="7" t="n">
        <x:v>3340</x:v>
      </x:c>
      <x:c r="B3344" s="7" t="str">
        <x:v>Tata</x:v>
      </x:c>
      <x:c r="C3344" s="7" t="str">
        <x:v>Harrier</x:v>
      </x:c>
      <x:c r="D3344" s="7" t="str">
        <x:v>Fearless AT</x:v>
      </x:c>
      <x:c r="E3344" s="7" t="str">
        <x:v>Diesel</x:v>
      </x:c>
      <x:c r="F3344" s="7" t="str">
        <x:v>Automatic</x:v>
      </x:c>
      <x:c r="G3344" s="7" t="str">
        <x:v>Mid-Size SUV</x:v>
      </x:c>
      <x:c r="H3344" s="7" t="n">
        <x:v>1956</x:v>
      </x:c>
      <x:c r="I3344" s="7" t="n">
        <x:v>168</x:v>
      </x:c>
      <x:c r="J3344" s="9" t="n">
        <x:v>14.6</x:v>
      </x:c>
      <x:c r="K3344" s="9" t="n">
        <x:v>24</x:v>
      </x:c>
      <x:c r="L3344" s="7" t="n">
        <x:v>2024</x:v>
      </x:c>
      <x:c r="M3344" s="11" t="n">
        <x:v>29735</x:v>
      </x:c>
      <x:c r="N3344" s="7" t="n">
        <x:v>1</x:v>
      </x:c>
      <x:c r="O3344" s="7" t="n">
        <x:v>0</x:v>
      </x:c>
      <x:c r="P3344" s="9" t="n">
        <x:v>18.94</x:v>
      </x:c>
      <x:c r="Q3344" s="7" t="n">
        <x:f>'Guide'!$B$5-L3344</x:f>
        <x:v>2</x:v>
      </x:c>
      <x:c r="R3344" s="9" t="n">
        <x:f>K3344-P3344</x:f>
        <x:v>5.059999999999999</x:v>
      </x:c>
      <x:c r="S3344" s="10" t="n">
        <x:f>IF(K3344&gt;0,R3344/K3344,"")</x:f>
        <x:v>0.2108333333333333</x:v>
      </x:c>
    </x:row>
    <x:row r="3345">
      <x:c r="A3345" s="7" t="n">
        <x:v>3341</x:v>
      </x:c>
      <x:c r="B3345" s="7" t="str">
        <x:v>Tata</x:v>
      </x:c>
      <x:c r="C3345" s="7" t="str">
        <x:v>Harrier</x:v>
      </x:c>
      <x:c r="D3345" s="7" t="str">
        <x:v>Fearless AT</x:v>
      </x:c>
      <x:c r="E3345" s="7" t="str">
        <x:v>Diesel</x:v>
      </x:c>
      <x:c r="F3345" s="7" t="str">
        <x:v>Automatic</x:v>
      </x:c>
      <x:c r="G3345" s="7" t="str">
        <x:v>Mid-Size SUV</x:v>
      </x:c>
      <x:c r="H3345" s="7" t="n">
        <x:v>1956</x:v>
      </x:c>
      <x:c r="I3345" s="7" t="n">
        <x:v>168</x:v>
      </x:c>
      <x:c r="J3345" s="9" t="n">
        <x:v>14.6</x:v>
      </x:c>
      <x:c r="K3345" s="9" t="n">
        <x:v>24</x:v>
      </x:c>
      <x:c r="L3345" s="7" t="n">
        <x:v>2026</x:v>
      </x:c>
      <x:c r="M3345" s="11" t="n">
        <x:v>7722</x:v>
      </x:c>
      <x:c r="N3345" s="7" t="n">
        <x:v>1</x:v>
      </x:c>
      <x:c r="O3345" s="7" t="n">
        <x:v>0</x:v>
      </x:c>
      <x:c r="P3345" s="9" t="n">
        <x:v>24.14</x:v>
      </x:c>
      <x:c r="Q3345" s="7" t="n">
        <x:f>'Guide'!$B$5-L3345</x:f>
        <x:v>0</x:v>
      </x:c>
      <x:c r="R3345" s="9" t="n">
        <x:f>K3345-P3345</x:f>
        <x:v>-0.14000000000000057</x:v>
      </x:c>
      <x:c r="S3345" s="10" t="n">
        <x:f>IF(K3345&gt;0,R3345/K3345,"")</x:f>
        <x:v>-0.005833333333333357</x:v>
      </x:c>
    </x:row>
    <x:row r="3346">
      <x:c r="A3346" s="7" t="n">
        <x:v>3342</x:v>
      </x:c>
      <x:c r="B3346" s="7" t="str">
        <x:v>Tata</x:v>
      </x:c>
      <x:c r="C3346" s="7" t="str">
        <x:v>Harrier</x:v>
      </x:c>
      <x:c r="D3346" s="7" t="str">
        <x:v>Fearless AT</x:v>
      </x:c>
      <x:c r="E3346" s="7" t="str">
        <x:v>Diesel</x:v>
      </x:c>
      <x:c r="F3346" s="7" t="str">
        <x:v>Automatic</x:v>
      </x:c>
      <x:c r="G3346" s="7" t="str">
        <x:v>Mid-Size SUV</x:v>
      </x:c>
      <x:c r="H3346" s="7" t="n">
        <x:v>1956</x:v>
      </x:c>
      <x:c r="I3346" s="7" t="n">
        <x:v>168</x:v>
      </x:c>
      <x:c r="J3346" s="9" t="n">
        <x:v>14.6</x:v>
      </x:c>
      <x:c r="K3346" s="9" t="n">
        <x:v>24</x:v>
      </x:c>
      <x:c r="L3346" s="7" t="n">
        <x:v>2021</x:v>
      </x:c>
      <x:c r="M3346" s="11" t="n">
        <x:v>103413</x:v>
      </x:c>
      <x:c r="N3346" s="7" t="n">
        <x:v>3</x:v>
      </x:c>
      <x:c r="O3346" s="7" t="n">
        <x:v>0</x:v>
      </x:c>
      <x:c r="P3346" s="9" t="n">
        <x:v>10.68</x:v>
      </x:c>
      <x:c r="Q3346" s="7" t="n">
        <x:f>'Guide'!$B$5-L3346</x:f>
        <x:v>5</x:v>
      </x:c>
      <x:c r="R3346" s="9" t="n">
        <x:f>K3346-P3346</x:f>
        <x:v>13.32</x:v>
      </x:c>
      <x:c r="S3346" s="10" t="n">
        <x:f>IF(K3346&gt;0,R3346/K3346,"")</x:f>
        <x:v>0.555</x:v>
      </x:c>
    </x:row>
    <x:row r="3347">
      <x:c r="A3347" s="7" t="n">
        <x:v>3343</x:v>
      </x:c>
      <x:c r="B3347" s="7" t="str">
        <x:v>Tata</x:v>
      </x:c>
      <x:c r="C3347" s="7" t="str">
        <x:v>Harrier</x:v>
      </x:c>
      <x:c r="D3347" s="7" t="str">
        <x:v>Fearless AT</x:v>
      </x:c>
      <x:c r="E3347" s="7" t="str">
        <x:v>Diesel</x:v>
      </x:c>
      <x:c r="F3347" s="7" t="str">
        <x:v>Automatic</x:v>
      </x:c>
      <x:c r="G3347" s="7" t="str">
        <x:v>Mid-Size SUV</x:v>
      </x:c>
      <x:c r="H3347" s="7" t="n">
        <x:v>1956</x:v>
      </x:c>
      <x:c r="I3347" s="7" t="n">
        <x:v>168</x:v>
      </x:c>
      <x:c r="J3347" s="9" t="n">
        <x:v>14.6</x:v>
      </x:c>
      <x:c r="K3347" s="9" t="n">
        <x:v>24</x:v>
      </x:c>
      <x:c r="L3347" s="7" t="n">
        <x:v>2021</x:v>
      </x:c>
      <x:c r="M3347" s="11" t="n">
        <x:v>103045</x:v>
      </x:c>
      <x:c r="N3347" s="7" t="n">
        <x:v>1</x:v>
      </x:c>
      <x:c r="O3347" s="7" t="n">
        <x:v>0</x:v>
      </x:c>
      <x:c r="P3347" s="9" t="n">
        <x:v>11.31</x:v>
      </x:c>
      <x:c r="Q3347" s="7" t="n">
        <x:f>'Guide'!$B$5-L3347</x:f>
        <x:v>5</x:v>
      </x:c>
      <x:c r="R3347" s="9" t="n">
        <x:f>K3347-P3347</x:f>
        <x:v>12.69</x:v>
      </x:c>
      <x:c r="S3347" s="10" t="n">
        <x:f>IF(K3347&gt;0,R3347/K3347,"")</x:f>
        <x:v>0.5287499999999999</x:v>
      </x:c>
    </x:row>
    <x:row r="3348">
      <x:c r="A3348" s="7" t="n">
        <x:v>3344</x:v>
      </x:c>
      <x:c r="B3348" s="7" t="str">
        <x:v>Tata</x:v>
      </x:c>
      <x:c r="C3348" s="7" t="str">
        <x:v>Harrier</x:v>
      </x:c>
      <x:c r="D3348" s="7" t="str">
        <x:v>Fearless AT</x:v>
      </x:c>
      <x:c r="E3348" s="7" t="str">
        <x:v>Diesel</x:v>
      </x:c>
      <x:c r="F3348" s="7" t="str">
        <x:v>Automatic</x:v>
      </x:c>
      <x:c r="G3348" s="7" t="str">
        <x:v>Mid-Size SUV</x:v>
      </x:c>
      <x:c r="H3348" s="7" t="n">
        <x:v>1956</x:v>
      </x:c>
      <x:c r="I3348" s="7" t="n">
        <x:v>168</x:v>
      </x:c>
      <x:c r="J3348" s="9" t="n">
        <x:v>14.6</x:v>
      </x:c>
      <x:c r="K3348" s="9" t="n">
        <x:v>24</x:v>
      </x:c>
      <x:c r="L3348" s="7" t="n">
        <x:v>2021</x:v>
      </x:c>
      <x:c r="M3348" s="11" t="n">
        <x:v>109359</x:v>
      </x:c>
      <x:c r="N3348" s="7" t="n">
        <x:v>2</x:v>
      </x:c>
      <x:c r="O3348" s="7" t="n">
        <x:v>0</x:v>
      </x:c>
      <x:c r="P3348" s="9" t="n">
        <x:v>11.02</x:v>
      </x:c>
      <x:c r="Q3348" s="7" t="n">
        <x:f>'Guide'!$B$5-L3348</x:f>
        <x:v>5</x:v>
      </x:c>
      <x:c r="R3348" s="9" t="n">
        <x:f>K3348-P3348</x:f>
        <x:v>12.98</x:v>
      </x:c>
      <x:c r="S3348" s="10" t="n">
        <x:f>IF(K3348&gt;0,R3348/K3348,"")</x:f>
        <x:v>0.5408333333333334</x:v>
      </x:c>
    </x:row>
    <x:row r="3349">
      <x:c r="A3349" s="7" t="n">
        <x:v>3345</x:v>
      </x:c>
      <x:c r="B3349" s="7" t="str">
        <x:v>Tata</x:v>
      </x:c>
      <x:c r="C3349" s="7" t="str">
        <x:v>Harrier</x:v>
      </x:c>
      <x:c r="D3349" s="7" t="str">
        <x:v>Fearless AT</x:v>
      </x:c>
      <x:c r="E3349" s="7" t="str">
        <x:v>Diesel</x:v>
      </x:c>
      <x:c r="F3349" s="7" t="str">
        <x:v>Automatic</x:v>
      </x:c>
      <x:c r="G3349" s="7" t="str">
        <x:v>Mid-Size SUV</x:v>
      </x:c>
      <x:c r="H3349" s="7" t="n">
        <x:v>1956</x:v>
      </x:c>
      <x:c r="I3349" s="7" t="n">
        <x:v>168</x:v>
      </x:c>
      <x:c r="J3349" s="9" t="n">
        <x:v>14.6</x:v>
      </x:c>
      <x:c r="K3349" s="9" t="n">
        <x:v>24</x:v>
      </x:c>
      <x:c r="L3349" s="7" t="n">
        <x:v>2024</x:v>
      </x:c>
      <x:c r="M3349" s="11" t="n">
        <x:v>41387</x:v>
      </x:c>
      <x:c r="N3349" s="7" t="n">
        <x:v>1</x:v>
      </x:c>
      <x:c r="O3349" s="7" t="n">
        <x:v>1</x:v>
      </x:c>
      <x:c r="P3349" s="9" t="n">
        <x:v>18.55</x:v>
      </x:c>
      <x:c r="Q3349" s="7" t="n">
        <x:f>'Guide'!$B$5-L3349</x:f>
        <x:v>2</x:v>
      </x:c>
      <x:c r="R3349" s="9" t="n">
        <x:f>K3349-P3349</x:f>
        <x:v>5.449999999999999</x:v>
      </x:c>
      <x:c r="S3349" s="10" t="n">
        <x:f>IF(K3349&gt;0,R3349/K3349,"")</x:f>
        <x:v>0.2270833333333333</x:v>
      </x:c>
    </x:row>
    <x:row r="3350">
      <x:c r="A3350" s="7" t="n">
        <x:v>3346</x:v>
      </x:c>
      <x:c r="B3350" s="7" t="str">
        <x:v>Tata</x:v>
      </x:c>
      <x:c r="C3350" s="7" t="str">
        <x:v>Harrier</x:v>
      </x:c>
      <x:c r="D3350" s="7" t="str">
        <x:v>Fearless AT</x:v>
      </x:c>
      <x:c r="E3350" s="7" t="str">
        <x:v>Diesel</x:v>
      </x:c>
      <x:c r="F3350" s="7" t="str">
        <x:v>Automatic</x:v>
      </x:c>
      <x:c r="G3350" s="7" t="str">
        <x:v>Mid-Size SUV</x:v>
      </x:c>
      <x:c r="H3350" s="7" t="n">
        <x:v>1956</x:v>
      </x:c>
      <x:c r="I3350" s="7" t="n">
        <x:v>168</x:v>
      </x:c>
      <x:c r="J3350" s="9" t="n">
        <x:v>14.6</x:v>
      </x:c>
      <x:c r="K3350" s="9" t="n">
        <x:v>24</x:v>
      </x:c>
      <x:c r="L3350" s="7" t="n">
        <x:v>2022</x:v>
      </x:c>
      <x:c r="M3350" s="11" t="n">
        <x:v>80963</x:v>
      </x:c>
      <x:c r="N3350" s="7" t="n">
        <x:v>1</x:v>
      </x:c>
      <x:c r="O3350" s="7" t="n">
        <x:v>0</x:v>
      </x:c>
      <x:c r="P3350" s="9" t="n">
        <x:v>14.23</x:v>
      </x:c>
      <x:c r="Q3350" s="7" t="n">
        <x:f>'Guide'!$B$5-L3350</x:f>
        <x:v>4</x:v>
      </x:c>
      <x:c r="R3350" s="9" t="n">
        <x:f>K3350-P3350</x:f>
        <x:v>9.77</x:v>
      </x:c>
      <x:c r="S3350" s="10" t="n">
        <x:f>IF(K3350&gt;0,R3350/K3350,"")</x:f>
        <x:v>0.4070833333333333</x:v>
      </x:c>
    </x:row>
    <x:row r="3351">
      <x:c r="A3351" s="7" t="n">
        <x:v>3347</x:v>
      </x:c>
      <x:c r="B3351" s="7" t="str">
        <x:v>Tata</x:v>
      </x:c>
      <x:c r="C3351" s="7" t="str">
        <x:v>Harrier</x:v>
      </x:c>
      <x:c r="D3351" s="7" t="str">
        <x:v>Fearless AT</x:v>
      </x:c>
      <x:c r="E3351" s="7" t="str">
        <x:v>Diesel</x:v>
      </x:c>
      <x:c r="F3351" s="7" t="str">
        <x:v>Automatic</x:v>
      </x:c>
      <x:c r="G3351" s="7" t="str">
        <x:v>Mid-Size SUV</x:v>
      </x:c>
      <x:c r="H3351" s="7" t="n">
        <x:v>1956</x:v>
      </x:c>
      <x:c r="I3351" s="7" t="n">
        <x:v>168</x:v>
      </x:c>
      <x:c r="J3351" s="9" t="n">
        <x:v>14.6</x:v>
      </x:c>
      <x:c r="K3351" s="9" t="n">
        <x:v>24</x:v>
      </x:c>
      <x:c r="L3351" s="7" t="n">
        <x:v>2026</x:v>
      </x:c>
      <x:c r="M3351" s="11" t="n">
        <x:v>6136</x:v>
      </x:c>
      <x:c r="N3351" s="7" t="n">
        <x:v>1</x:v>
      </x:c>
      <x:c r="O3351" s="7" t="n">
        <x:v>1</x:v>
      </x:c>
      <x:c r="P3351" s="9" t="n">
        <x:v>22.96</x:v>
      </x:c>
      <x:c r="Q3351" s="7" t="n">
        <x:f>'Guide'!$B$5-L3351</x:f>
        <x:v>0</x:v>
      </x:c>
      <x:c r="R3351" s="9" t="n">
        <x:f>K3351-P3351</x:f>
        <x:v>1.0399999999999991</x:v>
      </x:c>
      <x:c r="S3351" s="10" t="n">
        <x:f>IF(K3351&gt;0,R3351/K3351,"")</x:f>
        <x:v>0.0433333333333333</x:v>
      </x:c>
    </x:row>
    <x:row r="3352">
      <x:c r="A3352" s="7" t="n">
        <x:v>3348</x:v>
      </x:c>
      <x:c r="B3352" s="7" t="str">
        <x:v>Tata</x:v>
      </x:c>
      <x:c r="C3352" s="7" t="str">
        <x:v>Harrier</x:v>
      </x:c>
      <x:c r="D3352" s="7" t="str">
        <x:v>Fearless AT</x:v>
      </x:c>
      <x:c r="E3352" s="7" t="str">
        <x:v>Diesel</x:v>
      </x:c>
      <x:c r="F3352" s="7" t="str">
        <x:v>Automatic</x:v>
      </x:c>
      <x:c r="G3352" s="7" t="str">
        <x:v>Mid-Size SUV</x:v>
      </x:c>
      <x:c r="H3352" s="7" t="n">
        <x:v>1956</x:v>
      </x:c>
      <x:c r="I3352" s="7" t="n">
        <x:v>168</x:v>
      </x:c>
      <x:c r="J3352" s="9" t="n">
        <x:v>14.6</x:v>
      </x:c>
      <x:c r="K3352" s="9" t="n">
        <x:v>24</x:v>
      </x:c>
      <x:c r="L3352" s="7" t="n">
        <x:v>2021</x:v>
      </x:c>
      <x:c r="M3352" s="11" t="n">
        <x:v>76710</x:v>
      </x:c>
      <x:c r="N3352" s="7" t="n">
        <x:v>1</x:v>
      </x:c>
      <x:c r="O3352" s="7" t="n">
        <x:v>0</x:v>
      </x:c>
      <x:c r="P3352" s="9" t="n">
        <x:v>12.42</x:v>
      </x:c>
      <x:c r="Q3352" s="7" t="n">
        <x:f>'Guide'!$B$5-L3352</x:f>
        <x:v>5</x:v>
      </x:c>
      <x:c r="R3352" s="9" t="n">
        <x:f>K3352-P3352</x:f>
        <x:v>11.58</x:v>
      </x:c>
      <x:c r="S3352" s="10" t="n">
        <x:f>IF(K3352&gt;0,R3352/K3352,"")</x:f>
        <x:v>0.4825</x:v>
      </x:c>
    </x:row>
    <x:row r="3353">
      <x:c r="A3353" s="7" t="n">
        <x:v>3349</x:v>
      </x:c>
      <x:c r="B3353" s="7" t="str">
        <x:v>Tata</x:v>
      </x:c>
      <x:c r="C3353" s="7" t="str">
        <x:v>Harrier</x:v>
      </x:c>
      <x:c r="D3353" s="7" t="str">
        <x:v>Fearless AT</x:v>
      </x:c>
      <x:c r="E3353" s="7" t="str">
        <x:v>Diesel</x:v>
      </x:c>
      <x:c r="F3353" s="7" t="str">
        <x:v>Automatic</x:v>
      </x:c>
      <x:c r="G3353" s="7" t="str">
        <x:v>Mid-Size SUV</x:v>
      </x:c>
      <x:c r="H3353" s="7" t="n">
        <x:v>1956</x:v>
      </x:c>
      <x:c r="I3353" s="7" t="n">
        <x:v>168</x:v>
      </x:c>
      <x:c r="J3353" s="9" t="n">
        <x:v>14.6</x:v>
      </x:c>
      <x:c r="K3353" s="9" t="n">
        <x:v>24</x:v>
      </x:c>
      <x:c r="L3353" s="7" t="n">
        <x:v>2025</x:v>
      </x:c>
      <x:c r="M3353" s="11" t="n">
        <x:v>24055</x:v>
      </x:c>
      <x:c r="N3353" s="7" t="n">
        <x:v>1</x:v>
      </x:c>
      <x:c r="O3353" s="7" t="n">
        <x:v>0</x:v>
      </x:c>
      <x:c r="P3353" s="9" t="n">
        <x:v>21.55</x:v>
      </x:c>
      <x:c r="Q3353" s="7" t="n">
        <x:f>'Guide'!$B$5-L3353</x:f>
        <x:v>1</x:v>
      </x:c>
      <x:c r="R3353" s="9" t="n">
        <x:f>K3353-P3353</x:f>
        <x:v>2.4499999999999993</x:v>
      </x:c>
      <x:c r="S3353" s="10" t="n">
        <x:f>IF(K3353&gt;0,R3353/K3353,"")</x:f>
        <x:v>0.1020833333333333</x:v>
      </x:c>
    </x:row>
    <x:row r="3354">
      <x:c r="A3354" s="7" t="n">
        <x:v>3350</x:v>
      </x:c>
      <x:c r="B3354" s="7" t="str">
        <x:v>Tata</x:v>
      </x:c>
      <x:c r="C3354" s="7" t="str">
        <x:v>Harrier</x:v>
      </x:c>
      <x:c r="D3354" s="7" t="str">
        <x:v>Fearless AT</x:v>
      </x:c>
      <x:c r="E3354" s="7" t="str">
        <x:v>Diesel</x:v>
      </x:c>
      <x:c r="F3354" s="7" t="str">
        <x:v>Automatic</x:v>
      </x:c>
      <x:c r="G3354" s="7" t="str">
        <x:v>Mid-Size SUV</x:v>
      </x:c>
      <x:c r="H3354" s="7" t="n">
        <x:v>1956</x:v>
      </x:c>
      <x:c r="I3354" s="7" t="n">
        <x:v>168</x:v>
      </x:c>
      <x:c r="J3354" s="9" t="n">
        <x:v>14.6</x:v>
      </x:c>
      <x:c r="K3354" s="9" t="n">
        <x:v>24</x:v>
      </x:c>
      <x:c r="L3354" s="7" t="n">
        <x:v>2021</x:v>
      </x:c>
      <x:c r="M3354" s="11" t="n">
        <x:v>58038</x:v>
      </x:c>
      <x:c r="N3354" s="7" t="n">
        <x:v>1</x:v>
      </x:c>
      <x:c r="O3354" s="7" t="n">
        <x:v>0</x:v>
      </x:c>
      <x:c r="P3354" s="9" t="n">
        <x:v>13.03</x:v>
      </x:c>
      <x:c r="Q3354" s="7" t="n">
        <x:f>'Guide'!$B$5-L3354</x:f>
        <x:v>5</x:v>
      </x:c>
      <x:c r="R3354" s="9" t="n">
        <x:f>K3354-P3354</x:f>
        <x:v>10.97</x:v>
      </x:c>
      <x:c r="S3354" s="10" t="n">
        <x:f>IF(K3354&gt;0,R3354/K3354,"")</x:f>
        <x:v>0.45708333333333334</x:v>
      </x:c>
    </x:row>
    <x:row r="3355">
      <x:c r="A3355" s="7" t="n">
        <x:v>3351</x:v>
      </x:c>
      <x:c r="B3355" s="7" t="str">
        <x:v>Tata</x:v>
      </x:c>
      <x:c r="C3355" s="7" t="str">
        <x:v>Harrier</x:v>
      </x:c>
      <x:c r="D3355" s="7" t="str">
        <x:v>Fearless AT</x:v>
      </x:c>
      <x:c r="E3355" s="7" t="str">
        <x:v>Diesel</x:v>
      </x:c>
      <x:c r="F3355" s="7" t="str">
        <x:v>Automatic</x:v>
      </x:c>
      <x:c r="G3355" s="7" t="str">
        <x:v>Mid-Size SUV</x:v>
      </x:c>
      <x:c r="H3355" s="7" t="n">
        <x:v>1956</x:v>
      </x:c>
      <x:c r="I3355" s="7" t="n">
        <x:v>168</x:v>
      </x:c>
      <x:c r="J3355" s="9" t="n">
        <x:v>14.6</x:v>
      </x:c>
      <x:c r="K3355" s="9" t="n">
        <x:v>24</x:v>
      </x:c>
      <x:c r="L3355" s="7" t="n">
        <x:v>2025</x:v>
      </x:c>
      <x:c r="M3355" s="11" t="n">
        <x:v>26357</x:v>
      </x:c>
      <x:c r="N3355" s="7" t="n">
        <x:v>1</x:v>
      </x:c>
      <x:c r="O3355" s="7" t="n">
        <x:v>0</x:v>
      </x:c>
      <x:c r="P3355" s="9" t="n">
        <x:v>21.68</x:v>
      </x:c>
      <x:c r="Q3355" s="7" t="n">
        <x:f>'Guide'!$B$5-L3355</x:f>
        <x:v>1</x:v>
      </x:c>
      <x:c r="R3355" s="9" t="n">
        <x:f>K3355-P3355</x:f>
        <x:v>2.3200000000000003</x:v>
      </x:c>
      <x:c r="S3355" s="10" t="n">
        <x:f>IF(K3355&gt;0,R3355/K3355,"")</x:f>
        <x:v>0.09666666666666668</x:v>
      </x:c>
    </x:row>
    <x:row r="3356">
      <x:c r="A3356" s="7" t="n">
        <x:v>3352</x:v>
      </x:c>
      <x:c r="B3356" s="7" t="str">
        <x:v>Tata</x:v>
      </x:c>
      <x:c r="C3356" s="7" t="str">
        <x:v>Harrier</x:v>
      </x:c>
      <x:c r="D3356" s="7" t="str">
        <x:v>Fearless AT</x:v>
      </x:c>
      <x:c r="E3356" s="7" t="str">
        <x:v>Diesel</x:v>
      </x:c>
      <x:c r="F3356" s="7" t="str">
        <x:v>Automatic</x:v>
      </x:c>
      <x:c r="G3356" s="7" t="str">
        <x:v>Mid-Size SUV</x:v>
      </x:c>
      <x:c r="H3356" s="7" t="n">
        <x:v>1956</x:v>
      </x:c>
      <x:c r="I3356" s="7" t="n">
        <x:v>168</x:v>
      </x:c>
      <x:c r="J3356" s="9" t="n">
        <x:v>14.6</x:v>
      </x:c>
      <x:c r="K3356" s="9" t="n">
        <x:v>24</x:v>
      </x:c>
      <x:c r="L3356" s="7" t="n">
        <x:v>2024</x:v>
      </x:c>
      <x:c r="M3356" s="11" t="n">
        <x:v>24442</x:v>
      </x:c>
      <x:c r="N3356" s="7" t="n">
        <x:v>1</x:v>
      </x:c>
      <x:c r="O3356" s="7" t="n">
        <x:v>0</x:v>
      </x:c>
      <x:c r="P3356" s="9" t="n">
        <x:v>19.76</x:v>
      </x:c>
      <x:c r="Q3356" s="7" t="n">
        <x:f>'Guide'!$B$5-L3356</x:f>
        <x:v>2</x:v>
      </x:c>
      <x:c r="R3356" s="9" t="n">
        <x:f>K3356-P3356</x:f>
        <x:v>4.239999999999998</x:v>
      </x:c>
      <x:c r="S3356" s="10" t="n">
        <x:f>IF(K3356&gt;0,R3356/K3356,"")</x:f>
        <x:v>0.1766666666666666</x:v>
      </x:c>
    </x:row>
    <x:row r="3357">
      <x:c r="A3357" s="7" t="n">
        <x:v>3353</x:v>
      </x:c>
      <x:c r="B3357" s="7" t="str">
        <x:v>Tata</x:v>
      </x:c>
      <x:c r="C3357" s="7" t="str">
        <x:v>Harrier</x:v>
      </x:c>
      <x:c r="D3357" s="7" t="str">
        <x:v>Fearless AT</x:v>
      </x:c>
      <x:c r="E3357" s="7" t="str">
        <x:v>Diesel</x:v>
      </x:c>
      <x:c r="F3357" s="7" t="str">
        <x:v>Automatic</x:v>
      </x:c>
      <x:c r="G3357" s="7" t="str">
        <x:v>Mid-Size SUV</x:v>
      </x:c>
      <x:c r="H3357" s="7" t="n">
        <x:v>1956</x:v>
      </x:c>
      <x:c r="I3357" s="7" t="n">
        <x:v>168</x:v>
      </x:c>
      <x:c r="J3357" s="9" t="n">
        <x:v>14.6</x:v>
      </x:c>
      <x:c r="K3357" s="9" t="n">
        <x:v>24</x:v>
      </x:c>
      <x:c r="L3357" s="7" t="n">
        <x:v>2020</x:v>
      </x:c>
      <x:c r="M3357" s="11" t="n">
        <x:v>109503</x:v>
      </x:c>
      <x:c r="N3357" s="7" t="n">
        <x:v>1</x:v>
      </x:c>
      <x:c r="O3357" s="7" t="n">
        <x:v>0</x:v>
      </x:c>
      <x:c r="P3357" s="9" t="n">
        <x:v>9.14</x:v>
      </x:c>
      <x:c r="Q3357" s="7" t="n">
        <x:f>'Guide'!$B$5-L3357</x:f>
        <x:v>6</x:v>
      </x:c>
      <x:c r="R3357" s="9" t="n">
        <x:f>K3357-P3357</x:f>
        <x:v>14.86</x:v>
      </x:c>
      <x:c r="S3357" s="10" t="n">
        <x:f>IF(K3357&gt;0,R3357/K3357,"")</x:f>
        <x:v>0.6191666666666666</x:v>
      </x:c>
    </x:row>
    <x:row r="3358">
      <x:c r="A3358" s="7" t="n">
        <x:v>3354</x:v>
      </x:c>
      <x:c r="B3358" s="7" t="str">
        <x:v>Tata</x:v>
      </x:c>
      <x:c r="C3358" s="7" t="str">
        <x:v>Harrier</x:v>
      </x:c>
      <x:c r="D3358" s="7" t="str">
        <x:v>Fearless AT</x:v>
      </x:c>
      <x:c r="E3358" s="7" t="str">
        <x:v>Diesel</x:v>
      </x:c>
      <x:c r="F3358" s="7" t="str">
        <x:v>Automatic</x:v>
      </x:c>
      <x:c r="G3358" s="7" t="str">
        <x:v>Mid-Size SUV</x:v>
      </x:c>
      <x:c r="H3358" s="7" t="n">
        <x:v>1956</x:v>
      </x:c>
      <x:c r="I3358" s="7" t="n">
        <x:v>168</x:v>
      </x:c>
      <x:c r="J3358" s="9" t="n">
        <x:v>14.6</x:v>
      </x:c>
      <x:c r="K3358" s="9" t="n">
        <x:v>24</x:v>
      </x:c>
      <x:c r="L3358" s="7" t="n">
        <x:v>2022</x:v>
      </x:c>
      <x:c r="M3358" s="11" t="n">
        <x:v>47569</x:v>
      </x:c>
      <x:c r="N3358" s="7" t="n">
        <x:v>1</x:v>
      </x:c>
      <x:c r="O3358" s="7" t="n">
        <x:v>0</x:v>
      </x:c>
      <x:c r="P3358" s="9" t="n">
        <x:v>14.92</x:v>
      </x:c>
      <x:c r="Q3358" s="7" t="n">
        <x:f>'Guide'!$B$5-L3358</x:f>
        <x:v>4</x:v>
      </x:c>
      <x:c r="R3358" s="9" t="n">
        <x:f>K3358-P3358</x:f>
        <x:v>9.08</x:v>
      </x:c>
      <x:c r="S3358" s="10" t="n">
        <x:f>IF(K3358&gt;0,R3358/K3358,"")</x:f>
        <x:v>0.37833333333333335</x:v>
      </x:c>
    </x:row>
    <x:row r="3359">
      <x:c r="A3359" s="7" t="n">
        <x:v>3355</x:v>
      </x:c>
      <x:c r="B3359" s="7" t="str">
        <x:v>Tata</x:v>
      </x:c>
      <x:c r="C3359" s="7" t="str">
        <x:v>Harrier</x:v>
      </x:c>
      <x:c r="D3359" s="7" t="str">
        <x:v>Fearless AT</x:v>
      </x:c>
      <x:c r="E3359" s="7" t="str">
        <x:v>Diesel</x:v>
      </x:c>
      <x:c r="F3359" s="7" t="str">
        <x:v>Automatic</x:v>
      </x:c>
      <x:c r="G3359" s="7" t="str">
        <x:v>Mid-Size SUV</x:v>
      </x:c>
      <x:c r="H3359" s="7" t="n">
        <x:v>1956</x:v>
      </x:c>
      <x:c r="I3359" s="7" t="n">
        <x:v>168</x:v>
      </x:c>
      <x:c r="J3359" s="9" t="n">
        <x:v>14.6</x:v>
      </x:c>
      <x:c r="K3359" s="9" t="n">
        <x:v>24</x:v>
      </x:c>
      <x:c r="L3359" s="7" t="n">
        <x:v>2026</x:v>
      </x:c>
      <x:c r="M3359" s="11" t="n">
        <x:v>4677</x:v>
      </x:c>
      <x:c r="N3359" s="7" t="n">
        <x:v>1</x:v>
      </x:c>
      <x:c r="O3359" s="7" t="n">
        <x:v>0</x:v>
      </x:c>
      <x:c r="P3359" s="9" t="n">
        <x:v>24.08</x:v>
      </x:c>
      <x:c r="Q3359" s="7" t="n">
        <x:f>'Guide'!$B$5-L3359</x:f>
        <x:v>0</x:v>
      </x:c>
      <x:c r="R3359" s="9" t="n">
        <x:f>K3359-P3359</x:f>
        <x:v>-0.0799999999999983</x:v>
      </x:c>
      <x:c r="S3359" s="10" t="n">
        <x:f>IF(K3359&gt;0,R3359/K3359,"")</x:f>
        <x:v>-0.0033333333333332624</x:v>
      </x:c>
    </x:row>
    <x:row r="3360">
      <x:c r="A3360" s="7" t="n">
        <x:v>3356</x:v>
      </x:c>
      <x:c r="B3360" s="7" t="str">
        <x:v>Tata</x:v>
      </x:c>
      <x:c r="C3360" s="7" t="str">
        <x:v>Harrier</x:v>
      </x:c>
      <x:c r="D3360" s="7" t="str">
        <x:v>Fearless AT</x:v>
      </x:c>
      <x:c r="E3360" s="7" t="str">
        <x:v>Diesel</x:v>
      </x:c>
      <x:c r="F3360" s="7" t="str">
        <x:v>Automatic</x:v>
      </x:c>
      <x:c r="G3360" s="7" t="str">
        <x:v>Mid-Size SUV</x:v>
      </x:c>
      <x:c r="H3360" s="7" t="n">
        <x:v>1956</x:v>
      </x:c>
      <x:c r="I3360" s="7" t="n">
        <x:v>168</x:v>
      </x:c>
      <x:c r="J3360" s="9" t="n">
        <x:v>14.6</x:v>
      </x:c>
      <x:c r="K3360" s="9" t="n">
        <x:v>24</x:v>
      </x:c>
      <x:c r="L3360" s="7" t="n">
        <x:v>2024</x:v>
      </x:c>
      <x:c r="M3360" s="11" t="n">
        <x:v>32609</x:v>
      </x:c>
      <x:c r="N3360" s="7" t="n">
        <x:v>2</x:v>
      </x:c>
      <x:c r="O3360" s="7" t="n">
        <x:v>0</x:v>
      </x:c>
      <x:c r="P3360" s="9" t="n">
        <x:v>18.84</x:v>
      </x:c>
      <x:c r="Q3360" s="7" t="n">
        <x:f>'Guide'!$B$5-L3360</x:f>
        <x:v>2</x:v>
      </x:c>
      <x:c r="R3360" s="9" t="n">
        <x:f>K3360-P3360</x:f>
        <x:v>5.16</x:v>
      </x:c>
      <x:c r="S3360" s="10" t="n">
        <x:f>IF(K3360&gt;0,R3360/K3360,"")</x:f>
        <x:v>0.215</x:v>
      </x:c>
    </x:row>
    <x:row r="3361">
      <x:c r="A3361" s="7" t="n">
        <x:v>3357</x:v>
      </x:c>
      <x:c r="B3361" s="7" t="str">
        <x:v>Tata</x:v>
      </x:c>
      <x:c r="C3361" s="7" t="str">
        <x:v>Harrier</x:v>
      </x:c>
      <x:c r="D3361" s="7" t="str">
        <x:v>Fearless AT</x:v>
      </x:c>
      <x:c r="E3361" s="7" t="str">
        <x:v>Diesel</x:v>
      </x:c>
      <x:c r="F3361" s="7" t="str">
        <x:v>Automatic</x:v>
      </x:c>
      <x:c r="G3361" s="7" t="str">
        <x:v>Mid-Size SUV</x:v>
      </x:c>
      <x:c r="H3361" s="7" t="n">
        <x:v>1956</x:v>
      </x:c>
      <x:c r="I3361" s="7" t="n">
        <x:v>168</x:v>
      </x:c>
      <x:c r="J3361" s="9" t="n">
        <x:v>14.6</x:v>
      </x:c>
      <x:c r="K3361" s="9" t="n">
        <x:v>24</x:v>
      </x:c>
      <x:c r="L3361" s="7" t="n">
        <x:v>2026</x:v>
      </x:c>
      <x:c r="M3361" s="11" t="n">
        <x:v>9652</x:v>
      </x:c>
      <x:c r="N3361" s="7" t="n">
        <x:v>1</x:v>
      </x:c>
      <x:c r="O3361" s="7" t="n">
        <x:v>0</x:v>
      </x:c>
      <x:c r="P3361" s="9" t="n">
        <x:v>23.65</x:v>
      </x:c>
      <x:c r="Q3361" s="7" t="n">
        <x:f>'Guide'!$B$5-L3361</x:f>
        <x:v>0</x:v>
      </x:c>
      <x:c r="R3361" s="9" t="n">
        <x:f>K3361-P3361</x:f>
        <x:v>0.3500000000000014</x:v>
      </x:c>
      <x:c r="S3361" s="10" t="n">
        <x:f>IF(K3361&gt;0,R3361/K3361,"")</x:f>
        <x:v>0.014583333333333393</x:v>
      </x:c>
    </x:row>
    <x:row r="3362">
      <x:c r="A3362" s="7" t="n">
        <x:v>3358</x:v>
      </x:c>
      <x:c r="B3362" s="7" t="str">
        <x:v>Tata</x:v>
      </x:c>
      <x:c r="C3362" s="7" t="str">
        <x:v>Harrier</x:v>
      </x:c>
      <x:c r="D3362" s="7" t="str">
        <x:v>Fearless AT</x:v>
      </x:c>
      <x:c r="E3362" s="7" t="str">
        <x:v>Diesel</x:v>
      </x:c>
      <x:c r="F3362" s="7" t="str">
        <x:v>Automatic</x:v>
      </x:c>
      <x:c r="G3362" s="7" t="str">
        <x:v>Mid-Size SUV</x:v>
      </x:c>
      <x:c r="H3362" s="7" t="n">
        <x:v>1956</x:v>
      </x:c>
      <x:c r="I3362" s="7" t="n">
        <x:v>168</x:v>
      </x:c>
      <x:c r="J3362" s="9" t="n">
        <x:v>14.6</x:v>
      </x:c>
      <x:c r="K3362" s="9" t="n">
        <x:v>24</x:v>
      </x:c>
      <x:c r="L3362" s="7" t="n">
        <x:v>2024</x:v>
      </x:c>
      <x:c r="M3362" s="11" t="n">
        <x:v>29372</x:v>
      </x:c>
      <x:c r="N3362" s="7" t="n">
        <x:v>2</x:v>
      </x:c>
      <x:c r="O3362" s="7" t="n">
        <x:v>0</x:v>
      </x:c>
      <x:c r="P3362" s="9" t="n">
        <x:v>18.88</x:v>
      </x:c>
      <x:c r="Q3362" s="7" t="n">
        <x:f>'Guide'!$B$5-L3362</x:f>
        <x:v>2</x:v>
      </x:c>
      <x:c r="R3362" s="9" t="n">
        <x:f>K3362-P3362</x:f>
        <x:v>5.120000000000001</x:v>
      </x:c>
      <x:c r="S3362" s="10" t="n">
        <x:f>IF(K3362&gt;0,R3362/K3362,"")</x:f>
        <x:v>0.21333333333333337</x:v>
      </x:c>
    </x:row>
    <x:row r="3363">
      <x:c r="A3363" s="7" t="n">
        <x:v>3359</x:v>
      </x:c>
      <x:c r="B3363" s="7" t="str">
        <x:v>Tata</x:v>
      </x:c>
      <x:c r="C3363" s="7" t="str">
        <x:v>Harrier</x:v>
      </x:c>
      <x:c r="D3363" s="7" t="str">
        <x:v>Fearless AT</x:v>
      </x:c>
      <x:c r="E3363" s="7" t="str">
        <x:v>Diesel</x:v>
      </x:c>
      <x:c r="F3363" s="7" t="str">
        <x:v>Automatic</x:v>
      </x:c>
      <x:c r="G3363" s="7" t="str">
        <x:v>Mid-Size SUV</x:v>
      </x:c>
      <x:c r="H3363" s="7" t="n">
        <x:v>1956</x:v>
      </x:c>
      <x:c r="I3363" s="7" t="n">
        <x:v>168</x:v>
      </x:c>
      <x:c r="J3363" s="9" t="n">
        <x:v>14.6</x:v>
      </x:c>
      <x:c r="K3363" s="9" t="n">
        <x:v>24</x:v>
      </x:c>
      <x:c r="L3363" s="7" t="n">
        <x:v>2023</x:v>
      </x:c>
      <x:c r="M3363" s="11" t="n">
        <x:v>46852</x:v>
      </x:c>
      <x:c r="N3363" s="7" t="n">
        <x:v>1</x:v>
      </x:c>
      <x:c r="O3363" s="7" t="n">
        <x:v>0</x:v>
      </x:c>
      <x:c r="P3363" s="9" t="n">
        <x:v>16.7</x:v>
      </x:c>
      <x:c r="Q3363" s="7" t="n">
        <x:f>'Guide'!$B$5-L3363</x:f>
        <x:v>3</x:v>
      </x:c>
      <x:c r="R3363" s="9" t="n">
        <x:f>K3363-P3363</x:f>
        <x:v>7.300000000000001</x:v>
      </x:c>
      <x:c r="S3363" s="10" t="n">
        <x:f>IF(K3363&gt;0,R3363/K3363,"")</x:f>
        <x:v>0.3041666666666667</x:v>
      </x:c>
    </x:row>
    <x:row r="3364">
      <x:c r="A3364" s="7" t="n">
        <x:v>3360</x:v>
      </x:c>
      <x:c r="B3364" s="7" t="str">
        <x:v>Tata</x:v>
      </x:c>
      <x:c r="C3364" s="7" t="str">
        <x:v>Harrier</x:v>
      </x:c>
      <x:c r="D3364" s="7" t="str">
        <x:v>Fearless AT</x:v>
      </x:c>
      <x:c r="E3364" s="7" t="str">
        <x:v>Diesel</x:v>
      </x:c>
      <x:c r="F3364" s="7" t="str">
        <x:v>Automatic</x:v>
      </x:c>
      <x:c r="G3364" s="7" t="str">
        <x:v>Mid-Size SUV</x:v>
      </x:c>
      <x:c r="H3364" s="7" t="n">
        <x:v>1956</x:v>
      </x:c>
      <x:c r="I3364" s="7" t="n">
        <x:v>168</x:v>
      </x:c>
      <x:c r="J3364" s="9" t="n">
        <x:v>14.6</x:v>
      </x:c>
      <x:c r="K3364" s="9" t="n">
        <x:v>24</x:v>
      </x:c>
      <x:c r="L3364" s="7" t="n">
        <x:v>2021</x:v>
      </x:c>
      <x:c r="M3364" s="11" t="n">
        <x:v>99717</x:v>
      </x:c>
      <x:c r="N3364" s="7" t="n">
        <x:v>2</x:v>
      </x:c>
      <x:c r="O3364" s="7" t="n">
        <x:v>0</x:v>
      </x:c>
      <x:c r="P3364" s="9" t="n">
        <x:v>10.86</x:v>
      </x:c>
      <x:c r="Q3364" s="7" t="n">
        <x:f>'Guide'!$B$5-L3364</x:f>
        <x:v>5</x:v>
      </x:c>
      <x:c r="R3364" s="9" t="n">
        <x:f>K3364-P3364</x:f>
        <x:v>13.14</x:v>
      </x:c>
      <x:c r="S3364" s="10" t="n">
        <x:f>IF(K3364&gt;0,R3364/K3364,"")</x:f>
        <x:v>0.5475</x:v>
      </x:c>
    </x:row>
    <x:row r="3365">
      <x:c r="A3365" s="7" t="n">
        <x:v>3361</x:v>
      </x:c>
      <x:c r="B3365" s="7" t="str">
        <x:v>Tata</x:v>
      </x:c>
      <x:c r="C3365" s="7" t="str">
        <x:v>Harrier</x:v>
      </x:c>
      <x:c r="D3365" s="7" t="str">
        <x:v>Fearless AT</x:v>
      </x:c>
      <x:c r="E3365" s="7" t="str">
        <x:v>Diesel</x:v>
      </x:c>
      <x:c r="F3365" s="7" t="str">
        <x:v>Automatic</x:v>
      </x:c>
      <x:c r="G3365" s="7" t="str">
        <x:v>Mid-Size SUV</x:v>
      </x:c>
      <x:c r="H3365" s="7" t="n">
        <x:v>1956</x:v>
      </x:c>
      <x:c r="I3365" s="7" t="n">
        <x:v>168</x:v>
      </x:c>
      <x:c r="J3365" s="9" t="n">
        <x:v>14.6</x:v>
      </x:c>
      <x:c r="K3365" s="9" t="n">
        <x:v>24</x:v>
      </x:c>
      <x:c r="L3365" s="7" t="n">
        <x:v>2026</x:v>
      </x:c>
      <x:c r="M3365" s="11" t="n">
        <x:v>4051</x:v>
      </x:c>
      <x:c r="N3365" s="7" t="n">
        <x:v>2</x:v>
      </x:c>
      <x:c r="O3365" s="7" t="n">
        <x:v>0</x:v>
      </x:c>
      <x:c r="P3365" s="9" t="n">
        <x:v>23.62</x:v>
      </x:c>
      <x:c r="Q3365" s="7" t="n">
        <x:f>'Guide'!$B$5-L3365</x:f>
        <x:v>0</x:v>
      </x:c>
      <x:c r="R3365" s="9" t="n">
        <x:f>K3365-P3365</x:f>
        <x:v>0.379999999999999</x:v>
      </x:c>
      <x:c r="S3365" s="10" t="n">
        <x:f>IF(K3365&gt;0,R3365/K3365,"")</x:f>
        <x:v>0.015833333333333293</x:v>
      </x:c>
    </x:row>
    <x:row r="3366">
      <x:c r="A3366" s="7" t="n">
        <x:v>3362</x:v>
      </x:c>
      <x:c r="B3366" s="7" t="str">
        <x:v>Tata</x:v>
      </x:c>
      <x:c r="C3366" s="7" t="str">
        <x:v>Harrier</x:v>
      </x:c>
      <x:c r="D3366" s="7" t="str">
        <x:v>Fearless AT</x:v>
      </x:c>
      <x:c r="E3366" s="7" t="str">
        <x:v>Diesel</x:v>
      </x:c>
      <x:c r="F3366" s="7" t="str">
        <x:v>Automatic</x:v>
      </x:c>
      <x:c r="G3366" s="7" t="str">
        <x:v>Mid-Size SUV</x:v>
      </x:c>
      <x:c r="H3366" s="7" t="n">
        <x:v>1956</x:v>
      </x:c>
      <x:c r="I3366" s="7" t="n">
        <x:v>168</x:v>
      </x:c>
      <x:c r="J3366" s="9" t="n">
        <x:v>14.6</x:v>
      </x:c>
      <x:c r="K3366" s="9" t="n">
        <x:v>24</x:v>
      </x:c>
      <x:c r="L3366" s="7" t="n">
        <x:v>2022</x:v>
      </x:c>
      <x:c r="M3366" s="11" t="n">
        <x:v>44592</x:v>
      </x:c>
      <x:c r="N3366" s="7" t="n">
        <x:v>1</x:v>
      </x:c>
      <x:c r="O3366" s="7" t="n">
        <x:v>0</x:v>
      </x:c>
      <x:c r="P3366" s="9" t="n">
        <x:v>14.84</x:v>
      </x:c>
      <x:c r="Q3366" s="7" t="n">
        <x:f>'Guide'!$B$5-L3366</x:f>
        <x:v>4</x:v>
      </x:c>
      <x:c r="R3366" s="9" t="n">
        <x:f>K3366-P3366</x:f>
        <x:v>9.16</x:v>
      </x:c>
      <x:c r="S3366" s="10" t="n">
        <x:f>IF(K3366&gt;0,R3366/K3366,"")</x:f>
        <x:v>0.38166666666666665</x:v>
      </x:c>
    </x:row>
    <x:row r="3367">
      <x:c r="A3367" s="7" t="n">
        <x:v>3363</x:v>
      </x:c>
      <x:c r="B3367" s="7" t="str">
        <x:v>Tata</x:v>
      </x:c>
      <x:c r="C3367" s="7" t="str">
        <x:v>Harrier</x:v>
      </x:c>
      <x:c r="D3367" s="7" t="str">
        <x:v>Fearless AT</x:v>
      </x:c>
      <x:c r="E3367" s="7" t="str">
        <x:v>Diesel</x:v>
      </x:c>
      <x:c r="F3367" s="7" t="str">
        <x:v>Automatic</x:v>
      </x:c>
      <x:c r="G3367" s="7" t="str">
        <x:v>Mid-Size SUV</x:v>
      </x:c>
      <x:c r="H3367" s="7" t="n">
        <x:v>1956</x:v>
      </x:c>
      <x:c r="I3367" s="7" t="n">
        <x:v>168</x:v>
      </x:c>
      <x:c r="J3367" s="9" t="n">
        <x:v>14.6</x:v>
      </x:c>
      <x:c r="K3367" s="9" t="n">
        <x:v>24</x:v>
      </x:c>
      <x:c r="L3367" s="7" t="n">
        <x:v>2024</x:v>
      </x:c>
      <x:c r="M3367" s="11" t="n">
        <x:v>39798</x:v>
      </x:c>
      <x:c r="N3367" s="7" t="n">
        <x:v>1</x:v>
      </x:c>
      <x:c r="O3367" s="7" t="n">
        <x:v>0</x:v>
      </x:c>
      <x:c r="P3367" s="9" t="n">
        <x:v>19.14</x:v>
      </x:c>
      <x:c r="Q3367" s="7" t="n">
        <x:f>'Guide'!$B$5-L3367</x:f>
        <x:v>2</x:v>
      </x:c>
      <x:c r="R3367" s="9" t="n">
        <x:f>K3367-P3367</x:f>
        <x:v>4.859999999999999</x:v>
      </x:c>
      <x:c r="S3367" s="10" t="n">
        <x:f>IF(K3367&gt;0,R3367/K3367,"")</x:f>
        <x:v>0.20249999999999999</x:v>
      </x:c>
    </x:row>
    <x:row r="3368">
      <x:c r="A3368" s="7" t="n">
        <x:v>3364</x:v>
      </x:c>
      <x:c r="B3368" s="7" t="str">
        <x:v>Tata</x:v>
      </x:c>
      <x:c r="C3368" s="7" t="str">
        <x:v>Harrier</x:v>
      </x:c>
      <x:c r="D3368" s="7" t="str">
        <x:v>Fearless AT</x:v>
      </x:c>
      <x:c r="E3368" s="7" t="str">
        <x:v>Diesel</x:v>
      </x:c>
      <x:c r="F3368" s="7" t="str">
        <x:v>Automatic</x:v>
      </x:c>
      <x:c r="G3368" s="7" t="str">
        <x:v>Mid-Size SUV</x:v>
      </x:c>
      <x:c r="H3368" s="7" t="n">
        <x:v>1956</x:v>
      </x:c>
      <x:c r="I3368" s="7" t="n">
        <x:v>168</x:v>
      </x:c>
      <x:c r="J3368" s="9" t="n">
        <x:v>14.6</x:v>
      </x:c>
      <x:c r="K3368" s="9" t="n">
        <x:v>24</x:v>
      </x:c>
      <x:c r="L3368" s="7" t="n">
        <x:v>2024</x:v>
      </x:c>
      <x:c r="M3368" s="11" t="n">
        <x:v>28386</x:v>
      </x:c>
      <x:c r="N3368" s="7" t="n">
        <x:v>1</x:v>
      </x:c>
      <x:c r="O3368" s="7" t="n">
        <x:v>0</x:v>
      </x:c>
      <x:c r="P3368" s="9" t="n">
        <x:v>19.43</x:v>
      </x:c>
      <x:c r="Q3368" s="7" t="n">
        <x:f>'Guide'!$B$5-L3368</x:f>
        <x:v>2</x:v>
      </x:c>
      <x:c r="R3368" s="9" t="n">
        <x:f>K3368-P3368</x:f>
        <x:v>4.57</x:v>
      </x:c>
      <x:c r="S3368" s="10" t="n">
        <x:f>IF(K3368&gt;0,R3368/K3368,"")</x:f>
        <x:v>0.19041666666666668</x:v>
      </x:c>
    </x:row>
    <x:row r="3369">
      <x:c r="A3369" s="7" t="n">
        <x:v>3365</x:v>
      </x:c>
      <x:c r="B3369" s="7" t="str">
        <x:v>Tata</x:v>
      </x:c>
      <x:c r="C3369" s="7" t="str">
        <x:v>Harrier</x:v>
      </x:c>
      <x:c r="D3369" s="7" t="str">
        <x:v>Fearless AT</x:v>
      </x:c>
      <x:c r="E3369" s="7" t="str">
        <x:v>Diesel</x:v>
      </x:c>
      <x:c r="F3369" s="7" t="str">
        <x:v>Automatic</x:v>
      </x:c>
      <x:c r="G3369" s="7" t="str">
        <x:v>Mid-Size SUV</x:v>
      </x:c>
      <x:c r="H3369" s="7" t="n">
        <x:v>1956</x:v>
      </x:c>
      <x:c r="I3369" s="7" t="n">
        <x:v>168</x:v>
      </x:c>
      <x:c r="J3369" s="9" t="n">
        <x:v>14.6</x:v>
      </x:c>
      <x:c r="K3369" s="9" t="n">
        <x:v>24</x:v>
      </x:c>
      <x:c r="L3369" s="7" t="n">
        <x:v>2025</x:v>
      </x:c>
      <x:c r="M3369" s="11" t="n">
        <x:v>13413</x:v>
      </x:c>
      <x:c r="N3369" s="7" t="n">
        <x:v>1</x:v>
      </x:c>
      <x:c r="O3369" s="7" t="n">
        <x:v>0</x:v>
      </x:c>
      <x:c r="P3369" s="9" t="n">
        <x:v>22.08</x:v>
      </x:c>
      <x:c r="Q3369" s="7" t="n">
        <x:f>'Guide'!$B$5-L3369</x:f>
        <x:v>1</x:v>
      </x:c>
      <x:c r="R3369" s="9" t="n">
        <x:f>K3369-P3369</x:f>
        <x:v>1.9200000000000017</x:v>
      </x:c>
      <x:c r="S3369" s="10" t="n">
        <x:f>IF(K3369&gt;0,R3369/K3369,"")</x:f>
        <x:v>0.08000000000000007</x:v>
      </x:c>
    </x:row>
    <x:row r="3370">
      <x:c r="A3370" s="7" t="n">
        <x:v>3366</x:v>
      </x:c>
      <x:c r="B3370" s="7" t="str">
        <x:v>Tata</x:v>
      </x:c>
      <x:c r="C3370" s="7" t="str">
        <x:v>Harrier</x:v>
      </x:c>
      <x:c r="D3370" s="7" t="str">
        <x:v>Fearless AT</x:v>
      </x:c>
      <x:c r="E3370" s="7" t="str">
        <x:v>Diesel</x:v>
      </x:c>
      <x:c r="F3370" s="7" t="str">
        <x:v>Automatic</x:v>
      </x:c>
      <x:c r="G3370" s="7" t="str">
        <x:v>Mid-Size SUV</x:v>
      </x:c>
      <x:c r="H3370" s="7" t="n">
        <x:v>1956</x:v>
      </x:c>
      <x:c r="I3370" s="7" t="n">
        <x:v>168</x:v>
      </x:c>
      <x:c r="J3370" s="9" t="n">
        <x:v>14.6</x:v>
      </x:c>
      <x:c r="K3370" s="9" t="n">
        <x:v>24</x:v>
      </x:c>
      <x:c r="L3370" s="7" t="n">
        <x:v>2022</x:v>
      </x:c>
      <x:c r="M3370" s="11" t="n">
        <x:v>76899</x:v>
      </x:c>
      <x:c r="N3370" s="7" t="n">
        <x:v>1</x:v>
      </x:c>
      <x:c r="O3370" s="7" t="n">
        <x:v>0</x:v>
      </x:c>
      <x:c r="P3370" s="9" t="n">
        <x:v>13.72</x:v>
      </x:c>
      <x:c r="Q3370" s="7" t="n">
        <x:f>'Guide'!$B$5-L3370</x:f>
        <x:v>4</x:v>
      </x:c>
      <x:c r="R3370" s="9" t="n">
        <x:f>K3370-P3370</x:f>
        <x:v>10.28</x:v>
      </x:c>
      <x:c r="S3370" s="10" t="n">
        <x:f>IF(K3370&gt;0,R3370/K3370,"")</x:f>
        <x:v>0.4283333333333333</x:v>
      </x:c>
    </x:row>
    <x:row r="3371">
      <x:c r="A3371" s="7" t="n">
        <x:v>3367</x:v>
      </x:c>
      <x:c r="B3371" s="7" t="str">
        <x:v>Tata</x:v>
      </x:c>
      <x:c r="C3371" s="7" t="str">
        <x:v>Harrier</x:v>
      </x:c>
      <x:c r="D3371" s="7" t="str">
        <x:v>Fearless AT</x:v>
      </x:c>
      <x:c r="E3371" s="7" t="str">
        <x:v>Diesel</x:v>
      </x:c>
      <x:c r="F3371" s="7" t="str">
        <x:v>Automatic</x:v>
      </x:c>
      <x:c r="G3371" s="7" t="str">
        <x:v>Mid-Size SUV</x:v>
      </x:c>
      <x:c r="H3371" s="7" t="n">
        <x:v>1956</x:v>
      </x:c>
      <x:c r="I3371" s="7" t="n">
        <x:v>168</x:v>
      </x:c>
      <x:c r="J3371" s="9" t="n">
        <x:v>14.6</x:v>
      </x:c>
      <x:c r="K3371" s="9" t="n">
        <x:v>24</x:v>
      </x:c>
      <x:c r="L3371" s="7" t="n">
        <x:v>2023</x:v>
      </x:c>
      <x:c r="M3371" s="11" t="n">
        <x:v>29571</x:v>
      </x:c>
      <x:c r="N3371" s="7" t="n">
        <x:v>1</x:v>
      </x:c>
      <x:c r="O3371" s="7" t="n">
        <x:v>0</x:v>
      </x:c>
      <x:c r="P3371" s="9" t="n">
        <x:v>17.31</x:v>
      </x:c>
      <x:c r="Q3371" s="7" t="n">
        <x:f>'Guide'!$B$5-L3371</x:f>
        <x:v>3</x:v>
      </x:c>
      <x:c r="R3371" s="9" t="n">
        <x:f>K3371-P3371</x:f>
        <x:v>6.690000000000001</x:v>
      </x:c>
      <x:c r="S3371" s="10" t="n">
        <x:f>IF(K3371&gt;0,R3371/K3371,"")</x:f>
        <x:v>0.27875000000000005</x:v>
      </x:c>
    </x:row>
    <x:row r="3372">
      <x:c r="A3372" s="7" t="n">
        <x:v>3368</x:v>
      </x:c>
      <x:c r="B3372" s="7" t="str">
        <x:v>Tata</x:v>
      </x:c>
      <x:c r="C3372" s="7" t="str">
        <x:v>Harrier</x:v>
      </x:c>
      <x:c r="D3372" s="7" t="str">
        <x:v>Fearless AT</x:v>
      </x:c>
      <x:c r="E3372" s="7" t="str">
        <x:v>Diesel</x:v>
      </x:c>
      <x:c r="F3372" s="7" t="str">
        <x:v>Automatic</x:v>
      </x:c>
      <x:c r="G3372" s="7" t="str">
        <x:v>Mid-Size SUV</x:v>
      </x:c>
      <x:c r="H3372" s="7" t="n">
        <x:v>1956</x:v>
      </x:c>
      <x:c r="I3372" s="7" t="n">
        <x:v>168</x:v>
      </x:c>
      <x:c r="J3372" s="9" t="n">
        <x:v>14.6</x:v>
      </x:c>
      <x:c r="K3372" s="9" t="n">
        <x:v>24</x:v>
      </x:c>
      <x:c r="L3372" s="7" t="n">
        <x:v>2024</x:v>
      </x:c>
      <x:c r="M3372" s="11" t="n">
        <x:v>46694</x:v>
      </x:c>
      <x:c r="N3372" s="7" t="n">
        <x:v>1</x:v>
      </x:c>
      <x:c r="O3372" s="7" t="n">
        <x:v>0</x:v>
      </x:c>
      <x:c r="P3372" s="9" t="n">
        <x:v>19.16</x:v>
      </x:c>
      <x:c r="Q3372" s="7" t="n">
        <x:f>'Guide'!$B$5-L3372</x:f>
        <x:v>2</x:v>
      </x:c>
      <x:c r="R3372" s="9" t="n">
        <x:f>K3372-P3372</x:f>
        <x:v>4.84</x:v>
      </x:c>
      <x:c r="S3372" s="10" t="n">
        <x:f>IF(K3372&gt;0,R3372/K3372,"")</x:f>
        <x:v>0.20166666666666666</x:v>
      </x:c>
    </x:row>
    <x:row r="3373">
      <x:c r="A3373" s="7" t="n">
        <x:v>3369</x:v>
      </x:c>
      <x:c r="B3373" s="7" t="str">
        <x:v>Tata</x:v>
      </x:c>
      <x:c r="C3373" s="7" t="str">
        <x:v>Harrier</x:v>
      </x:c>
      <x:c r="D3373" s="7" t="str">
        <x:v>Fearless AT</x:v>
      </x:c>
      <x:c r="E3373" s="7" t="str">
        <x:v>Diesel</x:v>
      </x:c>
      <x:c r="F3373" s="7" t="str">
        <x:v>Automatic</x:v>
      </x:c>
      <x:c r="G3373" s="7" t="str">
        <x:v>Mid-Size SUV</x:v>
      </x:c>
      <x:c r="H3373" s="7" t="n">
        <x:v>1956</x:v>
      </x:c>
      <x:c r="I3373" s="7" t="n">
        <x:v>168</x:v>
      </x:c>
      <x:c r="J3373" s="9" t="n">
        <x:v>14.6</x:v>
      </x:c>
      <x:c r="K3373" s="9" t="n">
        <x:v>24</x:v>
      </x:c>
      <x:c r="L3373" s="7" t="n">
        <x:v>2026</x:v>
      </x:c>
      <x:c r="M3373" s="11" t="n">
        <x:v>4867</x:v>
      </x:c>
      <x:c r="N3373" s="7" t="n">
        <x:v>1</x:v>
      </x:c>
      <x:c r="O3373" s="7" t="n">
        <x:v>0</x:v>
      </x:c>
      <x:c r="P3373" s="9" t="n">
        <x:v>24.03</x:v>
      </x:c>
      <x:c r="Q3373" s="7" t="n">
        <x:f>'Guide'!$B$5-L3373</x:f>
        <x:v>0</x:v>
      </x:c>
      <x:c r="R3373" s="9" t="n">
        <x:f>K3373-P3373</x:f>
        <x:v>-0.030000000000001137</x:v>
      </x:c>
      <x:c r="S3373" s="10" t="n">
        <x:f>IF(K3373&gt;0,R3373/K3373,"")</x:f>
        <x:v>-0.0012500000000000473</x:v>
      </x:c>
    </x:row>
    <x:row r="3374">
      <x:c r="A3374" s="7" t="n">
        <x:v>3370</x:v>
      </x:c>
      <x:c r="B3374" s="7" t="str">
        <x:v>Tata</x:v>
      </x:c>
      <x:c r="C3374" s="7" t="str">
        <x:v>Harrier</x:v>
      </x:c>
      <x:c r="D3374" s="7" t="str">
        <x:v>Fearless AT</x:v>
      </x:c>
      <x:c r="E3374" s="7" t="str">
        <x:v>Diesel</x:v>
      </x:c>
      <x:c r="F3374" s="7" t="str">
        <x:v>Automatic</x:v>
      </x:c>
      <x:c r="G3374" s="7" t="str">
        <x:v>Mid-Size SUV</x:v>
      </x:c>
      <x:c r="H3374" s="7" t="n">
        <x:v>1956</x:v>
      </x:c>
      <x:c r="I3374" s="7" t="n">
        <x:v>168</x:v>
      </x:c>
      <x:c r="J3374" s="9" t="n">
        <x:v>14.6</x:v>
      </x:c>
      <x:c r="K3374" s="9" t="n">
        <x:v>24</x:v>
      </x:c>
      <x:c r="L3374" s="7" t="n">
        <x:v>2023</x:v>
      </x:c>
      <x:c r="M3374" s="11" t="n">
        <x:v>51200</x:v>
      </x:c>
      <x:c r="N3374" s="7" t="n">
        <x:v>1</x:v>
      </x:c>
      <x:c r="O3374" s="7" t="n">
        <x:v>0</x:v>
      </x:c>
      <x:c r="P3374" s="9" t="n">
        <x:v>16.47</x:v>
      </x:c>
      <x:c r="Q3374" s="7" t="n">
        <x:f>'Guide'!$B$5-L3374</x:f>
        <x:v>3</x:v>
      </x:c>
      <x:c r="R3374" s="9" t="n">
        <x:f>K3374-P3374</x:f>
        <x:v>7.530000000000001</x:v>
      </x:c>
      <x:c r="S3374" s="10" t="n">
        <x:f>IF(K3374&gt;0,R3374/K3374,"")</x:f>
        <x:v>0.31375000000000003</x:v>
      </x:c>
    </x:row>
    <x:row r="3375">
      <x:c r="A3375" s="7" t="n">
        <x:v>3371</x:v>
      </x:c>
      <x:c r="B3375" s="7" t="str">
        <x:v>Tata</x:v>
      </x:c>
      <x:c r="C3375" s="7" t="str">
        <x:v>Harrier</x:v>
      </x:c>
      <x:c r="D3375" s="7" t="str">
        <x:v>Fearless AT</x:v>
      </x:c>
      <x:c r="E3375" s="7" t="str">
        <x:v>Diesel</x:v>
      </x:c>
      <x:c r="F3375" s="7" t="str">
        <x:v>Automatic</x:v>
      </x:c>
      <x:c r="G3375" s="7" t="str">
        <x:v>Mid-Size SUV</x:v>
      </x:c>
      <x:c r="H3375" s="7" t="n">
        <x:v>1956</x:v>
      </x:c>
      <x:c r="I3375" s="7" t="n">
        <x:v>168</x:v>
      </x:c>
      <x:c r="J3375" s="9" t="n">
        <x:v>14.6</x:v>
      </x:c>
      <x:c r="K3375" s="9" t="n">
        <x:v>24</x:v>
      </x:c>
      <x:c r="L3375" s="7" t="n">
        <x:v>2022</x:v>
      </x:c>
      <x:c r="M3375" s="11" t="n">
        <x:v>57608</x:v>
      </x:c>
      <x:c r="N3375" s="7" t="n">
        <x:v>2</x:v>
      </x:c>
      <x:c r="O3375" s="7" t="n">
        <x:v>0</x:v>
      </x:c>
      <x:c r="P3375" s="9" t="n">
        <x:v>13.88</x:v>
      </x:c>
      <x:c r="Q3375" s="7" t="n">
        <x:f>'Guide'!$B$5-L3375</x:f>
        <x:v>4</x:v>
      </x:c>
      <x:c r="R3375" s="9" t="n">
        <x:f>K3375-P3375</x:f>
        <x:v>10.12</x:v>
      </x:c>
      <x:c r="S3375" s="10" t="n">
        <x:f>IF(K3375&gt;0,R3375/K3375,"")</x:f>
        <x:v>0.42166666666666663</x:v>
      </x:c>
    </x:row>
    <x:row r="3376">
      <x:c r="A3376" s="7" t="n">
        <x:v>3372</x:v>
      </x:c>
      <x:c r="B3376" s="7" t="str">
        <x:v>Tata</x:v>
      </x:c>
      <x:c r="C3376" s="7" t="str">
        <x:v>Harrier</x:v>
      </x:c>
      <x:c r="D3376" s="7" t="str">
        <x:v>Fearless AT</x:v>
      </x:c>
      <x:c r="E3376" s="7" t="str">
        <x:v>Diesel</x:v>
      </x:c>
      <x:c r="F3376" s="7" t="str">
        <x:v>Automatic</x:v>
      </x:c>
      <x:c r="G3376" s="7" t="str">
        <x:v>Mid-Size SUV</x:v>
      </x:c>
      <x:c r="H3376" s="7" t="n">
        <x:v>1956</x:v>
      </x:c>
      <x:c r="I3376" s="7" t="n">
        <x:v>168</x:v>
      </x:c>
      <x:c r="J3376" s="9" t="n">
        <x:v>14.6</x:v>
      </x:c>
      <x:c r="K3376" s="9" t="n">
        <x:v>24</x:v>
      </x:c>
      <x:c r="L3376" s="7" t="n">
        <x:v>2023</x:v>
      </x:c>
      <x:c r="M3376" s="11" t="n">
        <x:v>43770</x:v>
      </x:c>
      <x:c r="N3376" s="7" t="n">
        <x:v>1</x:v>
      </x:c>
      <x:c r="O3376" s="7" t="n">
        <x:v>0</x:v>
      </x:c>
      <x:c r="P3376" s="9" t="n">
        <x:v>17.01</x:v>
      </x:c>
      <x:c r="Q3376" s="7" t="n">
        <x:f>'Guide'!$B$5-L3376</x:f>
        <x:v>3</x:v>
      </x:c>
      <x:c r="R3376" s="9" t="n">
        <x:f>K3376-P3376</x:f>
        <x:v>6.989999999999998</x:v>
      </x:c>
      <x:c r="S3376" s="10" t="n">
        <x:f>IF(K3376&gt;0,R3376/K3376,"")</x:f>
        <x:v>0.29124999999999995</x:v>
      </x:c>
    </x:row>
    <x:row r="3377">
      <x:c r="A3377" s="7" t="n">
        <x:v>3373</x:v>
      </x:c>
      <x:c r="B3377" s="7" t="str">
        <x:v>Tata</x:v>
      </x:c>
      <x:c r="C3377" s="7" t="str">
        <x:v>Harrier</x:v>
      </x:c>
      <x:c r="D3377" s="7" t="str">
        <x:v>Fearless AT</x:v>
      </x:c>
      <x:c r="E3377" s="7" t="str">
        <x:v>Diesel</x:v>
      </x:c>
      <x:c r="F3377" s="7" t="str">
        <x:v>Automatic</x:v>
      </x:c>
      <x:c r="G3377" s="7" t="str">
        <x:v>Mid-Size SUV</x:v>
      </x:c>
      <x:c r="H3377" s="7" t="n">
        <x:v>1956</x:v>
      </x:c>
      <x:c r="I3377" s="7" t="n">
        <x:v>168</x:v>
      </x:c>
      <x:c r="J3377" s="9" t="n">
        <x:v>14.6</x:v>
      </x:c>
      <x:c r="K3377" s="9" t="n">
        <x:v>24</x:v>
      </x:c>
      <x:c r="L3377" s="7" t="n">
        <x:v>2022</x:v>
      </x:c>
      <x:c r="M3377" s="11" t="n">
        <x:v>65912</x:v>
      </x:c>
      <x:c r="N3377" s="7" t="n">
        <x:v>1</x:v>
      </x:c>
      <x:c r="O3377" s="7" t="n">
        <x:v>0</x:v>
      </x:c>
      <x:c r="P3377" s="9" t="n">
        <x:v>14.56</x:v>
      </x:c>
      <x:c r="Q3377" s="7" t="n">
        <x:f>'Guide'!$B$5-L3377</x:f>
        <x:v>4</x:v>
      </x:c>
      <x:c r="R3377" s="9" t="n">
        <x:f>K3377-P3377</x:f>
        <x:v>9.44</x:v>
      </x:c>
      <x:c r="S3377" s="10" t="n">
        <x:f>IF(K3377&gt;0,R3377/K3377,"")</x:f>
        <x:v>0.3933333333333333</x:v>
      </x:c>
    </x:row>
    <x:row r="3378">
      <x:c r="A3378" s="7" t="n">
        <x:v>3374</x:v>
      </x:c>
      <x:c r="B3378" s="7" t="str">
        <x:v>Tata</x:v>
      </x:c>
      <x:c r="C3378" s="7" t="str">
        <x:v>Harrier</x:v>
      </x:c>
      <x:c r="D3378" s="7" t="str">
        <x:v>Fearless AT</x:v>
      </x:c>
      <x:c r="E3378" s="7" t="str">
        <x:v>Diesel</x:v>
      </x:c>
      <x:c r="F3378" s="7" t="str">
        <x:v>Automatic</x:v>
      </x:c>
      <x:c r="G3378" s="7" t="str">
        <x:v>Mid-Size SUV</x:v>
      </x:c>
      <x:c r="H3378" s="7" t="n">
        <x:v>1956</x:v>
      </x:c>
      <x:c r="I3378" s="7" t="n">
        <x:v>168</x:v>
      </x:c>
      <x:c r="J3378" s="9" t="n">
        <x:v>14.6</x:v>
      </x:c>
      <x:c r="K3378" s="9" t="n">
        <x:v>24</x:v>
      </x:c>
      <x:c r="L3378" s="7" t="n">
        <x:v>2025</x:v>
      </x:c>
      <x:c r="M3378" s="11" t="n">
        <x:v>17395</x:v>
      </x:c>
      <x:c r="N3378" s="7" t="n">
        <x:v>1</x:v>
      </x:c>
      <x:c r="O3378" s="7" t="n">
        <x:v>0</x:v>
      </x:c>
      <x:c r="P3378" s="9" t="n">
        <x:v>21.29</x:v>
      </x:c>
      <x:c r="Q3378" s="7" t="n">
        <x:f>'Guide'!$B$5-L3378</x:f>
        <x:v>1</x:v>
      </x:c>
      <x:c r="R3378" s="9" t="n">
        <x:f>K3378-P3378</x:f>
        <x:v>2.710000000000001</x:v>
      </x:c>
      <x:c r="S3378" s="10" t="n">
        <x:f>IF(K3378&gt;0,R3378/K3378,"")</x:f>
        <x:v>0.1129166666666667</x:v>
      </x:c>
    </x:row>
    <x:row r="3379">
      <x:c r="A3379" s="7" t="n">
        <x:v>3375</x:v>
      </x:c>
      <x:c r="B3379" s="7" t="str">
        <x:v>Tata</x:v>
      </x:c>
      <x:c r="C3379" s="7" t="str">
        <x:v>Harrier</x:v>
      </x:c>
      <x:c r="D3379" s="7" t="str">
        <x:v>Fearless AT</x:v>
      </x:c>
      <x:c r="E3379" s="7" t="str">
        <x:v>Diesel</x:v>
      </x:c>
      <x:c r="F3379" s="7" t="str">
        <x:v>Automatic</x:v>
      </x:c>
      <x:c r="G3379" s="7" t="str">
        <x:v>Mid-Size SUV</x:v>
      </x:c>
      <x:c r="H3379" s="7" t="n">
        <x:v>1956</x:v>
      </x:c>
      <x:c r="I3379" s="7" t="n">
        <x:v>168</x:v>
      </x:c>
      <x:c r="J3379" s="9" t="n">
        <x:v>14.6</x:v>
      </x:c>
      <x:c r="K3379" s="9" t="n">
        <x:v>24</x:v>
      </x:c>
      <x:c r="L3379" s="7" t="n">
        <x:v>2021</x:v>
      </x:c>
      <x:c r="M3379" s="11" t="n">
        <x:v>48605</x:v>
      </x:c>
      <x:c r="N3379" s="7" t="n">
        <x:v>2</x:v>
      </x:c>
      <x:c r="O3379" s="7" t="n">
        <x:v>0</x:v>
      </x:c>
      <x:c r="P3379" s="9" t="n">
        <x:v>12.35</x:v>
      </x:c>
      <x:c r="Q3379" s="7" t="n">
        <x:f>'Guide'!$B$5-L3379</x:f>
        <x:v>5</x:v>
      </x:c>
      <x:c r="R3379" s="9" t="n">
        <x:f>K3379-P3379</x:f>
        <x:v>11.65</x:v>
      </x:c>
      <x:c r="S3379" s="10" t="n">
        <x:f>IF(K3379&gt;0,R3379/K3379,"")</x:f>
        <x:v>0.48541666666666666</x:v>
      </x:c>
    </x:row>
    <x:row r="3380">
      <x:c r="A3380" s="7" t="n">
        <x:v>3376</x:v>
      </x:c>
      <x:c r="B3380" s="7" t="str">
        <x:v>Tata</x:v>
      </x:c>
      <x:c r="C3380" s="7" t="str">
        <x:v>Harrier</x:v>
      </x:c>
      <x:c r="D3380" s="7" t="str">
        <x:v>Fearless AT</x:v>
      </x:c>
      <x:c r="E3380" s="7" t="str">
        <x:v>Diesel</x:v>
      </x:c>
      <x:c r="F3380" s="7" t="str">
        <x:v>Automatic</x:v>
      </x:c>
      <x:c r="G3380" s="7" t="str">
        <x:v>Mid-Size SUV</x:v>
      </x:c>
      <x:c r="H3380" s="7" t="n">
        <x:v>1956</x:v>
      </x:c>
      <x:c r="I3380" s="7" t="n">
        <x:v>168</x:v>
      </x:c>
      <x:c r="J3380" s="9" t="n">
        <x:v>14.6</x:v>
      </x:c>
      <x:c r="K3380" s="9" t="n">
        <x:v>24</x:v>
      </x:c>
      <x:c r="L3380" s="7" t="n">
        <x:v>2023</x:v>
      </x:c>
      <x:c r="M3380" s="11" t="n">
        <x:v>64672</x:v>
      </x:c>
      <x:c r="N3380" s="7" t="n">
        <x:v>1</x:v>
      </x:c>
      <x:c r="O3380" s="7" t="n">
        <x:v>1</x:v>
      </x:c>
      <x:c r="P3380" s="9" t="n">
        <x:v>15.79</x:v>
      </x:c>
      <x:c r="Q3380" s="7" t="n">
        <x:f>'Guide'!$B$5-L3380</x:f>
        <x:v>3</x:v>
      </x:c>
      <x:c r="R3380" s="9" t="n">
        <x:f>K3380-P3380</x:f>
        <x:v>8.21</x:v>
      </x:c>
      <x:c r="S3380" s="10" t="n">
        <x:f>IF(K3380&gt;0,R3380/K3380,"")</x:f>
        <x:v>0.34208333333333335</x:v>
      </x:c>
    </x:row>
    <x:row r="3381">
      <x:c r="A3381" s="7" t="n">
        <x:v>3377</x:v>
      </x:c>
      <x:c r="B3381" s="7" t="str">
        <x:v>Tata</x:v>
      </x:c>
      <x:c r="C3381" s="7" t="str">
        <x:v>Harrier</x:v>
      </x:c>
      <x:c r="D3381" s="7" t="str">
        <x:v>Fearless AT</x:v>
      </x:c>
      <x:c r="E3381" s="7" t="str">
        <x:v>Diesel</x:v>
      </x:c>
      <x:c r="F3381" s="7" t="str">
        <x:v>Automatic</x:v>
      </x:c>
      <x:c r="G3381" s="7" t="str">
        <x:v>Mid-Size SUV</x:v>
      </x:c>
      <x:c r="H3381" s="7" t="n">
        <x:v>1956</x:v>
      </x:c>
      <x:c r="I3381" s="7" t="n">
        <x:v>168</x:v>
      </x:c>
      <x:c r="J3381" s="9" t="n">
        <x:v>14.6</x:v>
      </x:c>
      <x:c r="K3381" s="9" t="n">
        <x:v>24</x:v>
      </x:c>
      <x:c r="L3381" s="7" t="n">
        <x:v>2026</x:v>
      </x:c>
      <x:c r="M3381" s="11" t="n">
        <x:v>7748</x:v>
      </x:c>
      <x:c r="N3381" s="7" t="n">
        <x:v>1</x:v>
      </x:c>
      <x:c r="O3381" s="7" t="n">
        <x:v>0</x:v>
      </x:c>
      <x:c r="P3381" s="9" t="n">
        <x:v>24.05</x:v>
      </x:c>
      <x:c r="Q3381" s="7" t="n">
        <x:f>'Guide'!$B$5-L3381</x:f>
        <x:v>0</x:v>
      </x:c>
      <x:c r="R3381" s="9" t="n">
        <x:f>K3381-P3381</x:f>
        <x:v>-0.05000000000000071</x:v>
      </x:c>
      <x:c r="S3381" s="10" t="n">
        <x:f>IF(K3381&gt;0,R3381/K3381,"")</x:f>
        <x:v>-0.002083333333333363</x:v>
      </x:c>
    </x:row>
    <x:row r="3382">
      <x:c r="A3382" s="7" t="n">
        <x:v>3378</x:v>
      </x:c>
      <x:c r="B3382" s="7" t="str">
        <x:v>Tata</x:v>
      </x:c>
      <x:c r="C3382" s="7" t="str">
        <x:v>Harrier</x:v>
      </x:c>
      <x:c r="D3382" s="7" t="str">
        <x:v>Fearless AT</x:v>
      </x:c>
      <x:c r="E3382" s="7" t="str">
        <x:v>Diesel</x:v>
      </x:c>
      <x:c r="F3382" s="7" t="str">
        <x:v>Automatic</x:v>
      </x:c>
      <x:c r="G3382" s="7" t="str">
        <x:v>Mid-Size SUV</x:v>
      </x:c>
      <x:c r="H3382" s="7" t="n">
        <x:v>1956</x:v>
      </x:c>
      <x:c r="I3382" s="7" t="n">
        <x:v>168</x:v>
      </x:c>
      <x:c r="J3382" s="9" t="n">
        <x:v>14.6</x:v>
      </x:c>
      <x:c r="K3382" s="9" t="n">
        <x:v>24</x:v>
      </x:c>
      <x:c r="L3382" s="7" t="n">
        <x:v>2023</x:v>
      </x:c>
      <x:c r="M3382" s="11" t="n">
        <x:v>47304</x:v>
      </x:c>
      <x:c r="N3382" s="7" t="n">
        <x:v>1</x:v>
      </x:c>
      <x:c r="O3382" s="7" t="n">
        <x:v>0</x:v>
      </x:c>
      <x:c r="P3382" s="9" t="n">
        <x:v>17.08</x:v>
      </x:c>
      <x:c r="Q3382" s="7" t="n">
        <x:f>'Guide'!$B$5-L3382</x:f>
        <x:v>3</x:v>
      </x:c>
      <x:c r="R3382" s="9" t="n">
        <x:f>K3382-P3382</x:f>
        <x:v>6.920000000000002</x:v>
      </x:c>
      <x:c r="S3382" s="10" t="n">
        <x:f>IF(K3382&gt;0,R3382/K3382,"")</x:f>
        <x:v>0.2883333333333334</x:v>
      </x:c>
    </x:row>
    <x:row r="3383">
      <x:c r="A3383" s="7" t="n">
        <x:v>3379</x:v>
      </x:c>
      <x:c r="B3383" s="7" t="str">
        <x:v>Tata</x:v>
      </x:c>
      <x:c r="C3383" s="7" t="str">
        <x:v>Harrier</x:v>
      </x:c>
      <x:c r="D3383" s="7" t="str">
        <x:v>Fearless AT</x:v>
      </x:c>
      <x:c r="E3383" s="7" t="str">
        <x:v>Diesel</x:v>
      </x:c>
      <x:c r="F3383" s="7" t="str">
        <x:v>Automatic</x:v>
      </x:c>
      <x:c r="G3383" s="7" t="str">
        <x:v>Mid-Size SUV</x:v>
      </x:c>
      <x:c r="H3383" s="7" t="n">
        <x:v>1956</x:v>
      </x:c>
      <x:c r="I3383" s="7" t="n">
        <x:v>168</x:v>
      </x:c>
      <x:c r="J3383" s="9" t="n">
        <x:v>14.6</x:v>
      </x:c>
      <x:c r="K3383" s="9" t="n">
        <x:v>24</x:v>
      </x:c>
      <x:c r="L3383" s="7" t="n">
        <x:v>2026</x:v>
      </x:c>
      <x:c r="M3383" s="11" t="n">
        <x:v>5570</x:v>
      </x:c>
      <x:c r="N3383" s="7" t="n">
        <x:v>1</x:v>
      </x:c>
      <x:c r="O3383" s="7" t="n">
        <x:v>0</x:v>
      </x:c>
      <x:c r="P3383" s="9" t="n">
        <x:v>24.08</x:v>
      </x:c>
      <x:c r="Q3383" s="7" t="n">
        <x:f>'Guide'!$B$5-L3383</x:f>
        <x:v>0</x:v>
      </x:c>
      <x:c r="R3383" s="9" t="n">
        <x:f>K3383-P3383</x:f>
        <x:v>-0.0799999999999983</x:v>
      </x:c>
      <x:c r="S3383" s="10" t="n">
        <x:f>IF(K3383&gt;0,R3383/K3383,"")</x:f>
        <x:v>-0.0033333333333332624</x:v>
      </x:c>
    </x:row>
    <x:row r="3384">
      <x:c r="A3384" s="7" t="n">
        <x:v>3380</x:v>
      </x:c>
      <x:c r="B3384" s="7" t="str">
        <x:v>Tata</x:v>
      </x:c>
      <x:c r="C3384" s="7" t="str">
        <x:v>Harrier</x:v>
      </x:c>
      <x:c r="D3384" s="7" t="str">
        <x:v>Fearless AT</x:v>
      </x:c>
      <x:c r="E3384" s="7" t="str">
        <x:v>Diesel</x:v>
      </x:c>
      <x:c r="F3384" s="7" t="str">
        <x:v>Automatic</x:v>
      </x:c>
      <x:c r="G3384" s="7" t="str">
        <x:v>Mid-Size SUV</x:v>
      </x:c>
      <x:c r="H3384" s="7" t="n">
        <x:v>1956</x:v>
      </x:c>
      <x:c r="I3384" s="7" t="n">
        <x:v>168</x:v>
      </x:c>
      <x:c r="J3384" s="9" t="n">
        <x:v>14.6</x:v>
      </x:c>
      <x:c r="K3384" s="9" t="n">
        <x:v>24</x:v>
      </x:c>
      <x:c r="L3384" s="7" t="n">
        <x:v>2022</x:v>
      </x:c>
      <x:c r="M3384" s="11" t="n">
        <x:v>37928</x:v>
      </x:c>
      <x:c r="N3384" s="7" t="n">
        <x:v>1</x:v>
      </x:c>
      <x:c r="O3384" s="7" t="n">
        <x:v>0</x:v>
      </x:c>
      <x:c r="P3384" s="9" t="n">
        <x:v>14.84</x:v>
      </x:c>
      <x:c r="Q3384" s="7" t="n">
        <x:f>'Guide'!$B$5-L3384</x:f>
        <x:v>4</x:v>
      </x:c>
      <x:c r="R3384" s="9" t="n">
        <x:f>K3384-P3384</x:f>
        <x:v>9.16</x:v>
      </x:c>
      <x:c r="S3384" s="10" t="n">
        <x:f>IF(K3384&gt;0,R3384/K3384,"")</x:f>
        <x:v>0.38166666666666665</x:v>
      </x:c>
    </x:row>
    <x:row r="3385">
      <x:c r="A3385" s="7" t="n">
        <x:v>3381</x:v>
      </x:c>
      <x:c r="B3385" s="7" t="str">
        <x:v>Tata</x:v>
      </x:c>
      <x:c r="C3385" s="7" t="str">
        <x:v>Harrier</x:v>
      </x:c>
      <x:c r="D3385" s="7" t="str">
        <x:v>Fearless AT</x:v>
      </x:c>
      <x:c r="E3385" s="7" t="str">
        <x:v>Diesel</x:v>
      </x:c>
      <x:c r="F3385" s="7" t="str">
        <x:v>Automatic</x:v>
      </x:c>
      <x:c r="G3385" s="7" t="str">
        <x:v>Mid-Size SUV</x:v>
      </x:c>
      <x:c r="H3385" s="7" t="n">
        <x:v>1956</x:v>
      </x:c>
      <x:c r="I3385" s="7" t="n">
        <x:v>168</x:v>
      </x:c>
      <x:c r="J3385" s="9" t="n">
        <x:v>14.6</x:v>
      </x:c>
      <x:c r="K3385" s="9" t="n">
        <x:v>24</x:v>
      </x:c>
      <x:c r="L3385" s="7" t="n">
        <x:v>2020</x:v>
      </x:c>
      <x:c r="M3385" s="11" t="n">
        <x:v>106159</x:v>
      </x:c>
      <x:c r="N3385" s="7" t="n">
        <x:v>1</x:v>
      </x:c>
      <x:c r="O3385" s="7" t="n">
        <x:v>0</x:v>
      </x:c>
      <x:c r="P3385" s="9" t="n">
        <x:v>9.13</x:v>
      </x:c>
      <x:c r="Q3385" s="7" t="n">
        <x:f>'Guide'!$B$5-L3385</x:f>
        <x:v>6</x:v>
      </x:c>
      <x:c r="R3385" s="9" t="n">
        <x:f>K3385-P3385</x:f>
        <x:v>14.87</x:v>
      </x:c>
      <x:c r="S3385" s="10" t="n">
        <x:f>IF(K3385&gt;0,R3385/K3385,"")</x:f>
        <x:v>0.6195833333333333</x:v>
      </x:c>
    </x:row>
    <x:row r="3386">
      <x:c r="A3386" s="7" t="n">
        <x:v>3382</x:v>
      </x:c>
      <x:c r="B3386" s="7" t="str">
        <x:v>Tata</x:v>
      </x:c>
      <x:c r="C3386" s="7" t="str">
        <x:v>Harrier</x:v>
      </x:c>
      <x:c r="D3386" s="7" t="str">
        <x:v>Fearless AT</x:v>
      </x:c>
      <x:c r="E3386" s="7" t="str">
        <x:v>Diesel</x:v>
      </x:c>
      <x:c r="F3386" s="7" t="str">
        <x:v>Automatic</x:v>
      </x:c>
      <x:c r="G3386" s="7" t="str">
        <x:v>Mid-Size SUV</x:v>
      </x:c>
      <x:c r="H3386" s="7" t="n">
        <x:v>1956</x:v>
      </x:c>
      <x:c r="I3386" s="7" t="n">
        <x:v>168</x:v>
      </x:c>
      <x:c r="J3386" s="9" t="n">
        <x:v>14.6</x:v>
      </x:c>
      <x:c r="K3386" s="9" t="n">
        <x:v>24</x:v>
      </x:c>
      <x:c r="L3386" s="7" t="n">
        <x:v>2022</x:v>
      </x:c>
      <x:c r="M3386" s="11" t="n">
        <x:v>85638</x:v>
      </x:c>
      <x:c r="N3386" s="7" t="n">
        <x:v>2</x:v>
      </x:c>
      <x:c r="O3386" s="7" t="n">
        <x:v>0</x:v>
      </x:c>
      <x:c r="P3386" s="9" t="n">
        <x:v>13.09</x:v>
      </x:c>
      <x:c r="Q3386" s="7" t="n">
        <x:f>'Guide'!$B$5-L3386</x:f>
        <x:v>4</x:v>
      </x:c>
      <x:c r="R3386" s="9" t="n">
        <x:f>K3386-P3386</x:f>
        <x:v>10.91</x:v>
      </x:c>
      <x:c r="S3386" s="10" t="n">
        <x:f>IF(K3386&gt;0,R3386/K3386,"")</x:f>
        <x:v>0.45458333333333334</x:v>
      </x:c>
    </x:row>
    <x:row r="3387">
      <x:c r="A3387" s="7" t="n">
        <x:v>3383</x:v>
      </x:c>
      <x:c r="B3387" s="7" t="str">
        <x:v>Tata</x:v>
      </x:c>
      <x:c r="C3387" s="7" t="str">
        <x:v>Harrier</x:v>
      </x:c>
      <x:c r="D3387" s="7" t="str">
        <x:v>Fearless AT</x:v>
      </x:c>
      <x:c r="E3387" s="7" t="str">
        <x:v>Diesel</x:v>
      </x:c>
      <x:c r="F3387" s="7" t="str">
        <x:v>Automatic</x:v>
      </x:c>
      <x:c r="G3387" s="7" t="str">
        <x:v>Mid-Size SUV</x:v>
      </x:c>
      <x:c r="H3387" s="7" t="n">
        <x:v>1956</x:v>
      </x:c>
      <x:c r="I3387" s="7" t="n">
        <x:v>168</x:v>
      </x:c>
      <x:c r="J3387" s="9" t="n">
        <x:v>14.6</x:v>
      </x:c>
      <x:c r="K3387" s="9" t="n">
        <x:v>24</x:v>
      </x:c>
      <x:c r="L3387" s="7" t="n">
        <x:v>2021</x:v>
      </x:c>
      <x:c r="M3387" s="11" t="n">
        <x:v>102226</x:v>
      </x:c>
      <x:c r="N3387" s="7" t="n">
        <x:v>1</x:v>
      </x:c>
      <x:c r="O3387" s="7" t="n">
        <x:v>0</x:v>
      </x:c>
      <x:c r="P3387" s="9" t="n">
        <x:v>11.65</x:v>
      </x:c>
      <x:c r="Q3387" s="7" t="n">
        <x:f>'Guide'!$B$5-L3387</x:f>
        <x:v>5</x:v>
      </x:c>
      <x:c r="R3387" s="9" t="n">
        <x:f>K3387-P3387</x:f>
        <x:v>12.35</x:v>
      </x:c>
      <x:c r="S3387" s="10" t="n">
        <x:f>IF(K3387&gt;0,R3387/K3387,"")</x:f>
        <x:v>0.5145833333333333</x:v>
      </x:c>
    </x:row>
    <x:row r="3388">
      <x:c r="A3388" s="7" t="n">
        <x:v>3384</x:v>
      </x:c>
      <x:c r="B3388" s="7" t="str">
        <x:v>Tata</x:v>
      </x:c>
      <x:c r="C3388" s="7" t="str">
        <x:v>Harrier</x:v>
      </x:c>
      <x:c r="D3388" s="7" t="str">
        <x:v>Fearless AT</x:v>
      </x:c>
      <x:c r="E3388" s="7" t="str">
        <x:v>Diesel</x:v>
      </x:c>
      <x:c r="F3388" s="7" t="str">
        <x:v>Automatic</x:v>
      </x:c>
      <x:c r="G3388" s="7" t="str">
        <x:v>Mid-Size SUV</x:v>
      </x:c>
      <x:c r="H3388" s="7" t="n">
        <x:v>1956</x:v>
      </x:c>
      <x:c r="I3388" s="7" t="n">
        <x:v>168</x:v>
      </x:c>
      <x:c r="J3388" s="9" t="n">
        <x:v>14.6</x:v>
      </x:c>
      <x:c r="K3388" s="9" t="n">
        <x:v>24</x:v>
      </x:c>
      <x:c r="L3388" s="7" t="n">
        <x:v>2023</x:v>
      </x:c>
      <x:c r="M3388" s="11" t="n">
        <x:v>60497</x:v>
      </x:c>
      <x:c r="N3388" s="7" t="n">
        <x:v>1</x:v>
      </x:c>
      <x:c r="O3388" s="7" t="n">
        <x:v>0</x:v>
      </x:c>
      <x:c r="P3388" s="9" t="n">
        <x:v>16.76</x:v>
      </x:c>
      <x:c r="Q3388" s="7" t="n">
        <x:f>'Guide'!$B$5-L3388</x:f>
        <x:v>3</x:v>
      </x:c>
      <x:c r="R3388" s="9" t="n">
        <x:f>K3388-P3388</x:f>
        <x:v>7.239999999999998</x:v>
      </x:c>
      <x:c r="S3388" s="10" t="n">
        <x:f>IF(K3388&gt;0,R3388/K3388,"")</x:f>
        <x:v>0.3016666666666666</x:v>
      </x:c>
    </x:row>
    <x:row r="3389">
      <x:c r="A3389" s="7" t="n">
        <x:v>3385</x:v>
      </x:c>
      <x:c r="B3389" s="7" t="str">
        <x:v>Tata</x:v>
      </x:c>
      <x:c r="C3389" s="7" t="str">
        <x:v>Harrier</x:v>
      </x:c>
      <x:c r="D3389" s="7" t="str">
        <x:v>Fearless AT</x:v>
      </x:c>
      <x:c r="E3389" s="7" t="str">
        <x:v>Diesel</x:v>
      </x:c>
      <x:c r="F3389" s="7" t="str">
        <x:v>Automatic</x:v>
      </x:c>
      <x:c r="G3389" s="7" t="str">
        <x:v>Mid-Size SUV</x:v>
      </x:c>
      <x:c r="H3389" s="7" t="n">
        <x:v>1956</x:v>
      </x:c>
      <x:c r="I3389" s="7" t="n">
        <x:v>168</x:v>
      </x:c>
      <x:c r="J3389" s="9" t="n">
        <x:v>14.6</x:v>
      </x:c>
      <x:c r="K3389" s="9" t="n">
        <x:v>24</x:v>
      </x:c>
      <x:c r="L3389" s="7" t="n">
        <x:v>2024</x:v>
      </x:c>
      <x:c r="M3389" s="11" t="n">
        <x:v>22829</x:v>
      </x:c>
      <x:c r="N3389" s="7" t="n">
        <x:v>1</x:v>
      </x:c>
      <x:c r="O3389" s="7" t="n">
        <x:v>0</x:v>
      </x:c>
      <x:c r="P3389" s="9" t="n">
        <x:v>19.42</x:v>
      </x:c>
      <x:c r="Q3389" s="7" t="n">
        <x:f>'Guide'!$B$5-L3389</x:f>
        <x:v>2</x:v>
      </x:c>
      <x:c r="R3389" s="9" t="n">
        <x:f>K3389-P3389</x:f>
        <x:v>4.579999999999998</x:v>
      </x:c>
      <x:c r="S3389" s="10" t="n">
        <x:f>IF(K3389&gt;0,R3389/K3389,"")</x:f>
        <x:v>0.19083333333333327</x:v>
      </x:c>
    </x:row>
    <x:row r="3390">
      <x:c r="A3390" s="7" t="n">
        <x:v>3386</x:v>
      </x:c>
      <x:c r="B3390" s="7" t="str">
        <x:v>Tata</x:v>
      </x:c>
      <x:c r="C3390" s="7" t="str">
        <x:v>Harrier</x:v>
      </x:c>
      <x:c r="D3390" s="7" t="str">
        <x:v>Fearless AT</x:v>
      </x:c>
      <x:c r="E3390" s="7" t="str">
        <x:v>Diesel</x:v>
      </x:c>
      <x:c r="F3390" s="7" t="str">
        <x:v>Automatic</x:v>
      </x:c>
      <x:c r="G3390" s="7" t="str">
        <x:v>Mid-Size SUV</x:v>
      </x:c>
      <x:c r="H3390" s="7" t="n">
        <x:v>1956</x:v>
      </x:c>
      <x:c r="I3390" s="7" t="n">
        <x:v>168</x:v>
      </x:c>
      <x:c r="J3390" s="9" t="n">
        <x:v>14.6</x:v>
      </x:c>
      <x:c r="K3390" s="9" t="n">
        <x:v>24</x:v>
      </x:c>
      <x:c r="L3390" s="7" t="n">
        <x:v>2024</x:v>
      </x:c>
      <x:c r="M3390" s="11" t="n">
        <x:v>46566</x:v>
      </x:c>
      <x:c r="N3390" s="7" t="n">
        <x:v>1</x:v>
      </x:c>
      <x:c r="O3390" s="7" t="n">
        <x:v>0</x:v>
      </x:c>
      <x:c r="P3390" s="9" t="n">
        <x:v>19.16</x:v>
      </x:c>
      <x:c r="Q3390" s="7" t="n">
        <x:f>'Guide'!$B$5-L3390</x:f>
        <x:v>2</x:v>
      </x:c>
      <x:c r="R3390" s="9" t="n">
        <x:f>K3390-P3390</x:f>
        <x:v>4.84</x:v>
      </x:c>
      <x:c r="S3390" s="10" t="n">
        <x:f>IF(K3390&gt;0,R3390/K3390,"")</x:f>
        <x:v>0.20166666666666666</x:v>
      </x:c>
    </x:row>
    <x:row r="3391">
      <x:c r="A3391" s="7" t="n">
        <x:v>3387</x:v>
      </x:c>
      <x:c r="B3391" s="7" t="str">
        <x:v>Tata</x:v>
      </x:c>
      <x:c r="C3391" s="7" t="str">
        <x:v>Harrier</x:v>
      </x:c>
      <x:c r="D3391" s="7" t="str">
        <x:v>Fearless AT</x:v>
      </x:c>
      <x:c r="E3391" s="7" t="str">
        <x:v>Diesel</x:v>
      </x:c>
      <x:c r="F3391" s="7" t="str">
        <x:v>Automatic</x:v>
      </x:c>
      <x:c r="G3391" s="7" t="str">
        <x:v>Mid-Size SUV</x:v>
      </x:c>
      <x:c r="H3391" s="7" t="n">
        <x:v>1956</x:v>
      </x:c>
      <x:c r="I3391" s="7" t="n">
        <x:v>168</x:v>
      </x:c>
      <x:c r="J3391" s="9" t="n">
        <x:v>14.6</x:v>
      </x:c>
      <x:c r="K3391" s="9" t="n">
        <x:v>24</x:v>
      </x:c>
      <x:c r="L3391" s="7" t="n">
        <x:v>2023</x:v>
      </x:c>
      <x:c r="M3391" s="11" t="n">
        <x:v>67674</x:v>
      </x:c>
      <x:c r="N3391" s="7" t="n">
        <x:v>1</x:v>
      </x:c>
      <x:c r="O3391" s="7" t="n">
        <x:v>0</x:v>
      </x:c>
      <x:c r="P3391" s="9" t="n">
        <x:v>16.6</x:v>
      </x:c>
      <x:c r="Q3391" s="7" t="n">
        <x:f>'Guide'!$B$5-L3391</x:f>
        <x:v>3</x:v>
      </x:c>
      <x:c r="R3391" s="9" t="n">
        <x:f>K3391-P3391</x:f>
        <x:v>7.399999999999999</x:v>
      </x:c>
      <x:c r="S3391" s="10" t="n">
        <x:f>IF(K3391&gt;0,R3391/K3391,"")</x:f>
        <x:v>0.3083333333333333</x:v>
      </x:c>
    </x:row>
    <x:row r="3392">
      <x:c r="A3392" s="7" t="n">
        <x:v>3388</x:v>
      </x:c>
      <x:c r="B3392" s="7" t="str">
        <x:v>Tata</x:v>
      </x:c>
      <x:c r="C3392" s="7" t="str">
        <x:v>Harrier</x:v>
      </x:c>
      <x:c r="D3392" s="7" t="str">
        <x:v>Fearless AT</x:v>
      </x:c>
      <x:c r="E3392" s="7" t="str">
        <x:v>Diesel</x:v>
      </x:c>
      <x:c r="F3392" s="7" t="str">
        <x:v>Automatic</x:v>
      </x:c>
      <x:c r="G3392" s="7" t="str">
        <x:v>Mid-Size SUV</x:v>
      </x:c>
      <x:c r="H3392" s="7" t="n">
        <x:v>1956</x:v>
      </x:c>
      <x:c r="I3392" s="7" t="n">
        <x:v>168</x:v>
      </x:c>
      <x:c r="J3392" s="9" t="n">
        <x:v>14.6</x:v>
      </x:c>
      <x:c r="K3392" s="9" t="n">
        <x:v>24</x:v>
      </x:c>
      <x:c r="L3392" s="7" t="n">
        <x:v>2024</x:v>
      </x:c>
      <x:c r="M3392" s="11" t="n">
        <x:v>22306</x:v>
      </x:c>
      <x:c r="N3392" s="7" t="n">
        <x:v>1</x:v>
      </x:c>
      <x:c r="O3392" s="7" t="n">
        <x:v>0</x:v>
      </x:c>
      <x:c r="P3392" s="9" t="n">
        <x:v>19.72</x:v>
      </x:c>
      <x:c r="Q3392" s="7" t="n">
        <x:f>'Guide'!$B$5-L3392</x:f>
        <x:v>2</x:v>
      </x:c>
      <x:c r="R3392" s="9" t="n">
        <x:f>K3392-P3392</x:f>
        <x:v>4.280000000000001</x:v>
      </x:c>
      <x:c r="S3392" s="10" t="n">
        <x:f>IF(K3392&gt;0,R3392/K3392,"")</x:f>
        <x:v>0.17833333333333337</x:v>
      </x:c>
    </x:row>
    <x:row r="3393">
      <x:c r="A3393" s="7" t="n">
        <x:v>3389</x:v>
      </x:c>
      <x:c r="B3393" s="7" t="str">
        <x:v>Tata</x:v>
      </x:c>
      <x:c r="C3393" s="7" t="str">
        <x:v>Harrier</x:v>
      </x:c>
      <x:c r="D3393" s="7" t="str">
        <x:v>Fearless AT</x:v>
      </x:c>
      <x:c r="E3393" s="7" t="str">
        <x:v>Diesel</x:v>
      </x:c>
      <x:c r="F3393" s="7" t="str">
        <x:v>Automatic</x:v>
      </x:c>
      <x:c r="G3393" s="7" t="str">
        <x:v>Mid-Size SUV</x:v>
      </x:c>
      <x:c r="H3393" s="7" t="n">
        <x:v>1956</x:v>
      </x:c>
      <x:c r="I3393" s="7" t="n">
        <x:v>168</x:v>
      </x:c>
      <x:c r="J3393" s="9" t="n">
        <x:v>14.6</x:v>
      </x:c>
      <x:c r="K3393" s="9" t="n">
        <x:v>24</x:v>
      </x:c>
      <x:c r="L3393" s="7" t="n">
        <x:v>2026</x:v>
      </x:c>
      <x:c r="M3393" s="11" t="n">
        <x:v>4087</x:v>
      </x:c>
      <x:c r="N3393" s="7" t="n">
        <x:v>1</x:v>
      </x:c>
      <x:c r="O3393" s="7" t="n">
        <x:v>0</x:v>
      </x:c>
      <x:c r="P3393" s="9" t="n">
        <x:v>23.92</x:v>
      </x:c>
      <x:c r="Q3393" s="7" t="n">
        <x:f>'Guide'!$B$5-L3393</x:f>
        <x:v>0</x:v>
      </x:c>
      <x:c r="R3393" s="9" t="n">
        <x:f>K3393-P3393</x:f>
        <x:v>0.0799999999999983</x:v>
      </x:c>
      <x:c r="S3393" s="10" t="n">
        <x:f>IF(K3393&gt;0,R3393/K3393,"")</x:f>
        <x:v>0.0033333333333332624</x:v>
      </x:c>
    </x:row>
    <x:row r="3394">
      <x:c r="A3394" s="7" t="n">
        <x:v>3390</x:v>
      </x:c>
      <x:c r="B3394" s="7" t="str">
        <x:v>Tata</x:v>
      </x:c>
      <x:c r="C3394" s="7" t="str">
        <x:v>Harrier</x:v>
      </x:c>
      <x:c r="D3394" s="7" t="str">
        <x:v>Fearless AT</x:v>
      </x:c>
      <x:c r="E3394" s="7" t="str">
        <x:v>Diesel</x:v>
      </x:c>
      <x:c r="F3394" s="7" t="str">
        <x:v>Automatic</x:v>
      </x:c>
      <x:c r="G3394" s="7" t="str">
        <x:v>Mid-Size SUV</x:v>
      </x:c>
      <x:c r="H3394" s="7" t="n">
        <x:v>1956</x:v>
      </x:c>
      <x:c r="I3394" s="7" t="n">
        <x:v>168</x:v>
      </x:c>
      <x:c r="J3394" s="9" t="n">
        <x:v>14.6</x:v>
      </x:c>
      <x:c r="K3394" s="9" t="n">
        <x:v>24</x:v>
      </x:c>
      <x:c r="L3394" s="7" t="n">
        <x:v>2023</x:v>
      </x:c>
      <x:c r="M3394" s="11" t="n">
        <x:v>46229</x:v>
      </x:c>
      <x:c r="N3394" s="7" t="n">
        <x:v>1</x:v>
      </x:c>
      <x:c r="O3394" s="7" t="n">
        <x:v>0</x:v>
      </x:c>
      <x:c r="P3394" s="9" t="n">
        <x:v>17.28</x:v>
      </x:c>
      <x:c r="Q3394" s="7" t="n">
        <x:f>'Guide'!$B$5-L3394</x:f>
        <x:v>3</x:v>
      </x:c>
      <x:c r="R3394" s="9" t="n">
        <x:f>K3394-P3394</x:f>
        <x:v>6.719999999999999</x:v>
      </x:c>
      <x:c r="S3394" s="10" t="n">
        <x:f>IF(K3394&gt;0,R3394/K3394,"")</x:f>
        <x:v>0.27999999999999997</x:v>
      </x:c>
    </x:row>
    <x:row r="3395">
      <x:c r="A3395" s="7" t="n">
        <x:v>3391</x:v>
      </x:c>
      <x:c r="B3395" s="7" t="str">
        <x:v>Tata</x:v>
      </x:c>
      <x:c r="C3395" s="7" t="str">
        <x:v>Harrier</x:v>
      </x:c>
      <x:c r="D3395" s="7" t="str">
        <x:v>Fearless AT</x:v>
      </x:c>
      <x:c r="E3395" s="7" t="str">
        <x:v>Diesel</x:v>
      </x:c>
      <x:c r="F3395" s="7" t="str">
        <x:v>Automatic</x:v>
      </x:c>
      <x:c r="G3395" s="7" t="str">
        <x:v>Mid-Size SUV</x:v>
      </x:c>
      <x:c r="H3395" s="7" t="n">
        <x:v>1956</x:v>
      </x:c>
      <x:c r="I3395" s="7" t="n">
        <x:v>168</x:v>
      </x:c>
      <x:c r="J3395" s="9" t="n">
        <x:v>14.6</x:v>
      </x:c>
      <x:c r="K3395" s="9" t="n">
        <x:v>24</x:v>
      </x:c>
      <x:c r="L3395" s="7" t="n">
        <x:v>2020</x:v>
      </x:c>
      <x:c r="M3395" s="11" t="n">
        <x:v>125451</x:v>
      </x:c>
      <x:c r="N3395" s="7" t="n">
        <x:v>2</x:v>
      </x:c>
      <x:c r="O3395" s="7" t="n">
        <x:v>0</x:v>
      </x:c>
      <x:c r="P3395" s="9" t="n">
        <x:v>8.6</x:v>
      </x:c>
      <x:c r="Q3395" s="7" t="n">
        <x:f>'Guide'!$B$5-L3395</x:f>
        <x:v>6</x:v>
      </x:c>
      <x:c r="R3395" s="9" t="n">
        <x:f>K3395-P3395</x:f>
        <x:v>15.4</x:v>
      </x:c>
      <x:c r="S3395" s="10" t="n">
        <x:f>IF(K3395&gt;0,R3395/K3395,"")</x:f>
        <x:v>0.6416666666666667</x:v>
      </x:c>
    </x:row>
    <x:row r="3396">
      <x:c r="A3396" s="7" t="n">
        <x:v>3392</x:v>
      </x:c>
      <x:c r="B3396" s="7" t="str">
        <x:v>Tata</x:v>
      </x:c>
      <x:c r="C3396" s="7" t="str">
        <x:v>Harrier</x:v>
      </x:c>
      <x:c r="D3396" s="7" t="str">
        <x:v>Fearless AT</x:v>
      </x:c>
      <x:c r="E3396" s="7" t="str">
        <x:v>Diesel</x:v>
      </x:c>
      <x:c r="F3396" s="7" t="str">
        <x:v>Automatic</x:v>
      </x:c>
      <x:c r="G3396" s="7" t="str">
        <x:v>Mid-Size SUV</x:v>
      </x:c>
      <x:c r="H3396" s="7" t="n">
        <x:v>1956</x:v>
      </x:c>
      <x:c r="I3396" s="7" t="n">
        <x:v>168</x:v>
      </x:c>
      <x:c r="J3396" s="9" t="n">
        <x:v>14.6</x:v>
      </x:c>
      <x:c r="K3396" s="9" t="n">
        <x:v>24</x:v>
      </x:c>
      <x:c r="L3396" s="7" t="n">
        <x:v>2020</x:v>
      </x:c>
      <x:c r="M3396" s="11" t="n">
        <x:v>66534</x:v>
      </x:c>
      <x:c r="N3396" s="7" t="n">
        <x:v>2</x:v>
      </x:c>
      <x:c r="O3396" s="7" t="n">
        <x:v>1</x:v>
      </x:c>
      <x:c r="P3396" s="9" t="n">
        <x:v>9.18</x:v>
      </x:c>
      <x:c r="Q3396" s="7" t="n">
        <x:f>'Guide'!$B$5-L3396</x:f>
        <x:v>6</x:v>
      </x:c>
      <x:c r="R3396" s="9" t="n">
        <x:f>K3396-P3396</x:f>
        <x:v>14.82</x:v>
      </x:c>
      <x:c r="S3396" s="10" t="n">
        <x:f>IF(K3396&gt;0,R3396/K3396,"")</x:f>
        <x:v>0.6175</x:v>
      </x:c>
    </x:row>
    <x:row r="3397">
      <x:c r="A3397" s="7" t="n">
        <x:v>3393</x:v>
      </x:c>
      <x:c r="B3397" s="7" t="str">
        <x:v>Tata</x:v>
      </x:c>
      <x:c r="C3397" s="7" t="str">
        <x:v>Harrier</x:v>
      </x:c>
      <x:c r="D3397" s="7" t="str">
        <x:v>Fearless AT</x:v>
      </x:c>
      <x:c r="E3397" s="7" t="str">
        <x:v>Diesel</x:v>
      </x:c>
      <x:c r="F3397" s="7" t="str">
        <x:v>Automatic</x:v>
      </x:c>
      <x:c r="G3397" s="7" t="str">
        <x:v>Mid-Size SUV</x:v>
      </x:c>
      <x:c r="H3397" s="7" t="n">
        <x:v>1956</x:v>
      </x:c>
      <x:c r="I3397" s="7" t="n">
        <x:v>168</x:v>
      </x:c>
      <x:c r="J3397" s="9" t="n">
        <x:v>14.6</x:v>
      </x:c>
      <x:c r="K3397" s="9" t="n">
        <x:v>24</x:v>
      </x:c>
      <x:c r="L3397" s="7" t="n">
        <x:v>2022</x:v>
      </x:c>
      <x:c r="M3397" s="11" t="n">
        <x:v>56444</x:v>
      </x:c>
      <x:c r="N3397" s="7" t="n">
        <x:v>1</x:v>
      </x:c>
      <x:c r="O3397" s="7" t="n">
        <x:v>0</x:v>
      </x:c>
      <x:c r="P3397" s="9" t="n">
        <x:v>14.73</x:v>
      </x:c>
      <x:c r="Q3397" s="7" t="n">
        <x:f>'Guide'!$B$5-L3397</x:f>
        <x:v>4</x:v>
      </x:c>
      <x:c r="R3397" s="9" t="n">
        <x:f>K3397-P3397</x:f>
        <x:v>9.27</x:v>
      </x:c>
      <x:c r="S3397" s="10" t="n">
        <x:f>IF(K3397&gt;0,R3397/K3397,"")</x:f>
        <x:v>0.38625</x:v>
      </x:c>
    </x:row>
    <x:row r="3398">
      <x:c r="A3398" s="7" t="n">
        <x:v>3394</x:v>
      </x:c>
      <x:c r="B3398" s="7" t="str">
        <x:v>Tata</x:v>
      </x:c>
      <x:c r="C3398" s="7" t="str">
        <x:v>Harrier</x:v>
      </x:c>
      <x:c r="D3398" s="7" t="str">
        <x:v>Fearless AT</x:v>
      </x:c>
      <x:c r="E3398" s="7" t="str">
        <x:v>Diesel</x:v>
      </x:c>
      <x:c r="F3398" s="7" t="str">
        <x:v>Automatic</x:v>
      </x:c>
      <x:c r="G3398" s="7" t="str">
        <x:v>Mid-Size SUV</x:v>
      </x:c>
      <x:c r="H3398" s="7" t="n">
        <x:v>1956</x:v>
      </x:c>
      <x:c r="I3398" s="7" t="n">
        <x:v>168</x:v>
      </x:c>
      <x:c r="J3398" s="9" t="n">
        <x:v>14.6</x:v>
      </x:c>
      <x:c r="K3398" s="9" t="n">
        <x:v>24</x:v>
      </x:c>
      <x:c r="L3398" s="7" t="n">
        <x:v>2022</x:v>
      </x:c>
      <x:c r="M3398" s="11" t="n">
        <x:v>84639</x:v>
      </x:c>
      <x:c r="N3398" s="7" t="n">
        <x:v>1</x:v>
      </x:c>
      <x:c r="O3398" s="7" t="n">
        <x:v>0</x:v>
      </x:c>
      <x:c r="P3398" s="9" t="n">
        <x:v>13.49</x:v>
      </x:c>
      <x:c r="Q3398" s="7" t="n">
        <x:f>'Guide'!$B$5-L3398</x:f>
        <x:v>4</x:v>
      </x:c>
      <x:c r="R3398" s="9" t="n">
        <x:f>K3398-P3398</x:f>
        <x:v>10.51</x:v>
      </x:c>
      <x:c r="S3398" s="10" t="n">
        <x:f>IF(K3398&gt;0,R3398/K3398,"")</x:f>
        <x:v>0.4379166666666667</x:v>
      </x:c>
    </x:row>
    <x:row r="3399">
      <x:c r="A3399" s="7" t="n">
        <x:v>3395</x:v>
      </x:c>
      <x:c r="B3399" s="7" t="str">
        <x:v>Tata</x:v>
      </x:c>
      <x:c r="C3399" s="7" t="str">
        <x:v>Harrier</x:v>
      </x:c>
      <x:c r="D3399" s="7" t="str">
        <x:v>Fearless AT</x:v>
      </x:c>
      <x:c r="E3399" s="7" t="str">
        <x:v>Diesel</x:v>
      </x:c>
      <x:c r="F3399" s="7" t="str">
        <x:v>Automatic</x:v>
      </x:c>
      <x:c r="G3399" s="7" t="str">
        <x:v>Mid-Size SUV</x:v>
      </x:c>
      <x:c r="H3399" s="7" t="n">
        <x:v>1956</x:v>
      </x:c>
      <x:c r="I3399" s="7" t="n">
        <x:v>168</x:v>
      </x:c>
      <x:c r="J3399" s="9" t="n">
        <x:v>14.6</x:v>
      </x:c>
      <x:c r="K3399" s="9" t="n">
        <x:v>24</x:v>
      </x:c>
      <x:c r="L3399" s="7" t="n">
        <x:v>2022</x:v>
      </x:c>
      <x:c r="M3399" s="11" t="n">
        <x:v>84957</x:v>
      </x:c>
      <x:c r="N3399" s="7" t="n">
        <x:v>1</x:v>
      </x:c>
      <x:c r="O3399" s="7" t="n">
        <x:v>0</x:v>
      </x:c>
      <x:c r="P3399" s="9" t="n">
        <x:v>13.71</x:v>
      </x:c>
      <x:c r="Q3399" s="7" t="n">
        <x:f>'Guide'!$B$5-L3399</x:f>
        <x:v>4</x:v>
      </x:c>
      <x:c r="R3399" s="9" t="n">
        <x:f>K3399-P3399</x:f>
        <x:v>10.29</x:v>
      </x:c>
      <x:c r="S3399" s="10" t="n">
        <x:f>IF(K3399&gt;0,R3399/K3399,"")</x:f>
        <x:v>0.42874999999999996</x:v>
      </x:c>
    </x:row>
    <x:row r="3400">
      <x:c r="A3400" s="7" t="n">
        <x:v>3396</x:v>
      </x:c>
      <x:c r="B3400" s="7" t="str">
        <x:v>Tata</x:v>
      </x:c>
      <x:c r="C3400" s="7" t="str">
        <x:v>Harrier</x:v>
      </x:c>
      <x:c r="D3400" s="7" t="str">
        <x:v>Fearless AT</x:v>
      </x:c>
      <x:c r="E3400" s="7" t="str">
        <x:v>Diesel</x:v>
      </x:c>
      <x:c r="F3400" s="7" t="str">
        <x:v>Automatic</x:v>
      </x:c>
      <x:c r="G3400" s="7" t="str">
        <x:v>Mid-Size SUV</x:v>
      </x:c>
      <x:c r="H3400" s="7" t="n">
        <x:v>1956</x:v>
      </x:c>
      <x:c r="I3400" s="7" t="n">
        <x:v>168</x:v>
      </x:c>
      <x:c r="J3400" s="9" t="n">
        <x:v>14.6</x:v>
      </x:c>
      <x:c r="K3400" s="9" t="n">
        <x:v>24</x:v>
      </x:c>
      <x:c r="L3400" s="7" t="n">
        <x:v>2024</x:v>
      </x:c>
      <x:c r="M3400" s="11" t="n">
        <x:v>27546</x:v>
      </x:c>
      <x:c r="N3400" s="7" t="n">
        <x:v>1</x:v>
      </x:c>
      <x:c r="O3400" s="7" t="n">
        <x:v>0</x:v>
      </x:c>
      <x:c r="P3400" s="9" t="n">
        <x:v>19.11</x:v>
      </x:c>
      <x:c r="Q3400" s="7" t="n">
        <x:f>'Guide'!$B$5-L3400</x:f>
        <x:v>2</x:v>
      </x:c>
      <x:c r="R3400" s="9" t="n">
        <x:f>K3400-P3400</x:f>
        <x:v>4.890000000000001</x:v>
      </x:c>
      <x:c r="S3400" s="10" t="n">
        <x:f>IF(K3400&gt;0,R3400/K3400,"")</x:f>
        <x:v>0.20375000000000001</x:v>
      </x:c>
    </x:row>
    <x:row r="3401">
      <x:c r="A3401" s="7" t="n">
        <x:v>3397</x:v>
      </x:c>
      <x:c r="B3401" s="7" t="str">
        <x:v>Tata</x:v>
      </x:c>
      <x:c r="C3401" s="7" t="str">
        <x:v>Harrier</x:v>
      </x:c>
      <x:c r="D3401" s="7" t="str">
        <x:v>Fearless AT</x:v>
      </x:c>
      <x:c r="E3401" s="7" t="str">
        <x:v>Diesel</x:v>
      </x:c>
      <x:c r="F3401" s="7" t="str">
        <x:v>Automatic</x:v>
      </x:c>
      <x:c r="G3401" s="7" t="str">
        <x:v>Mid-Size SUV</x:v>
      </x:c>
      <x:c r="H3401" s="7" t="n">
        <x:v>1956</x:v>
      </x:c>
      <x:c r="I3401" s="7" t="n">
        <x:v>168</x:v>
      </x:c>
      <x:c r="J3401" s="9" t="n">
        <x:v>14.6</x:v>
      </x:c>
      <x:c r="K3401" s="9" t="n">
        <x:v>24</x:v>
      </x:c>
      <x:c r="L3401" s="7" t="n">
        <x:v>2024</x:v>
      </x:c>
      <x:c r="M3401" s="11" t="n">
        <x:v>42320</x:v>
      </x:c>
      <x:c r="N3401" s="7" t="n">
        <x:v>1</x:v>
      </x:c>
      <x:c r="O3401" s="7" t="n">
        <x:v>0</x:v>
      </x:c>
      <x:c r="P3401" s="9" t="n">
        <x:v>18.81</x:v>
      </x:c>
      <x:c r="Q3401" s="7" t="n">
        <x:f>'Guide'!$B$5-L3401</x:f>
        <x:v>2</x:v>
      </x:c>
      <x:c r="R3401" s="9" t="n">
        <x:f>K3401-P3401</x:f>
        <x:v>5.190000000000001</x:v>
      </x:c>
      <x:c r="S3401" s="10" t="n">
        <x:f>IF(K3401&gt;0,R3401/K3401,"")</x:f>
        <x:v>0.21625000000000005</x:v>
      </x:c>
    </x:row>
    <x:row r="3402">
      <x:c r="A3402" s="7" t="n">
        <x:v>3398</x:v>
      </x:c>
      <x:c r="B3402" s="7" t="str">
        <x:v>Tata</x:v>
      </x:c>
      <x:c r="C3402" s="7" t="str">
        <x:v>Harrier</x:v>
      </x:c>
      <x:c r="D3402" s="7" t="str">
        <x:v>Fearless AT</x:v>
      </x:c>
      <x:c r="E3402" s="7" t="str">
        <x:v>Diesel</x:v>
      </x:c>
      <x:c r="F3402" s="7" t="str">
        <x:v>Automatic</x:v>
      </x:c>
      <x:c r="G3402" s="7" t="str">
        <x:v>Mid-Size SUV</x:v>
      </x:c>
      <x:c r="H3402" s="7" t="n">
        <x:v>1956</x:v>
      </x:c>
      <x:c r="I3402" s="7" t="n">
        <x:v>168</x:v>
      </x:c>
      <x:c r="J3402" s="9" t="n">
        <x:v>14.6</x:v>
      </x:c>
      <x:c r="K3402" s="9" t="n">
        <x:v>24</x:v>
      </x:c>
      <x:c r="L3402" s="7" t="n">
        <x:v>2025</x:v>
      </x:c>
      <x:c r="M3402" s="11" t="n">
        <x:v>27410</x:v>
      </x:c>
      <x:c r="N3402" s="7" t="n">
        <x:v>1</x:v>
      </x:c>
      <x:c r="O3402" s="7" t="n">
        <x:v>0</x:v>
      </x:c>
      <x:c r="P3402" s="9" t="n">
        <x:v>20.94</x:v>
      </x:c>
      <x:c r="Q3402" s="7" t="n">
        <x:f>'Guide'!$B$5-L3402</x:f>
        <x:v>1</x:v>
      </x:c>
      <x:c r="R3402" s="9" t="n">
        <x:f>K3402-P3402</x:f>
        <x:v>3.0599999999999987</x:v>
      </x:c>
      <x:c r="S3402" s="10" t="n">
        <x:f>IF(K3402&gt;0,R3402/K3402,"")</x:f>
        <x:v>0.12749999999999995</x:v>
      </x:c>
    </x:row>
    <x:row r="3403">
      <x:c r="A3403" s="7" t="n">
        <x:v>3399</x:v>
      </x:c>
      <x:c r="B3403" s="7" t="str">
        <x:v>Tata</x:v>
      </x:c>
      <x:c r="C3403" s="7" t="str">
        <x:v>Harrier</x:v>
      </x:c>
      <x:c r="D3403" s="7" t="str">
        <x:v>Fearless AT</x:v>
      </x:c>
      <x:c r="E3403" s="7" t="str">
        <x:v>Diesel</x:v>
      </x:c>
      <x:c r="F3403" s="7" t="str">
        <x:v>Automatic</x:v>
      </x:c>
      <x:c r="G3403" s="7" t="str">
        <x:v>Mid-Size SUV</x:v>
      </x:c>
      <x:c r="H3403" s="7" t="n">
        <x:v>1956</x:v>
      </x:c>
      <x:c r="I3403" s="7" t="n">
        <x:v>168</x:v>
      </x:c>
      <x:c r="J3403" s="9" t="n">
        <x:v>14.6</x:v>
      </x:c>
      <x:c r="K3403" s="9" t="n">
        <x:v>24</x:v>
      </x:c>
      <x:c r="L3403" s="7" t="n">
        <x:v>2023</x:v>
      </x:c>
      <x:c r="M3403" s="11" t="n">
        <x:v>36319</x:v>
      </x:c>
      <x:c r="N3403" s="7" t="n">
        <x:v>1</x:v>
      </x:c>
      <x:c r="O3403" s="7" t="n">
        <x:v>0</x:v>
      </x:c>
      <x:c r="P3403" s="9" t="n">
        <x:v>17.01</x:v>
      </x:c>
      <x:c r="Q3403" s="7" t="n">
        <x:f>'Guide'!$B$5-L3403</x:f>
        <x:v>3</x:v>
      </x:c>
      <x:c r="R3403" s="9" t="n">
        <x:f>K3403-P3403</x:f>
        <x:v>6.989999999999998</x:v>
      </x:c>
      <x:c r="S3403" s="10" t="n">
        <x:f>IF(K3403&gt;0,R3403/K3403,"")</x:f>
        <x:v>0.29124999999999995</x:v>
      </x:c>
    </x:row>
    <x:row r="3404">
      <x:c r="A3404" s="7" t="n">
        <x:v>3400</x:v>
      </x:c>
      <x:c r="B3404" s="7" t="str">
        <x:v>Tata</x:v>
      </x:c>
      <x:c r="C3404" s="7" t="str">
        <x:v>Harrier</x:v>
      </x:c>
      <x:c r="D3404" s="7" t="str">
        <x:v>Fearless AT</x:v>
      </x:c>
      <x:c r="E3404" s="7" t="str">
        <x:v>Diesel</x:v>
      </x:c>
      <x:c r="F3404" s="7" t="str">
        <x:v>Automatic</x:v>
      </x:c>
      <x:c r="G3404" s="7" t="str">
        <x:v>Mid-Size SUV</x:v>
      </x:c>
      <x:c r="H3404" s="7" t="n">
        <x:v>1956</x:v>
      </x:c>
      <x:c r="I3404" s="7" t="n">
        <x:v>168</x:v>
      </x:c>
      <x:c r="J3404" s="9" t="n">
        <x:v>14.6</x:v>
      </x:c>
      <x:c r="K3404" s="9" t="n">
        <x:v>24</x:v>
      </x:c>
      <x:c r="L3404" s="7" t="n">
        <x:v>2022</x:v>
      </x:c>
      <x:c r="M3404" s="11" t="n">
        <x:v>83892</x:v>
      </x:c>
      <x:c r="N3404" s="7" t="n">
        <x:v>1</x:v>
      </x:c>
      <x:c r="O3404" s="7" t="n">
        <x:v>0</x:v>
      </x:c>
      <x:c r="P3404" s="9" t="n">
        <x:v>13.93</x:v>
      </x:c>
      <x:c r="Q3404" s="7" t="n">
        <x:f>'Guide'!$B$5-L3404</x:f>
        <x:v>4</x:v>
      </x:c>
      <x:c r="R3404" s="9" t="n">
        <x:f>K3404-P3404</x:f>
        <x:v>10.07</x:v>
      </x:c>
      <x:c r="S3404" s="10" t="n">
        <x:f>IF(K3404&gt;0,R3404/K3404,"")</x:f>
        <x:v>0.41958333333333336</x:v>
      </x:c>
    </x:row>
    <x:row r="3405">
      <x:c r="A3405" s="7" t="n">
        <x:v>3401</x:v>
      </x:c>
      <x:c r="B3405" s="7" t="str">
        <x:v>Tata</x:v>
      </x:c>
      <x:c r="C3405" s="7" t="str">
        <x:v>Safari</x:v>
      </x:c>
      <x:c r="D3405" s="7" t="str">
        <x:v>Smart</x:v>
      </x:c>
      <x:c r="E3405" s="7" t="str">
        <x:v>Diesel</x:v>
      </x:c>
      <x:c r="F3405" s="7" t="str">
        <x:v>Manual</x:v>
      </x:c>
      <x:c r="G3405" s="7" t="str">
        <x:v>SUV</x:v>
      </x:c>
      <x:c r="H3405" s="7" t="n">
        <x:v>1956</x:v>
      </x:c>
      <x:c r="I3405" s="7" t="n">
        <x:v>168</x:v>
      </x:c>
      <x:c r="J3405" s="9" t="n">
        <x:v>16.3</x:v>
      </x:c>
      <x:c r="K3405" s="9" t="n">
        <x:v>16</x:v>
      </x:c>
      <x:c r="L3405" s="7" t="n">
        <x:v>2025</x:v>
      </x:c>
      <x:c r="M3405" s="11" t="n">
        <x:v>25045</x:v>
      </x:c>
      <x:c r="N3405" s="7" t="n">
        <x:v>1</x:v>
      </x:c>
      <x:c r="O3405" s="7" t="n">
        <x:v>0</x:v>
      </x:c>
      <x:c r="P3405" s="9" t="n">
        <x:v>14.15</x:v>
      </x:c>
      <x:c r="Q3405" s="7" t="n">
        <x:f>'Guide'!$B$5-L3405</x:f>
        <x:v>1</x:v>
      </x:c>
      <x:c r="R3405" s="9" t="n">
        <x:f>K3405-P3405</x:f>
        <x:v>1.8499999999999996</x:v>
      </x:c>
      <x:c r="S3405" s="10" t="n">
        <x:f>IF(K3405&gt;0,R3405/K3405,"")</x:f>
        <x:v>0.11562499999999998</x:v>
      </x:c>
    </x:row>
    <x:row r="3406">
      <x:c r="A3406" s="7" t="n">
        <x:v>3402</x:v>
      </x:c>
      <x:c r="B3406" s="7" t="str">
        <x:v>Tata</x:v>
      </x:c>
      <x:c r="C3406" s="7" t="str">
        <x:v>Safari</x:v>
      </x:c>
      <x:c r="D3406" s="7" t="str">
        <x:v>Smart</x:v>
      </x:c>
      <x:c r="E3406" s="7" t="str">
        <x:v>Diesel</x:v>
      </x:c>
      <x:c r="F3406" s="7" t="str">
        <x:v>Manual</x:v>
      </x:c>
      <x:c r="G3406" s="7" t="str">
        <x:v>SUV</x:v>
      </x:c>
      <x:c r="H3406" s="7" t="n">
        <x:v>1956</x:v>
      </x:c>
      <x:c r="I3406" s="7" t="n">
        <x:v>168</x:v>
      </x:c>
      <x:c r="J3406" s="9" t="n">
        <x:v>16.3</x:v>
      </x:c>
      <x:c r="K3406" s="9" t="n">
        <x:v>16</x:v>
      </x:c>
      <x:c r="L3406" s="7" t="n">
        <x:v>2022</x:v>
      </x:c>
      <x:c r="M3406" s="11" t="n">
        <x:v>62033</x:v>
      </x:c>
      <x:c r="N3406" s="7" t="n">
        <x:v>2</x:v>
      </x:c>
      <x:c r="O3406" s="7" t="n">
        <x:v>0</x:v>
      </x:c>
      <x:c r="P3406" s="9" t="n">
        <x:v>9.14</x:v>
      </x:c>
      <x:c r="Q3406" s="7" t="n">
        <x:f>'Guide'!$B$5-L3406</x:f>
        <x:v>4</x:v>
      </x:c>
      <x:c r="R3406" s="9" t="n">
        <x:f>K3406-P3406</x:f>
        <x:v>6.859999999999999</x:v>
      </x:c>
      <x:c r="S3406" s="10" t="n">
        <x:f>IF(K3406&gt;0,R3406/K3406,"")</x:f>
        <x:v>0.42874999999999996</x:v>
      </x:c>
    </x:row>
    <x:row r="3407">
      <x:c r="A3407" s="7" t="n">
        <x:v>3403</x:v>
      </x:c>
      <x:c r="B3407" s="7" t="str">
        <x:v>Tata</x:v>
      </x:c>
      <x:c r="C3407" s="7" t="str">
        <x:v>Safari</x:v>
      </x:c>
      <x:c r="D3407" s="7" t="str">
        <x:v>Smart</x:v>
      </x:c>
      <x:c r="E3407" s="7" t="str">
        <x:v>Diesel</x:v>
      </x:c>
      <x:c r="F3407" s="7" t="str">
        <x:v>Manual</x:v>
      </x:c>
      <x:c r="G3407" s="7" t="str">
        <x:v>SUV</x:v>
      </x:c>
      <x:c r="H3407" s="7" t="n">
        <x:v>1956</x:v>
      </x:c>
      <x:c r="I3407" s="7" t="n">
        <x:v>168</x:v>
      </x:c>
      <x:c r="J3407" s="9" t="n">
        <x:v>16.3</x:v>
      </x:c>
      <x:c r="K3407" s="9" t="n">
        <x:v>16</x:v>
      </x:c>
      <x:c r="L3407" s="7" t="n">
        <x:v>2021</x:v>
      </x:c>
      <x:c r="M3407" s="11" t="n">
        <x:v>56728</x:v>
      </x:c>
      <x:c r="N3407" s="7" t="n">
        <x:v>1</x:v>
      </x:c>
      <x:c r="O3407" s="7" t="n">
        <x:v>1</x:v>
      </x:c>
      <x:c r="P3407" s="9" t="n">
        <x:v>8.08</x:v>
      </x:c>
      <x:c r="Q3407" s="7" t="n">
        <x:f>'Guide'!$B$5-L3407</x:f>
        <x:v>5</x:v>
      </x:c>
      <x:c r="R3407" s="9" t="n">
        <x:f>K3407-P3407</x:f>
        <x:v>7.92</x:v>
      </x:c>
      <x:c r="S3407" s="10" t="n">
        <x:f>IF(K3407&gt;0,R3407/K3407,"")</x:f>
        <x:v>0.495</x:v>
      </x:c>
    </x:row>
    <x:row r="3408">
      <x:c r="A3408" s="7" t="n">
        <x:v>3404</x:v>
      </x:c>
      <x:c r="B3408" s="7" t="str">
        <x:v>Tata</x:v>
      </x:c>
      <x:c r="C3408" s="7" t="str">
        <x:v>Safari</x:v>
      </x:c>
      <x:c r="D3408" s="7" t="str">
        <x:v>Smart</x:v>
      </x:c>
      <x:c r="E3408" s="7" t="str">
        <x:v>Diesel</x:v>
      </x:c>
      <x:c r="F3408" s="7" t="str">
        <x:v>Manual</x:v>
      </x:c>
      <x:c r="G3408" s="7" t="str">
        <x:v>SUV</x:v>
      </x:c>
      <x:c r="H3408" s="7" t="n">
        <x:v>1956</x:v>
      </x:c>
      <x:c r="I3408" s="7" t="n">
        <x:v>168</x:v>
      </x:c>
      <x:c r="J3408" s="9" t="n">
        <x:v>16.3</x:v>
      </x:c>
      <x:c r="K3408" s="9" t="n">
        <x:v>16</x:v>
      </x:c>
      <x:c r="L3408" s="7" t="n">
        <x:v>2023</x:v>
      </x:c>
      <x:c r="M3408" s="11" t="n">
        <x:v>58795</x:v>
      </x:c>
      <x:c r="N3408" s="7" t="n">
        <x:v>1</x:v>
      </x:c>
      <x:c r="O3408" s="7" t="n">
        <x:v>0</x:v>
      </x:c>
      <x:c r="P3408" s="9" t="n">
        <x:v>11.32</x:v>
      </x:c>
      <x:c r="Q3408" s="7" t="n">
        <x:f>'Guide'!$B$5-L3408</x:f>
        <x:v>3</x:v>
      </x:c>
      <x:c r="R3408" s="9" t="n">
        <x:f>K3408-P3408</x:f>
        <x:v>4.68</x:v>
      </x:c>
      <x:c r="S3408" s="10" t="n">
        <x:f>IF(K3408&gt;0,R3408/K3408,"")</x:f>
        <x:v>0.2925</x:v>
      </x:c>
    </x:row>
    <x:row r="3409">
      <x:c r="A3409" s="7" t="n">
        <x:v>3405</x:v>
      </x:c>
      <x:c r="B3409" s="7" t="str">
        <x:v>Tata</x:v>
      </x:c>
      <x:c r="C3409" s="7" t="str">
        <x:v>Safari</x:v>
      </x:c>
      <x:c r="D3409" s="7" t="str">
        <x:v>Smart</x:v>
      </x:c>
      <x:c r="E3409" s="7" t="str">
        <x:v>Diesel</x:v>
      </x:c>
      <x:c r="F3409" s="7" t="str">
        <x:v>Manual</x:v>
      </x:c>
      <x:c r="G3409" s="7" t="str">
        <x:v>SUV</x:v>
      </x:c>
      <x:c r="H3409" s="7" t="n">
        <x:v>1956</x:v>
      </x:c>
      <x:c r="I3409" s="7" t="n">
        <x:v>168</x:v>
      </x:c>
      <x:c r="J3409" s="9" t="n">
        <x:v>16.3</x:v>
      </x:c>
      <x:c r="K3409" s="9" t="n">
        <x:v>16</x:v>
      </x:c>
      <x:c r="L3409" s="7" t="n">
        <x:v>2021</x:v>
      </x:c>
      <x:c r="M3409" s="11" t="n">
        <x:v>74616</x:v>
      </x:c>
      <x:c r="N3409" s="7" t="n">
        <x:v>2</x:v>
      </x:c>
      <x:c r="O3409" s="7" t="n">
        <x:v>0</x:v>
      </x:c>
      <x:c r="P3409" s="9" t="n">
        <x:v>7.85</x:v>
      </x:c>
      <x:c r="Q3409" s="7" t="n">
        <x:f>'Guide'!$B$5-L3409</x:f>
        <x:v>5</x:v>
      </x:c>
      <x:c r="R3409" s="9" t="n">
        <x:f>K3409-P3409</x:f>
        <x:v>8.15</x:v>
      </x:c>
      <x:c r="S3409" s="10" t="n">
        <x:f>IF(K3409&gt;0,R3409/K3409,"")</x:f>
        <x:v>0.509375</x:v>
      </x:c>
    </x:row>
    <x:row r="3410">
      <x:c r="A3410" s="7" t="n">
        <x:v>3406</x:v>
      </x:c>
      <x:c r="B3410" s="7" t="str">
        <x:v>Tata</x:v>
      </x:c>
      <x:c r="C3410" s="7" t="str">
        <x:v>Safari</x:v>
      </x:c>
      <x:c r="D3410" s="7" t="str">
        <x:v>Smart</x:v>
      </x:c>
      <x:c r="E3410" s="7" t="str">
        <x:v>Diesel</x:v>
      </x:c>
      <x:c r="F3410" s="7" t="str">
        <x:v>Manual</x:v>
      </x:c>
      <x:c r="G3410" s="7" t="str">
        <x:v>SUV</x:v>
      </x:c>
      <x:c r="H3410" s="7" t="n">
        <x:v>1956</x:v>
      </x:c>
      <x:c r="I3410" s="7" t="n">
        <x:v>168</x:v>
      </x:c>
      <x:c r="J3410" s="9" t="n">
        <x:v>16.3</x:v>
      </x:c>
      <x:c r="K3410" s="9" t="n">
        <x:v>16</x:v>
      </x:c>
      <x:c r="L3410" s="7" t="n">
        <x:v>2024</x:v>
      </x:c>
      <x:c r="M3410" s="11" t="n">
        <x:v>41639</x:v>
      </x:c>
      <x:c r="N3410" s="7" t="n">
        <x:v>1</x:v>
      </x:c>
      <x:c r="O3410" s="7" t="n">
        <x:v>0</x:v>
      </x:c>
      <x:c r="P3410" s="9" t="n">
        <x:v>12.79</x:v>
      </x:c>
      <x:c r="Q3410" s="7" t="n">
        <x:f>'Guide'!$B$5-L3410</x:f>
        <x:v>2</x:v>
      </x:c>
      <x:c r="R3410" s="9" t="n">
        <x:f>K3410-P3410</x:f>
        <x:v>3.210000000000001</x:v>
      </x:c>
      <x:c r="S3410" s="10" t="n">
        <x:f>IF(K3410&gt;0,R3410/K3410,"")</x:f>
        <x:v>0.20062500000000005</x:v>
      </x:c>
    </x:row>
    <x:row r="3411">
      <x:c r="A3411" s="7" t="n">
        <x:v>3407</x:v>
      </x:c>
      <x:c r="B3411" s="7" t="str">
        <x:v>Tata</x:v>
      </x:c>
      <x:c r="C3411" s="7" t="str">
        <x:v>Safari</x:v>
      </x:c>
      <x:c r="D3411" s="7" t="str">
        <x:v>Smart</x:v>
      </x:c>
      <x:c r="E3411" s="7" t="str">
        <x:v>Diesel</x:v>
      </x:c>
      <x:c r="F3411" s="7" t="str">
        <x:v>Manual</x:v>
      </x:c>
      <x:c r="G3411" s="7" t="str">
        <x:v>SUV</x:v>
      </x:c>
      <x:c r="H3411" s="7" t="n">
        <x:v>1956</x:v>
      </x:c>
      <x:c r="I3411" s="7" t="n">
        <x:v>168</x:v>
      </x:c>
      <x:c r="J3411" s="9" t="n">
        <x:v>16.3</x:v>
      </x:c>
      <x:c r="K3411" s="9" t="n">
        <x:v>16</x:v>
      </x:c>
      <x:c r="L3411" s="7" t="n">
        <x:v>2020</x:v>
      </x:c>
      <x:c r="M3411" s="11" t="n">
        <x:v>116131</x:v>
      </x:c>
      <x:c r="N3411" s="7" t="n">
        <x:v>1</x:v>
      </x:c>
      <x:c r="O3411" s="7" t="n">
        <x:v>0</x:v>
      </x:c>
      <x:c r="P3411" s="9" t="n">
        <x:v>5.73</x:v>
      </x:c>
      <x:c r="Q3411" s="7" t="n">
        <x:f>'Guide'!$B$5-L3411</x:f>
        <x:v>6</x:v>
      </x:c>
      <x:c r="R3411" s="9" t="n">
        <x:f>K3411-P3411</x:f>
        <x:v>10.27</x:v>
      </x:c>
      <x:c r="S3411" s="10" t="n">
        <x:f>IF(K3411&gt;0,R3411/K3411,"")</x:f>
        <x:v>0.641875</x:v>
      </x:c>
    </x:row>
    <x:row r="3412">
      <x:c r="A3412" s="7" t="n">
        <x:v>3408</x:v>
      </x:c>
      <x:c r="B3412" s="7" t="str">
        <x:v>Tata</x:v>
      </x:c>
      <x:c r="C3412" s="7" t="str">
        <x:v>Safari</x:v>
      </x:c>
      <x:c r="D3412" s="7" t="str">
        <x:v>Smart</x:v>
      </x:c>
      <x:c r="E3412" s="7" t="str">
        <x:v>Diesel</x:v>
      </x:c>
      <x:c r="F3412" s="7" t="str">
        <x:v>Manual</x:v>
      </x:c>
      <x:c r="G3412" s="7" t="str">
        <x:v>SUV</x:v>
      </x:c>
      <x:c r="H3412" s="7" t="n">
        <x:v>1956</x:v>
      </x:c>
      <x:c r="I3412" s="7" t="n">
        <x:v>168</x:v>
      </x:c>
      <x:c r="J3412" s="9" t="n">
        <x:v>16.3</x:v>
      </x:c>
      <x:c r="K3412" s="9" t="n">
        <x:v>16</x:v>
      </x:c>
      <x:c r="L3412" s="7" t="n">
        <x:v>2025</x:v>
      </x:c>
      <x:c r="M3412" s="11" t="n">
        <x:v>28762</x:v>
      </x:c>
      <x:c r="N3412" s="7" t="n">
        <x:v>1</x:v>
      </x:c>
      <x:c r="O3412" s="7" t="n">
        <x:v>0</x:v>
      </x:c>
      <x:c r="P3412" s="9" t="n">
        <x:v>14.43</x:v>
      </x:c>
      <x:c r="Q3412" s="7" t="n">
        <x:f>'Guide'!$B$5-L3412</x:f>
        <x:v>1</x:v>
      </x:c>
      <x:c r="R3412" s="9" t="n">
        <x:f>K3412-P3412</x:f>
        <x:v>1.5700000000000003</x:v>
      </x:c>
      <x:c r="S3412" s="10" t="n">
        <x:f>IF(K3412&gt;0,R3412/K3412,"")</x:f>
        <x:v>0.09812500000000002</x:v>
      </x:c>
    </x:row>
    <x:row r="3413">
      <x:c r="A3413" s="7" t="n">
        <x:v>3409</x:v>
      </x:c>
      <x:c r="B3413" s="7" t="str">
        <x:v>Tata</x:v>
      </x:c>
      <x:c r="C3413" s="7" t="str">
        <x:v>Safari</x:v>
      </x:c>
      <x:c r="D3413" s="7" t="str">
        <x:v>Smart</x:v>
      </x:c>
      <x:c r="E3413" s="7" t="str">
        <x:v>Diesel</x:v>
      </x:c>
      <x:c r="F3413" s="7" t="str">
        <x:v>Manual</x:v>
      </x:c>
      <x:c r="G3413" s="7" t="str">
        <x:v>SUV</x:v>
      </x:c>
      <x:c r="H3413" s="7" t="n">
        <x:v>1956</x:v>
      </x:c>
      <x:c r="I3413" s="7" t="n">
        <x:v>168</x:v>
      </x:c>
      <x:c r="J3413" s="9" t="n">
        <x:v>16.3</x:v>
      </x:c>
      <x:c r="K3413" s="9" t="n">
        <x:v>16</x:v>
      </x:c>
      <x:c r="L3413" s="7" t="n">
        <x:v>2023</x:v>
      </x:c>
      <x:c r="M3413" s="11" t="n">
        <x:v>53695</x:v>
      </x:c>
      <x:c r="N3413" s="7" t="n">
        <x:v>1</x:v>
      </x:c>
      <x:c r="O3413" s="7" t="n">
        <x:v>0</x:v>
      </x:c>
      <x:c r="P3413" s="9" t="n">
        <x:v>11.17</x:v>
      </x:c>
      <x:c r="Q3413" s="7" t="n">
        <x:f>'Guide'!$B$5-L3413</x:f>
        <x:v>3</x:v>
      </x:c>
      <x:c r="R3413" s="9" t="n">
        <x:f>K3413-P3413</x:f>
        <x:v>4.83</x:v>
      </x:c>
      <x:c r="S3413" s="10" t="n">
        <x:f>IF(K3413&gt;0,R3413/K3413,"")</x:f>
        <x:v>0.301875</x:v>
      </x:c>
    </x:row>
    <x:row r="3414">
      <x:c r="A3414" s="7" t="n">
        <x:v>3410</x:v>
      </x:c>
      <x:c r="B3414" s="7" t="str">
        <x:v>Tata</x:v>
      </x:c>
      <x:c r="C3414" s="7" t="str">
        <x:v>Safari</x:v>
      </x:c>
      <x:c r="D3414" s="7" t="str">
        <x:v>Smart</x:v>
      </x:c>
      <x:c r="E3414" s="7" t="str">
        <x:v>Diesel</x:v>
      </x:c>
      <x:c r="F3414" s="7" t="str">
        <x:v>Manual</x:v>
      </x:c>
      <x:c r="G3414" s="7" t="str">
        <x:v>SUV</x:v>
      </x:c>
      <x:c r="H3414" s="7" t="n">
        <x:v>1956</x:v>
      </x:c>
      <x:c r="I3414" s="7" t="n">
        <x:v>168</x:v>
      </x:c>
      <x:c r="J3414" s="9" t="n">
        <x:v>16.3</x:v>
      </x:c>
      <x:c r="K3414" s="9" t="n">
        <x:v>16</x:v>
      </x:c>
      <x:c r="L3414" s="7" t="n">
        <x:v>2024</x:v>
      </x:c>
      <x:c r="M3414" s="11" t="n">
        <x:v>28377</x:v>
      </x:c>
      <x:c r="N3414" s="7" t="n">
        <x:v>1</x:v>
      </x:c>
      <x:c r="O3414" s="7" t="n">
        <x:v>1</x:v>
      </x:c>
      <x:c r="P3414" s="9" t="n">
        <x:v>12.08</x:v>
      </x:c>
      <x:c r="Q3414" s="7" t="n">
        <x:f>'Guide'!$B$5-L3414</x:f>
        <x:v>2</x:v>
      </x:c>
      <x:c r="R3414" s="9" t="n">
        <x:f>K3414-P3414</x:f>
        <x:v>3.92</x:v>
      </x:c>
      <x:c r="S3414" s="10" t="n">
        <x:f>IF(K3414&gt;0,R3414/K3414,"")</x:f>
        <x:v>0.245</x:v>
      </x:c>
    </x:row>
    <x:row r="3415">
      <x:c r="A3415" s="7" t="n">
        <x:v>3411</x:v>
      </x:c>
      <x:c r="B3415" s="7" t="str">
        <x:v>Tata</x:v>
      </x:c>
      <x:c r="C3415" s="7" t="str">
        <x:v>Safari</x:v>
      </x:c>
      <x:c r="D3415" s="7" t="str">
        <x:v>Smart</x:v>
      </x:c>
      <x:c r="E3415" s="7" t="str">
        <x:v>Diesel</x:v>
      </x:c>
      <x:c r="F3415" s="7" t="str">
        <x:v>Manual</x:v>
      </x:c>
      <x:c r="G3415" s="7" t="str">
        <x:v>SUV</x:v>
      </x:c>
      <x:c r="H3415" s="7" t="n">
        <x:v>1956</x:v>
      </x:c>
      <x:c r="I3415" s="7" t="n">
        <x:v>168</x:v>
      </x:c>
      <x:c r="J3415" s="9" t="n">
        <x:v>16.3</x:v>
      </x:c>
      <x:c r="K3415" s="9" t="n">
        <x:v>16</x:v>
      </x:c>
      <x:c r="L3415" s="7" t="n">
        <x:v>2021</x:v>
      </x:c>
      <x:c r="M3415" s="11" t="n">
        <x:v>75810</x:v>
      </x:c>
      <x:c r="N3415" s="7" t="n">
        <x:v>1</x:v>
      </x:c>
      <x:c r="O3415" s="7" t="n">
        <x:v>0</x:v>
      </x:c>
      <x:c r="P3415" s="9" t="n">
        <x:v>8.36</x:v>
      </x:c>
      <x:c r="Q3415" s="7" t="n">
        <x:f>'Guide'!$B$5-L3415</x:f>
        <x:v>5</x:v>
      </x:c>
      <x:c r="R3415" s="9" t="n">
        <x:f>K3415-P3415</x:f>
        <x:v>7.640000000000001</x:v>
      </x:c>
      <x:c r="S3415" s="10" t="n">
        <x:f>IF(K3415&gt;0,R3415/K3415,"")</x:f>
        <x:v>0.47750000000000004</x:v>
      </x:c>
    </x:row>
    <x:row r="3416">
      <x:c r="A3416" s="7" t="n">
        <x:v>3412</x:v>
      </x:c>
      <x:c r="B3416" s="7" t="str">
        <x:v>Tata</x:v>
      </x:c>
      <x:c r="C3416" s="7" t="str">
        <x:v>Safari</x:v>
      </x:c>
      <x:c r="D3416" s="7" t="str">
        <x:v>Smart</x:v>
      </x:c>
      <x:c r="E3416" s="7" t="str">
        <x:v>Diesel</x:v>
      </x:c>
      <x:c r="F3416" s="7" t="str">
        <x:v>Manual</x:v>
      </x:c>
      <x:c r="G3416" s="7" t="str">
        <x:v>SUV</x:v>
      </x:c>
      <x:c r="H3416" s="7" t="n">
        <x:v>1956</x:v>
      </x:c>
      <x:c r="I3416" s="7" t="n">
        <x:v>168</x:v>
      </x:c>
      <x:c r="J3416" s="9" t="n">
        <x:v>16.3</x:v>
      </x:c>
      <x:c r="K3416" s="9" t="n">
        <x:v>16</x:v>
      </x:c>
      <x:c r="L3416" s="7" t="n">
        <x:v>2026</x:v>
      </x:c>
      <x:c r="M3416" s="11" t="n">
        <x:v>8841</x:v>
      </x:c>
      <x:c r="N3416" s="7" t="n">
        <x:v>1</x:v>
      </x:c>
      <x:c r="O3416" s="7" t="n">
        <x:v>1</x:v>
      </x:c>
      <x:c r="P3416" s="9" t="n">
        <x:v>14.72</x:v>
      </x:c>
      <x:c r="Q3416" s="7" t="n">
        <x:f>'Guide'!$B$5-L3416</x:f>
        <x:v>0</x:v>
      </x:c>
      <x:c r="R3416" s="9" t="n">
        <x:f>K3416-P3416</x:f>
        <x:v>1.2799999999999994</x:v>
      </x:c>
      <x:c r="S3416" s="10" t="n">
        <x:f>IF(K3416&gt;0,R3416/K3416,"")</x:f>
        <x:v>0.07999999999999996</x:v>
      </x:c>
    </x:row>
    <x:row r="3417">
      <x:c r="A3417" s="7" t="n">
        <x:v>3413</x:v>
      </x:c>
      <x:c r="B3417" s="7" t="str">
        <x:v>Tata</x:v>
      </x:c>
      <x:c r="C3417" s="7" t="str">
        <x:v>Safari</x:v>
      </x:c>
      <x:c r="D3417" s="7" t="str">
        <x:v>Smart</x:v>
      </x:c>
      <x:c r="E3417" s="7" t="str">
        <x:v>Diesel</x:v>
      </x:c>
      <x:c r="F3417" s="7" t="str">
        <x:v>Manual</x:v>
      </x:c>
      <x:c r="G3417" s="7" t="str">
        <x:v>SUV</x:v>
      </x:c>
      <x:c r="H3417" s="7" t="n">
        <x:v>1956</x:v>
      </x:c>
      <x:c r="I3417" s="7" t="n">
        <x:v>168</x:v>
      </x:c>
      <x:c r="J3417" s="9" t="n">
        <x:v>16.3</x:v>
      </x:c>
      <x:c r="K3417" s="9" t="n">
        <x:v>16</x:v>
      </x:c>
      <x:c r="L3417" s="7" t="n">
        <x:v>2025</x:v>
      </x:c>
      <x:c r="M3417" s="11" t="n">
        <x:v>27439</x:v>
      </x:c>
      <x:c r="N3417" s="7" t="n">
        <x:v>1</x:v>
      </x:c>
      <x:c r="O3417" s="7" t="n">
        <x:v>0</x:v>
      </x:c>
      <x:c r="P3417" s="9" t="n">
        <x:v>13.88</x:v>
      </x:c>
      <x:c r="Q3417" s="7" t="n">
        <x:f>'Guide'!$B$5-L3417</x:f>
        <x:v>1</x:v>
      </x:c>
      <x:c r="R3417" s="9" t="n">
        <x:f>K3417-P3417</x:f>
        <x:v>2.119999999999999</x:v>
      </x:c>
      <x:c r="S3417" s="10" t="n">
        <x:f>IF(K3417&gt;0,R3417/K3417,"")</x:f>
        <x:v>0.13249999999999995</x:v>
      </x:c>
    </x:row>
    <x:row r="3418">
      <x:c r="A3418" s="7" t="n">
        <x:v>3414</x:v>
      </x:c>
      <x:c r="B3418" s="7" t="str">
        <x:v>Tata</x:v>
      </x:c>
      <x:c r="C3418" s="7" t="str">
        <x:v>Safari</x:v>
      </x:c>
      <x:c r="D3418" s="7" t="str">
        <x:v>Smart</x:v>
      </x:c>
      <x:c r="E3418" s="7" t="str">
        <x:v>Diesel</x:v>
      </x:c>
      <x:c r="F3418" s="7" t="str">
        <x:v>Manual</x:v>
      </x:c>
      <x:c r="G3418" s="7" t="str">
        <x:v>SUV</x:v>
      </x:c>
      <x:c r="H3418" s="7" t="n">
        <x:v>1956</x:v>
      </x:c>
      <x:c r="I3418" s="7" t="n">
        <x:v>168</x:v>
      </x:c>
      <x:c r="J3418" s="9" t="n">
        <x:v>16.3</x:v>
      </x:c>
      <x:c r="K3418" s="9" t="n">
        <x:v>16</x:v>
      </x:c>
      <x:c r="L3418" s="7" t="n">
        <x:v>2026</x:v>
      </x:c>
      <x:c r="M3418" s="11" t="n">
        <x:v>5319</x:v>
      </x:c>
      <x:c r="N3418" s="7" t="n">
        <x:v>3</x:v>
      </x:c>
      <x:c r="O3418" s="7" t="n">
        <x:v>1</x:v>
      </x:c>
      <x:c r="P3418" s="9" t="n">
        <x:v>14.49</x:v>
      </x:c>
      <x:c r="Q3418" s="7" t="n">
        <x:f>'Guide'!$B$5-L3418</x:f>
        <x:v>0</x:v>
      </x:c>
      <x:c r="R3418" s="9" t="n">
        <x:f>K3418-P3418</x:f>
        <x:v>1.5099999999999998</x:v>
      </x:c>
      <x:c r="S3418" s="10" t="n">
        <x:f>IF(K3418&gt;0,R3418/K3418,"")</x:f>
        <x:v>0.09437499999999999</x:v>
      </x:c>
    </x:row>
    <x:row r="3419">
      <x:c r="A3419" s="7" t="n">
        <x:v>3415</x:v>
      </x:c>
      <x:c r="B3419" s="7" t="str">
        <x:v>Tata</x:v>
      </x:c>
      <x:c r="C3419" s="7" t="str">
        <x:v>Safari</x:v>
      </x:c>
      <x:c r="D3419" s="7" t="str">
        <x:v>Smart</x:v>
      </x:c>
      <x:c r="E3419" s="7" t="str">
        <x:v>Diesel</x:v>
      </x:c>
      <x:c r="F3419" s="7" t="str">
        <x:v>Manual</x:v>
      </x:c>
      <x:c r="G3419" s="7" t="str">
        <x:v>SUV</x:v>
      </x:c>
      <x:c r="H3419" s="7" t="n">
        <x:v>1956</x:v>
      </x:c>
      <x:c r="I3419" s="7" t="n">
        <x:v>168</x:v>
      </x:c>
      <x:c r="J3419" s="9" t="n">
        <x:v>16.3</x:v>
      </x:c>
      <x:c r="K3419" s="9" t="n">
        <x:v>16</x:v>
      </x:c>
      <x:c r="L3419" s="7" t="n">
        <x:v>2025</x:v>
      </x:c>
      <x:c r="M3419" s="11" t="n">
        <x:v>12965</x:v>
      </x:c>
      <x:c r="N3419" s="7" t="n">
        <x:v>1</x:v>
      </x:c>
      <x:c r="O3419" s="7" t="n">
        <x:v>0</x:v>
      </x:c>
      <x:c r="P3419" s="9" t="n">
        <x:v>14.39</x:v>
      </x:c>
      <x:c r="Q3419" s="7" t="n">
        <x:f>'Guide'!$B$5-L3419</x:f>
        <x:v>1</x:v>
      </x:c>
      <x:c r="R3419" s="9" t="n">
        <x:f>K3419-P3419</x:f>
        <x:v>1.6099999999999994</x:v>
      </x:c>
      <x:c r="S3419" s="10" t="n">
        <x:f>IF(K3419&gt;0,R3419/K3419,"")</x:f>
        <x:v>0.10062499999999996</x:v>
      </x:c>
    </x:row>
    <x:row r="3420">
      <x:c r="A3420" s="7" t="n">
        <x:v>3416</x:v>
      </x:c>
      <x:c r="B3420" s="7" t="str">
        <x:v>Tata</x:v>
      </x:c>
      <x:c r="C3420" s="7" t="str">
        <x:v>Safari</x:v>
      </x:c>
      <x:c r="D3420" s="7" t="str">
        <x:v>Smart</x:v>
      </x:c>
      <x:c r="E3420" s="7" t="str">
        <x:v>Diesel</x:v>
      </x:c>
      <x:c r="F3420" s="7" t="str">
        <x:v>Manual</x:v>
      </x:c>
      <x:c r="G3420" s="7" t="str">
        <x:v>SUV</x:v>
      </x:c>
      <x:c r="H3420" s="7" t="n">
        <x:v>1956</x:v>
      </x:c>
      <x:c r="I3420" s="7" t="n">
        <x:v>168</x:v>
      </x:c>
      <x:c r="J3420" s="9" t="n">
        <x:v>16.3</x:v>
      </x:c>
      <x:c r="K3420" s="9" t="n">
        <x:v>16</x:v>
      </x:c>
      <x:c r="L3420" s="7" t="n">
        <x:v>2026</x:v>
      </x:c>
      <x:c r="M3420" s="11" t="n">
        <x:v>5721</x:v>
      </x:c>
      <x:c r="N3420" s="7" t="n">
        <x:v>1</x:v>
      </x:c>
      <x:c r="O3420" s="7" t="n">
        <x:v>0</x:v>
      </x:c>
      <x:c r="P3420" s="9" t="n">
        <x:v>15.89</x:v>
      </x:c>
      <x:c r="Q3420" s="7" t="n">
        <x:f>'Guide'!$B$5-L3420</x:f>
        <x:v>0</x:v>
      </x:c>
      <x:c r="R3420" s="9" t="n">
        <x:f>K3420-P3420</x:f>
        <x:v>0.10999999999999943</x:v>
      </x:c>
      <x:c r="S3420" s="10" t="n">
        <x:f>IF(K3420&gt;0,R3420/K3420,"")</x:f>
        <x:v>0.0068749999999999645</x:v>
      </x:c>
    </x:row>
    <x:row r="3421">
      <x:c r="A3421" s="7" t="n">
        <x:v>3417</x:v>
      </x:c>
      <x:c r="B3421" s="7" t="str">
        <x:v>Tata</x:v>
      </x:c>
      <x:c r="C3421" s="7" t="str">
        <x:v>Safari</x:v>
      </x:c>
      <x:c r="D3421" s="7" t="str">
        <x:v>Smart</x:v>
      </x:c>
      <x:c r="E3421" s="7" t="str">
        <x:v>Diesel</x:v>
      </x:c>
      <x:c r="F3421" s="7" t="str">
        <x:v>Manual</x:v>
      </x:c>
      <x:c r="G3421" s="7" t="str">
        <x:v>SUV</x:v>
      </x:c>
      <x:c r="H3421" s="7" t="n">
        <x:v>1956</x:v>
      </x:c>
      <x:c r="I3421" s="7" t="n">
        <x:v>168</x:v>
      </x:c>
      <x:c r="J3421" s="9" t="n">
        <x:v>16.3</x:v>
      </x:c>
      <x:c r="K3421" s="9" t="n">
        <x:v>16</x:v>
      </x:c>
      <x:c r="L3421" s="7" t="n">
        <x:v>2024</x:v>
      </x:c>
      <x:c r="M3421" s="11" t="n">
        <x:v>46386</x:v>
      </x:c>
      <x:c r="N3421" s="7" t="n">
        <x:v>1</x:v>
      </x:c>
      <x:c r="O3421" s="7" t="n">
        <x:v>0</x:v>
      </x:c>
      <x:c r="P3421" s="9" t="n">
        <x:v>12.31</x:v>
      </x:c>
      <x:c r="Q3421" s="7" t="n">
        <x:f>'Guide'!$B$5-L3421</x:f>
        <x:v>2</x:v>
      </x:c>
      <x:c r="R3421" s="9" t="n">
        <x:f>K3421-P3421</x:f>
        <x:v>3.6899999999999995</x:v>
      </x:c>
      <x:c r="S3421" s="10" t="n">
        <x:f>IF(K3421&gt;0,R3421/K3421,"")</x:f>
        <x:v>0.23062499999999997</x:v>
      </x:c>
    </x:row>
    <x:row r="3422">
      <x:c r="A3422" s="7" t="n">
        <x:v>3418</x:v>
      </x:c>
      <x:c r="B3422" s="7" t="str">
        <x:v>Tata</x:v>
      </x:c>
      <x:c r="C3422" s="7" t="str">
        <x:v>Safari</x:v>
      </x:c>
      <x:c r="D3422" s="7" t="str">
        <x:v>Smart</x:v>
      </x:c>
      <x:c r="E3422" s="7" t="str">
        <x:v>Diesel</x:v>
      </x:c>
      <x:c r="F3422" s="7" t="str">
        <x:v>Manual</x:v>
      </x:c>
      <x:c r="G3422" s="7" t="str">
        <x:v>SUV</x:v>
      </x:c>
      <x:c r="H3422" s="7" t="n">
        <x:v>1956</x:v>
      </x:c>
      <x:c r="I3422" s="7" t="n">
        <x:v>168</x:v>
      </x:c>
      <x:c r="J3422" s="9" t="n">
        <x:v>16.3</x:v>
      </x:c>
      <x:c r="K3422" s="9" t="n">
        <x:v>16</x:v>
      </x:c>
      <x:c r="L3422" s="7" t="n">
        <x:v>2024</x:v>
      </x:c>
      <x:c r="M3422" s="11" t="n">
        <x:v>34323</x:v>
      </x:c>
      <x:c r="N3422" s="7" t="n">
        <x:v>1</x:v>
      </x:c>
      <x:c r="O3422" s="7" t="n">
        <x:v>1</x:v>
      </x:c>
      <x:c r="P3422" s="9" t="n">
        <x:v>11.61</x:v>
      </x:c>
      <x:c r="Q3422" s="7" t="n">
        <x:f>'Guide'!$B$5-L3422</x:f>
        <x:v>2</x:v>
      </x:c>
      <x:c r="R3422" s="9" t="n">
        <x:f>K3422-P3422</x:f>
        <x:v>4.390000000000001</x:v>
      </x:c>
      <x:c r="S3422" s="10" t="n">
        <x:f>IF(K3422&gt;0,R3422/K3422,"")</x:f>
        <x:v>0.27437500000000004</x:v>
      </x:c>
    </x:row>
    <x:row r="3423">
      <x:c r="A3423" s="7" t="n">
        <x:v>3419</x:v>
      </x:c>
      <x:c r="B3423" s="7" t="str">
        <x:v>Tata</x:v>
      </x:c>
      <x:c r="C3423" s="7" t="str">
        <x:v>Safari</x:v>
      </x:c>
      <x:c r="D3423" s="7" t="str">
        <x:v>Smart</x:v>
      </x:c>
      <x:c r="E3423" s="7" t="str">
        <x:v>Diesel</x:v>
      </x:c>
      <x:c r="F3423" s="7" t="str">
        <x:v>Manual</x:v>
      </x:c>
      <x:c r="G3423" s="7" t="str">
        <x:v>SUV</x:v>
      </x:c>
      <x:c r="H3423" s="7" t="n">
        <x:v>1956</x:v>
      </x:c>
      <x:c r="I3423" s="7" t="n">
        <x:v>168</x:v>
      </x:c>
      <x:c r="J3423" s="9" t="n">
        <x:v>16.3</x:v>
      </x:c>
      <x:c r="K3423" s="9" t="n">
        <x:v>16</x:v>
      </x:c>
      <x:c r="L3423" s="7" t="n">
        <x:v>2021</x:v>
      </x:c>
      <x:c r="M3423" s="11" t="n">
        <x:v>62364</x:v>
      </x:c>
      <x:c r="N3423" s="7" t="n">
        <x:v>2</x:v>
      </x:c>
      <x:c r="O3423" s="7" t="n">
        <x:v>0</x:v>
      </x:c>
      <x:c r="P3423" s="9" t="n">
        <x:v>7.99</x:v>
      </x:c>
      <x:c r="Q3423" s="7" t="n">
        <x:f>'Guide'!$B$5-L3423</x:f>
        <x:v>5</x:v>
      </x:c>
      <x:c r="R3423" s="9" t="n">
        <x:f>K3423-P3423</x:f>
        <x:v>8.01</x:v>
      </x:c>
      <x:c r="S3423" s="10" t="n">
        <x:f>IF(K3423&gt;0,R3423/K3423,"")</x:f>
        <x:v>0.500625</x:v>
      </x:c>
    </x:row>
    <x:row r="3424">
      <x:c r="A3424" s="7" t="n">
        <x:v>3420</x:v>
      </x:c>
      <x:c r="B3424" s="7" t="str">
        <x:v>Tata</x:v>
      </x:c>
      <x:c r="C3424" s="7" t="str">
        <x:v>Safari</x:v>
      </x:c>
      <x:c r="D3424" s="7" t="str">
        <x:v>Smart</x:v>
      </x:c>
      <x:c r="E3424" s="7" t="str">
        <x:v>Diesel</x:v>
      </x:c>
      <x:c r="F3424" s="7" t="str">
        <x:v>Manual</x:v>
      </x:c>
      <x:c r="G3424" s="7" t="str">
        <x:v>SUV</x:v>
      </x:c>
      <x:c r="H3424" s="7" t="n">
        <x:v>1956</x:v>
      </x:c>
      <x:c r="I3424" s="7" t="n">
        <x:v>168</x:v>
      </x:c>
      <x:c r="J3424" s="9" t="n">
        <x:v>16.3</x:v>
      </x:c>
      <x:c r="K3424" s="9" t="n">
        <x:v>16</x:v>
      </x:c>
      <x:c r="L3424" s="7" t="n">
        <x:v>2024</x:v>
      </x:c>
      <x:c r="M3424" s="11" t="n">
        <x:v>41327</x:v>
      </x:c>
      <x:c r="N3424" s="7" t="n">
        <x:v>1</x:v>
      </x:c>
      <x:c r="O3424" s="7" t="n">
        <x:v>0</x:v>
      </x:c>
      <x:c r="P3424" s="9" t="n">
        <x:v>12.28</x:v>
      </x:c>
      <x:c r="Q3424" s="7" t="n">
        <x:f>'Guide'!$B$5-L3424</x:f>
        <x:v>2</x:v>
      </x:c>
      <x:c r="R3424" s="9" t="n">
        <x:f>K3424-P3424</x:f>
        <x:v>3.7200000000000006</x:v>
      </x:c>
      <x:c r="S3424" s="10" t="n">
        <x:f>IF(K3424&gt;0,R3424/K3424,"")</x:f>
        <x:v>0.23250000000000004</x:v>
      </x:c>
    </x:row>
    <x:row r="3425">
      <x:c r="A3425" s="7" t="n">
        <x:v>3421</x:v>
      </x:c>
      <x:c r="B3425" s="7" t="str">
        <x:v>Tata</x:v>
      </x:c>
      <x:c r="C3425" s="7" t="str">
        <x:v>Safari</x:v>
      </x:c>
      <x:c r="D3425" s="7" t="str">
        <x:v>Smart</x:v>
      </x:c>
      <x:c r="E3425" s="7" t="str">
        <x:v>Diesel</x:v>
      </x:c>
      <x:c r="F3425" s="7" t="str">
        <x:v>Manual</x:v>
      </x:c>
      <x:c r="G3425" s="7" t="str">
        <x:v>SUV</x:v>
      </x:c>
      <x:c r="H3425" s="7" t="n">
        <x:v>1956</x:v>
      </x:c>
      <x:c r="I3425" s="7" t="n">
        <x:v>168</x:v>
      </x:c>
      <x:c r="J3425" s="9" t="n">
        <x:v>16.3</x:v>
      </x:c>
      <x:c r="K3425" s="9" t="n">
        <x:v>16</x:v>
      </x:c>
      <x:c r="L3425" s="7" t="n">
        <x:v>2025</x:v>
      </x:c>
      <x:c r="M3425" s="11" t="n">
        <x:v>17781</x:v>
      </x:c>
      <x:c r="N3425" s="7" t="n">
        <x:v>1</x:v>
      </x:c>
      <x:c r="O3425" s="7" t="n">
        <x:v>0</x:v>
      </x:c>
      <x:c r="P3425" s="9" t="n">
        <x:v>14.09</x:v>
      </x:c>
      <x:c r="Q3425" s="7" t="n">
        <x:f>'Guide'!$B$5-L3425</x:f>
        <x:v>1</x:v>
      </x:c>
      <x:c r="R3425" s="9" t="n">
        <x:f>K3425-P3425</x:f>
        <x:v>1.9100000000000001</x:v>
      </x:c>
      <x:c r="S3425" s="10" t="n">
        <x:f>IF(K3425&gt;0,R3425/K3425,"")</x:f>
        <x:v>0.11937500000000001</x:v>
      </x:c>
    </x:row>
    <x:row r="3426">
      <x:c r="A3426" s="7" t="n">
        <x:v>3422</x:v>
      </x:c>
      <x:c r="B3426" s="7" t="str">
        <x:v>Tata</x:v>
      </x:c>
      <x:c r="C3426" s="7" t="str">
        <x:v>Safari</x:v>
      </x:c>
      <x:c r="D3426" s="7" t="str">
        <x:v>Smart</x:v>
      </x:c>
      <x:c r="E3426" s="7" t="str">
        <x:v>Diesel</x:v>
      </x:c>
      <x:c r="F3426" s="7" t="str">
        <x:v>Manual</x:v>
      </x:c>
      <x:c r="G3426" s="7" t="str">
        <x:v>SUV</x:v>
      </x:c>
      <x:c r="H3426" s="7" t="n">
        <x:v>1956</x:v>
      </x:c>
      <x:c r="I3426" s="7" t="n">
        <x:v>168</x:v>
      </x:c>
      <x:c r="J3426" s="9" t="n">
        <x:v>16.3</x:v>
      </x:c>
      <x:c r="K3426" s="9" t="n">
        <x:v>16</x:v>
      </x:c>
      <x:c r="L3426" s="7" t="n">
        <x:v>2022</x:v>
      </x:c>
      <x:c r="M3426" s="11" t="n">
        <x:v>45384</x:v>
      </x:c>
      <x:c r="N3426" s="7" t="n">
        <x:v>1</x:v>
      </x:c>
      <x:c r="O3426" s="7" t="n">
        <x:v>0</x:v>
      </x:c>
      <x:c r="P3426" s="9" t="n">
        <x:v>10.01</x:v>
      </x:c>
      <x:c r="Q3426" s="7" t="n">
        <x:f>'Guide'!$B$5-L3426</x:f>
        <x:v>4</x:v>
      </x:c>
      <x:c r="R3426" s="9" t="n">
        <x:f>K3426-P3426</x:f>
        <x:v>5.99</x:v>
      </x:c>
      <x:c r="S3426" s="10" t="n">
        <x:f>IF(K3426&gt;0,R3426/K3426,"")</x:f>
        <x:v>0.374375</x:v>
      </x:c>
    </x:row>
    <x:row r="3427">
      <x:c r="A3427" s="7" t="n">
        <x:v>3423</x:v>
      </x:c>
      <x:c r="B3427" s="7" t="str">
        <x:v>Tata</x:v>
      </x:c>
      <x:c r="C3427" s="7" t="str">
        <x:v>Safari</x:v>
      </x:c>
      <x:c r="D3427" s="7" t="str">
        <x:v>Smart</x:v>
      </x:c>
      <x:c r="E3427" s="7" t="str">
        <x:v>Diesel</x:v>
      </x:c>
      <x:c r="F3427" s="7" t="str">
        <x:v>Manual</x:v>
      </x:c>
      <x:c r="G3427" s="7" t="str">
        <x:v>SUV</x:v>
      </x:c>
      <x:c r="H3427" s="7" t="n">
        <x:v>1956</x:v>
      </x:c>
      <x:c r="I3427" s="7" t="n">
        <x:v>168</x:v>
      </x:c>
      <x:c r="J3427" s="9" t="n">
        <x:v>16.3</x:v>
      </x:c>
      <x:c r="K3427" s="9" t="n">
        <x:v>16</x:v>
      </x:c>
      <x:c r="L3427" s="7" t="n">
        <x:v>2022</x:v>
      </x:c>
      <x:c r="M3427" s="11" t="n">
        <x:v>74249</x:v>
      </x:c>
      <x:c r="N3427" s="7" t="n">
        <x:v>2</x:v>
      </x:c>
      <x:c r="O3427" s="7" t="n">
        <x:v>0</x:v>
      </x:c>
      <x:c r="P3427" s="9" t="n">
        <x:v>9.3</x:v>
      </x:c>
      <x:c r="Q3427" s="7" t="n">
        <x:f>'Guide'!$B$5-L3427</x:f>
        <x:v>4</x:v>
      </x:c>
      <x:c r="R3427" s="9" t="n">
        <x:f>K3427-P3427</x:f>
        <x:v>6.699999999999999</x:v>
      </x:c>
      <x:c r="S3427" s="10" t="n">
        <x:f>IF(K3427&gt;0,R3427/K3427,"")</x:f>
        <x:v>0.41874999999999996</x:v>
      </x:c>
    </x:row>
    <x:row r="3428">
      <x:c r="A3428" s="7" t="n">
        <x:v>3424</x:v>
      </x:c>
      <x:c r="B3428" s="7" t="str">
        <x:v>Tata</x:v>
      </x:c>
      <x:c r="C3428" s="7" t="str">
        <x:v>Safari</x:v>
      </x:c>
      <x:c r="D3428" s="7" t="str">
        <x:v>Smart</x:v>
      </x:c>
      <x:c r="E3428" s="7" t="str">
        <x:v>Diesel</x:v>
      </x:c>
      <x:c r="F3428" s="7" t="str">
        <x:v>Manual</x:v>
      </x:c>
      <x:c r="G3428" s="7" t="str">
        <x:v>SUV</x:v>
      </x:c>
      <x:c r="H3428" s="7" t="n">
        <x:v>1956</x:v>
      </x:c>
      <x:c r="I3428" s="7" t="n">
        <x:v>168</x:v>
      </x:c>
      <x:c r="J3428" s="9" t="n">
        <x:v>16.3</x:v>
      </x:c>
      <x:c r="K3428" s="9" t="n">
        <x:v>16</x:v>
      </x:c>
      <x:c r="L3428" s="7" t="n">
        <x:v>2025</x:v>
      </x:c>
      <x:c r="M3428" s="11" t="n">
        <x:v>23905</x:v>
      </x:c>
      <x:c r="N3428" s="7" t="n">
        <x:v>1</x:v>
      </x:c>
      <x:c r="O3428" s="7" t="n">
        <x:v>0</x:v>
      </x:c>
      <x:c r="P3428" s="9" t="n">
        <x:v>14.23</x:v>
      </x:c>
      <x:c r="Q3428" s="7" t="n">
        <x:f>'Guide'!$B$5-L3428</x:f>
        <x:v>1</x:v>
      </x:c>
      <x:c r="R3428" s="9" t="n">
        <x:f>K3428-P3428</x:f>
        <x:v>1.7699999999999996</x:v>
      </x:c>
      <x:c r="S3428" s="10" t="n">
        <x:f>IF(K3428&gt;0,R3428/K3428,"")</x:f>
        <x:v>0.11062499999999997</x:v>
      </x:c>
    </x:row>
    <x:row r="3429">
      <x:c r="A3429" s="7" t="n">
        <x:v>3425</x:v>
      </x:c>
      <x:c r="B3429" s="7" t="str">
        <x:v>Tata</x:v>
      </x:c>
      <x:c r="C3429" s="7" t="str">
        <x:v>Safari</x:v>
      </x:c>
      <x:c r="D3429" s="7" t="str">
        <x:v>Smart</x:v>
      </x:c>
      <x:c r="E3429" s="7" t="str">
        <x:v>Diesel</x:v>
      </x:c>
      <x:c r="F3429" s="7" t="str">
        <x:v>Manual</x:v>
      </x:c>
      <x:c r="G3429" s="7" t="str">
        <x:v>SUV</x:v>
      </x:c>
      <x:c r="H3429" s="7" t="n">
        <x:v>1956</x:v>
      </x:c>
      <x:c r="I3429" s="7" t="n">
        <x:v>168</x:v>
      </x:c>
      <x:c r="J3429" s="9" t="n">
        <x:v>16.3</x:v>
      </x:c>
      <x:c r="K3429" s="9" t="n">
        <x:v>16</x:v>
      </x:c>
      <x:c r="L3429" s="7" t="n">
        <x:v>2026</x:v>
      </x:c>
      <x:c r="M3429" s="11" t="n">
        <x:v>5582</x:v>
      </x:c>
      <x:c r="N3429" s="7" t="n">
        <x:v>2</x:v>
      </x:c>
      <x:c r="O3429" s="7" t="n">
        <x:v>0</x:v>
      </x:c>
      <x:c r="P3429" s="9" t="n">
        <x:v>15.18</x:v>
      </x:c>
      <x:c r="Q3429" s="7" t="n">
        <x:f>'Guide'!$B$5-L3429</x:f>
        <x:v>0</x:v>
      </x:c>
      <x:c r="R3429" s="9" t="n">
        <x:f>K3429-P3429</x:f>
        <x:v>0.8200000000000003</x:v>
      </x:c>
      <x:c r="S3429" s="10" t="n">
        <x:f>IF(K3429&gt;0,R3429/K3429,"")</x:f>
        <x:v>0.05125000000000002</x:v>
      </x:c>
    </x:row>
    <x:row r="3430">
      <x:c r="A3430" s="7" t="n">
        <x:v>3426</x:v>
      </x:c>
      <x:c r="B3430" s="7" t="str">
        <x:v>Tata</x:v>
      </x:c>
      <x:c r="C3430" s="7" t="str">
        <x:v>Safari</x:v>
      </x:c>
      <x:c r="D3430" s="7" t="str">
        <x:v>Smart</x:v>
      </x:c>
      <x:c r="E3430" s="7" t="str">
        <x:v>Diesel</x:v>
      </x:c>
      <x:c r="F3430" s="7" t="str">
        <x:v>Manual</x:v>
      </x:c>
      <x:c r="G3430" s="7" t="str">
        <x:v>SUV</x:v>
      </x:c>
      <x:c r="H3430" s="7" t="n">
        <x:v>1956</x:v>
      </x:c>
      <x:c r="I3430" s="7" t="n">
        <x:v>168</x:v>
      </x:c>
      <x:c r="J3430" s="9" t="n">
        <x:v>16.3</x:v>
      </x:c>
      <x:c r="K3430" s="9" t="n">
        <x:v>16</x:v>
      </x:c>
      <x:c r="L3430" s="7" t="n">
        <x:v>2021</x:v>
      </x:c>
      <x:c r="M3430" s="11" t="n">
        <x:v>107790</x:v>
      </x:c>
      <x:c r="N3430" s="7" t="n">
        <x:v>3</x:v>
      </x:c>
      <x:c r="O3430" s="7" t="n">
        <x:v>0</x:v>
      </x:c>
      <x:c r="P3430" s="9" t="n">
        <x:v>6.81</x:v>
      </x:c>
      <x:c r="Q3430" s="7" t="n">
        <x:f>'Guide'!$B$5-L3430</x:f>
        <x:v>5</x:v>
      </x:c>
      <x:c r="R3430" s="9" t="n">
        <x:f>K3430-P3430</x:f>
        <x:v>9.190000000000001</x:v>
      </x:c>
      <x:c r="S3430" s="10" t="n">
        <x:f>IF(K3430&gt;0,R3430/K3430,"")</x:f>
        <x:v>0.5743750000000001</x:v>
      </x:c>
    </x:row>
    <x:row r="3431">
      <x:c r="A3431" s="7" t="n">
        <x:v>3427</x:v>
      </x:c>
      <x:c r="B3431" s="7" t="str">
        <x:v>Tata</x:v>
      </x:c>
      <x:c r="C3431" s="7" t="str">
        <x:v>Safari</x:v>
      </x:c>
      <x:c r="D3431" s="7" t="str">
        <x:v>Smart</x:v>
      </x:c>
      <x:c r="E3431" s="7" t="str">
        <x:v>Diesel</x:v>
      </x:c>
      <x:c r="F3431" s="7" t="str">
        <x:v>Manual</x:v>
      </x:c>
      <x:c r="G3431" s="7" t="str">
        <x:v>SUV</x:v>
      </x:c>
      <x:c r="H3431" s="7" t="n">
        <x:v>1956</x:v>
      </x:c>
      <x:c r="I3431" s="7" t="n">
        <x:v>168</x:v>
      </x:c>
      <x:c r="J3431" s="9" t="n">
        <x:v>16.3</x:v>
      </x:c>
      <x:c r="K3431" s="9" t="n">
        <x:v>16</x:v>
      </x:c>
      <x:c r="L3431" s="7" t="n">
        <x:v>2022</x:v>
      </x:c>
      <x:c r="M3431" s="11" t="n">
        <x:v>38942</x:v>
      </x:c>
      <x:c r="N3431" s="7" t="n">
        <x:v>1</x:v>
      </x:c>
      <x:c r="O3431" s="7" t="n">
        <x:v>0</x:v>
      </x:c>
      <x:c r="P3431" s="9" t="n">
        <x:v>10.4</x:v>
      </x:c>
      <x:c r="Q3431" s="7" t="n">
        <x:f>'Guide'!$B$5-L3431</x:f>
        <x:v>4</x:v>
      </x:c>
      <x:c r="R3431" s="9" t="n">
        <x:f>K3431-P3431</x:f>
        <x:v>5.6</x:v>
      </x:c>
      <x:c r="S3431" s="10" t="n">
        <x:f>IF(K3431&gt;0,R3431/K3431,"")</x:f>
        <x:v>0.35</x:v>
      </x:c>
    </x:row>
    <x:row r="3432">
      <x:c r="A3432" s="7" t="n">
        <x:v>3428</x:v>
      </x:c>
      <x:c r="B3432" s="7" t="str">
        <x:v>Tata</x:v>
      </x:c>
      <x:c r="C3432" s="7" t="str">
        <x:v>Safari</x:v>
      </x:c>
      <x:c r="D3432" s="7" t="str">
        <x:v>Smart</x:v>
      </x:c>
      <x:c r="E3432" s="7" t="str">
        <x:v>Diesel</x:v>
      </x:c>
      <x:c r="F3432" s="7" t="str">
        <x:v>Manual</x:v>
      </x:c>
      <x:c r="G3432" s="7" t="str">
        <x:v>SUV</x:v>
      </x:c>
      <x:c r="H3432" s="7" t="n">
        <x:v>1956</x:v>
      </x:c>
      <x:c r="I3432" s="7" t="n">
        <x:v>168</x:v>
      </x:c>
      <x:c r="J3432" s="9" t="n">
        <x:v>16.3</x:v>
      </x:c>
      <x:c r="K3432" s="9" t="n">
        <x:v>16</x:v>
      </x:c>
      <x:c r="L3432" s="7" t="n">
        <x:v>2024</x:v>
      </x:c>
      <x:c r="M3432" s="11" t="n">
        <x:v>30944</x:v>
      </x:c>
      <x:c r="N3432" s="7" t="n">
        <x:v>1</x:v>
      </x:c>
      <x:c r="O3432" s="7" t="n">
        <x:v>0</x:v>
      </x:c>
      <x:c r="P3432" s="9" t="n">
        <x:v>12.83</x:v>
      </x:c>
      <x:c r="Q3432" s="7" t="n">
        <x:f>'Guide'!$B$5-L3432</x:f>
        <x:v>2</x:v>
      </x:c>
      <x:c r="R3432" s="9" t="n">
        <x:f>K3432-P3432</x:f>
        <x:v>3.17</x:v>
      </x:c>
      <x:c r="S3432" s="10" t="n">
        <x:f>IF(K3432&gt;0,R3432/K3432,"")</x:f>
        <x:v>0.198125</x:v>
      </x:c>
    </x:row>
    <x:row r="3433">
      <x:c r="A3433" s="7" t="n">
        <x:v>3429</x:v>
      </x:c>
      <x:c r="B3433" s="7" t="str">
        <x:v>Tata</x:v>
      </x:c>
      <x:c r="C3433" s="7" t="str">
        <x:v>Safari</x:v>
      </x:c>
      <x:c r="D3433" s="7" t="str">
        <x:v>Smart</x:v>
      </x:c>
      <x:c r="E3433" s="7" t="str">
        <x:v>Diesel</x:v>
      </x:c>
      <x:c r="F3433" s="7" t="str">
        <x:v>Manual</x:v>
      </x:c>
      <x:c r="G3433" s="7" t="str">
        <x:v>SUV</x:v>
      </x:c>
      <x:c r="H3433" s="7" t="n">
        <x:v>1956</x:v>
      </x:c>
      <x:c r="I3433" s="7" t="n">
        <x:v>168</x:v>
      </x:c>
      <x:c r="J3433" s="9" t="n">
        <x:v>16.3</x:v>
      </x:c>
      <x:c r="K3433" s="9" t="n">
        <x:v>16</x:v>
      </x:c>
      <x:c r="L3433" s="7" t="n">
        <x:v>2023</x:v>
      </x:c>
      <x:c r="M3433" s="11" t="n">
        <x:v>46066</x:v>
      </x:c>
      <x:c r="N3433" s="7" t="n">
        <x:v>1</x:v>
      </x:c>
      <x:c r="O3433" s="7" t="n">
        <x:v>0</x:v>
      </x:c>
      <x:c r="P3433" s="9" t="n">
        <x:v>11.34</x:v>
      </x:c>
      <x:c r="Q3433" s="7" t="n">
        <x:f>'Guide'!$B$5-L3433</x:f>
        <x:v>3</x:v>
      </x:c>
      <x:c r="R3433" s="9" t="n">
        <x:f>K3433-P3433</x:f>
        <x:v>4.66</x:v>
      </x:c>
      <x:c r="S3433" s="10" t="n">
        <x:f>IF(K3433&gt;0,R3433/K3433,"")</x:f>
        <x:v>0.29125</x:v>
      </x:c>
    </x:row>
    <x:row r="3434">
      <x:c r="A3434" s="7" t="n">
        <x:v>3430</x:v>
      </x:c>
      <x:c r="B3434" s="7" t="str">
        <x:v>Tata</x:v>
      </x:c>
      <x:c r="C3434" s="7" t="str">
        <x:v>Safari</x:v>
      </x:c>
      <x:c r="D3434" s="7" t="str">
        <x:v>Smart</x:v>
      </x:c>
      <x:c r="E3434" s="7" t="str">
        <x:v>Diesel</x:v>
      </x:c>
      <x:c r="F3434" s="7" t="str">
        <x:v>Manual</x:v>
      </x:c>
      <x:c r="G3434" s="7" t="str">
        <x:v>SUV</x:v>
      </x:c>
      <x:c r="H3434" s="7" t="n">
        <x:v>1956</x:v>
      </x:c>
      <x:c r="I3434" s="7" t="n">
        <x:v>168</x:v>
      </x:c>
      <x:c r="J3434" s="9" t="n">
        <x:v>16.3</x:v>
      </x:c>
      <x:c r="K3434" s="9" t="n">
        <x:v>16</x:v>
      </x:c>
      <x:c r="L3434" s="7" t="n">
        <x:v>2020</x:v>
      </x:c>
      <x:c r="M3434" s="11" t="n">
        <x:v>71929</x:v>
      </x:c>
      <x:c r="N3434" s="7" t="n">
        <x:v>1</x:v>
      </x:c>
      <x:c r="O3434" s="7" t="n">
        <x:v>0</x:v>
      </x:c>
      <x:c r="P3434" s="9" t="n">
        <x:v>6.97</x:v>
      </x:c>
      <x:c r="Q3434" s="7" t="n">
        <x:f>'Guide'!$B$5-L3434</x:f>
        <x:v>6</x:v>
      </x:c>
      <x:c r="R3434" s="9" t="n">
        <x:f>K3434-P3434</x:f>
        <x:v>9.030000000000001</x:v>
      </x:c>
      <x:c r="S3434" s="10" t="n">
        <x:f>IF(K3434&gt;0,R3434/K3434,"")</x:f>
        <x:v>0.5643750000000001</x:v>
      </x:c>
    </x:row>
    <x:row r="3435">
      <x:c r="A3435" s="7" t="n">
        <x:v>3431</x:v>
      </x:c>
      <x:c r="B3435" s="7" t="str">
        <x:v>Tata</x:v>
      </x:c>
      <x:c r="C3435" s="7" t="str">
        <x:v>Safari</x:v>
      </x:c>
      <x:c r="D3435" s="7" t="str">
        <x:v>Smart</x:v>
      </x:c>
      <x:c r="E3435" s="7" t="str">
        <x:v>Diesel</x:v>
      </x:c>
      <x:c r="F3435" s="7" t="str">
        <x:v>Manual</x:v>
      </x:c>
      <x:c r="G3435" s="7" t="str">
        <x:v>SUV</x:v>
      </x:c>
      <x:c r="H3435" s="7" t="n">
        <x:v>1956</x:v>
      </x:c>
      <x:c r="I3435" s="7" t="n">
        <x:v>168</x:v>
      </x:c>
      <x:c r="J3435" s="9" t="n">
        <x:v>16.3</x:v>
      </x:c>
      <x:c r="K3435" s="9" t="n">
        <x:v>16</x:v>
      </x:c>
      <x:c r="L3435" s="7" t="n">
        <x:v>2025</x:v>
      </x:c>
      <x:c r="M3435" s="11" t="n">
        <x:v>26396</x:v>
      </x:c>
      <x:c r="N3435" s="7" t="n">
        <x:v>2</x:v>
      </x:c>
      <x:c r="O3435" s="7" t="n">
        <x:v>0</x:v>
      </x:c>
      <x:c r="P3435" s="9" t="n">
        <x:v>14.01</x:v>
      </x:c>
      <x:c r="Q3435" s="7" t="n">
        <x:f>'Guide'!$B$5-L3435</x:f>
        <x:v>1</x:v>
      </x:c>
      <x:c r="R3435" s="9" t="n">
        <x:f>K3435-P3435</x:f>
        <x:v>1.9900000000000002</x:v>
      </x:c>
      <x:c r="S3435" s="10" t="n">
        <x:f>IF(K3435&gt;0,R3435/K3435,"")</x:f>
        <x:v>0.12437500000000001</x:v>
      </x:c>
    </x:row>
    <x:row r="3436">
      <x:c r="A3436" s="7" t="n">
        <x:v>3432</x:v>
      </x:c>
      <x:c r="B3436" s="7" t="str">
        <x:v>Tata</x:v>
      </x:c>
      <x:c r="C3436" s="7" t="str">
        <x:v>Safari</x:v>
      </x:c>
      <x:c r="D3436" s="7" t="str">
        <x:v>Smart</x:v>
      </x:c>
      <x:c r="E3436" s="7" t="str">
        <x:v>Diesel</x:v>
      </x:c>
      <x:c r="F3436" s="7" t="str">
        <x:v>Manual</x:v>
      </x:c>
      <x:c r="G3436" s="7" t="str">
        <x:v>SUV</x:v>
      </x:c>
      <x:c r="H3436" s="7" t="n">
        <x:v>1956</x:v>
      </x:c>
      <x:c r="I3436" s="7" t="n">
        <x:v>168</x:v>
      </x:c>
      <x:c r="J3436" s="9" t="n">
        <x:v>16.3</x:v>
      </x:c>
      <x:c r="K3436" s="9" t="n">
        <x:v>16</x:v>
      </x:c>
      <x:c r="L3436" s="7" t="n">
        <x:v>2024</x:v>
      </x:c>
      <x:c r="M3436" s="11" t="n">
        <x:v>33678</x:v>
      </x:c>
      <x:c r="N3436" s="7" t="n">
        <x:v>1</x:v>
      </x:c>
      <x:c r="O3436" s="7" t="n">
        <x:v>1</x:v>
      </x:c>
      <x:c r="P3436" s="9" t="n">
        <x:v>11.97</x:v>
      </x:c>
      <x:c r="Q3436" s="7" t="n">
        <x:f>'Guide'!$B$5-L3436</x:f>
        <x:v>2</x:v>
      </x:c>
      <x:c r="R3436" s="9" t="n">
        <x:f>K3436-P3436</x:f>
        <x:v>4.029999999999999</x:v>
      </x:c>
      <x:c r="S3436" s="10" t="n">
        <x:f>IF(K3436&gt;0,R3436/K3436,"")</x:f>
        <x:v>0.25187499999999996</x:v>
      </x:c>
    </x:row>
    <x:row r="3437">
      <x:c r="A3437" s="7" t="n">
        <x:v>3433</x:v>
      </x:c>
      <x:c r="B3437" s="7" t="str">
        <x:v>Tata</x:v>
      </x:c>
      <x:c r="C3437" s="7" t="str">
        <x:v>Safari</x:v>
      </x:c>
      <x:c r="D3437" s="7" t="str">
        <x:v>Smart</x:v>
      </x:c>
      <x:c r="E3437" s="7" t="str">
        <x:v>Diesel</x:v>
      </x:c>
      <x:c r="F3437" s="7" t="str">
        <x:v>Manual</x:v>
      </x:c>
      <x:c r="G3437" s="7" t="str">
        <x:v>SUV</x:v>
      </x:c>
      <x:c r="H3437" s="7" t="n">
        <x:v>1956</x:v>
      </x:c>
      <x:c r="I3437" s="7" t="n">
        <x:v>168</x:v>
      </x:c>
      <x:c r="J3437" s="9" t="n">
        <x:v>16.3</x:v>
      </x:c>
      <x:c r="K3437" s="9" t="n">
        <x:v>16</x:v>
      </x:c>
      <x:c r="L3437" s="7" t="n">
        <x:v>2024</x:v>
      </x:c>
      <x:c r="M3437" s="11" t="n">
        <x:v>25125</x:v>
      </x:c>
      <x:c r="N3437" s="7" t="n">
        <x:v>1</x:v>
      </x:c>
      <x:c r="O3437" s="7" t="n">
        <x:v>0</x:v>
      </x:c>
      <x:c r="P3437" s="9" t="n">
        <x:v>12.63</x:v>
      </x:c>
      <x:c r="Q3437" s="7" t="n">
        <x:f>'Guide'!$B$5-L3437</x:f>
        <x:v>2</x:v>
      </x:c>
      <x:c r="R3437" s="9" t="n">
        <x:f>K3437-P3437</x:f>
        <x:v>3.369999999999999</x:v>
      </x:c>
      <x:c r="S3437" s="10" t="n">
        <x:f>IF(K3437&gt;0,R3437/K3437,"")</x:f>
        <x:v>0.21062499999999995</x:v>
      </x:c>
    </x:row>
    <x:row r="3438">
      <x:c r="A3438" s="7" t="n">
        <x:v>3434</x:v>
      </x:c>
      <x:c r="B3438" s="7" t="str">
        <x:v>Tata</x:v>
      </x:c>
      <x:c r="C3438" s="7" t="str">
        <x:v>Safari</x:v>
      </x:c>
      <x:c r="D3438" s="7" t="str">
        <x:v>Smart</x:v>
      </x:c>
      <x:c r="E3438" s="7" t="str">
        <x:v>Diesel</x:v>
      </x:c>
      <x:c r="F3438" s="7" t="str">
        <x:v>Manual</x:v>
      </x:c>
      <x:c r="G3438" s="7" t="str">
        <x:v>SUV</x:v>
      </x:c>
      <x:c r="H3438" s="7" t="n">
        <x:v>1956</x:v>
      </x:c>
      <x:c r="I3438" s="7" t="n">
        <x:v>168</x:v>
      </x:c>
      <x:c r="J3438" s="9" t="n">
        <x:v>16.3</x:v>
      </x:c>
      <x:c r="K3438" s="9" t="n">
        <x:v>16</x:v>
      </x:c>
      <x:c r="L3438" s="7" t="n">
        <x:v>2025</x:v>
      </x:c>
      <x:c r="M3438" s="11" t="n">
        <x:v>15951</x:v>
      </x:c>
      <x:c r="N3438" s="7" t="n">
        <x:v>1</x:v>
      </x:c>
      <x:c r="O3438" s="7" t="n">
        <x:v>0</x:v>
      </x:c>
      <x:c r="P3438" s="9" t="n">
        <x:v>14.73</x:v>
      </x:c>
      <x:c r="Q3438" s="7" t="n">
        <x:f>'Guide'!$B$5-L3438</x:f>
        <x:v>1</x:v>
      </x:c>
      <x:c r="R3438" s="9" t="n">
        <x:f>K3438-P3438</x:f>
        <x:v>1.2699999999999996</x:v>
      </x:c>
      <x:c r="S3438" s="10" t="n">
        <x:f>IF(K3438&gt;0,R3438/K3438,"")</x:f>
        <x:v>0.07937499999999997</x:v>
      </x:c>
    </x:row>
    <x:row r="3439">
      <x:c r="A3439" s="7" t="n">
        <x:v>3435</x:v>
      </x:c>
      <x:c r="B3439" s="7" t="str">
        <x:v>Tata</x:v>
      </x:c>
      <x:c r="C3439" s="7" t="str">
        <x:v>Safari</x:v>
      </x:c>
      <x:c r="D3439" s="7" t="str">
        <x:v>Smart</x:v>
      </x:c>
      <x:c r="E3439" s="7" t="str">
        <x:v>Diesel</x:v>
      </x:c>
      <x:c r="F3439" s="7" t="str">
        <x:v>Manual</x:v>
      </x:c>
      <x:c r="G3439" s="7" t="str">
        <x:v>SUV</x:v>
      </x:c>
      <x:c r="H3439" s="7" t="n">
        <x:v>1956</x:v>
      </x:c>
      <x:c r="I3439" s="7" t="n">
        <x:v>168</x:v>
      </x:c>
      <x:c r="J3439" s="9" t="n">
        <x:v>16.3</x:v>
      </x:c>
      <x:c r="K3439" s="9" t="n">
        <x:v>16</x:v>
      </x:c>
      <x:c r="L3439" s="7" t="n">
        <x:v>2025</x:v>
      </x:c>
      <x:c r="M3439" s="11" t="n">
        <x:v>21192</x:v>
      </x:c>
      <x:c r="N3439" s="7" t="n">
        <x:v>1</x:v>
      </x:c>
      <x:c r="O3439" s="7" t="n">
        <x:v>0</x:v>
      </x:c>
      <x:c r="P3439" s="9" t="n">
        <x:v>14.38</x:v>
      </x:c>
      <x:c r="Q3439" s="7" t="n">
        <x:f>'Guide'!$B$5-L3439</x:f>
        <x:v>1</x:v>
      </x:c>
      <x:c r="R3439" s="9" t="n">
        <x:f>K3439-P3439</x:f>
        <x:v>1.6199999999999992</x:v>
      </x:c>
      <x:c r="S3439" s="10" t="n">
        <x:f>IF(K3439&gt;0,R3439/K3439,"")</x:f>
        <x:v>0.10124999999999995</x:v>
      </x:c>
    </x:row>
    <x:row r="3440">
      <x:c r="A3440" s="7" t="n">
        <x:v>3436</x:v>
      </x:c>
      <x:c r="B3440" s="7" t="str">
        <x:v>Tata</x:v>
      </x:c>
      <x:c r="C3440" s="7" t="str">
        <x:v>Safari</x:v>
      </x:c>
      <x:c r="D3440" s="7" t="str">
        <x:v>Smart</x:v>
      </x:c>
      <x:c r="E3440" s="7" t="str">
        <x:v>Diesel</x:v>
      </x:c>
      <x:c r="F3440" s="7" t="str">
        <x:v>Manual</x:v>
      </x:c>
      <x:c r="G3440" s="7" t="str">
        <x:v>SUV</x:v>
      </x:c>
      <x:c r="H3440" s="7" t="n">
        <x:v>1956</x:v>
      </x:c>
      <x:c r="I3440" s="7" t="n">
        <x:v>168</x:v>
      </x:c>
      <x:c r="J3440" s="9" t="n">
        <x:v>16.3</x:v>
      </x:c>
      <x:c r="K3440" s="9" t="n">
        <x:v>16</x:v>
      </x:c>
      <x:c r="L3440" s="7" t="n">
        <x:v>2020</x:v>
      </x:c>
      <x:c r="M3440" s="11" t="n">
        <x:v>86749</x:v>
      </x:c>
      <x:c r="N3440" s="7" t="n">
        <x:v>1</x:v>
      </x:c>
      <x:c r="O3440" s="7" t="n">
        <x:v>1</x:v>
      </x:c>
      <x:c r="P3440" s="9" t="n">
        <x:v>6.19</x:v>
      </x:c>
      <x:c r="Q3440" s="7" t="n">
        <x:f>'Guide'!$B$5-L3440</x:f>
        <x:v>6</x:v>
      </x:c>
      <x:c r="R3440" s="9" t="n">
        <x:f>K3440-P3440</x:f>
        <x:v>9.809999999999999</x:v>
      </x:c>
      <x:c r="S3440" s="10" t="n">
        <x:f>IF(K3440&gt;0,R3440/K3440,"")</x:f>
        <x:v>0.6131249999999999</x:v>
      </x:c>
    </x:row>
    <x:row r="3441">
      <x:c r="A3441" s="7" t="n">
        <x:v>3437</x:v>
      </x:c>
      <x:c r="B3441" s="7" t="str">
        <x:v>Tata</x:v>
      </x:c>
      <x:c r="C3441" s="7" t="str">
        <x:v>Safari</x:v>
      </x:c>
      <x:c r="D3441" s="7" t="str">
        <x:v>Smart</x:v>
      </x:c>
      <x:c r="E3441" s="7" t="str">
        <x:v>Diesel</x:v>
      </x:c>
      <x:c r="F3441" s="7" t="str">
        <x:v>Manual</x:v>
      </x:c>
      <x:c r="G3441" s="7" t="str">
        <x:v>SUV</x:v>
      </x:c>
      <x:c r="H3441" s="7" t="n">
        <x:v>1956</x:v>
      </x:c>
      <x:c r="I3441" s="7" t="n">
        <x:v>168</x:v>
      </x:c>
      <x:c r="J3441" s="9" t="n">
        <x:v>16.3</x:v>
      </x:c>
      <x:c r="K3441" s="9" t="n">
        <x:v>16</x:v>
      </x:c>
      <x:c r="L3441" s="7" t="n">
        <x:v>2022</x:v>
      </x:c>
      <x:c r="M3441" s="11" t="n">
        <x:v>89766</x:v>
      </x:c>
      <x:c r="N3441" s="7" t="n">
        <x:v>2</x:v>
      </x:c>
      <x:c r="O3441" s="7" t="n">
        <x:v>0</x:v>
      </x:c>
      <x:c r="P3441" s="9" t="n">
        <x:v>8.91</x:v>
      </x:c>
      <x:c r="Q3441" s="7" t="n">
        <x:f>'Guide'!$B$5-L3441</x:f>
        <x:v>4</x:v>
      </x:c>
      <x:c r="R3441" s="9" t="n">
        <x:f>K3441-P3441</x:f>
        <x:v>7.09</x:v>
      </x:c>
      <x:c r="S3441" s="10" t="n">
        <x:f>IF(K3441&gt;0,R3441/K3441,"")</x:f>
        <x:v>0.443125</x:v>
      </x:c>
    </x:row>
    <x:row r="3442">
      <x:c r="A3442" s="7" t="n">
        <x:v>3438</x:v>
      </x:c>
      <x:c r="B3442" s="7" t="str">
        <x:v>Tata</x:v>
      </x:c>
      <x:c r="C3442" s="7" t="str">
        <x:v>Safari</x:v>
      </x:c>
      <x:c r="D3442" s="7" t="str">
        <x:v>Smart</x:v>
      </x:c>
      <x:c r="E3442" s="7" t="str">
        <x:v>Diesel</x:v>
      </x:c>
      <x:c r="F3442" s="7" t="str">
        <x:v>Manual</x:v>
      </x:c>
      <x:c r="G3442" s="7" t="str">
        <x:v>SUV</x:v>
      </x:c>
      <x:c r="H3442" s="7" t="n">
        <x:v>1956</x:v>
      </x:c>
      <x:c r="I3442" s="7" t="n">
        <x:v>168</x:v>
      </x:c>
      <x:c r="J3442" s="9" t="n">
        <x:v>16.3</x:v>
      </x:c>
      <x:c r="K3442" s="9" t="n">
        <x:v>16</x:v>
      </x:c>
      <x:c r="L3442" s="7" t="n">
        <x:v>2024</x:v>
      </x:c>
      <x:c r="M3442" s="11" t="n">
        <x:v>32542</x:v>
      </x:c>
      <x:c r="N3442" s="7" t="n">
        <x:v>2</x:v>
      </x:c>
      <x:c r="O3442" s="7" t="n">
        <x:v>1</x:v>
      </x:c>
      <x:c r="P3442" s="9" t="n">
        <x:v>11.26</x:v>
      </x:c>
      <x:c r="Q3442" s="7" t="n">
        <x:f>'Guide'!$B$5-L3442</x:f>
        <x:v>2</x:v>
      </x:c>
      <x:c r="R3442" s="9" t="n">
        <x:f>K3442-P3442</x:f>
        <x:v>4.74</x:v>
      </x:c>
      <x:c r="S3442" s="10" t="n">
        <x:f>IF(K3442&gt;0,R3442/K3442,"")</x:f>
        <x:v>0.29625</x:v>
      </x:c>
    </x:row>
    <x:row r="3443">
      <x:c r="A3443" s="7" t="n">
        <x:v>3439</x:v>
      </x:c>
      <x:c r="B3443" s="7" t="str">
        <x:v>Tata</x:v>
      </x:c>
      <x:c r="C3443" s="7" t="str">
        <x:v>Safari</x:v>
      </x:c>
      <x:c r="D3443" s="7" t="str">
        <x:v>Smart</x:v>
      </x:c>
      <x:c r="E3443" s="7" t="str">
        <x:v>Diesel</x:v>
      </x:c>
      <x:c r="F3443" s="7" t="str">
        <x:v>Manual</x:v>
      </x:c>
      <x:c r="G3443" s="7" t="str">
        <x:v>SUV</x:v>
      </x:c>
      <x:c r="H3443" s="7" t="n">
        <x:v>1956</x:v>
      </x:c>
      <x:c r="I3443" s="7" t="n">
        <x:v>168</x:v>
      </x:c>
      <x:c r="J3443" s="9" t="n">
        <x:v>16.3</x:v>
      </x:c>
      <x:c r="K3443" s="9" t="n">
        <x:v>16</x:v>
      </x:c>
      <x:c r="L3443" s="7" t="n">
        <x:v>2026</x:v>
      </x:c>
      <x:c r="M3443" s="11" t="n">
        <x:v>8551</x:v>
      </x:c>
      <x:c r="N3443" s="7" t="n">
        <x:v>2</x:v>
      </x:c>
      <x:c r="O3443" s="7" t="n">
        <x:v>0</x:v>
      </x:c>
      <x:c r="P3443" s="9" t="n">
        <x:v>15.27</x:v>
      </x:c>
      <x:c r="Q3443" s="7" t="n">
        <x:f>'Guide'!$B$5-L3443</x:f>
        <x:v>0</x:v>
      </x:c>
      <x:c r="R3443" s="9" t="n">
        <x:f>K3443-P3443</x:f>
        <x:v>0.7300000000000004</x:v>
      </x:c>
      <x:c r="S3443" s="10" t="n">
        <x:f>IF(K3443&gt;0,R3443/K3443,"")</x:f>
        <x:v>0.04562500000000003</x:v>
      </x:c>
    </x:row>
    <x:row r="3444">
      <x:c r="A3444" s="7" t="n">
        <x:v>3440</x:v>
      </x:c>
      <x:c r="B3444" s="7" t="str">
        <x:v>Tata</x:v>
      </x:c>
      <x:c r="C3444" s="7" t="str">
        <x:v>Safari</x:v>
      </x:c>
      <x:c r="D3444" s="7" t="str">
        <x:v>Smart</x:v>
      </x:c>
      <x:c r="E3444" s="7" t="str">
        <x:v>Diesel</x:v>
      </x:c>
      <x:c r="F3444" s="7" t="str">
        <x:v>Manual</x:v>
      </x:c>
      <x:c r="G3444" s="7" t="str">
        <x:v>SUV</x:v>
      </x:c>
      <x:c r="H3444" s="7" t="n">
        <x:v>1956</x:v>
      </x:c>
      <x:c r="I3444" s="7" t="n">
        <x:v>168</x:v>
      </x:c>
      <x:c r="J3444" s="9" t="n">
        <x:v>16.3</x:v>
      </x:c>
      <x:c r="K3444" s="9" t="n">
        <x:v>16</x:v>
      </x:c>
      <x:c r="L3444" s="7" t="n">
        <x:v>2021</x:v>
      </x:c>
      <x:c r="M3444" s="11" t="n">
        <x:v>68836</x:v>
      </x:c>
      <x:c r="N3444" s="7" t="n">
        <x:v>1</x:v>
      </x:c>
      <x:c r="O3444" s="7" t="n">
        <x:v>0</x:v>
      </x:c>
      <x:c r="P3444" s="9" t="n">
        <x:v>7.88</x:v>
      </x:c>
      <x:c r="Q3444" s="7" t="n">
        <x:f>'Guide'!$B$5-L3444</x:f>
        <x:v>5</x:v>
      </x:c>
      <x:c r="R3444" s="9" t="n">
        <x:f>K3444-P3444</x:f>
        <x:v>8.120000000000001</x:v>
      </x:c>
      <x:c r="S3444" s="10" t="n">
        <x:f>IF(K3444&gt;0,R3444/K3444,"")</x:f>
        <x:v>0.5075000000000001</x:v>
      </x:c>
    </x:row>
    <x:row r="3445">
      <x:c r="A3445" s="7" t="n">
        <x:v>3441</x:v>
      </x:c>
      <x:c r="B3445" s="7" t="str">
        <x:v>Tata</x:v>
      </x:c>
      <x:c r="C3445" s="7" t="str">
        <x:v>Safari</x:v>
      </x:c>
      <x:c r="D3445" s="7" t="str">
        <x:v>Smart</x:v>
      </x:c>
      <x:c r="E3445" s="7" t="str">
        <x:v>Diesel</x:v>
      </x:c>
      <x:c r="F3445" s="7" t="str">
        <x:v>Manual</x:v>
      </x:c>
      <x:c r="G3445" s="7" t="str">
        <x:v>SUV</x:v>
      </x:c>
      <x:c r="H3445" s="7" t="n">
        <x:v>1956</x:v>
      </x:c>
      <x:c r="I3445" s="7" t="n">
        <x:v>168</x:v>
      </x:c>
      <x:c r="J3445" s="9" t="n">
        <x:v>16.3</x:v>
      </x:c>
      <x:c r="K3445" s="9" t="n">
        <x:v>16</x:v>
      </x:c>
      <x:c r="L3445" s="7" t="n">
        <x:v>2023</x:v>
      </x:c>
      <x:c r="M3445" s="11" t="n">
        <x:v>36081</x:v>
      </x:c>
      <x:c r="N3445" s="7" t="n">
        <x:v>1</x:v>
      </x:c>
      <x:c r="O3445" s="7" t="n">
        <x:v>0</x:v>
      </x:c>
      <x:c r="P3445" s="9" t="n">
        <x:v>11.33</x:v>
      </x:c>
      <x:c r="Q3445" s="7" t="n">
        <x:f>'Guide'!$B$5-L3445</x:f>
        <x:v>3</x:v>
      </x:c>
      <x:c r="R3445" s="9" t="n">
        <x:f>K3445-P3445</x:f>
        <x:v>4.67</x:v>
      </x:c>
      <x:c r="S3445" s="10" t="n">
        <x:f>IF(K3445&gt;0,R3445/K3445,"")</x:f>
        <x:v>0.291875</x:v>
      </x:c>
    </x:row>
    <x:row r="3446">
      <x:c r="A3446" s="7" t="n">
        <x:v>3442</x:v>
      </x:c>
      <x:c r="B3446" s="7" t="str">
        <x:v>Tata</x:v>
      </x:c>
      <x:c r="C3446" s="7" t="str">
        <x:v>Safari</x:v>
      </x:c>
      <x:c r="D3446" s="7" t="str">
        <x:v>Smart</x:v>
      </x:c>
      <x:c r="E3446" s="7" t="str">
        <x:v>Diesel</x:v>
      </x:c>
      <x:c r="F3446" s="7" t="str">
        <x:v>Manual</x:v>
      </x:c>
      <x:c r="G3446" s="7" t="str">
        <x:v>SUV</x:v>
      </x:c>
      <x:c r="H3446" s="7" t="n">
        <x:v>1956</x:v>
      </x:c>
      <x:c r="I3446" s="7" t="n">
        <x:v>168</x:v>
      </x:c>
      <x:c r="J3446" s="9" t="n">
        <x:v>16.3</x:v>
      </x:c>
      <x:c r="K3446" s="9" t="n">
        <x:v>16</x:v>
      </x:c>
      <x:c r="L3446" s="7" t="n">
        <x:v>2023</x:v>
      </x:c>
      <x:c r="M3446" s="11" t="n">
        <x:v>36865</x:v>
      </x:c>
      <x:c r="N3446" s="7" t="n">
        <x:v>1</x:v>
      </x:c>
      <x:c r="O3446" s="7" t="n">
        <x:v>0</x:v>
      </x:c>
      <x:c r="P3446" s="9" t="n">
        <x:v>11.26</x:v>
      </x:c>
      <x:c r="Q3446" s="7" t="n">
        <x:f>'Guide'!$B$5-L3446</x:f>
        <x:v>3</x:v>
      </x:c>
      <x:c r="R3446" s="9" t="n">
        <x:f>K3446-P3446</x:f>
        <x:v>4.74</x:v>
      </x:c>
      <x:c r="S3446" s="10" t="n">
        <x:f>IF(K3446&gt;0,R3446/K3446,"")</x:f>
        <x:v>0.29625</x:v>
      </x:c>
    </x:row>
    <x:row r="3447">
      <x:c r="A3447" s="7" t="n">
        <x:v>3443</x:v>
      </x:c>
      <x:c r="B3447" s="7" t="str">
        <x:v>Tata</x:v>
      </x:c>
      <x:c r="C3447" s="7" t="str">
        <x:v>Safari</x:v>
      </x:c>
      <x:c r="D3447" s="7" t="str">
        <x:v>Smart</x:v>
      </x:c>
      <x:c r="E3447" s="7" t="str">
        <x:v>Diesel</x:v>
      </x:c>
      <x:c r="F3447" s="7" t="str">
        <x:v>Manual</x:v>
      </x:c>
      <x:c r="G3447" s="7" t="str">
        <x:v>SUV</x:v>
      </x:c>
      <x:c r="H3447" s="7" t="n">
        <x:v>1956</x:v>
      </x:c>
      <x:c r="I3447" s="7" t="n">
        <x:v>168</x:v>
      </x:c>
      <x:c r="J3447" s="9" t="n">
        <x:v>16.3</x:v>
      </x:c>
      <x:c r="K3447" s="9" t="n">
        <x:v>16</x:v>
      </x:c>
      <x:c r="L3447" s="7" t="n">
        <x:v>2025</x:v>
      </x:c>
      <x:c r="M3447" s="11" t="n">
        <x:v>21169</x:v>
      </x:c>
      <x:c r="N3447" s="7" t="n">
        <x:v>1</x:v>
      </x:c>
      <x:c r="O3447" s="7" t="n">
        <x:v>0</x:v>
      </x:c>
      <x:c r="P3447" s="9" t="n">
        <x:v>14.44</x:v>
      </x:c>
      <x:c r="Q3447" s="7" t="n">
        <x:f>'Guide'!$B$5-L3447</x:f>
        <x:v>1</x:v>
      </x:c>
      <x:c r="R3447" s="9" t="n">
        <x:f>K3447-P3447</x:f>
        <x:v>1.5600000000000005</x:v>
      </x:c>
      <x:c r="S3447" s="10" t="n">
        <x:f>IF(K3447&gt;0,R3447/K3447,"")</x:f>
        <x:v>0.09750000000000003</x:v>
      </x:c>
    </x:row>
    <x:row r="3448">
      <x:c r="A3448" s="7" t="n">
        <x:v>3444</x:v>
      </x:c>
      <x:c r="B3448" s="7" t="str">
        <x:v>Tata</x:v>
      </x:c>
      <x:c r="C3448" s="7" t="str">
        <x:v>Safari</x:v>
      </x:c>
      <x:c r="D3448" s="7" t="str">
        <x:v>Smart</x:v>
      </x:c>
      <x:c r="E3448" s="7" t="str">
        <x:v>Diesel</x:v>
      </x:c>
      <x:c r="F3448" s="7" t="str">
        <x:v>Manual</x:v>
      </x:c>
      <x:c r="G3448" s="7" t="str">
        <x:v>SUV</x:v>
      </x:c>
      <x:c r="H3448" s="7" t="n">
        <x:v>1956</x:v>
      </x:c>
      <x:c r="I3448" s="7" t="n">
        <x:v>168</x:v>
      </x:c>
      <x:c r="J3448" s="9" t="n">
        <x:v>16.3</x:v>
      </x:c>
      <x:c r="K3448" s="9" t="n">
        <x:v>16</x:v>
      </x:c>
      <x:c r="L3448" s="7" t="n">
        <x:v>2025</x:v>
      </x:c>
      <x:c r="M3448" s="11" t="n">
        <x:v>22880</x:v>
      </x:c>
      <x:c r="N3448" s="7" t="n">
        <x:v>2</x:v>
      </x:c>
      <x:c r="O3448" s="7" t="n">
        <x:v>0</x:v>
      </x:c>
      <x:c r="P3448" s="9" t="n">
        <x:v>14.2</x:v>
      </x:c>
      <x:c r="Q3448" s="7" t="n">
        <x:f>'Guide'!$B$5-L3448</x:f>
        <x:v>1</x:v>
      </x:c>
      <x:c r="R3448" s="9" t="n">
        <x:f>K3448-P3448</x:f>
        <x:v>1.8000000000000007</x:v>
      </x:c>
      <x:c r="S3448" s="10" t="n">
        <x:f>IF(K3448&gt;0,R3448/K3448,"")</x:f>
        <x:v>0.11250000000000004</x:v>
      </x:c>
    </x:row>
    <x:row r="3449">
      <x:c r="A3449" s="7" t="n">
        <x:v>3445</x:v>
      </x:c>
      <x:c r="B3449" s="7" t="str">
        <x:v>Tata</x:v>
      </x:c>
      <x:c r="C3449" s="7" t="str">
        <x:v>Safari</x:v>
      </x:c>
      <x:c r="D3449" s="7" t="str">
        <x:v>Smart</x:v>
      </x:c>
      <x:c r="E3449" s="7" t="str">
        <x:v>Diesel</x:v>
      </x:c>
      <x:c r="F3449" s="7" t="str">
        <x:v>Manual</x:v>
      </x:c>
      <x:c r="G3449" s="7" t="str">
        <x:v>SUV</x:v>
      </x:c>
      <x:c r="H3449" s="7" t="n">
        <x:v>1956</x:v>
      </x:c>
      <x:c r="I3449" s="7" t="n">
        <x:v>168</x:v>
      </x:c>
      <x:c r="J3449" s="9" t="n">
        <x:v>16.3</x:v>
      </x:c>
      <x:c r="K3449" s="9" t="n">
        <x:v>16</x:v>
      </x:c>
      <x:c r="L3449" s="7" t="n">
        <x:v>2026</x:v>
      </x:c>
      <x:c r="M3449" s="11" t="n">
        <x:v>4849</x:v>
      </x:c>
      <x:c r="N3449" s="7" t="n">
        <x:v>1</x:v>
      </x:c>
      <x:c r="O3449" s="7" t="n">
        <x:v>0</x:v>
      </x:c>
      <x:c r="P3449" s="9" t="n">
        <x:v>15.66</x:v>
      </x:c>
      <x:c r="Q3449" s="7" t="n">
        <x:f>'Guide'!$B$5-L3449</x:f>
        <x:v>0</x:v>
      </x:c>
      <x:c r="R3449" s="9" t="n">
        <x:f>K3449-P3449</x:f>
        <x:v>0.33999999999999986</x:v>
      </x:c>
      <x:c r="S3449" s="10" t="n">
        <x:f>IF(K3449&gt;0,R3449/K3449,"")</x:f>
        <x:v>0.02124999999999999</x:v>
      </x:c>
    </x:row>
    <x:row r="3450">
      <x:c r="A3450" s="7" t="n">
        <x:v>3446</x:v>
      </x:c>
      <x:c r="B3450" s="7" t="str">
        <x:v>Tata</x:v>
      </x:c>
      <x:c r="C3450" s="7" t="str">
        <x:v>Safari</x:v>
      </x:c>
      <x:c r="D3450" s="7" t="str">
        <x:v>Smart</x:v>
      </x:c>
      <x:c r="E3450" s="7" t="str">
        <x:v>Diesel</x:v>
      </x:c>
      <x:c r="F3450" s="7" t="str">
        <x:v>Manual</x:v>
      </x:c>
      <x:c r="G3450" s="7" t="str">
        <x:v>SUV</x:v>
      </x:c>
      <x:c r="H3450" s="7" t="n">
        <x:v>1956</x:v>
      </x:c>
      <x:c r="I3450" s="7" t="n">
        <x:v>168</x:v>
      </x:c>
      <x:c r="J3450" s="9" t="n">
        <x:v>16.3</x:v>
      </x:c>
      <x:c r="K3450" s="9" t="n">
        <x:v>16</x:v>
      </x:c>
      <x:c r="L3450" s="7" t="n">
        <x:v>2022</x:v>
      </x:c>
      <x:c r="M3450" s="11" t="n">
        <x:v>40632</x:v>
      </x:c>
      <x:c r="N3450" s="7" t="n">
        <x:v>1</x:v>
      </x:c>
      <x:c r="O3450" s="7" t="n">
        <x:v>0</x:v>
      </x:c>
      <x:c r="P3450" s="9" t="n">
        <x:v>10.45</x:v>
      </x:c>
      <x:c r="Q3450" s="7" t="n">
        <x:f>'Guide'!$B$5-L3450</x:f>
        <x:v>4</x:v>
      </x:c>
      <x:c r="R3450" s="9" t="n">
        <x:f>K3450-P3450</x:f>
        <x:v>5.550000000000001</x:v>
      </x:c>
      <x:c r="S3450" s="10" t="n">
        <x:f>IF(K3450&gt;0,R3450/K3450,"")</x:f>
        <x:v>0.34687500000000004</x:v>
      </x:c>
    </x:row>
    <x:row r="3451">
      <x:c r="A3451" s="7" t="n">
        <x:v>3447</x:v>
      </x:c>
      <x:c r="B3451" s="7" t="str">
        <x:v>Tata</x:v>
      </x:c>
      <x:c r="C3451" s="7" t="str">
        <x:v>Safari</x:v>
      </x:c>
      <x:c r="D3451" s="7" t="str">
        <x:v>Smart</x:v>
      </x:c>
      <x:c r="E3451" s="7" t="str">
        <x:v>Diesel</x:v>
      </x:c>
      <x:c r="F3451" s="7" t="str">
        <x:v>Manual</x:v>
      </x:c>
      <x:c r="G3451" s="7" t="str">
        <x:v>SUV</x:v>
      </x:c>
      <x:c r="H3451" s="7" t="n">
        <x:v>1956</x:v>
      </x:c>
      <x:c r="I3451" s="7" t="n">
        <x:v>168</x:v>
      </x:c>
      <x:c r="J3451" s="9" t="n">
        <x:v>16.3</x:v>
      </x:c>
      <x:c r="K3451" s="9" t="n">
        <x:v>16</x:v>
      </x:c>
      <x:c r="L3451" s="7" t="n">
        <x:v>2021</x:v>
      </x:c>
      <x:c r="M3451" s="11" t="n">
        <x:v>50506</x:v>
      </x:c>
      <x:c r="N3451" s="7" t="n">
        <x:v>1</x:v>
      </x:c>
      <x:c r="O3451" s="7" t="n">
        <x:v>0</x:v>
      </x:c>
      <x:c r="P3451" s="9" t="n">
        <x:v>8.44</x:v>
      </x:c>
      <x:c r="Q3451" s="7" t="n">
        <x:f>'Guide'!$B$5-L3451</x:f>
        <x:v>5</x:v>
      </x:c>
      <x:c r="R3451" s="9" t="n">
        <x:f>K3451-P3451</x:f>
        <x:v>7.5600000000000005</x:v>
      </x:c>
      <x:c r="S3451" s="10" t="n">
        <x:f>IF(K3451&gt;0,R3451/K3451,"")</x:f>
        <x:v>0.47250000000000003</x:v>
      </x:c>
    </x:row>
    <x:row r="3452">
      <x:c r="A3452" s="7" t="n">
        <x:v>3448</x:v>
      </x:c>
      <x:c r="B3452" s="7" t="str">
        <x:v>Tata</x:v>
      </x:c>
      <x:c r="C3452" s="7" t="str">
        <x:v>Safari</x:v>
      </x:c>
      <x:c r="D3452" s="7" t="str">
        <x:v>Smart</x:v>
      </x:c>
      <x:c r="E3452" s="7" t="str">
        <x:v>Diesel</x:v>
      </x:c>
      <x:c r="F3452" s="7" t="str">
        <x:v>Manual</x:v>
      </x:c>
      <x:c r="G3452" s="7" t="str">
        <x:v>SUV</x:v>
      </x:c>
      <x:c r="H3452" s="7" t="n">
        <x:v>1956</x:v>
      </x:c>
      <x:c r="I3452" s="7" t="n">
        <x:v>168</x:v>
      </x:c>
      <x:c r="J3452" s="9" t="n">
        <x:v>16.3</x:v>
      </x:c>
      <x:c r="K3452" s="9" t="n">
        <x:v>16</x:v>
      </x:c>
      <x:c r="L3452" s="7" t="n">
        <x:v>2026</x:v>
      </x:c>
      <x:c r="M3452" s="11" t="n">
        <x:v>5149</x:v>
      </x:c>
      <x:c r="N3452" s="7" t="n">
        <x:v>3</x:v>
      </x:c>
      <x:c r="O3452" s="7" t="n">
        <x:v>0</x:v>
      </x:c>
      <x:c r="P3452" s="9" t="n">
        <x:v>15.38</x:v>
      </x:c>
      <x:c r="Q3452" s="7" t="n">
        <x:f>'Guide'!$B$5-L3452</x:f>
        <x:v>0</x:v>
      </x:c>
      <x:c r="R3452" s="9" t="n">
        <x:f>K3452-P3452</x:f>
        <x:v>0.6199999999999992</x:v>
      </x:c>
      <x:c r="S3452" s="10" t="n">
        <x:f>IF(K3452&gt;0,R3452/K3452,"")</x:f>
        <x:v>0.03874999999999995</x:v>
      </x:c>
    </x:row>
    <x:row r="3453">
      <x:c r="A3453" s="7" t="n">
        <x:v>3449</x:v>
      </x:c>
      <x:c r="B3453" s="7" t="str">
        <x:v>Tata</x:v>
      </x:c>
      <x:c r="C3453" s="7" t="str">
        <x:v>Safari</x:v>
      </x:c>
      <x:c r="D3453" s="7" t="str">
        <x:v>Smart</x:v>
      </x:c>
      <x:c r="E3453" s="7" t="str">
        <x:v>Diesel</x:v>
      </x:c>
      <x:c r="F3453" s="7" t="str">
        <x:v>Manual</x:v>
      </x:c>
      <x:c r="G3453" s="7" t="str">
        <x:v>SUV</x:v>
      </x:c>
      <x:c r="H3453" s="7" t="n">
        <x:v>1956</x:v>
      </x:c>
      <x:c r="I3453" s="7" t="n">
        <x:v>168</x:v>
      </x:c>
      <x:c r="J3453" s="9" t="n">
        <x:v>16.3</x:v>
      </x:c>
      <x:c r="K3453" s="9" t="n">
        <x:v>16</x:v>
      </x:c>
      <x:c r="L3453" s="7" t="n">
        <x:v>2022</x:v>
      </x:c>
      <x:c r="M3453" s="11" t="n">
        <x:v>43621</x:v>
      </x:c>
      <x:c r="N3453" s="7" t="n">
        <x:v>1</x:v>
      </x:c>
      <x:c r="O3453" s="7" t="n">
        <x:v>0</x:v>
      </x:c>
      <x:c r="P3453" s="9" t="n">
        <x:v>10.23</x:v>
      </x:c>
      <x:c r="Q3453" s="7" t="n">
        <x:f>'Guide'!$B$5-L3453</x:f>
        <x:v>4</x:v>
      </x:c>
      <x:c r="R3453" s="9" t="n">
        <x:f>K3453-P3453</x:f>
        <x:v>5.77</x:v>
      </x:c>
      <x:c r="S3453" s="10" t="n">
        <x:f>IF(K3453&gt;0,R3453/K3453,"")</x:f>
        <x:v>0.360625</x:v>
      </x:c>
    </x:row>
    <x:row r="3454">
      <x:c r="A3454" s="7" t="n">
        <x:v>3450</x:v>
      </x:c>
      <x:c r="B3454" s="7" t="str">
        <x:v>Tata</x:v>
      </x:c>
      <x:c r="C3454" s="7" t="str">
        <x:v>Safari</x:v>
      </x:c>
      <x:c r="D3454" s="7" t="str">
        <x:v>Smart</x:v>
      </x:c>
      <x:c r="E3454" s="7" t="str">
        <x:v>Diesel</x:v>
      </x:c>
      <x:c r="F3454" s="7" t="str">
        <x:v>Manual</x:v>
      </x:c>
      <x:c r="G3454" s="7" t="str">
        <x:v>SUV</x:v>
      </x:c>
      <x:c r="H3454" s="7" t="n">
        <x:v>1956</x:v>
      </x:c>
      <x:c r="I3454" s="7" t="n">
        <x:v>168</x:v>
      </x:c>
      <x:c r="J3454" s="9" t="n">
        <x:v>16.3</x:v>
      </x:c>
      <x:c r="K3454" s="9" t="n">
        <x:v>16</x:v>
      </x:c>
      <x:c r="L3454" s="7" t="n">
        <x:v>2025</x:v>
      </x:c>
      <x:c r="M3454" s="11" t="n">
        <x:v>17856</x:v>
      </x:c>
      <x:c r="N3454" s="7" t="n">
        <x:v>1</x:v>
      </x:c>
      <x:c r="O3454" s="7" t="n">
        <x:v>0</x:v>
      </x:c>
      <x:c r="P3454" s="9" t="n">
        <x:v>14.13</x:v>
      </x:c>
      <x:c r="Q3454" s="7" t="n">
        <x:f>'Guide'!$B$5-L3454</x:f>
        <x:v>1</x:v>
      </x:c>
      <x:c r="R3454" s="9" t="n">
        <x:f>K3454-P3454</x:f>
        <x:v>1.8699999999999992</x:v>
      </x:c>
      <x:c r="S3454" s="10" t="n">
        <x:f>IF(K3454&gt;0,R3454/K3454,"")</x:f>
        <x:v>0.11687499999999995</x:v>
      </x:c>
    </x:row>
    <x:row r="3455">
      <x:c r="A3455" s="7" t="n">
        <x:v>3451</x:v>
      </x:c>
      <x:c r="B3455" s="7" t="str">
        <x:v>Tata</x:v>
      </x:c>
      <x:c r="C3455" s="7" t="str">
        <x:v>Safari</x:v>
      </x:c>
      <x:c r="D3455" s="7" t="str">
        <x:v>Smart</x:v>
      </x:c>
      <x:c r="E3455" s="7" t="str">
        <x:v>Diesel</x:v>
      </x:c>
      <x:c r="F3455" s="7" t="str">
        <x:v>Manual</x:v>
      </x:c>
      <x:c r="G3455" s="7" t="str">
        <x:v>SUV</x:v>
      </x:c>
      <x:c r="H3455" s="7" t="n">
        <x:v>1956</x:v>
      </x:c>
      <x:c r="I3455" s="7" t="n">
        <x:v>168</x:v>
      </x:c>
      <x:c r="J3455" s="9" t="n">
        <x:v>16.3</x:v>
      </x:c>
      <x:c r="K3455" s="9" t="n">
        <x:v>16</x:v>
      </x:c>
      <x:c r="L3455" s="7" t="n">
        <x:v>2024</x:v>
      </x:c>
      <x:c r="M3455" s="11" t="n">
        <x:v>36326</x:v>
      </x:c>
      <x:c r="N3455" s="7" t="n">
        <x:v>1</x:v>
      </x:c>
      <x:c r="O3455" s="7" t="n">
        <x:v>1</x:v>
      </x:c>
      <x:c r="P3455" s="9" t="n">
        <x:v>11.93</x:v>
      </x:c>
      <x:c r="Q3455" s="7" t="n">
        <x:f>'Guide'!$B$5-L3455</x:f>
        <x:v>2</x:v>
      </x:c>
      <x:c r="R3455" s="9" t="n">
        <x:f>K3455-P3455</x:f>
        <x:v>4.07</x:v>
      </x:c>
      <x:c r="S3455" s="10" t="n">
        <x:f>IF(K3455&gt;0,R3455/K3455,"")</x:f>
        <x:v>0.254375</x:v>
      </x:c>
    </x:row>
    <x:row r="3456">
      <x:c r="A3456" s="7" t="n">
        <x:v>3452</x:v>
      </x:c>
      <x:c r="B3456" s="7" t="str">
        <x:v>Tata</x:v>
      </x:c>
      <x:c r="C3456" s="7" t="str">
        <x:v>Safari</x:v>
      </x:c>
      <x:c r="D3456" s="7" t="str">
        <x:v>Smart</x:v>
      </x:c>
      <x:c r="E3456" s="7" t="str">
        <x:v>Diesel</x:v>
      </x:c>
      <x:c r="F3456" s="7" t="str">
        <x:v>Manual</x:v>
      </x:c>
      <x:c r="G3456" s="7" t="str">
        <x:v>SUV</x:v>
      </x:c>
      <x:c r="H3456" s="7" t="n">
        <x:v>1956</x:v>
      </x:c>
      <x:c r="I3456" s="7" t="n">
        <x:v>168</x:v>
      </x:c>
      <x:c r="J3456" s="9" t="n">
        <x:v>16.3</x:v>
      </x:c>
      <x:c r="K3456" s="9" t="n">
        <x:v>16</x:v>
      </x:c>
      <x:c r="L3456" s="7" t="n">
        <x:v>2026</x:v>
      </x:c>
      <x:c r="M3456" s="11" t="n">
        <x:v>6384</x:v>
      </x:c>
      <x:c r="N3456" s="7" t="n">
        <x:v>1</x:v>
      </x:c>
      <x:c r="O3456" s="7" t="n">
        <x:v>1</x:v>
      </x:c>
      <x:c r="P3456" s="9" t="n">
        <x:v>15.44</x:v>
      </x:c>
      <x:c r="Q3456" s="7" t="n">
        <x:f>'Guide'!$B$5-L3456</x:f>
        <x:v>0</x:v>
      </x:c>
      <x:c r="R3456" s="9" t="n">
        <x:f>K3456-P3456</x:f>
        <x:v>0.5600000000000005</x:v>
      </x:c>
      <x:c r="S3456" s="10" t="n">
        <x:f>IF(K3456&gt;0,R3456/K3456,"")</x:f>
        <x:v>0.03500000000000003</x:v>
      </x:c>
    </x:row>
    <x:row r="3457">
      <x:c r="A3457" s="7" t="n">
        <x:v>3453</x:v>
      </x:c>
      <x:c r="B3457" s="7" t="str">
        <x:v>Tata</x:v>
      </x:c>
      <x:c r="C3457" s="7" t="str">
        <x:v>Safari</x:v>
      </x:c>
      <x:c r="D3457" s="7" t="str">
        <x:v>Smart</x:v>
      </x:c>
      <x:c r="E3457" s="7" t="str">
        <x:v>Diesel</x:v>
      </x:c>
      <x:c r="F3457" s="7" t="str">
        <x:v>Manual</x:v>
      </x:c>
      <x:c r="G3457" s="7" t="str">
        <x:v>SUV</x:v>
      </x:c>
      <x:c r="H3457" s="7" t="n">
        <x:v>1956</x:v>
      </x:c>
      <x:c r="I3457" s="7" t="n">
        <x:v>168</x:v>
      </x:c>
      <x:c r="J3457" s="9" t="n">
        <x:v>16.3</x:v>
      </x:c>
      <x:c r="K3457" s="9" t="n">
        <x:v>16</x:v>
      </x:c>
      <x:c r="L3457" s="7" t="n">
        <x:v>2023</x:v>
      </x:c>
      <x:c r="M3457" s="11" t="n">
        <x:v>51983</x:v>
      </x:c>
      <x:c r="N3457" s="7" t="n">
        <x:v>2</x:v>
      </x:c>
      <x:c r="O3457" s="7" t="n">
        <x:v>0</x:v>
      </x:c>
      <x:c r="P3457" s="9" t="n">
        <x:v>10.4</x:v>
      </x:c>
      <x:c r="Q3457" s="7" t="n">
        <x:f>'Guide'!$B$5-L3457</x:f>
        <x:v>3</x:v>
      </x:c>
      <x:c r="R3457" s="9" t="n">
        <x:f>K3457-P3457</x:f>
        <x:v>5.6</x:v>
      </x:c>
      <x:c r="S3457" s="10" t="n">
        <x:f>IF(K3457&gt;0,R3457/K3457,"")</x:f>
        <x:v>0.35</x:v>
      </x:c>
    </x:row>
    <x:row r="3458">
      <x:c r="A3458" s="7" t="n">
        <x:v>3454</x:v>
      </x:c>
      <x:c r="B3458" s="7" t="str">
        <x:v>Tata</x:v>
      </x:c>
      <x:c r="C3458" s="7" t="str">
        <x:v>Safari</x:v>
      </x:c>
      <x:c r="D3458" s="7" t="str">
        <x:v>Smart</x:v>
      </x:c>
      <x:c r="E3458" s="7" t="str">
        <x:v>Diesel</x:v>
      </x:c>
      <x:c r="F3458" s="7" t="str">
        <x:v>Manual</x:v>
      </x:c>
      <x:c r="G3458" s="7" t="str">
        <x:v>SUV</x:v>
      </x:c>
      <x:c r="H3458" s="7" t="n">
        <x:v>1956</x:v>
      </x:c>
      <x:c r="I3458" s="7" t="n">
        <x:v>168</x:v>
      </x:c>
      <x:c r="J3458" s="9" t="n">
        <x:v>16.3</x:v>
      </x:c>
      <x:c r="K3458" s="9" t="n">
        <x:v>16</x:v>
      </x:c>
      <x:c r="L3458" s="7" t="n">
        <x:v>2023</x:v>
      </x:c>
      <x:c r="M3458" s="11" t="n">
        <x:v>67110</x:v>
      </x:c>
      <x:c r="N3458" s="7" t="n">
        <x:v>1</x:v>
      </x:c>
      <x:c r="O3458" s="7" t="n">
        <x:v>0</x:v>
      </x:c>
      <x:c r="P3458" s="9" t="n">
        <x:v>10.73</x:v>
      </x:c>
      <x:c r="Q3458" s="7" t="n">
        <x:f>'Guide'!$B$5-L3458</x:f>
        <x:v>3</x:v>
      </x:c>
      <x:c r="R3458" s="9" t="n">
        <x:f>K3458-P3458</x:f>
        <x:v>5.27</x:v>
      </x:c>
      <x:c r="S3458" s="10" t="n">
        <x:f>IF(K3458&gt;0,R3458/K3458,"")</x:f>
        <x:v>0.329375</x:v>
      </x:c>
    </x:row>
    <x:row r="3459">
      <x:c r="A3459" s="7" t="n">
        <x:v>3455</x:v>
      </x:c>
      <x:c r="B3459" s="7" t="str">
        <x:v>Tata</x:v>
      </x:c>
      <x:c r="C3459" s="7" t="str">
        <x:v>Safari</x:v>
      </x:c>
      <x:c r="D3459" s="7" t="str">
        <x:v>Smart</x:v>
      </x:c>
      <x:c r="E3459" s="7" t="str">
        <x:v>Diesel</x:v>
      </x:c>
      <x:c r="F3459" s="7" t="str">
        <x:v>Manual</x:v>
      </x:c>
      <x:c r="G3459" s="7" t="str">
        <x:v>SUV</x:v>
      </x:c>
      <x:c r="H3459" s="7" t="n">
        <x:v>1956</x:v>
      </x:c>
      <x:c r="I3459" s="7" t="n">
        <x:v>168</x:v>
      </x:c>
      <x:c r="J3459" s="9" t="n">
        <x:v>16.3</x:v>
      </x:c>
      <x:c r="K3459" s="9" t="n">
        <x:v>16</x:v>
      </x:c>
      <x:c r="L3459" s="7" t="n">
        <x:v>2021</x:v>
      </x:c>
      <x:c r="M3459" s="11" t="n">
        <x:v>79893</x:v>
      </x:c>
      <x:c r="N3459" s="7" t="n">
        <x:v>1</x:v>
      </x:c>
      <x:c r="O3459" s="7" t="n">
        <x:v>0</x:v>
      </x:c>
      <x:c r="P3459" s="9" t="n">
        <x:v>8.26</x:v>
      </x:c>
      <x:c r="Q3459" s="7" t="n">
        <x:f>'Guide'!$B$5-L3459</x:f>
        <x:v>5</x:v>
      </x:c>
      <x:c r="R3459" s="9" t="n">
        <x:f>K3459-P3459</x:f>
        <x:v>7.74</x:v>
      </x:c>
      <x:c r="S3459" s="10" t="n">
        <x:f>IF(K3459&gt;0,R3459/K3459,"")</x:f>
        <x:v>0.48375</x:v>
      </x:c>
    </x:row>
    <x:row r="3460">
      <x:c r="A3460" s="7" t="n">
        <x:v>3456</x:v>
      </x:c>
      <x:c r="B3460" s="7" t="str">
        <x:v>Tata</x:v>
      </x:c>
      <x:c r="C3460" s="7" t="str">
        <x:v>Safari</x:v>
      </x:c>
      <x:c r="D3460" s="7" t="str">
        <x:v>Smart</x:v>
      </x:c>
      <x:c r="E3460" s="7" t="str">
        <x:v>Diesel</x:v>
      </x:c>
      <x:c r="F3460" s="7" t="str">
        <x:v>Manual</x:v>
      </x:c>
      <x:c r="G3460" s="7" t="str">
        <x:v>SUV</x:v>
      </x:c>
      <x:c r="H3460" s="7" t="n">
        <x:v>1956</x:v>
      </x:c>
      <x:c r="I3460" s="7" t="n">
        <x:v>168</x:v>
      </x:c>
      <x:c r="J3460" s="9" t="n">
        <x:v>16.3</x:v>
      </x:c>
      <x:c r="K3460" s="9" t="n">
        <x:v>16</x:v>
      </x:c>
      <x:c r="L3460" s="7" t="n">
        <x:v>2025</x:v>
      </x:c>
      <x:c r="M3460" s="11" t="n">
        <x:v>12442</x:v>
      </x:c>
      <x:c r="N3460" s="7" t="n">
        <x:v>3</x:v>
      </x:c>
      <x:c r="O3460" s="7" t="n">
        <x:v>0</x:v>
      </x:c>
      <x:c r="P3460" s="9" t="n">
        <x:v>13.42</x:v>
      </x:c>
      <x:c r="Q3460" s="7" t="n">
        <x:f>'Guide'!$B$5-L3460</x:f>
        <x:v>1</x:v>
      </x:c>
      <x:c r="R3460" s="9" t="n">
        <x:f>K3460-P3460</x:f>
        <x:v>2.58</x:v>
      </x:c>
      <x:c r="S3460" s="10" t="n">
        <x:f>IF(K3460&gt;0,R3460/K3460,"")</x:f>
        <x:v>0.16125</x:v>
      </x:c>
    </x:row>
    <x:row r="3461">
      <x:c r="A3461" s="7" t="n">
        <x:v>3457</x:v>
      </x:c>
      <x:c r="B3461" s="7" t="str">
        <x:v>Tata</x:v>
      </x:c>
      <x:c r="C3461" s="7" t="str">
        <x:v>Safari</x:v>
      </x:c>
      <x:c r="D3461" s="7" t="str">
        <x:v>Smart</x:v>
      </x:c>
      <x:c r="E3461" s="7" t="str">
        <x:v>Diesel</x:v>
      </x:c>
      <x:c r="F3461" s="7" t="str">
        <x:v>Manual</x:v>
      </x:c>
      <x:c r="G3461" s="7" t="str">
        <x:v>SUV</x:v>
      </x:c>
      <x:c r="H3461" s="7" t="n">
        <x:v>1956</x:v>
      </x:c>
      <x:c r="I3461" s="7" t="n">
        <x:v>168</x:v>
      </x:c>
      <x:c r="J3461" s="9" t="n">
        <x:v>16.3</x:v>
      </x:c>
      <x:c r="K3461" s="9" t="n">
        <x:v>16</x:v>
      </x:c>
      <x:c r="L3461" s="7" t="n">
        <x:v>2022</x:v>
      </x:c>
      <x:c r="M3461" s="11" t="n">
        <x:v>86089</x:v>
      </x:c>
      <x:c r="N3461" s="7" t="n">
        <x:v>1</x:v>
      </x:c>
      <x:c r="O3461" s="7" t="n">
        <x:v>1</x:v>
      </x:c>
      <x:c r="P3461" s="9" t="n">
        <x:v>8.66</x:v>
      </x:c>
      <x:c r="Q3461" s="7" t="n">
        <x:f>'Guide'!$B$5-L3461</x:f>
        <x:v>4</x:v>
      </x:c>
      <x:c r="R3461" s="9" t="n">
        <x:f>K3461-P3461</x:f>
        <x:v>7.34</x:v>
      </x:c>
      <x:c r="S3461" s="10" t="n">
        <x:f>IF(K3461&gt;0,R3461/K3461,"")</x:f>
        <x:v>0.45875</x:v>
      </x:c>
    </x:row>
    <x:row r="3462">
      <x:c r="A3462" s="7" t="n">
        <x:v>3458</x:v>
      </x:c>
      <x:c r="B3462" s="7" t="str">
        <x:v>Tata</x:v>
      </x:c>
      <x:c r="C3462" s="7" t="str">
        <x:v>Safari</x:v>
      </x:c>
      <x:c r="D3462" s="7" t="str">
        <x:v>Smart</x:v>
      </x:c>
      <x:c r="E3462" s="7" t="str">
        <x:v>Diesel</x:v>
      </x:c>
      <x:c r="F3462" s="7" t="str">
        <x:v>Manual</x:v>
      </x:c>
      <x:c r="G3462" s="7" t="str">
        <x:v>SUV</x:v>
      </x:c>
      <x:c r="H3462" s="7" t="n">
        <x:v>1956</x:v>
      </x:c>
      <x:c r="I3462" s="7" t="n">
        <x:v>168</x:v>
      </x:c>
      <x:c r="J3462" s="9" t="n">
        <x:v>16.3</x:v>
      </x:c>
      <x:c r="K3462" s="9" t="n">
        <x:v>16</x:v>
      </x:c>
      <x:c r="L3462" s="7" t="n">
        <x:v>2026</x:v>
      </x:c>
      <x:c r="M3462" s="11" t="n">
        <x:v>4838</x:v>
      </x:c>
      <x:c r="N3462" s="7" t="n">
        <x:v>2</x:v>
      </x:c>
      <x:c r="O3462" s="7" t="n">
        <x:v>0</x:v>
      </x:c>
      <x:c r="P3462" s="9" t="n">
        <x:v>15.68</x:v>
      </x:c>
      <x:c r="Q3462" s="7" t="n">
        <x:f>'Guide'!$B$5-L3462</x:f>
        <x:v>0</x:v>
      </x:c>
      <x:c r="R3462" s="9" t="n">
        <x:f>K3462-P3462</x:f>
        <x:v>0.3200000000000003</x:v>
      </x:c>
      <x:c r="S3462" s="10" t="n">
        <x:f>IF(K3462&gt;0,R3462/K3462,"")</x:f>
        <x:v>0.020000000000000018</x:v>
      </x:c>
    </x:row>
    <x:row r="3463">
      <x:c r="A3463" s="7" t="n">
        <x:v>3459</x:v>
      </x:c>
      <x:c r="B3463" s="7" t="str">
        <x:v>Tata</x:v>
      </x:c>
      <x:c r="C3463" s="7" t="str">
        <x:v>Safari</x:v>
      </x:c>
      <x:c r="D3463" s="7" t="str">
        <x:v>Smart</x:v>
      </x:c>
      <x:c r="E3463" s="7" t="str">
        <x:v>Diesel</x:v>
      </x:c>
      <x:c r="F3463" s="7" t="str">
        <x:v>Manual</x:v>
      </x:c>
      <x:c r="G3463" s="7" t="str">
        <x:v>SUV</x:v>
      </x:c>
      <x:c r="H3463" s="7" t="n">
        <x:v>1956</x:v>
      </x:c>
      <x:c r="I3463" s="7" t="n">
        <x:v>168</x:v>
      </x:c>
      <x:c r="J3463" s="9" t="n">
        <x:v>16.3</x:v>
      </x:c>
      <x:c r="K3463" s="9" t="n">
        <x:v>16</x:v>
      </x:c>
      <x:c r="L3463" s="7" t="n">
        <x:v>2021</x:v>
      </x:c>
      <x:c r="M3463" s="11" t="n">
        <x:v>83784</x:v>
      </x:c>
      <x:c r="N3463" s="7" t="n">
        <x:v>1</x:v>
      </x:c>
      <x:c r="O3463" s="7" t="n">
        <x:v>0</x:v>
      </x:c>
      <x:c r="P3463" s="9" t="n">
        <x:v>7.63</x:v>
      </x:c>
      <x:c r="Q3463" s="7" t="n">
        <x:f>'Guide'!$B$5-L3463</x:f>
        <x:v>5</x:v>
      </x:c>
      <x:c r="R3463" s="9" t="n">
        <x:f>K3463-P3463</x:f>
        <x:v>8.370000000000001</x:v>
      </x:c>
      <x:c r="S3463" s="10" t="n">
        <x:f>IF(K3463&gt;0,R3463/K3463,"")</x:f>
        <x:v>0.5231250000000001</x:v>
      </x:c>
    </x:row>
    <x:row r="3464">
      <x:c r="A3464" s="7" t="n">
        <x:v>3460</x:v>
      </x:c>
      <x:c r="B3464" s="7" t="str">
        <x:v>Tata</x:v>
      </x:c>
      <x:c r="C3464" s="7" t="str">
        <x:v>Safari</x:v>
      </x:c>
      <x:c r="D3464" s="7" t="str">
        <x:v>Smart</x:v>
      </x:c>
      <x:c r="E3464" s="7" t="str">
        <x:v>Diesel</x:v>
      </x:c>
      <x:c r="F3464" s="7" t="str">
        <x:v>Manual</x:v>
      </x:c>
      <x:c r="G3464" s="7" t="str">
        <x:v>SUV</x:v>
      </x:c>
      <x:c r="H3464" s="7" t="n">
        <x:v>1956</x:v>
      </x:c>
      <x:c r="I3464" s="7" t="n">
        <x:v>168</x:v>
      </x:c>
      <x:c r="J3464" s="9" t="n">
        <x:v>16.3</x:v>
      </x:c>
      <x:c r="K3464" s="9" t="n">
        <x:v>16</x:v>
      </x:c>
      <x:c r="L3464" s="7" t="n">
        <x:v>2026</x:v>
      </x:c>
      <x:c r="M3464" s="11" t="n">
        <x:v>6053</x:v>
      </x:c>
      <x:c r="N3464" s="7" t="n">
        <x:v>1</x:v>
      </x:c>
      <x:c r="O3464" s="7" t="n">
        <x:v>0</x:v>
      </x:c>
      <x:c r="P3464" s="9" t="n">
        <x:v>16.13</x:v>
      </x:c>
      <x:c r="Q3464" s="7" t="n">
        <x:f>'Guide'!$B$5-L3464</x:f>
        <x:v>0</x:v>
      </x:c>
      <x:c r="R3464" s="9" t="n">
        <x:f>K3464-P3464</x:f>
        <x:v>-0.129999999999999</x:v>
      </x:c>
      <x:c r="S3464" s="10" t="n">
        <x:f>IF(K3464&gt;0,R3464/K3464,"")</x:f>
        <x:v>-0.008124999999999938</x:v>
      </x:c>
    </x:row>
    <x:row r="3465">
      <x:c r="A3465" s="7" t="n">
        <x:v>3461</x:v>
      </x:c>
      <x:c r="B3465" s="7" t="str">
        <x:v>Tata</x:v>
      </x:c>
      <x:c r="C3465" s="7" t="str">
        <x:v>Safari</x:v>
      </x:c>
      <x:c r="D3465" s="7" t="str">
        <x:v>Smart</x:v>
      </x:c>
      <x:c r="E3465" s="7" t="str">
        <x:v>Diesel</x:v>
      </x:c>
      <x:c r="F3465" s="7" t="str">
        <x:v>Manual</x:v>
      </x:c>
      <x:c r="G3465" s="7" t="str">
        <x:v>SUV</x:v>
      </x:c>
      <x:c r="H3465" s="7" t="n">
        <x:v>1956</x:v>
      </x:c>
      <x:c r="I3465" s="7" t="n">
        <x:v>168</x:v>
      </x:c>
      <x:c r="J3465" s="9" t="n">
        <x:v>16.3</x:v>
      </x:c>
      <x:c r="K3465" s="9" t="n">
        <x:v>16</x:v>
      </x:c>
      <x:c r="L3465" s="7" t="n">
        <x:v>2025</x:v>
      </x:c>
      <x:c r="M3465" s="11" t="n">
        <x:v>13107</x:v>
      </x:c>
      <x:c r="N3465" s="7" t="n">
        <x:v>2</x:v>
      </x:c>
      <x:c r="O3465" s="7" t="n">
        <x:v>0</x:v>
      </x:c>
      <x:c r="P3465" s="9" t="n">
        <x:v>13.69</x:v>
      </x:c>
      <x:c r="Q3465" s="7" t="n">
        <x:f>'Guide'!$B$5-L3465</x:f>
        <x:v>1</x:v>
      </x:c>
      <x:c r="R3465" s="9" t="n">
        <x:f>K3465-P3465</x:f>
        <x:v>2.3100000000000005</x:v>
      </x:c>
      <x:c r="S3465" s="10" t="n">
        <x:f>IF(K3465&gt;0,R3465/K3465,"")</x:f>
        <x:v>0.14437500000000003</x:v>
      </x:c>
    </x:row>
    <x:row r="3466">
      <x:c r="A3466" s="7" t="n">
        <x:v>3462</x:v>
      </x:c>
      <x:c r="B3466" s="7" t="str">
        <x:v>Tata</x:v>
      </x:c>
      <x:c r="C3466" s="7" t="str">
        <x:v>Safari</x:v>
      </x:c>
      <x:c r="D3466" s="7" t="str">
        <x:v>Smart</x:v>
      </x:c>
      <x:c r="E3466" s="7" t="str">
        <x:v>Diesel</x:v>
      </x:c>
      <x:c r="F3466" s="7" t="str">
        <x:v>Manual</x:v>
      </x:c>
      <x:c r="G3466" s="7" t="str">
        <x:v>SUV</x:v>
      </x:c>
      <x:c r="H3466" s="7" t="n">
        <x:v>1956</x:v>
      </x:c>
      <x:c r="I3466" s="7" t="n">
        <x:v>168</x:v>
      </x:c>
      <x:c r="J3466" s="9" t="n">
        <x:v>16.3</x:v>
      </x:c>
      <x:c r="K3466" s="9" t="n">
        <x:v>16</x:v>
      </x:c>
      <x:c r="L3466" s="7" t="n">
        <x:v>2025</x:v>
      </x:c>
      <x:c r="M3466" s="11" t="n">
        <x:v>25201</x:v>
      </x:c>
      <x:c r="N3466" s="7" t="n">
        <x:v>1</x:v>
      </x:c>
      <x:c r="O3466" s="7" t="n">
        <x:v>0</x:v>
      </x:c>
      <x:c r="P3466" s="9" t="n">
        <x:v>14.45</x:v>
      </x:c>
      <x:c r="Q3466" s="7" t="n">
        <x:f>'Guide'!$B$5-L3466</x:f>
        <x:v>1</x:v>
      </x:c>
      <x:c r="R3466" s="9" t="n">
        <x:f>K3466-P3466</x:f>
        <x:v>1.5500000000000007</x:v>
      </x:c>
      <x:c r="S3466" s="10" t="n">
        <x:f>IF(K3466&gt;0,R3466/K3466,"")</x:f>
        <x:v>0.09687500000000004</x:v>
      </x:c>
    </x:row>
    <x:row r="3467">
      <x:c r="A3467" s="7" t="n">
        <x:v>3463</x:v>
      </x:c>
      <x:c r="B3467" s="7" t="str">
        <x:v>Tata</x:v>
      </x:c>
      <x:c r="C3467" s="7" t="str">
        <x:v>Safari</x:v>
      </x:c>
      <x:c r="D3467" s="7" t="str">
        <x:v>Smart</x:v>
      </x:c>
      <x:c r="E3467" s="7" t="str">
        <x:v>Diesel</x:v>
      </x:c>
      <x:c r="F3467" s="7" t="str">
        <x:v>Manual</x:v>
      </x:c>
      <x:c r="G3467" s="7" t="str">
        <x:v>SUV</x:v>
      </x:c>
      <x:c r="H3467" s="7" t="n">
        <x:v>1956</x:v>
      </x:c>
      <x:c r="I3467" s="7" t="n">
        <x:v>168</x:v>
      </x:c>
      <x:c r="J3467" s="9" t="n">
        <x:v>16.3</x:v>
      </x:c>
      <x:c r="K3467" s="9" t="n">
        <x:v>16</x:v>
      </x:c>
      <x:c r="L3467" s="7" t="n">
        <x:v>2021</x:v>
      </x:c>
      <x:c r="M3467" s="11" t="n">
        <x:v>90023</x:v>
      </x:c>
      <x:c r="N3467" s="7" t="n">
        <x:v>1</x:v>
      </x:c>
      <x:c r="O3467" s="7" t="n">
        <x:v>0</x:v>
      </x:c>
      <x:c r="P3467" s="9" t="n">
        <x:v>7.48</x:v>
      </x:c>
      <x:c r="Q3467" s="7" t="n">
        <x:f>'Guide'!$B$5-L3467</x:f>
        <x:v>5</x:v>
      </x:c>
      <x:c r="R3467" s="9" t="n">
        <x:f>K3467-P3467</x:f>
        <x:v>8.52</x:v>
      </x:c>
      <x:c r="S3467" s="10" t="n">
        <x:f>IF(K3467&gt;0,R3467/K3467,"")</x:f>
        <x:v>0.5325</x:v>
      </x:c>
    </x:row>
    <x:row r="3468">
      <x:c r="A3468" s="7" t="n">
        <x:v>3464</x:v>
      </x:c>
      <x:c r="B3468" s="7" t="str">
        <x:v>Tata</x:v>
      </x:c>
      <x:c r="C3468" s="7" t="str">
        <x:v>Safari</x:v>
      </x:c>
      <x:c r="D3468" s="7" t="str">
        <x:v>Smart</x:v>
      </x:c>
      <x:c r="E3468" s="7" t="str">
        <x:v>Diesel</x:v>
      </x:c>
      <x:c r="F3468" s="7" t="str">
        <x:v>Manual</x:v>
      </x:c>
      <x:c r="G3468" s="7" t="str">
        <x:v>SUV</x:v>
      </x:c>
      <x:c r="H3468" s="7" t="n">
        <x:v>1956</x:v>
      </x:c>
      <x:c r="I3468" s="7" t="n">
        <x:v>168</x:v>
      </x:c>
      <x:c r="J3468" s="9" t="n">
        <x:v>16.3</x:v>
      </x:c>
      <x:c r="K3468" s="9" t="n">
        <x:v>16</x:v>
      </x:c>
      <x:c r="L3468" s="7" t="n">
        <x:v>2026</x:v>
      </x:c>
      <x:c r="M3468" s="11" t="n">
        <x:v>7825</x:v>
      </x:c>
      <x:c r="N3468" s="7" t="n">
        <x:v>1</x:v>
      </x:c>
      <x:c r="O3468" s="7" t="n">
        <x:v>0</x:v>
      </x:c>
      <x:c r="P3468" s="9" t="n">
        <x:v>16</x:v>
      </x:c>
      <x:c r="Q3468" s="7" t="n">
        <x:f>'Guide'!$B$5-L3468</x:f>
        <x:v>0</x:v>
      </x:c>
      <x:c r="R3468" s="9" t="n">
        <x:f>K3468-P3468</x:f>
        <x:v>0</x:v>
      </x:c>
      <x:c r="S3468" s="10" t="n">
        <x:f>IF(K3468&gt;0,R3468/K3468,"")</x:f>
        <x:v>0</x:v>
      </x:c>
    </x:row>
    <x:row r="3469">
      <x:c r="A3469" s="7" t="n">
        <x:v>3465</x:v>
      </x:c>
      <x:c r="B3469" s="7" t="str">
        <x:v>Tata</x:v>
      </x:c>
      <x:c r="C3469" s="7" t="str">
        <x:v>Safari</x:v>
      </x:c>
      <x:c r="D3469" s="7" t="str">
        <x:v>Smart</x:v>
      </x:c>
      <x:c r="E3469" s="7" t="str">
        <x:v>Diesel</x:v>
      </x:c>
      <x:c r="F3469" s="7" t="str">
        <x:v>Manual</x:v>
      </x:c>
      <x:c r="G3469" s="7" t="str">
        <x:v>SUV</x:v>
      </x:c>
      <x:c r="H3469" s="7" t="n">
        <x:v>1956</x:v>
      </x:c>
      <x:c r="I3469" s="7" t="n">
        <x:v>168</x:v>
      </x:c>
      <x:c r="J3469" s="9" t="n">
        <x:v>16.3</x:v>
      </x:c>
      <x:c r="K3469" s="9" t="n">
        <x:v>16</x:v>
      </x:c>
      <x:c r="L3469" s="7" t="n">
        <x:v>2021</x:v>
      </x:c>
      <x:c r="M3469" s="11" t="n">
        <x:v>52067</x:v>
      </x:c>
      <x:c r="N3469" s="7" t="n">
        <x:v>1</x:v>
      </x:c>
      <x:c r="O3469" s="7" t="n">
        <x:v>0</x:v>
      </x:c>
      <x:c r="P3469" s="9" t="n">
        <x:v>8.74</x:v>
      </x:c>
      <x:c r="Q3469" s="7" t="n">
        <x:f>'Guide'!$B$5-L3469</x:f>
        <x:v>5</x:v>
      </x:c>
      <x:c r="R3469" s="9" t="n">
        <x:f>K3469-P3469</x:f>
        <x:v>7.26</x:v>
      </x:c>
      <x:c r="S3469" s="10" t="n">
        <x:f>IF(K3469&gt;0,R3469/K3469,"")</x:f>
        <x:v>0.45375</x:v>
      </x:c>
    </x:row>
    <x:row r="3470">
      <x:c r="A3470" s="7" t="n">
        <x:v>3466</x:v>
      </x:c>
      <x:c r="B3470" s="7" t="str">
        <x:v>Tata</x:v>
      </x:c>
      <x:c r="C3470" s="7" t="str">
        <x:v>Safari</x:v>
      </x:c>
      <x:c r="D3470" s="7" t="str">
        <x:v>Smart</x:v>
      </x:c>
      <x:c r="E3470" s="7" t="str">
        <x:v>Diesel</x:v>
      </x:c>
      <x:c r="F3470" s="7" t="str">
        <x:v>Manual</x:v>
      </x:c>
      <x:c r="G3470" s="7" t="str">
        <x:v>SUV</x:v>
      </x:c>
      <x:c r="H3470" s="7" t="n">
        <x:v>1956</x:v>
      </x:c>
      <x:c r="I3470" s="7" t="n">
        <x:v>168</x:v>
      </x:c>
      <x:c r="J3470" s="9" t="n">
        <x:v>16.3</x:v>
      </x:c>
      <x:c r="K3470" s="9" t="n">
        <x:v>16</x:v>
      </x:c>
      <x:c r="L3470" s="7" t="n">
        <x:v>2021</x:v>
      </x:c>
      <x:c r="M3470" s="11" t="n">
        <x:v>55158</x:v>
      </x:c>
      <x:c r="N3470" s="7" t="n">
        <x:v>1</x:v>
      </x:c>
      <x:c r="O3470" s="7" t="n">
        <x:v>1</x:v>
      </x:c>
      <x:c r="P3470" s="9" t="n">
        <x:v>7.35</x:v>
      </x:c>
      <x:c r="Q3470" s="7" t="n">
        <x:f>'Guide'!$B$5-L3470</x:f>
        <x:v>5</x:v>
      </x:c>
      <x:c r="R3470" s="9" t="n">
        <x:f>K3470-P3470</x:f>
        <x:v>8.65</x:v>
      </x:c>
      <x:c r="S3470" s="10" t="n">
        <x:f>IF(K3470&gt;0,R3470/K3470,"")</x:f>
        <x:v>0.540625</x:v>
      </x:c>
    </x:row>
    <x:row r="3471">
      <x:c r="A3471" s="7" t="n">
        <x:v>3467</x:v>
      </x:c>
      <x:c r="B3471" s="7" t="str">
        <x:v>Tata</x:v>
      </x:c>
      <x:c r="C3471" s="7" t="str">
        <x:v>Safari</x:v>
      </x:c>
      <x:c r="D3471" s="7" t="str">
        <x:v>Smart</x:v>
      </x:c>
      <x:c r="E3471" s="7" t="str">
        <x:v>Diesel</x:v>
      </x:c>
      <x:c r="F3471" s="7" t="str">
        <x:v>Manual</x:v>
      </x:c>
      <x:c r="G3471" s="7" t="str">
        <x:v>SUV</x:v>
      </x:c>
      <x:c r="H3471" s="7" t="n">
        <x:v>1956</x:v>
      </x:c>
      <x:c r="I3471" s="7" t="n">
        <x:v>168</x:v>
      </x:c>
      <x:c r="J3471" s="9" t="n">
        <x:v>16.3</x:v>
      </x:c>
      <x:c r="K3471" s="9" t="n">
        <x:v>16</x:v>
      </x:c>
      <x:c r="L3471" s="7" t="n">
        <x:v>2021</x:v>
      </x:c>
      <x:c r="M3471" s="11" t="n">
        <x:v>101768</x:v>
      </x:c>
      <x:c r="N3471" s="7" t="n">
        <x:v>2</x:v>
      </x:c>
      <x:c r="O3471" s="7" t="n">
        <x:v>0</x:v>
      </x:c>
      <x:c r="P3471" s="9" t="n">
        <x:v>7.39</x:v>
      </x:c>
      <x:c r="Q3471" s="7" t="n">
        <x:f>'Guide'!$B$5-L3471</x:f>
        <x:v>5</x:v>
      </x:c>
      <x:c r="R3471" s="9" t="n">
        <x:f>K3471-P3471</x:f>
        <x:v>8.61</x:v>
      </x:c>
      <x:c r="S3471" s="10" t="n">
        <x:f>IF(K3471&gt;0,R3471/K3471,"")</x:f>
        <x:v>0.538125</x:v>
      </x:c>
    </x:row>
    <x:row r="3472">
      <x:c r="A3472" s="7" t="n">
        <x:v>3468</x:v>
      </x:c>
      <x:c r="B3472" s="7" t="str">
        <x:v>Tata</x:v>
      </x:c>
      <x:c r="C3472" s="7" t="str">
        <x:v>Safari</x:v>
      </x:c>
      <x:c r="D3472" s="7" t="str">
        <x:v>Smart</x:v>
      </x:c>
      <x:c r="E3472" s="7" t="str">
        <x:v>Diesel</x:v>
      </x:c>
      <x:c r="F3472" s="7" t="str">
        <x:v>Manual</x:v>
      </x:c>
      <x:c r="G3472" s="7" t="str">
        <x:v>SUV</x:v>
      </x:c>
      <x:c r="H3472" s="7" t="n">
        <x:v>1956</x:v>
      </x:c>
      <x:c r="I3472" s="7" t="n">
        <x:v>168</x:v>
      </x:c>
      <x:c r="J3472" s="9" t="n">
        <x:v>16.3</x:v>
      </x:c>
      <x:c r="K3472" s="9" t="n">
        <x:v>16</x:v>
      </x:c>
      <x:c r="L3472" s="7" t="n">
        <x:v>2020</x:v>
      </x:c>
      <x:c r="M3472" s="11" t="n">
        <x:v>69050</x:v>
      </x:c>
      <x:c r="N3472" s="7" t="n">
        <x:v>1</x:v>
      </x:c>
      <x:c r="O3472" s="7" t="n">
        <x:v>0</x:v>
      </x:c>
      <x:c r="P3472" s="9" t="n">
        <x:v>7.13</x:v>
      </x:c>
      <x:c r="Q3472" s="7" t="n">
        <x:f>'Guide'!$B$5-L3472</x:f>
        <x:v>6</x:v>
      </x:c>
      <x:c r="R3472" s="9" t="n">
        <x:f>K3472-P3472</x:f>
        <x:v>8.870000000000001</x:v>
      </x:c>
      <x:c r="S3472" s="10" t="n">
        <x:f>IF(K3472&gt;0,R3472/K3472,"")</x:f>
        <x:v>0.5543750000000001</x:v>
      </x:c>
    </x:row>
    <x:row r="3473">
      <x:c r="A3473" s="7" t="n">
        <x:v>3469</x:v>
      </x:c>
      <x:c r="B3473" s="7" t="str">
        <x:v>Tata</x:v>
      </x:c>
      <x:c r="C3473" s="7" t="str">
        <x:v>Safari</x:v>
      </x:c>
      <x:c r="D3473" s="7" t="str">
        <x:v>Smart</x:v>
      </x:c>
      <x:c r="E3473" s="7" t="str">
        <x:v>Diesel</x:v>
      </x:c>
      <x:c r="F3473" s="7" t="str">
        <x:v>Manual</x:v>
      </x:c>
      <x:c r="G3473" s="7" t="str">
        <x:v>SUV</x:v>
      </x:c>
      <x:c r="H3473" s="7" t="n">
        <x:v>1956</x:v>
      </x:c>
      <x:c r="I3473" s="7" t="n">
        <x:v>168</x:v>
      </x:c>
      <x:c r="J3473" s="9" t="n">
        <x:v>16.3</x:v>
      </x:c>
      <x:c r="K3473" s="9" t="n">
        <x:v>16</x:v>
      </x:c>
      <x:c r="L3473" s="7" t="n">
        <x:v>2022</x:v>
      </x:c>
      <x:c r="M3473" s="11" t="n">
        <x:v>55571</x:v>
      </x:c>
      <x:c r="N3473" s="7" t="n">
        <x:v>2</x:v>
      </x:c>
      <x:c r="O3473" s="7" t="n">
        <x:v>0</x:v>
      </x:c>
      <x:c r="P3473" s="9" t="n">
        <x:v>9.21</x:v>
      </x:c>
      <x:c r="Q3473" s="7" t="n">
        <x:f>'Guide'!$B$5-L3473</x:f>
        <x:v>4</x:v>
      </x:c>
      <x:c r="R3473" s="9" t="n">
        <x:f>K3473-P3473</x:f>
        <x:v>6.789999999999999</x:v>
      </x:c>
      <x:c r="S3473" s="10" t="n">
        <x:f>IF(K3473&gt;0,R3473/K3473,"")</x:f>
        <x:v>0.42437499999999995</x:v>
      </x:c>
    </x:row>
    <x:row r="3474">
      <x:c r="A3474" s="7" t="n">
        <x:v>3470</x:v>
      </x:c>
      <x:c r="B3474" s="7" t="str">
        <x:v>Tata</x:v>
      </x:c>
      <x:c r="C3474" s="7" t="str">
        <x:v>Safari</x:v>
      </x:c>
      <x:c r="D3474" s="7" t="str">
        <x:v>Smart</x:v>
      </x:c>
      <x:c r="E3474" s="7" t="str">
        <x:v>Diesel</x:v>
      </x:c>
      <x:c r="F3474" s="7" t="str">
        <x:v>Manual</x:v>
      </x:c>
      <x:c r="G3474" s="7" t="str">
        <x:v>SUV</x:v>
      </x:c>
      <x:c r="H3474" s="7" t="n">
        <x:v>1956</x:v>
      </x:c>
      <x:c r="I3474" s="7" t="n">
        <x:v>168</x:v>
      </x:c>
      <x:c r="J3474" s="9" t="n">
        <x:v>16.3</x:v>
      </x:c>
      <x:c r="K3474" s="9" t="n">
        <x:v>16</x:v>
      </x:c>
      <x:c r="L3474" s="7" t="n">
        <x:v>2023</x:v>
      </x:c>
      <x:c r="M3474" s="11" t="n">
        <x:v>68514</x:v>
      </x:c>
      <x:c r="N3474" s="7" t="n">
        <x:v>1</x:v>
      </x:c>
      <x:c r="O3474" s="7" t="n">
        <x:v>0</x:v>
      </x:c>
      <x:c r="P3474" s="9" t="n">
        <x:v>10.6</x:v>
      </x:c>
      <x:c r="Q3474" s="7" t="n">
        <x:f>'Guide'!$B$5-L3474</x:f>
        <x:v>3</x:v>
      </x:c>
      <x:c r="R3474" s="9" t="n">
        <x:f>K3474-P3474</x:f>
        <x:v>5.4</x:v>
      </x:c>
      <x:c r="S3474" s="10" t="n">
        <x:f>IF(K3474&gt;0,R3474/K3474,"")</x:f>
        <x:v>0.3375</x:v>
      </x:c>
    </x:row>
    <x:row r="3475">
      <x:c r="A3475" s="7" t="n">
        <x:v>3471</x:v>
      </x:c>
      <x:c r="B3475" s="7" t="str">
        <x:v>Tata</x:v>
      </x:c>
      <x:c r="C3475" s="7" t="str">
        <x:v>Safari</x:v>
      </x:c>
      <x:c r="D3475" s="7" t="str">
        <x:v>Smart</x:v>
      </x:c>
      <x:c r="E3475" s="7" t="str">
        <x:v>Diesel</x:v>
      </x:c>
      <x:c r="F3475" s="7" t="str">
        <x:v>Manual</x:v>
      </x:c>
      <x:c r="G3475" s="7" t="str">
        <x:v>SUV</x:v>
      </x:c>
      <x:c r="H3475" s="7" t="n">
        <x:v>1956</x:v>
      </x:c>
      <x:c r="I3475" s="7" t="n">
        <x:v>168</x:v>
      </x:c>
      <x:c r="J3475" s="9" t="n">
        <x:v>16.3</x:v>
      </x:c>
      <x:c r="K3475" s="9" t="n">
        <x:v>16</x:v>
      </x:c>
      <x:c r="L3475" s="7" t="n">
        <x:v>2023</x:v>
      </x:c>
      <x:c r="M3475" s="11" t="n">
        <x:v>50221</x:v>
      </x:c>
      <x:c r="N3475" s="7" t="n">
        <x:v>3</x:v>
      </x:c>
      <x:c r="O3475" s="7" t="n">
        <x:v>0</x:v>
      </x:c>
      <x:c r="P3475" s="9" t="n">
        <x:v>10.59</x:v>
      </x:c>
      <x:c r="Q3475" s="7" t="n">
        <x:f>'Guide'!$B$5-L3475</x:f>
        <x:v>3</x:v>
      </x:c>
      <x:c r="R3475" s="9" t="n">
        <x:f>K3475-P3475</x:f>
        <x:v>5.41</x:v>
      </x:c>
      <x:c r="S3475" s="10" t="n">
        <x:f>IF(K3475&gt;0,R3475/K3475,"")</x:f>
        <x:v>0.338125</x:v>
      </x:c>
    </x:row>
    <x:row r="3476">
      <x:c r="A3476" s="7" t="n">
        <x:v>3472</x:v>
      </x:c>
      <x:c r="B3476" s="7" t="str">
        <x:v>Tata</x:v>
      </x:c>
      <x:c r="C3476" s="7" t="str">
        <x:v>Safari</x:v>
      </x:c>
      <x:c r="D3476" s="7" t="str">
        <x:v>Smart</x:v>
      </x:c>
      <x:c r="E3476" s="7" t="str">
        <x:v>Diesel</x:v>
      </x:c>
      <x:c r="F3476" s="7" t="str">
        <x:v>Manual</x:v>
      </x:c>
      <x:c r="G3476" s="7" t="str">
        <x:v>SUV</x:v>
      </x:c>
      <x:c r="H3476" s="7" t="n">
        <x:v>1956</x:v>
      </x:c>
      <x:c r="I3476" s="7" t="n">
        <x:v>168</x:v>
      </x:c>
      <x:c r="J3476" s="9" t="n">
        <x:v>16.3</x:v>
      </x:c>
      <x:c r="K3476" s="9" t="n">
        <x:v>16</x:v>
      </x:c>
      <x:c r="L3476" s="7" t="n">
        <x:v>2024</x:v>
      </x:c>
      <x:c r="M3476" s="11" t="n">
        <x:v>24646</x:v>
      </x:c>
      <x:c r="N3476" s="7" t="n">
        <x:v>1</x:v>
      </x:c>
      <x:c r="O3476" s="7" t="n">
        <x:v>0</x:v>
      </x:c>
      <x:c r="P3476" s="9" t="n">
        <x:v>12.63</x:v>
      </x:c>
      <x:c r="Q3476" s="7" t="n">
        <x:f>'Guide'!$B$5-L3476</x:f>
        <x:v>2</x:v>
      </x:c>
      <x:c r="R3476" s="9" t="n">
        <x:f>K3476-P3476</x:f>
        <x:v>3.369999999999999</x:v>
      </x:c>
      <x:c r="S3476" s="10" t="n">
        <x:f>IF(K3476&gt;0,R3476/K3476,"")</x:f>
        <x:v>0.21062499999999995</x:v>
      </x:c>
    </x:row>
    <x:row r="3477">
      <x:c r="A3477" s="7" t="n">
        <x:v>3473</x:v>
      </x:c>
      <x:c r="B3477" s="7" t="str">
        <x:v>Tata</x:v>
      </x:c>
      <x:c r="C3477" s="7" t="str">
        <x:v>Safari</x:v>
      </x:c>
      <x:c r="D3477" s="7" t="str">
        <x:v>Smart</x:v>
      </x:c>
      <x:c r="E3477" s="7" t="str">
        <x:v>Diesel</x:v>
      </x:c>
      <x:c r="F3477" s="7" t="str">
        <x:v>Manual</x:v>
      </x:c>
      <x:c r="G3477" s="7" t="str">
        <x:v>SUV</x:v>
      </x:c>
      <x:c r="H3477" s="7" t="n">
        <x:v>1956</x:v>
      </x:c>
      <x:c r="I3477" s="7" t="n">
        <x:v>168</x:v>
      </x:c>
      <x:c r="J3477" s="9" t="n">
        <x:v>16.3</x:v>
      </x:c>
      <x:c r="K3477" s="9" t="n">
        <x:v>16</x:v>
      </x:c>
      <x:c r="L3477" s="7" t="n">
        <x:v>2022</x:v>
      </x:c>
      <x:c r="M3477" s="11" t="n">
        <x:v>54205</x:v>
      </x:c>
      <x:c r="N3477" s="7" t="n">
        <x:v>1</x:v>
      </x:c>
      <x:c r="O3477" s="7" t="n">
        <x:v>0</x:v>
      </x:c>
      <x:c r="P3477" s="9" t="n">
        <x:v>10</x:v>
      </x:c>
      <x:c r="Q3477" s="7" t="n">
        <x:f>'Guide'!$B$5-L3477</x:f>
        <x:v>4</x:v>
      </x:c>
      <x:c r="R3477" s="9" t="n">
        <x:f>K3477-P3477</x:f>
        <x:v>6</x:v>
      </x:c>
      <x:c r="S3477" s="10" t="n">
        <x:f>IF(K3477&gt;0,R3477/K3477,"")</x:f>
        <x:v>0.375</x:v>
      </x:c>
    </x:row>
    <x:row r="3478">
      <x:c r="A3478" s="7" t="n">
        <x:v>3474</x:v>
      </x:c>
      <x:c r="B3478" s="7" t="str">
        <x:v>Tata</x:v>
      </x:c>
      <x:c r="C3478" s="7" t="str">
        <x:v>Safari</x:v>
      </x:c>
      <x:c r="D3478" s="7" t="str">
        <x:v>Smart</x:v>
      </x:c>
      <x:c r="E3478" s="7" t="str">
        <x:v>Diesel</x:v>
      </x:c>
      <x:c r="F3478" s="7" t="str">
        <x:v>Manual</x:v>
      </x:c>
      <x:c r="G3478" s="7" t="str">
        <x:v>SUV</x:v>
      </x:c>
      <x:c r="H3478" s="7" t="n">
        <x:v>1956</x:v>
      </x:c>
      <x:c r="I3478" s="7" t="n">
        <x:v>168</x:v>
      </x:c>
      <x:c r="J3478" s="9" t="n">
        <x:v>16.3</x:v>
      </x:c>
      <x:c r="K3478" s="9" t="n">
        <x:v>16</x:v>
      </x:c>
      <x:c r="L3478" s="7" t="n">
        <x:v>2020</x:v>
      </x:c>
      <x:c r="M3478" s="11" t="n">
        <x:v>124535</x:v>
      </x:c>
      <x:c r="N3478" s="7" t="n">
        <x:v>2</x:v>
      </x:c>
      <x:c r="O3478" s="7" t="n">
        <x:v>0</x:v>
      </x:c>
      <x:c r="P3478" s="9" t="n">
        <x:v>5.22</x:v>
      </x:c>
      <x:c r="Q3478" s="7" t="n">
        <x:f>'Guide'!$B$5-L3478</x:f>
        <x:v>6</x:v>
      </x:c>
      <x:c r="R3478" s="9" t="n">
        <x:f>K3478-P3478</x:f>
        <x:v>10.780000000000001</x:v>
      </x:c>
      <x:c r="S3478" s="10" t="n">
        <x:f>IF(K3478&gt;0,R3478/K3478,"")</x:f>
        <x:v>0.6737500000000001</x:v>
      </x:c>
    </x:row>
    <x:row r="3479">
      <x:c r="A3479" s="7" t="n">
        <x:v>3475</x:v>
      </x:c>
      <x:c r="B3479" s="7" t="str">
        <x:v>Tata</x:v>
      </x:c>
      <x:c r="C3479" s="7" t="str">
        <x:v>Safari</x:v>
      </x:c>
      <x:c r="D3479" s="7" t="str">
        <x:v>Smart</x:v>
      </x:c>
      <x:c r="E3479" s="7" t="str">
        <x:v>Diesel</x:v>
      </x:c>
      <x:c r="F3479" s="7" t="str">
        <x:v>Manual</x:v>
      </x:c>
      <x:c r="G3479" s="7" t="str">
        <x:v>SUV</x:v>
      </x:c>
      <x:c r="H3479" s="7" t="n">
        <x:v>1956</x:v>
      </x:c>
      <x:c r="I3479" s="7" t="n">
        <x:v>168</x:v>
      </x:c>
      <x:c r="J3479" s="9" t="n">
        <x:v>16.3</x:v>
      </x:c>
      <x:c r="K3479" s="9" t="n">
        <x:v>16</x:v>
      </x:c>
      <x:c r="L3479" s="7" t="n">
        <x:v>2020</x:v>
      </x:c>
      <x:c r="M3479" s="11" t="n">
        <x:v>69563</x:v>
      </x:c>
      <x:c r="N3479" s="7" t="n">
        <x:v>2</x:v>
      </x:c>
      <x:c r="O3479" s="7" t="n">
        <x:v>0</x:v>
      </x:c>
      <x:c r="P3479" s="9" t="n">
        <x:v>6.43</x:v>
      </x:c>
      <x:c r="Q3479" s="7" t="n">
        <x:f>'Guide'!$B$5-L3479</x:f>
        <x:v>6</x:v>
      </x:c>
      <x:c r="R3479" s="9" t="n">
        <x:f>K3479-P3479</x:f>
        <x:v>9.57</x:v>
      </x:c>
      <x:c r="S3479" s="10" t="n">
        <x:f>IF(K3479&gt;0,R3479/K3479,"")</x:f>
        <x:v>0.598125</x:v>
      </x:c>
    </x:row>
    <x:row r="3480">
      <x:c r="A3480" s="7" t="n">
        <x:v>3476</x:v>
      </x:c>
      <x:c r="B3480" s="7" t="str">
        <x:v>Tata</x:v>
      </x:c>
      <x:c r="C3480" s="7" t="str">
        <x:v>Safari</x:v>
      </x:c>
      <x:c r="D3480" s="7" t="str">
        <x:v>Smart</x:v>
      </x:c>
      <x:c r="E3480" s="7" t="str">
        <x:v>Diesel</x:v>
      </x:c>
      <x:c r="F3480" s="7" t="str">
        <x:v>Manual</x:v>
      </x:c>
      <x:c r="G3480" s="7" t="str">
        <x:v>SUV</x:v>
      </x:c>
      <x:c r="H3480" s="7" t="n">
        <x:v>1956</x:v>
      </x:c>
      <x:c r="I3480" s="7" t="n">
        <x:v>168</x:v>
      </x:c>
      <x:c r="J3480" s="9" t="n">
        <x:v>16.3</x:v>
      </x:c>
      <x:c r="K3480" s="9" t="n">
        <x:v>16</x:v>
      </x:c>
      <x:c r="L3480" s="7" t="n">
        <x:v>2024</x:v>
      </x:c>
      <x:c r="M3480" s="11" t="n">
        <x:v>48017</x:v>
      </x:c>
      <x:c r="N3480" s="7" t="n">
        <x:v>1</x:v>
      </x:c>
      <x:c r="O3480" s="7" t="n">
        <x:v>0</x:v>
      </x:c>
      <x:c r="P3480" s="9" t="n">
        <x:v>12.54</x:v>
      </x:c>
      <x:c r="Q3480" s="7" t="n">
        <x:f>'Guide'!$B$5-L3480</x:f>
        <x:v>2</x:v>
      </x:c>
      <x:c r="R3480" s="9" t="n">
        <x:f>K3480-P3480</x:f>
        <x:v>3.460000000000001</x:v>
      </x:c>
      <x:c r="S3480" s="10" t="n">
        <x:f>IF(K3480&gt;0,R3480/K3480,"")</x:f>
        <x:v>0.21625000000000005</x:v>
      </x:c>
    </x:row>
    <x:row r="3481">
      <x:c r="A3481" s="7" t="n">
        <x:v>3477</x:v>
      </x:c>
      <x:c r="B3481" s="7" t="str">
        <x:v>Tata</x:v>
      </x:c>
      <x:c r="C3481" s="7" t="str">
        <x:v>Safari</x:v>
      </x:c>
      <x:c r="D3481" s="7" t="str">
        <x:v>Smart</x:v>
      </x:c>
      <x:c r="E3481" s="7" t="str">
        <x:v>Diesel</x:v>
      </x:c>
      <x:c r="F3481" s="7" t="str">
        <x:v>Manual</x:v>
      </x:c>
      <x:c r="G3481" s="7" t="str">
        <x:v>SUV</x:v>
      </x:c>
      <x:c r="H3481" s="7" t="n">
        <x:v>1956</x:v>
      </x:c>
      <x:c r="I3481" s="7" t="n">
        <x:v>168</x:v>
      </x:c>
      <x:c r="J3481" s="9" t="n">
        <x:v>16.3</x:v>
      </x:c>
      <x:c r="K3481" s="9" t="n">
        <x:v>16</x:v>
      </x:c>
      <x:c r="L3481" s="7" t="n">
        <x:v>2020</x:v>
      </x:c>
      <x:c r="M3481" s="11" t="n">
        <x:v>123403</x:v>
      </x:c>
      <x:c r="N3481" s="7" t="n">
        <x:v>2</x:v>
      </x:c>
      <x:c r="O3481" s="7" t="n">
        <x:v>0</x:v>
      </x:c>
      <x:c r="P3481" s="9" t="n">
        <x:v>5.37</x:v>
      </x:c>
      <x:c r="Q3481" s="7" t="n">
        <x:f>'Guide'!$B$5-L3481</x:f>
        <x:v>6</x:v>
      </x:c>
      <x:c r="R3481" s="9" t="n">
        <x:f>K3481-P3481</x:f>
        <x:v>10.629999999999999</x:v>
      </x:c>
      <x:c r="S3481" s="10" t="n">
        <x:f>IF(K3481&gt;0,R3481/K3481,"")</x:f>
        <x:v>0.6643749999999999</x:v>
      </x:c>
    </x:row>
    <x:row r="3482">
      <x:c r="A3482" s="7" t="n">
        <x:v>3478</x:v>
      </x:c>
      <x:c r="B3482" s="7" t="str">
        <x:v>Tata</x:v>
      </x:c>
      <x:c r="C3482" s="7" t="str">
        <x:v>Safari</x:v>
      </x:c>
      <x:c r="D3482" s="7" t="str">
        <x:v>Smart</x:v>
      </x:c>
      <x:c r="E3482" s="7" t="str">
        <x:v>Diesel</x:v>
      </x:c>
      <x:c r="F3482" s="7" t="str">
        <x:v>Manual</x:v>
      </x:c>
      <x:c r="G3482" s="7" t="str">
        <x:v>SUV</x:v>
      </x:c>
      <x:c r="H3482" s="7" t="n">
        <x:v>1956</x:v>
      </x:c>
      <x:c r="I3482" s="7" t="n">
        <x:v>168</x:v>
      </x:c>
      <x:c r="J3482" s="9" t="n">
        <x:v>16.3</x:v>
      </x:c>
      <x:c r="K3482" s="9" t="n">
        <x:v>16</x:v>
      </x:c>
      <x:c r="L3482" s="7" t="n">
        <x:v>2023</x:v>
      </x:c>
      <x:c r="M3482" s="11" t="n">
        <x:v>60035</x:v>
      </x:c>
      <x:c r="N3482" s="7" t="n">
        <x:v>2</x:v>
      </x:c>
      <x:c r="O3482" s="7" t="n">
        <x:v>0</x:v>
      </x:c>
      <x:c r="P3482" s="9" t="n">
        <x:v>10.97</x:v>
      </x:c>
      <x:c r="Q3482" s="7" t="n">
        <x:f>'Guide'!$B$5-L3482</x:f>
        <x:v>3</x:v>
      </x:c>
      <x:c r="R3482" s="9" t="n">
        <x:f>K3482-P3482</x:f>
        <x:v>5.029999999999999</x:v>
      </x:c>
      <x:c r="S3482" s="10" t="n">
        <x:f>IF(K3482&gt;0,R3482/K3482,"")</x:f>
        <x:v>0.31437499999999996</x:v>
      </x:c>
    </x:row>
    <x:row r="3483">
      <x:c r="A3483" s="7" t="n">
        <x:v>3479</x:v>
      </x:c>
      <x:c r="B3483" s="7" t="str">
        <x:v>Tata</x:v>
      </x:c>
      <x:c r="C3483" s="7" t="str">
        <x:v>Safari</x:v>
      </x:c>
      <x:c r="D3483" s="7" t="str">
        <x:v>Smart</x:v>
      </x:c>
      <x:c r="E3483" s="7" t="str">
        <x:v>Diesel</x:v>
      </x:c>
      <x:c r="F3483" s="7" t="str">
        <x:v>Manual</x:v>
      </x:c>
      <x:c r="G3483" s="7" t="str">
        <x:v>SUV</x:v>
      </x:c>
      <x:c r="H3483" s="7" t="n">
        <x:v>1956</x:v>
      </x:c>
      <x:c r="I3483" s="7" t="n">
        <x:v>168</x:v>
      </x:c>
      <x:c r="J3483" s="9" t="n">
        <x:v>16.3</x:v>
      </x:c>
      <x:c r="K3483" s="9" t="n">
        <x:v>16</x:v>
      </x:c>
      <x:c r="L3483" s="7" t="n">
        <x:v>2023</x:v>
      </x:c>
      <x:c r="M3483" s="11" t="n">
        <x:v>28356</x:v>
      </x:c>
      <x:c r="N3483" s="7" t="n">
        <x:v>1</x:v>
      </x:c>
      <x:c r="O3483" s="7" t="n">
        <x:v>0</x:v>
      </x:c>
      <x:c r="P3483" s="9" t="n">
        <x:v>12</x:v>
      </x:c>
      <x:c r="Q3483" s="7" t="n">
        <x:f>'Guide'!$B$5-L3483</x:f>
        <x:v>3</x:v>
      </x:c>
      <x:c r="R3483" s="9" t="n">
        <x:f>K3483-P3483</x:f>
        <x:v>4</x:v>
      </x:c>
      <x:c r="S3483" s="10" t="n">
        <x:f>IF(K3483&gt;0,R3483/K3483,"")</x:f>
        <x:v>0.25</x:v>
      </x:c>
    </x:row>
    <x:row r="3484">
      <x:c r="A3484" s="7" t="n">
        <x:v>3480</x:v>
      </x:c>
      <x:c r="B3484" s="7" t="str">
        <x:v>Tata</x:v>
      </x:c>
      <x:c r="C3484" s="7" t="str">
        <x:v>Safari</x:v>
      </x:c>
      <x:c r="D3484" s="7" t="str">
        <x:v>Smart</x:v>
      </x:c>
      <x:c r="E3484" s="7" t="str">
        <x:v>Diesel</x:v>
      </x:c>
      <x:c r="F3484" s="7" t="str">
        <x:v>Manual</x:v>
      </x:c>
      <x:c r="G3484" s="7" t="str">
        <x:v>SUV</x:v>
      </x:c>
      <x:c r="H3484" s="7" t="n">
        <x:v>1956</x:v>
      </x:c>
      <x:c r="I3484" s="7" t="n">
        <x:v>168</x:v>
      </x:c>
      <x:c r="J3484" s="9" t="n">
        <x:v>16.3</x:v>
      </x:c>
      <x:c r="K3484" s="9" t="n">
        <x:v>16</x:v>
      </x:c>
      <x:c r="L3484" s="7" t="n">
        <x:v>2025</x:v>
      </x:c>
      <x:c r="M3484" s="11" t="n">
        <x:v>25003</x:v>
      </x:c>
      <x:c r="N3484" s="7" t="n">
        <x:v>1</x:v>
      </x:c>
      <x:c r="O3484" s="7" t="n">
        <x:v>0</x:v>
      </x:c>
      <x:c r="P3484" s="9" t="n">
        <x:v>14.43</x:v>
      </x:c>
      <x:c r="Q3484" s="7" t="n">
        <x:f>'Guide'!$B$5-L3484</x:f>
        <x:v>1</x:v>
      </x:c>
      <x:c r="R3484" s="9" t="n">
        <x:f>K3484-P3484</x:f>
        <x:v>1.5700000000000003</x:v>
      </x:c>
      <x:c r="S3484" s="10" t="n">
        <x:f>IF(K3484&gt;0,R3484/K3484,"")</x:f>
        <x:v>0.09812500000000002</x:v>
      </x:c>
    </x:row>
    <x:row r="3485">
      <x:c r="A3485" s="7" t="n">
        <x:v>3481</x:v>
      </x:c>
      <x:c r="B3485" s="7" t="str">
        <x:v>Tata</x:v>
      </x:c>
      <x:c r="C3485" s="7" t="str">
        <x:v>Safari</x:v>
      </x:c>
      <x:c r="D3485" s="7" t="str">
        <x:v>Smart</x:v>
      </x:c>
      <x:c r="E3485" s="7" t="str">
        <x:v>Diesel</x:v>
      </x:c>
      <x:c r="F3485" s="7" t="str">
        <x:v>Manual</x:v>
      </x:c>
      <x:c r="G3485" s="7" t="str">
        <x:v>SUV</x:v>
      </x:c>
      <x:c r="H3485" s="7" t="n">
        <x:v>1956</x:v>
      </x:c>
      <x:c r="I3485" s="7" t="n">
        <x:v>168</x:v>
      </x:c>
      <x:c r="J3485" s="9" t="n">
        <x:v>16.3</x:v>
      </x:c>
      <x:c r="K3485" s="9" t="n">
        <x:v>16</x:v>
      </x:c>
      <x:c r="L3485" s="7" t="n">
        <x:v>2020</x:v>
      </x:c>
      <x:c r="M3485" s="11" t="n">
        <x:v>75551</x:v>
      </x:c>
      <x:c r="N3485" s="7" t="n">
        <x:v>2</x:v>
      </x:c>
      <x:c r="O3485" s="7" t="n">
        <x:v>0</x:v>
      </x:c>
      <x:c r="P3485" s="9" t="n">
        <x:v>6.37</x:v>
      </x:c>
      <x:c r="Q3485" s="7" t="n">
        <x:f>'Guide'!$B$5-L3485</x:f>
        <x:v>6</x:v>
      </x:c>
      <x:c r="R3485" s="9" t="n">
        <x:f>K3485-P3485</x:f>
        <x:v>9.629999999999999</x:v>
      </x:c>
      <x:c r="S3485" s="10" t="n">
        <x:f>IF(K3485&gt;0,R3485/K3485,"")</x:f>
        <x:v>0.6018749999999999</x:v>
      </x:c>
    </x:row>
    <x:row r="3486">
      <x:c r="A3486" s="7" t="n">
        <x:v>3482</x:v>
      </x:c>
      <x:c r="B3486" s="7" t="str">
        <x:v>Tata</x:v>
      </x:c>
      <x:c r="C3486" s="7" t="str">
        <x:v>Safari</x:v>
      </x:c>
      <x:c r="D3486" s="7" t="str">
        <x:v>Smart</x:v>
      </x:c>
      <x:c r="E3486" s="7" t="str">
        <x:v>Diesel</x:v>
      </x:c>
      <x:c r="F3486" s="7" t="str">
        <x:v>Manual</x:v>
      </x:c>
      <x:c r="G3486" s="7" t="str">
        <x:v>SUV</x:v>
      </x:c>
      <x:c r="H3486" s="7" t="n">
        <x:v>1956</x:v>
      </x:c>
      <x:c r="I3486" s="7" t="n">
        <x:v>168</x:v>
      </x:c>
      <x:c r="J3486" s="9" t="n">
        <x:v>16.3</x:v>
      </x:c>
      <x:c r="K3486" s="9" t="n">
        <x:v>16</x:v>
      </x:c>
      <x:c r="L3486" s="7" t="n">
        <x:v>2025</x:v>
      </x:c>
      <x:c r="M3486" s="11" t="n">
        <x:v>22555</x:v>
      </x:c>
      <x:c r="N3486" s="7" t="n">
        <x:v>2</x:v>
      </x:c>
      <x:c r="O3486" s="7" t="n">
        <x:v>0</x:v>
      </x:c>
      <x:c r="P3486" s="9" t="n">
        <x:v>13.64</x:v>
      </x:c>
      <x:c r="Q3486" s="7" t="n">
        <x:f>'Guide'!$B$5-L3486</x:f>
        <x:v>1</x:v>
      </x:c>
      <x:c r="R3486" s="9" t="n">
        <x:f>K3486-P3486</x:f>
        <x:v>2.3599999999999994</x:v>
      </x:c>
      <x:c r="S3486" s="10" t="n">
        <x:f>IF(K3486&gt;0,R3486/K3486,"")</x:f>
        <x:v>0.14749999999999996</x:v>
      </x:c>
    </x:row>
    <x:row r="3487">
      <x:c r="A3487" s="7" t="n">
        <x:v>3483</x:v>
      </x:c>
      <x:c r="B3487" s="7" t="str">
        <x:v>Tata</x:v>
      </x:c>
      <x:c r="C3487" s="7" t="str">
        <x:v>Safari</x:v>
      </x:c>
      <x:c r="D3487" s="7" t="str">
        <x:v>Smart</x:v>
      </x:c>
      <x:c r="E3487" s="7" t="str">
        <x:v>Diesel</x:v>
      </x:c>
      <x:c r="F3487" s="7" t="str">
        <x:v>Manual</x:v>
      </x:c>
      <x:c r="G3487" s="7" t="str">
        <x:v>SUV</x:v>
      </x:c>
      <x:c r="H3487" s="7" t="n">
        <x:v>1956</x:v>
      </x:c>
      <x:c r="I3487" s="7" t="n">
        <x:v>168</x:v>
      </x:c>
      <x:c r="J3487" s="9" t="n">
        <x:v>16.3</x:v>
      </x:c>
      <x:c r="K3487" s="9" t="n">
        <x:v>16</x:v>
      </x:c>
      <x:c r="L3487" s="7" t="n">
        <x:v>2026</x:v>
      </x:c>
      <x:c r="M3487" s="11" t="n">
        <x:v>6045</x:v>
      </x:c>
      <x:c r="N3487" s="7" t="n">
        <x:v>2</x:v>
      </x:c>
      <x:c r="O3487" s="7" t="n">
        <x:v>0</x:v>
      </x:c>
      <x:c r="P3487" s="9" t="n">
        <x:v>15.35</x:v>
      </x:c>
      <x:c r="Q3487" s="7" t="n">
        <x:f>'Guide'!$B$5-L3487</x:f>
        <x:v>0</x:v>
      </x:c>
      <x:c r="R3487" s="9" t="n">
        <x:f>K3487-P3487</x:f>
        <x:v>0.6500000000000004</x:v>
      </x:c>
      <x:c r="S3487" s="10" t="n">
        <x:f>IF(K3487&gt;0,R3487/K3487,"")</x:f>
        <x:v>0.04062500000000002</x:v>
      </x:c>
    </x:row>
    <x:row r="3488">
      <x:c r="A3488" s="7" t="n">
        <x:v>3484</x:v>
      </x:c>
      <x:c r="B3488" s="7" t="str">
        <x:v>Tata</x:v>
      </x:c>
      <x:c r="C3488" s="7" t="str">
        <x:v>Safari</x:v>
      </x:c>
      <x:c r="D3488" s="7" t="str">
        <x:v>Smart</x:v>
      </x:c>
      <x:c r="E3488" s="7" t="str">
        <x:v>Diesel</x:v>
      </x:c>
      <x:c r="F3488" s="7" t="str">
        <x:v>Manual</x:v>
      </x:c>
      <x:c r="G3488" s="7" t="str">
        <x:v>SUV</x:v>
      </x:c>
      <x:c r="H3488" s="7" t="n">
        <x:v>1956</x:v>
      </x:c>
      <x:c r="I3488" s="7" t="n">
        <x:v>168</x:v>
      </x:c>
      <x:c r="J3488" s="9" t="n">
        <x:v>16.3</x:v>
      </x:c>
      <x:c r="K3488" s="9" t="n">
        <x:v>16</x:v>
      </x:c>
      <x:c r="L3488" s="7" t="n">
        <x:v>2024</x:v>
      </x:c>
      <x:c r="M3488" s="11" t="n">
        <x:v>31759</x:v>
      </x:c>
      <x:c r="N3488" s="7" t="n">
        <x:v>1</x:v>
      </x:c>
      <x:c r="O3488" s="7" t="n">
        <x:v>1</x:v>
      </x:c>
      <x:c r="P3488" s="9" t="n">
        <x:v>11.69</x:v>
      </x:c>
      <x:c r="Q3488" s="7" t="n">
        <x:f>'Guide'!$B$5-L3488</x:f>
        <x:v>2</x:v>
      </x:c>
      <x:c r="R3488" s="9" t="n">
        <x:f>K3488-P3488</x:f>
        <x:v>4.3100000000000005</x:v>
      </x:c>
      <x:c r="S3488" s="10" t="n">
        <x:f>IF(K3488&gt;0,R3488/K3488,"")</x:f>
        <x:v>0.26937500000000003</x:v>
      </x:c>
    </x:row>
    <x:row r="3489">
      <x:c r="A3489" s="7" t="n">
        <x:v>3485</x:v>
      </x:c>
      <x:c r="B3489" s="7" t="str">
        <x:v>Tata</x:v>
      </x:c>
      <x:c r="C3489" s="7" t="str">
        <x:v>Safari</x:v>
      </x:c>
      <x:c r="D3489" s="7" t="str">
        <x:v>Smart</x:v>
      </x:c>
      <x:c r="E3489" s="7" t="str">
        <x:v>Diesel</x:v>
      </x:c>
      <x:c r="F3489" s="7" t="str">
        <x:v>Manual</x:v>
      </x:c>
      <x:c r="G3489" s="7" t="str">
        <x:v>SUV</x:v>
      </x:c>
      <x:c r="H3489" s="7" t="n">
        <x:v>1956</x:v>
      </x:c>
      <x:c r="I3489" s="7" t="n">
        <x:v>168</x:v>
      </x:c>
      <x:c r="J3489" s="9" t="n">
        <x:v>16.3</x:v>
      </x:c>
      <x:c r="K3489" s="9" t="n">
        <x:v>16</x:v>
      </x:c>
      <x:c r="L3489" s="7" t="n">
        <x:v>2020</x:v>
      </x:c>
      <x:c r="M3489" s="11" t="n">
        <x:v>102536</x:v>
      </x:c>
      <x:c r="N3489" s="7" t="n">
        <x:v>1</x:v>
      </x:c>
      <x:c r="O3489" s="7" t="n">
        <x:v>0</x:v>
      </x:c>
      <x:c r="P3489" s="9" t="n">
        <x:v>6.09</x:v>
      </x:c>
      <x:c r="Q3489" s="7" t="n">
        <x:f>'Guide'!$B$5-L3489</x:f>
        <x:v>6</x:v>
      </x:c>
      <x:c r="R3489" s="9" t="n">
        <x:f>K3489-P3489</x:f>
        <x:v>9.91</x:v>
      </x:c>
      <x:c r="S3489" s="10" t="n">
        <x:f>IF(K3489&gt;0,R3489/K3489,"")</x:f>
        <x:v>0.619375</x:v>
      </x:c>
    </x:row>
    <x:row r="3490">
      <x:c r="A3490" s="7" t="n">
        <x:v>3486</x:v>
      </x:c>
      <x:c r="B3490" s="7" t="str">
        <x:v>Tata</x:v>
      </x:c>
      <x:c r="C3490" s="7" t="str">
        <x:v>Safari</x:v>
      </x:c>
      <x:c r="D3490" s="7" t="str">
        <x:v>Smart</x:v>
      </x:c>
      <x:c r="E3490" s="7" t="str">
        <x:v>Diesel</x:v>
      </x:c>
      <x:c r="F3490" s="7" t="str">
        <x:v>Manual</x:v>
      </x:c>
      <x:c r="G3490" s="7" t="str">
        <x:v>SUV</x:v>
      </x:c>
      <x:c r="H3490" s="7" t="n">
        <x:v>1956</x:v>
      </x:c>
      <x:c r="I3490" s="7" t="n">
        <x:v>168</x:v>
      </x:c>
      <x:c r="J3490" s="9" t="n">
        <x:v>16.3</x:v>
      </x:c>
      <x:c r="K3490" s="9" t="n">
        <x:v>16</x:v>
      </x:c>
      <x:c r="L3490" s="7" t="n">
        <x:v>2021</x:v>
      </x:c>
      <x:c r="M3490" s="11" t="n">
        <x:v>51091</x:v>
      </x:c>
      <x:c r="N3490" s="7" t="n">
        <x:v>1</x:v>
      </x:c>
      <x:c r="O3490" s="7" t="n">
        <x:v>0</x:v>
      </x:c>
      <x:c r="P3490" s="9" t="n">
        <x:v>8.88</x:v>
      </x:c>
      <x:c r="Q3490" s="7" t="n">
        <x:f>'Guide'!$B$5-L3490</x:f>
        <x:v>5</x:v>
      </x:c>
      <x:c r="R3490" s="9" t="n">
        <x:f>K3490-P3490</x:f>
        <x:v>7.119999999999999</x:v>
      </x:c>
      <x:c r="S3490" s="10" t="n">
        <x:f>IF(K3490&gt;0,R3490/K3490,"")</x:f>
        <x:v>0.44499999999999995</x:v>
      </x:c>
    </x:row>
    <x:row r="3491">
      <x:c r="A3491" s="7" t="n">
        <x:v>3487</x:v>
      </x:c>
      <x:c r="B3491" s="7" t="str">
        <x:v>Tata</x:v>
      </x:c>
      <x:c r="C3491" s="7" t="str">
        <x:v>Safari</x:v>
      </x:c>
      <x:c r="D3491" s="7" t="str">
        <x:v>Smart</x:v>
      </x:c>
      <x:c r="E3491" s="7" t="str">
        <x:v>Diesel</x:v>
      </x:c>
      <x:c r="F3491" s="7" t="str">
        <x:v>Manual</x:v>
      </x:c>
      <x:c r="G3491" s="7" t="str">
        <x:v>SUV</x:v>
      </x:c>
      <x:c r="H3491" s="7" t="n">
        <x:v>1956</x:v>
      </x:c>
      <x:c r="I3491" s="7" t="n">
        <x:v>168</x:v>
      </x:c>
      <x:c r="J3491" s="9" t="n">
        <x:v>16.3</x:v>
      </x:c>
      <x:c r="K3491" s="9" t="n">
        <x:v>16</x:v>
      </x:c>
      <x:c r="L3491" s="7" t="n">
        <x:v>2025</x:v>
      </x:c>
      <x:c r="M3491" s="11" t="n">
        <x:v>24654</x:v>
      </x:c>
      <x:c r="N3491" s="7" t="n">
        <x:v>3</x:v>
      </x:c>
      <x:c r="O3491" s="7" t="n">
        <x:v>0</x:v>
      </x:c>
      <x:c r="P3491" s="9" t="n">
        <x:v>13.12</x:v>
      </x:c>
      <x:c r="Q3491" s="7" t="n">
        <x:f>'Guide'!$B$5-L3491</x:f>
        <x:v>1</x:v>
      </x:c>
      <x:c r="R3491" s="9" t="n">
        <x:f>K3491-P3491</x:f>
        <x:v>2.880000000000001</x:v>
      </x:c>
      <x:c r="S3491" s="10" t="n">
        <x:f>IF(K3491&gt;0,R3491/K3491,"")</x:f>
        <x:v>0.18000000000000005</x:v>
      </x:c>
    </x:row>
    <x:row r="3492">
      <x:c r="A3492" s="7" t="n">
        <x:v>3488</x:v>
      </x:c>
      <x:c r="B3492" s="7" t="str">
        <x:v>Tata</x:v>
      </x:c>
      <x:c r="C3492" s="7" t="str">
        <x:v>Safari</x:v>
      </x:c>
      <x:c r="D3492" s="7" t="str">
        <x:v>Smart</x:v>
      </x:c>
      <x:c r="E3492" s="7" t="str">
        <x:v>Diesel</x:v>
      </x:c>
      <x:c r="F3492" s="7" t="str">
        <x:v>Manual</x:v>
      </x:c>
      <x:c r="G3492" s="7" t="str">
        <x:v>SUV</x:v>
      </x:c>
      <x:c r="H3492" s="7" t="n">
        <x:v>1956</x:v>
      </x:c>
      <x:c r="I3492" s="7" t="n">
        <x:v>168</x:v>
      </x:c>
      <x:c r="J3492" s="9" t="n">
        <x:v>16.3</x:v>
      </x:c>
      <x:c r="K3492" s="9" t="n">
        <x:v>16</x:v>
      </x:c>
      <x:c r="L3492" s="7" t="n">
        <x:v>2022</x:v>
      </x:c>
      <x:c r="M3492" s="11" t="n">
        <x:v>70063</x:v>
      </x:c>
      <x:c r="N3492" s="7" t="n">
        <x:v>1</x:v>
      </x:c>
      <x:c r="O3492" s="7" t="n">
        <x:v>0</x:v>
      </x:c>
      <x:c r="P3492" s="9" t="n">
        <x:v>9.32</x:v>
      </x:c>
      <x:c r="Q3492" s="7" t="n">
        <x:f>'Guide'!$B$5-L3492</x:f>
        <x:v>4</x:v>
      </x:c>
      <x:c r="R3492" s="9" t="n">
        <x:f>K3492-P3492</x:f>
        <x:v>6.68</x:v>
      </x:c>
      <x:c r="S3492" s="10" t="n">
        <x:f>IF(K3492&gt;0,R3492/K3492,"")</x:f>
        <x:v>0.4175</x:v>
      </x:c>
    </x:row>
    <x:row r="3493">
      <x:c r="A3493" s="7" t="n">
        <x:v>3489</x:v>
      </x:c>
      <x:c r="B3493" s="7" t="str">
        <x:v>Tata</x:v>
      </x:c>
      <x:c r="C3493" s="7" t="str">
        <x:v>Safari</x:v>
      </x:c>
      <x:c r="D3493" s="7" t="str">
        <x:v>Smart</x:v>
      </x:c>
      <x:c r="E3493" s="7" t="str">
        <x:v>Diesel</x:v>
      </x:c>
      <x:c r="F3493" s="7" t="str">
        <x:v>Manual</x:v>
      </x:c>
      <x:c r="G3493" s="7" t="str">
        <x:v>SUV</x:v>
      </x:c>
      <x:c r="H3493" s="7" t="n">
        <x:v>1956</x:v>
      </x:c>
      <x:c r="I3493" s="7" t="n">
        <x:v>168</x:v>
      </x:c>
      <x:c r="J3493" s="9" t="n">
        <x:v>16.3</x:v>
      </x:c>
      <x:c r="K3493" s="9" t="n">
        <x:v>16</x:v>
      </x:c>
      <x:c r="L3493" s="7" t="n">
        <x:v>2025</x:v>
      </x:c>
      <x:c r="M3493" s="11" t="n">
        <x:v>18508</x:v>
      </x:c>
      <x:c r="N3493" s="7" t="n">
        <x:v>1</x:v>
      </x:c>
      <x:c r="O3493" s="7" t="n">
        <x:v>0</x:v>
      </x:c>
      <x:c r="P3493" s="9" t="n">
        <x:v>13.97</x:v>
      </x:c>
      <x:c r="Q3493" s="7" t="n">
        <x:f>'Guide'!$B$5-L3493</x:f>
        <x:v>1</x:v>
      </x:c>
      <x:c r="R3493" s="9" t="n">
        <x:f>K3493-P3493</x:f>
        <x:v>2.0299999999999994</x:v>
      </x:c>
      <x:c r="S3493" s="10" t="n">
        <x:f>IF(K3493&gt;0,R3493/K3493,"")</x:f>
        <x:v>0.12687499999999996</x:v>
      </x:c>
    </x:row>
    <x:row r="3494">
      <x:c r="A3494" s="7" t="n">
        <x:v>3490</x:v>
      </x:c>
      <x:c r="B3494" s="7" t="str">
        <x:v>Tata</x:v>
      </x:c>
      <x:c r="C3494" s="7" t="str">
        <x:v>Safari</x:v>
      </x:c>
      <x:c r="D3494" s="7" t="str">
        <x:v>Smart</x:v>
      </x:c>
      <x:c r="E3494" s="7" t="str">
        <x:v>Diesel</x:v>
      </x:c>
      <x:c r="F3494" s="7" t="str">
        <x:v>Manual</x:v>
      </x:c>
      <x:c r="G3494" s="7" t="str">
        <x:v>SUV</x:v>
      </x:c>
      <x:c r="H3494" s="7" t="n">
        <x:v>1956</x:v>
      </x:c>
      <x:c r="I3494" s="7" t="n">
        <x:v>168</x:v>
      </x:c>
      <x:c r="J3494" s="9" t="n">
        <x:v>16.3</x:v>
      </x:c>
      <x:c r="K3494" s="9" t="n">
        <x:v>16</x:v>
      </x:c>
      <x:c r="L3494" s="7" t="n">
        <x:v>2022</x:v>
      </x:c>
      <x:c r="M3494" s="11" t="n">
        <x:v>77736</x:v>
      </x:c>
      <x:c r="N3494" s="7" t="n">
        <x:v>2</x:v>
      </x:c>
      <x:c r="O3494" s="7" t="n">
        <x:v>0</x:v>
      </x:c>
      <x:c r="P3494" s="9" t="n">
        <x:v>8.7</x:v>
      </x:c>
      <x:c r="Q3494" s="7" t="n">
        <x:f>'Guide'!$B$5-L3494</x:f>
        <x:v>4</x:v>
      </x:c>
      <x:c r="R3494" s="9" t="n">
        <x:f>K3494-P3494</x:f>
        <x:v>7.300000000000001</x:v>
      </x:c>
      <x:c r="S3494" s="10" t="n">
        <x:f>IF(K3494&gt;0,R3494/K3494,"")</x:f>
        <x:v>0.45625000000000004</x:v>
      </x:c>
    </x:row>
    <x:row r="3495">
      <x:c r="A3495" s="7" t="n">
        <x:v>3491</x:v>
      </x:c>
      <x:c r="B3495" s="7" t="str">
        <x:v>Tata</x:v>
      </x:c>
      <x:c r="C3495" s="7" t="str">
        <x:v>Safari</x:v>
      </x:c>
      <x:c r="D3495" s="7" t="str">
        <x:v>Smart</x:v>
      </x:c>
      <x:c r="E3495" s="7" t="str">
        <x:v>Diesel</x:v>
      </x:c>
      <x:c r="F3495" s="7" t="str">
        <x:v>Manual</x:v>
      </x:c>
      <x:c r="G3495" s="7" t="str">
        <x:v>SUV</x:v>
      </x:c>
      <x:c r="H3495" s="7" t="n">
        <x:v>1956</x:v>
      </x:c>
      <x:c r="I3495" s="7" t="n">
        <x:v>168</x:v>
      </x:c>
      <x:c r="J3495" s="9" t="n">
        <x:v>16.3</x:v>
      </x:c>
      <x:c r="K3495" s="9" t="n">
        <x:v>16</x:v>
      </x:c>
      <x:c r="L3495" s="7" t="n">
        <x:v>2020</x:v>
      </x:c>
      <x:c r="M3495" s="11" t="n">
        <x:v>55203</x:v>
      </x:c>
      <x:c r="N3495" s="7" t="n">
        <x:v>1</x:v>
      </x:c>
      <x:c r="O3495" s="7" t="n">
        <x:v>0</x:v>
      </x:c>
      <x:c r="P3495" s="9" t="n">
        <x:v>7.28</x:v>
      </x:c>
      <x:c r="Q3495" s="7" t="n">
        <x:f>'Guide'!$B$5-L3495</x:f>
        <x:v>6</x:v>
      </x:c>
      <x:c r="R3495" s="9" t="n">
        <x:f>K3495-P3495</x:f>
        <x:v>8.719999999999999</x:v>
      </x:c>
      <x:c r="S3495" s="10" t="n">
        <x:f>IF(K3495&gt;0,R3495/K3495,"")</x:f>
        <x:v>0.5449999999999999</x:v>
      </x:c>
    </x:row>
    <x:row r="3496">
      <x:c r="A3496" s="7" t="n">
        <x:v>3492</x:v>
      </x:c>
      <x:c r="B3496" s="7" t="str">
        <x:v>Tata</x:v>
      </x:c>
      <x:c r="C3496" s="7" t="str">
        <x:v>Safari</x:v>
      </x:c>
      <x:c r="D3496" s="7" t="str">
        <x:v>Smart</x:v>
      </x:c>
      <x:c r="E3496" s="7" t="str">
        <x:v>Diesel</x:v>
      </x:c>
      <x:c r="F3496" s="7" t="str">
        <x:v>Manual</x:v>
      </x:c>
      <x:c r="G3496" s="7" t="str">
        <x:v>SUV</x:v>
      </x:c>
      <x:c r="H3496" s="7" t="n">
        <x:v>1956</x:v>
      </x:c>
      <x:c r="I3496" s="7" t="n">
        <x:v>168</x:v>
      </x:c>
      <x:c r="J3496" s="9" t="n">
        <x:v>16.3</x:v>
      </x:c>
      <x:c r="K3496" s="9" t="n">
        <x:v>16</x:v>
      </x:c>
      <x:c r="L3496" s="7" t="n">
        <x:v>2023</x:v>
      </x:c>
      <x:c r="M3496" s="11" t="n">
        <x:v>43416</x:v>
      </x:c>
      <x:c r="N3496" s="7" t="n">
        <x:v>1</x:v>
      </x:c>
      <x:c r="O3496" s="7" t="n">
        <x:v>0</x:v>
      </x:c>
      <x:c r="P3496" s="9" t="n">
        <x:v>11.2</x:v>
      </x:c>
      <x:c r="Q3496" s="7" t="n">
        <x:f>'Guide'!$B$5-L3496</x:f>
        <x:v>3</x:v>
      </x:c>
      <x:c r="R3496" s="9" t="n">
        <x:f>K3496-P3496</x:f>
        <x:v>4.800000000000001</x:v>
      </x:c>
      <x:c r="S3496" s="10" t="n">
        <x:f>IF(K3496&gt;0,R3496/K3496,"")</x:f>
        <x:v>0.30000000000000004</x:v>
      </x:c>
    </x:row>
    <x:row r="3497">
      <x:c r="A3497" s="7" t="n">
        <x:v>3493</x:v>
      </x:c>
      <x:c r="B3497" s="7" t="str">
        <x:v>Tata</x:v>
      </x:c>
      <x:c r="C3497" s="7" t="str">
        <x:v>Safari</x:v>
      </x:c>
      <x:c r="D3497" s="7" t="str">
        <x:v>Smart</x:v>
      </x:c>
      <x:c r="E3497" s="7" t="str">
        <x:v>Diesel</x:v>
      </x:c>
      <x:c r="F3497" s="7" t="str">
        <x:v>Manual</x:v>
      </x:c>
      <x:c r="G3497" s="7" t="str">
        <x:v>SUV</x:v>
      </x:c>
      <x:c r="H3497" s="7" t="n">
        <x:v>1956</x:v>
      </x:c>
      <x:c r="I3497" s="7" t="n">
        <x:v>168</x:v>
      </x:c>
      <x:c r="J3497" s="9" t="n">
        <x:v>16.3</x:v>
      </x:c>
      <x:c r="K3497" s="9" t="n">
        <x:v>16</x:v>
      </x:c>
      <x:c r="L3497" s="7" t="n">
        <x:v>2025</x:v>
      </x:c>
      <x:c r="M3497" s="11" t="n">
        <x:v>29426</x:v>
      </x:c>
      <x:c r="N3497" s="7" t="n">
        <x:v>3</x:v>
      </x:c>
      <x:c r="O3497" s="7" t="n">
        <x:v>0</x:v>
      </x:c>
      <x:c r="P3497" s="9" t="n">
        <x:v>13.53</x:v>
      </x:c>
      <x:c r="Q3497" s="7" t="n">
        <x:f>'Guide'!$B$5-L3497</x:f>
        <x:v>1</x:v>
      </x:c>
      <x:c r="R3497" s="9" t="n">
        <x:f>K3497-P3497</x:f>
        <x:v>2.4700000000000006</x:v>
      </x:c>
      <x:c r="S3497" s="10" t="n">
        <x:f>IF(K3497&gt;0,R3497/K3497,"")</x:f>
        <x:v>0.15437500000000004</x:v>
      </x:c>
    </x:row>
    <x:row r="3498">
      <x:c r="A3498" s="7" t="n">
        <x:v>3494</x:v>
      </x:c>
      <x:c r="B3498" s="7" t="str">
        <x:v>Tata</x:v>
      </x:c>
      <x:c r="C3498" s="7" t="str">
        <x:v>Safari</x:v>
      </x:c>
      <x:c r="D3498" s="7" t="str">
        <x:v>Smart</x:v>
      </x:c>
      <x:c r="E3498" s="7" t="str">
        <x:v>Diesel</x:v>
      </x:c>
      <x:c r="F3498" s="7" t="str">
        <x:v>Manual</x:v>
      </x:c>
      <x:c r="G3498" s="7" t="str">
        <x:v>SUV</x:v>
      </x:c>
      <x:c r="H3498" s="7" t="n">
        <x:v>1956</x:v>
      </x:c>
      <x:c r="I3498" s="7" t="n">
        <x:v>168</x:v>
      </x:c>
      <x:c r="J3498" s="9" t="n">
        <x:v>16.3</x:v>
      </x:c>
      <x:c r="K3498" s="9" t="n">
        <x:v>16</x:v>
      </x:c>
      <x:c r="L3498" s="7" t="n">
        <x:v>2021</x:v>
      </x:c>
      <x:c r="M3498" s="11" t="n">
        <x:v>84251</x:v>
      </x:c>
      <x:c r="N3498" s="7" t="n">
        <x:v>1</x:v>
      </x:c>
      <x:c r="O3498" s="7" t="n">
        <x:v>0</x:v>
      </x:c>
      <x:c r="P3498" s="9" t="n">
        <x:v>7.8</x:v>
      </x:c>
      <x:c r="Q3498" s="7" t="n">
        <x:f>'Guide'!$B$5-L3498</x:f>
        <x:v>5</x:v>
      </x:c>
      <x:c r="R3498" s="9" t="n">
        <x:f>K3498-P3498</x:f>
        <x:v>8.2</x:v>
      </x:c>
      <x:c r="S3498" s="10" t="n">
        <x:f>IF(K3498&gt;0,R3498/K3498,"")</x:f>
        <x:v>0.5125</x:v>
      </x:c>
    </x:row>
    <x:row r="3499">
      <x:c r="A3499" s="7" t="n">
        <x:v>3495</x:v>
      </x:c>
      <x:c r="B3499" s="7" t="str">
        <x:v>Tata</x:v>
      </x:c>
      <x:c r="C3499" s="7" t="str">
        <x:v>Safari</x:v>
      </x:c>
      <x:c r="D3499" s="7" t="str">
        <x:v>Smart</x:v>
      </x:c>
      <x:c r="E3499" s="7" t="str">
        <x:v>Diesel</x:v>
      </x:c>
      <x:c r="F3499" s="7" t="str">
        <x:v>Manual</x:v>
      </x:c>
      <x:c r="G3499" s="7" t="str">
        <x:v>SUV</x:v>
      </x:c>
      <x:c r="H3499" s="7" t="n">
        <x:v>1956</x:v>
      </x:c>
      <x:c r="I3499" s="7" t="n">
        <x:v>168</x:v>
      </x:c>
      <x:c r="J3499" s="9" t="n">
        <x:v>16.3</x:v>
      </x:c>
      <x:c r="K3499" s="9" t="n">
        <x:v>16</x:v>
      </x:c>
      <x:c r="L3499" s="7" t="n">
        <x:v>2023</x:v>
      </x:c>
      <x:c r="M3499" s="11" t="n">
        <x:v>31618</x:v>
      </x:c>
      <x:c r="N3499" s="7" t="n">
        <x:v>3</x:v>
      </x:c>
      <x:c r="O3499" s="7" t="n">
        <x:v>1</x:v>
      </x:c>
      <x:c r="P3499" s="9" t="n">
        <x:v>10</x:v>
      </x:c>
      <x:c r="Q3499" s="7" t="n">
        <x:f>'Guide'!$B$5-L3499</x:f>
        <x:v>3</x:v>
      </x:c>
      <x:c r="R3499" s="9" t="n">
        <x:f>K3499-P3499</x:f>
        <x:v>6</x:v>
      </x:c>
      <x:c r="S3499" s="10" t="n">
        <x:f>IF(K3499&gt;0,R3499/K3499,"")</x:f>
        <x:v>0.375</x:v>
      </x:c>
    </x:row>
    <x:row r="3500">
      <x:c r="A3500" s="7" t="n">
        <x:v>3496</x:v>
      </x:c>
      <x:c r="B3500" s="7" t="str">
        <x:v>Tata</x:v>
      </x:c>
      <x:c r="C3500" s="7" t="str">
        <x:v>Safari</x:v>
      </x:c>
      <x:c r="D3500" s="7" t="str">
        <x:v>Smart</x:v>
      </x:c>
      <x:c r="E3500" s="7" t="str">
        <x:v>Diesel</x:v>
      </x:c>
      <x:c r="F3500" s="7" t="str">
        <x:v>Manual</x:v>
      </x:c>
      <x:c r="G3500" s="7" t="str">
        <x:v>SUV</x:v>
      </x:c>
      <x:c r="H3500" s="7" t="n">
        <x:v>1956</x:v>
      </x:c>
      <x:c r="I3500" s="7" t="n">
        <x:v>168</x:v>
      </x:c>
      <x:c r="J3500" s="9" t="n">
        <x:v>16.3</x:v>
      </x:c>
      <x:c r="K3500" s="9" t="n">
        <x:v>16</x:v>
      </x:c>
      <x:c r="L3500" s="7" t="n">
        <x:v>2024</x:v>
      </x:c>
      <x:c r="M3500" s="11" t="n">
        <x:v>39793</x:v>
      </x:c>
      <x:c r="N3500" s="7" t="n">
        <x:v>1</x:v>
      </x:c>
      <x:c r="O3500" s="7" t="n">
        <x:v>0</x:v>
      </x:c>
      <x:c r="P3500" s="9" t="n">
        <x:v>12.67</x:v>
      </x:c>
      <x:c r="Q3500" s="7" t="n">
        <x:f>'Guide'!$B$5-L3500</x:f>
        <x:v>2</x:v>
      </x:c>
      <x:c r="R3500" s="9" t="n">
        <x:f>K3500-P3500</x:f>
        <x:v>3.33</x:v>
      </x:c>
      <x:c r="S3500" s="10" t="n">
        <x:f>IF(K3500&gt;0,R3500/K3500,"")</x:f>
        <x:v>0.208125</x:v>
      </x:c>
    </x:row>
    <x:row r="3501">
      <x:c r="A3501" s="7" t="n">
        <x:v>3497</x:v>
      </x:c>
      <x:c r="B3501" s="7" t="str">
        <x:v>Tata</x:v>
      </x:c>
      <x:c r="C3501" s="7" t="str">
        <x:v>Safari</x:v>
      </x:c>
      <x:c r="D3501" s="7" t="str">
        <x:v>Smart</x:v>
      </x:c>
      <x:c r="E3501" s="7" t="str">
        <x:v>Diesel</x:v>
      </x:c>
      <x:c r="F3501" s="7" t="str">
        <x:v>Manual</x:v>
      </x:c>
      <x:c r="G3501" s="7" t="str">
        <x:v>SUV</x:v>
      </x:c>
      <x:c r="H3501" s="7" t="n">
        <x:v>1956</x:v>
      </x:c>
      <x:c r="I3501" s="7" t="n">
        <x:v>168</x:v>
      </x:c>
      <x:c r="J3501" s="9" t="n">
        <x:v>16.3</x:v>
      </x:c>
      <x:c r="K3501" s="9" t="n">
        <x:v>16</x:v>
      </x:c>
      <x:c r="L3501" s="7" t="n">
        <x:v>2025</x:v>
      </x:c>
      <x:c r="M3501" s="11" t="n">
        <x:v>20868</x:v>
      </x:c>
      <x:c r="N3501" s="7" t="n">
        <x:v>1</x:v>
      </x:c>
      <x:c r="O3501" s="7" t="n">
        <x:v>0</x:v>
      </x:c>
      <x:c r="P3501" s="9" t="n">
        <x:v>14.42</x:v>
      </x:c>
      <x:c r="Q3501" s="7" t="n">
        <x:f>'Guide'!$B$5-L3501</x:f>
        <x:v>1</x:v>
      </x:c>
      <x:c r="R3501" s="9" t="n">
        <x:f>K3501-P3501</x:f>
        <x:v>1.58</x:v>
      </x:c>
      <x:c r="S3501" s="10" t="n">
        <x:f>IF(K3501&gt;0,R3501/K3501,"")</x:f>
        <x:v>0.09875</x:v>
      </x:c>
    </x:row>
    <x:row r="3502">
      <x:c r="A3502" s="7" t="n">
        <x:v>3498</x:v>
      </x:c>
      <x:c r="B3502" s="7" t="str">
        <x:v>Tata</x:v>
      </x:c>
      <x:c r="C3502" s="7" t="str">
        <x:v>Safari</x:v>
      </x:c>
      <x:c r="D3502" s="7" t="str">
        <x:v>Smart</x:v>
      </x:c>
      <x:c r="E3502" s="7" t="str">
        <x:v>Diesel</x:v>
      </x:c>
      <x:c r="F3502" s="7" t="str">
        <x:v>Manual</x:v>
      </x:c>
      <x:c r="G3502" s="7" t="str">
        <x:v>SUV</x:v>
      </x:c>
      <x:c r="H3502" s="7" t="n">
        <x:v>1956</x:v>
      </x:c>
      <x:c r="I3502" s="7" t="n">
        <x:v>168</x:v>
      </x:c>
      <x:c r="J3502" s="9" t="n">
        <x:v>16.3</x:v>
      </x:c>
      <x:c r="K3502" s="9" t="n">
        <x:v>16</x:v>
      </x:c>
      <x:c r="L3502" s="7" t="n">
        <x:v>2024</x:v>
      </x:c>
      <x:c r="M3502" s="11" t="n">
        <x:v>42107</x:v>
      </x:c>
      <x:c r="N3502" s="7" t="n">
        <x:v>1</x:v>
      </x:c>
      <x:c r="O3502" s="7" t="n">
        <x:v>0</x:v>
      </x:c>
      <x:c r="P3502" s="9" t="n">
        <x:v>12.44</x:v>
      </x:c>
      <x:c r="Q3502" s="7" t="n">
        <x:f>'Guide'!$B$5-L3502</x:f>
        <x:v>2</x:v>
      </x:c>
      <x:c r="R3502" s="9" t="n">
        <x:f>K3502-P3502</x:f>
        <x:v>3.5600000000000005</x:v>
      </x:c>
      <x:c r="S3502" s="10" t="n">
        <x:f>IF(K3502&gt;0,R3502/K3502,"")</x:f>
        <x:v>0.22250000000000003</x:v>
      </x:c>
    </x:row>
    <x:row r="3503">
      <x:c r="A3503" s="7" t="n">
        <x:v>3499</x:v>
      </x:c>
      <x:c r="B3503" s="7" t="str">
        <x:v>Tata</x:v>
      </x:c>
      <x:c r="C3503" s="7" t="str">
        <x:v>Safari</x:v>
      </x:c>
      <x:c r="D3503" s="7" t="str">
        <x:v>Smart</x:v>
      </x:c>
      <x:c r="E3503" s="7" t="str">
        <x:v>Diesel</x:v>
      </x:c>
      <x:c r="F3503" s="7" t="str">
        <x:v>Manual</x:v>
      </x:c>
      <x:c r="G3503" s="7" t="str">
        <x:v>SUV</x:v>
      </x:c>
      <x:c r="H3503" s="7" t="n">
        <x:v>1956</x:v>
      </x:c>
      <x:c r="I3503" s="7" t="n">
        <x:v>168</x:v>
      </x:c>
      <x:c r="J3503" s="9" t="n">
        <x:v>16.3</x:v>
      </x:c>
      <x:c r="K3503" s="9" t="n">
        <x:v>16</x:v>
      </x:c>
      <x:c r="L3503" s="7" t="n">
        <x:v>2024</x:v>
      </x:c>
      <x:c r="M3503" s="11" t="n">
        <x:v>40636</x:v>
      </x:c>
      <x:c r="N3503" s="7" t="n">
        <x:v>1</x:v>
      </x:c>
      <x:c r="O3503" s="7" t="n">
        <x:v>0</x:v>
      </x:c>
      <x:c r="P3503" s="9" t="n">
        <x:v>12.66</x:v>
      </x:c>
      <x:c r="Q3503" s="7" t="n">
        <x:f>'Guide'!$B$5-L3503</x:f>
        <x:v>2</x:v>
      </x:c>
      <x:c r="R3503" s="9" t="n">
        <x:f>K3503-P3503</x:f>
        <x:v>3.34</x:v>
      </x:c>
      <x:c r="S3503" s="10" t="n">
        <x:f>IF(K3503&gt;0,R3503/K3503,"")</x:f>
        <x:v>0.20875</x:v>
      </x:c>
    </x:row>
    <x:row r="3504">
      <x:c r="A3504" s="7" t="n">
        <x:v>3500</x:v>
      </x:c>
      <x:c r="B3504" s="7" t="str">
        <x:v>Tata</x:v>
      </x:c>
      <x:c r="C3504" s="7" t="str">
        <x:v>Safari</x:v>
      </x:c>
      <x:c r="D3504" s="7" t="str">
        <x:v>Smart</x:v>
      </x:c>
      <x:c r="E3504" s="7" t="str">
        <x:v>Diesel</x:v>
      </x:c>
      <x:c r="F3504" s="7" t="str">
        <x:v>Manual</x:v>
      </x:c>
      <x:c r="G3504" s="7" t="str">
        <x:v>SUV</x:v>
      </x:c>
      <x:c r="H3504" s="7" t="n">
        <x:v>1956</x:v>
      </x:c>
      <x:c r="I3504" s="7" t="n">
        <x:v>168</x:v>
      </x:c>
      <x:c r="J3504" s="9" t="n">
        <x:v>16.3</x:v>
      </x:c>
      <x:c r="K3504" s="9" t="n">
        <x:v>16</x:v>
      </x:c>
      <x:c r="L3504" s="7" t="n">
        <x:v>2026</x:v>
      </x:c>
      <x:c r="M3504" s="11" t="n">
        <x:v>7462</x:v>
      </x:c>
      <x:c r="N3504" s="7" t="n">
        <x:v>1</x:v>
      </x:c>
      <x:c r="O3504" s="7" t="n">
        <x:v>0</x:v>
      </x:c>
      <x:c r="P3504" s="9" t="n">
        <x:v>16.04</x:v>
      </x:c>
      <x:c r="Q3504" s="7" t="n">
        <x:f>'Guide'!$B$5-L3504</x:f>
        <x:v>0</x:v>
      </x:c>
      <x:c r="R3504" s="9" t="n">
        <x:f>K3504-P3504</x:f>
        <x:v>-0.03999999999999915</x:v>
      </x:c>
      <x:c r="S3504" s="10" t="n">
        <x:f>IF(K3504&gt;0,R3504/K3504,"")</x:f>
        <x:v>-0.0024999999999999467</x:v>
      </x:c>
    </x:row>
    <x:row r="3505">
      <x:c r="A3505" s="7" t="n">
        <x:v>3501</x:v>
      </x:c>
      <x:c r="B3505" s="7" t="str">
        <x:v>Tata</x:v>
      </x:c>
      <x:c r="C3505" s="7" t="str">
        <x:v>Safari</x:v>
      </x:c>
      <x:c r="D3505" s="7" t="str">
        <x:v>Smart</x:v>
      </x:c>
      <x:c r="E3505" s="7" t="str">
        <x:v>Diesel</x:v>
      </x:c>
      <x:c r="F3505" s="7" t="str">
        <x:v>Manual</x:v>
      </x:c>
      <x:c r="G3505" s="7" t="str">
        <x:v>SUV</x:v>
      </x:c>
      <x:c r="H3505" s="7" t="n">
        <x:v>1956</x:v>
      </x:c>
      <x:c r="I3505" s="7" t="n">
        <x:v>168</x:v>
      </x:c>
      <x:c r="J3505" s="9" t="n">
        <x:v>16.3</x:v>
      </x:c>
      <x:c r="K3505" s="9" t="n">
        <x:v>16</x:v>
      </x:c>
      <x:c r="L3505" s="7" t="n">
        <x:v>2024</x:v>
      </x:c>
      <x:c r="M3505" s="11" t="n">
        <x:v>33672</x:v>
      </x:c>
      <x:c r="N3505" s="7" t="n">
        <x:v>1</x:v>
      </x:c>
      <x:c r="O3505" s="7" t="n">
        <x:v>0</x:v>
      </x:c>
      <x:c r="P3505" s="9" t="n">
        <x:v>12.65</x:v>
      </x:c>
      <x:c r="Q3505" s="7" t="n">
        <x:f>'Guide'!$B$5-L3505</x:f>
        <x:v>2</x:v>
      </x:c>
      <x:c r="R3505" s="9" t="n">
        <x:f>K3505-P3505</x:f>
        <x:v>3.3499999999999996</x:v>
      </x:c>
      <x:c r="S3505" s="10" t="n">
        <x:f>IF(K3505&gt;0,R3505/K3505,"")</x:f>
        <x:v>0.20937499999999998</x:v>
      </x:c>
    </x:row>
    <x:row r="3506">
      <x:c r="A3506" s="7" t="n">
        <x:v>3502</x:v>
      </x:c>
      <x:c r="B3506" s="7" t="str">
        <x:v>Tata</x:v>
      </x:c>
      <x:c r="C3506" s="7" t="str">
        <x:v>Safari</x:v>
      </x:c>
      <x:c r="D3506" s="7" t="str">
        <x:v>Smart</x:v>
      </x:c>
      <x:c r="E3506" s="7" t="str">
        <x:v>Diesel</x:v>
      </x:c>
      <x:c r="F3506" s="7" t="str">
        <x:v>Manual</x:v>
      </x:c>
      <x:c r="G3506" s="7" t="str">
        <x:v>SUV</x:v>
      </x:c>
      <x:c r="H3506" s="7" t="n">
        <x:v>1956</x:v>
      </x:c>
      <x:c r="I3506" s="7" t="n">
        <x:v>168</x:v>
      </x:c>
      <x:c r="J3506" s="9" t="n">
        <x:v>16.3</x:v>
      </x:c>
      <x:c r="K3506" s="9" t="n">
        <x:v>16</x:v>
      </x:c>
      <x:c r="L3506" s="7" t="n">
        <x:v>2021</x:v>
      </x:c>
      <x:c r="M3506" s="11" t="n">
        <x:v>54551</x:v>
      </x:c>
      <x:c r="N3506" s="7" t="n">
        <x:v>1</x:v>
      </x:c>
      <x:c r="O3506" s="7" t="n">
        <x:v>0</x:v>
      </x:c>
      <x:c r="P3506" s="9" t="n">
        <x:v>8.74</x:v>
      </x:c>
      <x:c r="Q3506" s="7" t="n">
        <x:f>'Guide'!$B$5-L3506</x:f>
        <x:v>5</x:v>
      </x:c>
      <x:c r="R3506" s="9" t="n">
        <x:f>K3506-P3506</x:f>
        <x:v>7.26</x:v>
      </x:c>
      <x:c r="S3506" s="10" t="n">
        <x:f>IF(K3506&gt;0,R3506/K3506,"")</x:f>
        <x:v>0.45375</x:v>
      </x:c>
    </x:row>
    <x:row r="3507">
      <x:c r="A3507" s="7" t="n">
        <x:v>3503</x:v>
      </x:c>
      <x:c r="B3507" s="7" t="str">
        <x:v>Tata</x:v>
      </x:c>
      <x:c r="C3507" s="7" t="str">
        <x:v>Safari</x:v>
      </x:c>
      <x:c r="D3507" s="7" t="str">
        <x:v>Smart</x:v>
      </x:c>
      <x:c r="E3507" s="7" t="str">
        <x:v>Diesel</x:v>
      </x:c>
      <x:c r="F3507" s="7" t="str">
        <x:v>Manual</x:v>
      </x:c>
      <x:c r="G3507" s="7" t="str">
        <x:v>SUV</x:v>
      </x:c>
      <x:c r="H3507" s="7" t="n">
        <x:v>1956</x:v>
      </x:c>
      <x:c r="I3507" s="7" t="n">
        <x:v>168</x:v>
      </x:c>
      <x:c r="J3507" s="9" t="n">
        <x:v>16.3</x:v>
      </x:c>
      <x:c r="K3507" s="9" t="n">
        <x:v>16</x:v>
      </x:c>
      <x:c r="L3507" s="7" t="n">
        <x:v>2022</x:v>
      </x:c>
      <x:c r="M3507" s="11" t="n">
        <x:v>44951</x:v>
      </x:c>
      <x:c r="N3507" s="7" t="n">
        <x:v>3</x:v>
      </x:c>
      <x:c r="O3507" s="7" t="n">
        <x:v>1</x:v>
      </x:c>
      <x:c r="P3507" s="9" t="n">
        <x:v>8.13</x:v>
      </x:c>
      <x:c r="Q3507" s="7" t="n">
        <x:f>'Guide'!$B$5-L3507</x:f>
        <x:v>4</x:v>
      </x:c>
      <x:c r="R3507" s="9" t="n">
        <x:f>K3507-P3507</x:f>
        <x:v>7.869999999999999</x:v>
      </x:c>
      <x:c r="S3507" s="10" t="n">
        <x:f>IF(K3507&gt;0,R3507/K3507,"")</x:f>
        <x:v>0.49187499999999995</x:v>
      </x:c>
    </x:row>
    <x:row r="3508">
      <x:c r="A3508" s="7" t="n">
        <x:v>3504</x:v>
      </x:c>
      <x:c r="B3508" s="7" t="str">
        <x:v>Tata</x:v>
      </x:c>
      <x:c r="C3508" s="7" t="str">
        <x:v>Safari</x:v>
      </x:c>
      <x:c r="D3508" s="7" t="str">
        <x:v>Smart</x:v>
      </x:c>
      <x:c r="E3508" s="7" t="str">
        <x:v>Diesel</x:v>
      </x:c>
      <x:c r="F3508" s="7" t="str">
        <x:v>Manual</x:v>
      </x:c>
      <x:c r="G3508" s="7" t="str">
        <x:v>SUV</x:v>
      </x:c>
      <x:c r="H3508" s="7" t="n">
        <x:v>1956</x:v>
      </x:c>
      <x:c r="I3508" s="7" t="n">
        <x:v>168</x:v>
      </x:c>
      <x:c r="J3508" s="9" t="n">
        <x:v>16.3</x:v>
      </x:c>
      <x:c r="K3508" s="9" t="n">
        <x:v>16</x:v>
      </x:c>
      <x:c r="L3508" s="7" t="n">
        <x:v>2021</x:v>
      </x:c>
      <x:c r="M3508" s="11" t="n">
        <x:v>44613</x:v>
      </x:c>
      <x:c r="N3508" s="7" t="n">
        <x:v>1</x:v>
      </x:c>
      <x:c r="O3508" s="7" t="n">
        <x:v>0</x:v>
      </x:c>
      <x:c r="P3508" s="9" t="n">
        <x:v>8.88</x:v>
      </x:c>
      <x:c r="Q3508" s="7" t="n">
        <x:f>'Guide'!$B$5-L3508</x:f>
        <x:v>5</x:v>
      </x:c>
      <x:c r="R3508" s="9" t="n">
        <x:f>K3508-P3508</x:f>
        <x:v>7.119999999999999</x:v>
      </x:c>
      <x:c r="S3508" s="10" t="n">
        <x:f>IF(K3508&gt;0,R3508/K3508,"")</x:f>
        <x:v>0.44499999999999995</x:v>
      </x:c>
    </x:row>
    <x:row r="3509">
      <x:c r="A3509" s="7" t="n">
        <x:v>3505</x:v>
      </x:c>
      <x:c r="B3509" s="7" t="str">
        <x:v>Tata</x:v>
      </x:c>
      <x:c r="C3509" s="7" t="str">
        <x:v>Safari</x:v>
      </x:c>
      <x:c r="D3509" s="7" t="str">
        <x:v>Smart</x:v>
      </x:c>
      <x:c r="E3509" s="7" t="str">
        <x:v>Diesel</x:v>
      </x:c>
      <x:c r="F3509" s="7" t="str">
        <x:v>Manual</x:v>
      </x:c>
      <x:c r="G3509" s="7" t="str">
        <x:v>SUV</x:v>
      </x:c>
      <x:c r="H3509" s="7" t="n">
        <x:v>1956</x:v>
      </x:c>
      <x:c r="I3509" s="7" t="n">
        <x:v>168</x:v>
      </x:c>
      <x:c r="J3509" s="9" t="n">
        <x:v>16.3</x:v>
      </x:c>
      <x:c r="K3509" s="9" t="n">
        <x:v>16</x:v>
      </x:c>
      <x:c r="L3509" s="7" t="n">
        <x:v>2021</x:v>
      </x:c>
      <x:c r="M3509" s="11" t="n">
        <x:v>52307</x:v>
      </x:c>
      <x:c r="N3509" s="7" t="n">
        <x:v>3</x:v>
      </x:c>
      <x:c r="O3509" s="7" t="n">
        <x:v>1</x:v>
      </x:c>
      <x:c r="P3509" s="9" t="n">
        <x:v>6.74</x:v>
      </x:c>
      <x:c r="Q3509" s="7" t="n">
        <x:f>'Guide'!$B$5-L3509</x:f>
        <x:v>5</x:v>
      </x:c>
      <x:c r="R3509" s="9" t="n">
        <x:f>K3509-P3509</x:f>
        <x:v>9.26</x:v>
      </x:c>
      <x:c r="S3509" s="10" t="n">
        <x:f>IF(K3509&gt;0,R3509/K3509,"")</x:f>
        <x:v>0.57875</x:v>
      </x:c>
    </x:row>
    <x:row r="3510">
      <x:c r="A3510" s="7" t="n">
        <x:v>3506</x:v>
      </x:c>
      <x:c r="B3510" s="7" t="str">
        <x:v>Tata</x:v>
      </x:c>
      <x:c r="C3510" s="7" t="str">
        <x:v>Safari</x:v>
      </x:c>
      <x:c r="D3510" s="7" t="str">
        <x:v>Smart</x:v>
      </x:c>
      <x:c r="E3510" s="7" t="str">
        <x:v>Diesel</x:v>
      </x:c>
      <x:c r="F3510" s="7" t="str">
        <x:v>Manual</x:v>
      </x:c>
      <x:c r="G3510" s="7" t="str">
        <x:v>SUV</x:v>
      </x:c>
      <x:c r="H3510" s="7" t="n">
        <x:v>1956</x:v>
      </x:c>
      <x:c r="I3510" s="7" t="n">
        <x:v>168</x:v>
      </x:c>
      <x:c r="J3510" s="9" t="n">
        <x:v>16.3</x:v>
      </x:c>
      <x:c r="K3510" s="9" t="n">
        <x:v>16</x:v>
      </x:c>
      <x:c r="L3510" s="7" t="n">
        <x:v>2022</x:v>
      </x:c>
      <x:c r="M3510" s="11" t="n">
        <x:v>65178</x:v>
      </x:c>
      <x:c r="N3510" s="7" t="n">
        <x:v>1</x:v>
      </x:c>
      <x:c r="O3510" s="7" t="n">
        <x:v>0</x:v>
      </x:c>
      <x:c r="P3510" s="9" t="n">
        <x:v>9.47</x:v>
      </x:c>
      <x:c r="Q3510" s="7" t="n">
        <x:f>'Guide'!$B$5-L3510</x:f>
        <x:v>4</x:v>
      </x:c>
      <x:c r="R3510" s="9" t="n">
        <x:f>K3510-P3510</x:f>
        <x:v>6.529999999999999</x:v>
      </x:c>
      <x:c r="S3510" s="10" t="n">
        <x:f>IF(K3510&gt;0,R3510/K3510,"")</x:f>
        <x:v>0.40812499999999996</x:v>
      </x:c>
    </x:row>
    <x:row r="3511">
      <x:c r="A3511" s="7" t="n">
        <x:v>3507</x:v>
      </x:c>
      <x:c r="B3511" s="7" t="str">
        <x:v>Tata</x:v>
      </x:c>
      <x:c r="C3511" s="7" t="str">
        <x:v>Safari</x:v>
      </x:c>
      <x:c r="D3511" s="7" t="str">
        <x:v>Smart</x:v>
      </x:c>
      <x:c r="E3511" s="7" t="str">
        <x:v>Diesel</x:v>
      </x:c>
      <x:c r="F3511" s="7" t="str">
        <x:v>Manual</x:v>
      </x:c>
      <x:c r="G3511" s="7" t="str">
        <x:v>SUV</x:v>
      </x:c>
      <x:c r="H3511" s="7" t="n">
        <x:v>1956</x:v>
      </x:c>
      <x:c r="I3511" s="7" t="n">
        <x:v>168</x:v>
      </x:c>
      <x:c r="J3511" s="9" t="n">
        <x:v>16.3</x:v>
      </x:c>
      <x:c r="K3511" s="9" t="n">
        <x:v>16</x:v>
      </x:c>
      <x:c r="L3511" s="7" t="n">
        <x:v>2024</x:v>
      </x:c>
      <x:c r="M3511" s="11" t="n">
        <x:v>45045</x:v>
      </x:c>
      <x:c r="N3511" s="7" t="n">
        <x:v>2</x:v>
      </x:c>
      <x:c r="O3511" s="7" t="n">
        <x:v>0</x:v>
      </x:c>
      <x:c r="P3511" s="9" t="n">
        <x:v>12.41</x:v>
      </x:c>
      <x:c r="Q3511" s="7" t="n">
        <x:f>'Guide'!$B$5-L3511</x:f>
        <x:v>2</x:v>
      </x:c>
      <x:c r="R3511" s="9" t="n">
        <x:f>K3511-P3511</x:f>
        <x:v>3.59</x:v>
      </x:c>
      <x:c r="S3511" s="10" t="n">
        <x:f>IF(K3511&gt;0,R3511/K3511,"")</x:f>
        <x:v>0.224375</x:v>
      </x:c>
    </x:row>
    <x:row r="3512">
      <x:c r="A3512" s="7" t="n">
        <x:v>3508</x:v>
      </x:c>
      <x:c r="B3512" s="7" t="str">
        <x:v>Tata</x:v>
      </x:c>
      <x:c r="C3512" s="7" t="str">
        <x:v>Safari</x:v>
      </x:c>
      <x:c r="D3512" s="7" t="str">
        <x:v>Smart</x:v>
      </x:c>
      <x:c r="E3512" s="7" t="str">
        <x:v>Diesel</x:v>
      </x:c>
      <x:c r="F3512" s="7" t="str">
        <x:v>Manual</x:v>
      </x:c>
      <x:c r="G3512" s="7" t="str">
        <x:v>SUV</x:v>
      </x:c>
      <x:c r="H3512" s="7" t="n">
        <x:v>1956</x:v>
      </x:c>
      <x:c r="I3512" s="7" t="n">
        <x:v>168</x:v>
      </x:c>
      <x:c r="J3512" s="9" t="n">
        <x:v>16.3</x:v>
      </x:c>
      <x:c r="K3512" s="9" t="n">
        <x:v>16</x:v>
      </x:c>
      <x:c r="L3512" s="7" t="n">
        <x:v>2025</x:v>
      </x:c>
      <x:c r="M3512" s="11" t="n">
        <x:v>29374</x:v>
      </x:c>
      <x:c r="N3512" s="7" t="n">
        <x:v>1</x:v>
      </x:c>
      <x:c r="O3512" s="7" t="n">
        <x:v>0</x:v>
      </x:c>
      <x:c r="P3512" s="9" t="n">
        <x:v>14.16</x:v>
      </x:c>
      <x:c r="Q3512" s="7" t="n">
        <x:f>'Guide'!$B$5-L3512</x:f>
        <x:v>1</x:v>
      </x:c>
      <x:c r="R3512" s="9" t="n">
        <x:f>K3512-P3512</x:f>
        <x:v>1.8399999999999999</x:v>
      </x:c>
      <x:c r="S3512" s="10" t="n">
        <x:f>IF(K3512&gt;0,R3512/K3512,"")</x:f>
        <x:v>0.11499999999999999</x:v>
      </x:c>
    </x:row>
    <x:row r="3513">
      <x:c r="A3513" s="7" t="n">
        <x:v>3509</x:v>
      </x:c>
      <x:c r="B3513" s="7" t="str">
        <x:v>Tata</x:v>
      </x:c>
      <x:c r="C3513" s="7" t="str">
        <x:v>Safari</x:v>
      </x:c>
      <x:c r="D3513" s="7" t="str">
        <x:v>Smart</x:v>
      </x:c>
      <x:c r="E3513" s="7" t="str">
        <x:v>Diesel</x:v>
      </x:c>
      <x:c r="F3513" s="7" t="str">
        <x:v>Manual</x:v>
      </x:c>
      <x:c r="G3513" s="7" t="str">
        <x:v>SUV</x:v>
      </x:c>
      <x:c r="H3513" s="7" t="n">
        <x:v>1956</x:v>
      </x:c>
      <x:c r="I3513" s="7" t="n">
        <x:v>168</x:v>
      </x:c>
      <x:c r="J3513" s="9" t="n">
        <x:v>16.3</x:v>
      </x:c>
      <x:c r="K3513" s="9" t="n">
        <x:v>16</x:v>
      </x:c>
      <x:c r="L3513" s="7" t="n">
        <x:v>2021</x:v>
      </x:c>
      <x:c r="M3513" s="11" t="n">
        <x:v>85112</x:v>
      </x:c>
      <x:c r="N3513" s="7" t="n">
        <x:v>1</x:v>
      </x:c>
      <x:c r="O3513" s="7" t="n">
        <x:v>0</x:v>
      </x:c>
      <x:c r="P3513" s="9" t="n">
        <x:v>7.69</x:v>
      </x:c>
      <x:c r="Q3513" s="7" t="n">
        <x:f>'Guide'!$B$5-L3513</x:f>
        <x:v>5</x:v>
      </x:c>
      <x:c r="R3513" s="9" t="n">
        <x:f>K3513-P3513</x:f>
        <x:v>8.309999999999999</x:v>
      </x:c>
      <x:c r="S3513" s="10" t="n">
        <x:f>IF(K3513&gt;0,R3513/K3513,"")</x:f>
        <x:v>0.5193749999999999</x:v>
      </x:c>
    </x:row>
    <x:row r="3514">
      <x:c r="A3514" s="7" t="n">
        <x:v>3510</x:v>
      </x:c>
      <x:c r="B3514" s="7" t="str">
        <x:v>Tata</x:v>
      </x:c>
      <x:c r="C3514" s="7" t="str">
        <x:v>Safari</x:v>
      </x:c>
      <x:c r="D3514" s="7" t="str">
        <x:v>Smart</x:v>
      </x:c>
      <x:c r="E3514" s="7" t="str">
        <x:v>Diesel</x:v>
      </x:c>
      <x:c r="F3514" s="7" t="str">
        <x:v>Manual</x:v>
      </x:c>
      <x:c r="G3514" s="7" t="str">
        <x:v>SUV</x:v>
      </x:c>
      <x:c r="H3514" s="7" t="n">
        <x:v>1956</x:v>
      </x:c>
      <x:c r="I3514" s="7" t="n">
        <x:v>168</x:v>
      </x:c>
      <x:c r="J3514" s="9" t="n">
        <x:v>16.3</x:v>
      </x:c>
      <x:c r="K3514" s="9" t="n">
        <x:v>16</x:v>
      </x:c>
      <x:c r="L3514" s="7" t="n">
        <x:v>2026</x:v>
      </x:c>
      <x:c r="M3514" s="11" t="n">
        <x:v>9485</x:v>
      </x:c>
      <x:c r="N3514" s="7" t="n">
        <x:v>1</x:v>
      </x:c>
      <x:c r="O3514" s="7" t="n">
        <x:v>0</x:v>
      </x:c>
      <x:c r="P3514" s="9" t="n">
        <x:v>15.81</x:v>
      </x:c>
      <x:c r="Q3514" s="7" t="n">
        <x:f>'Guide'!$B$5-L3514</x:f>
        <x:v>0</x:v>
      </x:c>
      <x:c r="R3514" s="9" t="n">
        <x:f>K3514-P3514</x:f>
        <x:v>0.1899999999999995</x:v>
      </x:c>
      <x:c r="S3514" s="10" t="n">
        <x:f>IF(K3514&gt;0,R3514/K3514,"")</x:f>
        <x:v>0.011874999999999969</x:v>
      </x:c>
    </x:row>
    <x:row r="3515">
      <x:c r="A3515" s="7" t="n">
        <x:v>3511</x:v>
      </x:c>
      <x:c r="B3515" s="7" t="str">
        <x:v>Tata</x:v>
      </x:c>
      <x:c r="C3515" s="7" t="str">
        <x:v>Safari</x:v>
      </x:c>
      <x:c r="D3515" s="7" t="str">
        <x:v>Smart</x:v>
      </x:c>
      <x:c r="E3515" s="7" t="str">
        <x:v>Diesel</x:v>
      </x:c>
      <x:c r="F3515" s="7" t="str">
        <x:v>Manual</x:v>
      </x:c>
      <x:c r="G3515" s="7" t="str">
        <x:v>SUV</x:v>
      </x:c>
      <x:c r="H3515" s="7" t="n">
        <x:v>1956</x:v>
      </x:c>
      <x:c r="I3515" s="7" t="n">
        <x:v>168</x:v>
      </x:c>
      <x:c r="J3515" s="9" t="n">
        <x:v>16.3</x:v>
      </x:c>
      <x:c r="K3515" s="9" t="n">
        <x:v>16</x:v>
      </x:c>
      <x:c r="L3515" s="7" t="n">
        <x:v>2025</x:v>
      </x:c>
      <x:c r="M3515" s="11" t="n">
        <x:v>19197</x:v>
      </x:c>
      <x:c r="N3515" s="7" t="n">
        <x:v>1</x:v>
      </x:c>
      <x:c r="O3515" s="7" t="n">
        <x:v>0</x:v>
      </x:c>
      <x:c r="P3515" s="9" t="n">
        <x:v>14.13</x:v>
      </x:c>
      <x:c r="Q3515" s="7" t="n">
        <x:f>'Guide'!$B$5-L3515</x:f>
        <x:v>1</x:v>
      </x:c>
      <x:c r="R3515" s="9" t="n">
        <x:f>K3515-P3515</x:f>
        <x:v>1.8699999999999992</x:v>
      </x:c>
      <x:c r="S3515" s="10" t="n">
        <x:f>IF(K3515&gt;0,R3515/K3515,"")</x:f>
        <x:v>0.11687499999999995</x:v>
      </x:c>
    </x:row>
    <x:row r="3516">
      <x:c r="A3516" s="7" t="n">
        <x:v>3512</x:v>
      </x:c>
      <x:c r="B3516" s="7" t="str">
        <x:v>Tata</x:v>
      </x:c>
      <x:c r="C3516" s="7" t="str">
        <x:v>Safari</x:v>
      </x:c>
      <x:c r="D3516" s="7" t="str">
        <x:v>Smart</x:v>
      </x:c>
      <x:c r="E3516" s="7" t="str">
        <x:v>Diesel</x:v>
      </x:c>
      <x:c r="F3516" s="7" t="str">
        <x:v>Manual</x:v>
      </x:c>
      <x:c r="G3516" s="7" t="str">
        <x:v>SUV</x:v>
      </x:c>
      <x:c r="H3516" s="7" t="n">
        <x:v>1956</x:v>
      </x:c>
      <x:c r="I3516" s="7" t="n">
        <x:v>168</x:v>
      </x:c>
      <x:c r="J3516" s="9" t="n">
        <x:v>16.3</x:v>
      </x:c>
      <x:c r="K3516" s="9" t="n">
        <x:v>16</x:v>
      </x:c>
      <x:c r="L3516" s="7" t="n">
        <x:v>2022</x:v>
      </x:c>
      <x:c r="M3516" s="11" t="n">
        <x:v>43997</x:v>
      </x:c>
      <x:c r="N3516" s="7" t="n">
        <x:v>3</x:v>
      </x:c>
      <x:c r="O3516" s="7" t="n">
        <x:v>0</x:v>
      </x:c>
      <x:c r="P3516" s="9" t="n">
        <x:v>8.93</x:v>
      </x:c>
      <x:c r="Q3516" s="7" t="n">
        <x:f>'Guide'!$B$5-L3516</x:f>
        <x:v>4</x:v>
      </x:c>
      <x:c r="R3516" s="9" t="n">
        <x:f>K3516-P3516</x:f>
        <x:v>7.07</x:v>
      </x:c>
      <x:c r="S3516" s="10" t="n">
        <x:f>IF(K3516&gt;0,R3516/K3516,"")</x:f>
        <x:v>0.441875</x:v>
      </x:c>
    </x:row>
    <x:row r="3517">
      <x:c r="A3517" s="7" t="n">
        <x:v>3513</x:v>
      </x:c>
      <x:c r="B3517" s="7" t="str">
        <x:v>Tata</x:v>
      </x:c>
      <x:c r="C3517" s="7" t="str">
        <x:v>Safari</x:v>
      </x:c>
      <x:c r="D3517" s="7" t="str">
        <x:v>Smart</x:v>
      </x:c>
      <x:c r="E3517" s="7" t="str">
        <x:v>Diesel</x:v>
      </x:c>
      <x:c r="F3517" s="7" t="str">
        <x:v>Manual</x:v>
      </x:c>
      <x:c r="G3517" s="7" t="str">
        <x:v>SUV</x:v>
      </x:c>
      <x:c r="H3517" s="7" t="n">
        <x:v>1956</x:v>
      </x:c>
      <x:c r="I3517" s="7" t="n">
        <x:v>168</x:v>
      </x:c>
      <x:c r="J3517" s="9" t="n">
        <x:v>16.3</x:v>
      </x:c>
      <x:c r="K3517" s="9" t="n">
        <x:v>16</x:v>
      </x:c>
      <x:c r="L3517" s="7" t="n">
        <x:v>2023</x:v>
      </x:c>
      <x:c r="M3517" s="11" t="n">
        <x:v>57097</x:v>
      </x:c>
      <x:c r="N3517" s="7" t="n">
        <x:v>2</x:v>
      </x:c>
      <x:c r="O3517" s="7" t="n">
        <x:v>0</x:v>
      </x:c>
      <x:c r="P3517" s="9" t="n">
        <x:v>10.72</x:v>
      </x:c>
      <x:c r="Q3517" s="7" t="n">
        <x:f>'Guide'!$B$5-L3517</x:f>
        <x:v>3</x:v>
      </x:c>
      <x:c r="R3517" s="9" t="n">
        <x:f>K3517-P3517</x:f>
        <x:v>5.279999999999999</x:v>
      </x:c>
      <x:c r="S3517" s="10" t="n">
        <x:f>IF(K3517&gt;0,R3517/K3517,"")</x:f>
        <x:v>0.32999999999999996</x:v>
      </x:c>
    </x:row>
    <x:row r="3518">
      <x:c r="A3518" s="7" t="n">
        <x:v>3514</x:v>
      </x:c>
      <x:c r="B3518" s="7" t="str">
        <x:v>Tata</x:v>
      </x:c>
      <x:c r="C3518" s="7" t="str">
        <x:v>Safari</x:v>
      </x:c>
      <x:c r="D3518" s="7" t="str">
        <x:v>Smart</x:v>
      </x:c>
      <x:c r="E3518" s="7" t="str">
        <x:v>Diesel</x:v>
      </x:c>
      <x:c r="F3518" s="7" t="str">
        <x:v>Manual</x:v>
      </x:c>
      <x:c r="G3518" s="7" t="str">
        <x:v>SUV</x:v>
      </x:c>
      <x:c r="H3518" s="7" t="n">
        <x:v>1956</x:v>
      </x:c>
      <x:c r="I3518" s="7" t="n">
        <x:v>168</x:v>
      </x:c>
      <x:c r="J3518" s="9" t="n">
        <x:v>16.3</x:v>
      </x:c>
      <x:c r="K3518" s="9" t="n">
        <x:v>16</x:v>
      </x:c>
      <x:c r="L3518" s="7" t="n">
        <x:v>2024</x:v>
      </x:c>
      <x:c r="M3518" s="11" t="n">
        <x:v>42347</x:v>
      </x:c>
      <x:c r="N3518" s="7" t="n">
        <x:v>1</x:v>
      </x:c>
      <x:c r="O3518" s="7" t="n">
        <x:v>0</x:v>
      </x:c>
      <x:c r="P3518" s="9" t="n">
        <x:v>12.34</x:v>
      </x:c>
      <x:c r="Q3518" s="7" t="n">
        <x:f>'Guide'!$B$5-L3518</x:f>
        <x:v>2</x:v>
      </x:c>
      <x:c r="R3518" s="9" t="n">
        <x:f>K3518-P3518</x:f>
        <x:v>3.66</x:v>
      </x:c>
      <x:c r="S3518" s="10" t="n">
        <x:f>IF(K3518&gt;0,R3518/K3518,"")</x:f>
        <x:v>0.22875</x:v>
      </x:c>
    </x:row>
    <x:row r="3519">
      <x:c r="A3519" s="7" t="n">
        <x:v>3515</x:v>
      </x:c>
      <x:c r="B3519" s="7" t="str">
        <x:v>Tata</x:v>
      </x:c>
      <x:c r="C3519" s="7" t="str">
        <x:v>Safari</x:v>
      </x:c>
      <x:c r="D3519" s="7" t="str">
        <x:v>Smart</x:v>
      </x:c>
      <x:c r="E3519" s="7" t="str">
        <x:v>Diesel</x:v>
      </x:c>
      <x:c r="F3519" s="7" t="str">
        <x:v>Manual</x:v>
      </x:c>
      <x:c r="G3519" s="7" t="str">
        <x:v>SUV</x:v>
      </x:c>
      <x:c r="H3519" s="7" t="n">
        <x:v>1956</x:v>
      </x:c>
      <x:c r="I3519" s="7" t="n">
        <x:v>168</x:v>
      </x:c>
      <x:c r="J3519" s="9" t="n">
        <x:v>16.3</x:v>
      </x:c>
      <x:c r="K3519" s="9" t="n">
        <x:v>16</x:v>
      </x:c>
      <x:c r="L3519" s="7" t="n">
        <x:v>2022</x:v>
      </x:c>
      <x:c r="M3519" s="11" t="n">
        <x:v>53720</x:v>
      </x:c>
      <x:c r="N3519" s="7" t="n">
        <x:v>1</x:v>
      </x:c>
      <x:c r="O3519" s="7" t="n">
        <x:v>0</x:v>
      </x:c>
      <x:c r="P3519" s="9" t="n">
        <x:v>10.06</x:v>
      </x:c>
      <x:c r="Q3519" s="7" t="n">
        <x:f>'Guide'!$B$5-L3519</x:f>
        <x:v>4</x:v>
      </x:c>
      <x:c r="R3519" s="9" t="n">
        <x:f>K3519-P3519</x:f>
        <x:v>5.9399999999999995</x:v>
      </x:c>
      <x:c r="S3519" s="10" t="n">
        <x:f>IF(K3519&gt;0,R3519/K3519,"")</x:f>
        <x:v>0.37124999999999997</x:v>
      </x:c>
    </x:row>
    <x:row r="3520">
      <x:c r="A3520" s="7" t="n">
        <x:v>3516</x:v>
      </x:c>
      <x:c r="B3520" s="7" t="str">
        <x:v>Tata</x:v>
      </x:c>
      <x:c r="C3520" s="7" t="str">
        <x:v>Safari</x:v>
      </x:c>
      <x:c r="D3520" s="7" t="str">
        <x:v>Smart</x:v>
      </x:c>
      <x:c r="E3520" s="7" t="str">
        <x:v>Diesel</x:v>
      </x:c>
      <x:c r="F3520" s="7" t="str">
        <x:v>Manual</x:v>
      </x:c>
      <x:c r="G3520" s="7" t="str">
        <x:v>SUV</x:v>
      </x:c>
      <x:c r="H3520" s="7" t="n">
        <x:v>1956</x:v>
      </x:c>
      <x:c r="I3520" s="7" t="n">
        <x:v>168</x:v>
      </x:c>
      <x:c r="J3520" s="9" t="n">
        <x:v>16.3</x:v>
      </x:c>
      <x:c r="K3520" s="9" t="n">
        <x:v>16</x:v>
      </x:c>
      <x:c r="L3520" s="7" t="n">
        <x:v>2020</x:v>
      </x:c>
      <x:c r="M3520" s="11" t="n">
        <x:v>52867</x:v>
      </x:c>
      <x:c r="N3520" s="7" t="n">
        <x:v>2</x:v>
      </x:c>
      <x:c r="O3520" s="7" t="n">
        <x:v>0</x:v>
      </x:c>
      <x:c r="P3520" s="9" t="n">
        <x:v>6.77</x:v>
      </x:c>
      <x:c r="Q3520" s="7" t="n">
        <x:f>'Guide'!$B$5-L3520</x:f>
        <x:v>6</x:v>
      </x:c>
      <x:c r="R3520" s="9" t="n">
        <x:f>K3520-P3520</x:f>
        <x:v>9.23</x:v>
      </x:c>
      <x:c r="S3520" s="10" t="n">
        <x:f>IF(K3520&gt;0,R3520/K3520,"")</x:f>
        <x:v>0.576875</x:v>
      </x:c>
    </x:row>
    <x:row r="3521">
      <x:c r="A3521" s="7" t="n">
        <x:v>3517</x:v>
      </x:c>
      <x:c r="B3521" s="7" t="str">
        <x:v>Tata</x:v>
      </x:c>
      <x:c r="C3521" s="7" t="str">
        <x:v>Safari</x:v>
      </x:c>
      <x:c r="D3521" s="7" t="str">
        <x:v>Smart</x:v>
      </x:c>
      <x:c r="E3521" s="7" t="str">
        <x:v>Diesel</x:v>
      </x:c>
      <x:c r="F3521" s="7" t="str">
        <x:v>Manual</x:v>
      </x:c>
      <x:c r="G3521" s="7" t="str">
        <x:v>SUV</x:v>
      </x:c>
      <x:c r="H3521" s="7" t="n">
        <x:v>1956</x:v>
      </x:c>
      <x:c r="I3521" s="7" t="n">
        <x:v>168</x:v>
      </x:c>
      <x:c r="J3521" s="9" t="n">
        <x:v>16.3</x:v>
      </x:c>
      <x:c r="K3521" s="9" t="n">
        <x:v>16</x:v>
      </x:c>
      <x:c r="L3521" s="7" t="n">
        <x:v>2021</x:v>
      </x:c>
      <x:c r="M3521" s="11" t="n">
        <x:v>52985</x:v>
      </x:c>
      <x:c r="N3521" s="7" t="n">
        <x:v>1</x:v>
      </x:c>
      <x:c r="O3521" s="7" t="n">
        <x:v>1</x:v>
      </x:c>
      <x:c r="P3521" s="9" t="n">
        <x:v>8.16</x:v>
      </x:c>
      <x:c r="Q3521" s="7" t="n">
        <x:f>'Guide'!$B$5-L3521</x:f>
        <x:v>5</x:v>
      </x:c>
      <x:c r="R3521" s="9" t="n">
        <x:f>K3521-P3521</x:f>
        <x:v>7.84</x:v>
      </x:c>
      <x:c r="S3521" s="10" t="n">
        <x:f>IF(K3521&gt;0,R3521/K3521,"")</x:f>
        <x:v>0.49</x:v>
      </x:c>
    </x:row>
    <x:row r="3522">
      <x:c r="A3522" s="7" t="n">
        <x:v>3518</x:v>
      </x:c>
      <x:c r="B3522" s="7" t="str">
        <x:v>Tata</x:v>
      </x:c>
      <x:c r="C3522" s="7" t="str">
        <x:v>Safari</x:v>
      </x:c>
      <x:c r="D3522" s="7" t="str">
        <x:v>Smart</x:v>
      </x:c>
      <x:c r="E3522" s="7" t="str">
        <x:v>Diesel</x:v>
      </x:c>
      <x:c r="F3522" s="7" t="str">
        <x:v>Manual</x:v>
      </x:c>
      <x:c r="G3522" s="7" t="str">
        <x:v>SUV</x:v>
      </x:c>
      <x:c r="H3522" s="7" t="n">
        <x:v>1956</x:v>
      </x:c>
      <x:c r="I3522" s="7" t="n">
        <x:v>168</x:v>
      </x:c>
      <x:c r="J3522" s="9" t="n">
        <x:v>16.3</x:v>
      </x:c>
      <x:c r="K3522" s="9" t="n">
        <x:v>16</x:v>
      </x:c>
      <x:c r="L3522" s="7" t="n">
        <x:v>2025</x:v>
      </x:c>
      <x:c r="M3522" s="11" t="n">
        <x:v>22208</x:v>
      </x:c>
      <x:c r="N3522" s="7" t="n">
        <x:v>1</x:v>
      </x:c>
      <x:c r="O3522" s="7" t="n">
        <x:v>1</x:v>
      </x:c>
      <x:c r="P3522" s="9" t="n">
        <x:v>13.38</x:v>
      </x:c>
      <x:c r="Q3522" s="7" t="n">
        <x:f>'Guide'!$B$5-L3522</x:f>
        <x:v>1</x:v>
      </x:c>
      <x:c r="R3522" s="9" t="n">
        <x:f>K3522-P3522</x:f>
        <x:v>2.619999999999999</x:v>
      </x:c>
      <x:c r="S3522" s="10" t="n">
        <x:f>IF(K3522&gt;0,R3522/K3522,"")</x:f>
        <x:v>0.16374999999999995</x:v>
      </x:c>
    </x:row>
    <x:row r="3523">
      <x:c r="A3523" s="7" t="n">
        <x:v>3519</x:v>
      </x:c>
      <x:c r="B3523" s="7" t="str">
        <x:v>Tata</x:v>
      </x:c>
      <x:c r="C3523" s="7" t="str">
        <x:v>Safari</x:v>
      </x:c>
      <x:c r="D3523" s="7" t="str">
        <x:v>Smart</x:v>
      </x:c>
      <x:c r="E3523" s="7" t="str">
        <x:v>Diesel</x:v>
      </x:c>
      <x:c r="F3523" s="7" t="str">
        <x:v>Manual</x:v>
      </x:c>
      <x:c r="G3523" s="7" t="str">
        <x:v>SUV</x:v>
      </x:c>
      <x:c r="H3523" s="7" t="n">
        <x:v>1956</x:v>
      </x:c>
      <x:c r="I3523" s="7" t="n">
        <x:v>168</x:v>
      </x:c>
      <x:c r="J3523" s="9" t="n">
        <x:v>16.3</x:v>
      </x:c>
      <x:c r="K3523" s="9" t="n">
        <x:v>16</x:v>
      </x:c>
      <x:c r="L3523" s="7" t="n">
        <x:v>2020</x:v>
      </x:c>
      <x:c r="M3523" s="11" t="n">
        <x:v>72934</x:v>
      </x:c>
      <x:c r="N3523" s="7" t="n">
        <x:v>1</x:v>
      </x:c>
      <x:c r="O3523" s="7" t="n">
        <x:v>0</x:v>
      </x:c>
      <x:c r="P3523" s="9" t="n">
        <x:v>6.95</x:v>
      </x:c>
      <x:c r="Q3523" s="7" t="n">
        <x:f>'Guide'!$B$5-L3523</x:f>
        <x:v>6</x:v>
      </x:c>
      <x:c r="R3523" s="9" t="n">
        <x:f>K3523-P3523</x:f>
        <x:v>9.05</x:v>
      </x:c>
      <x:c r="S3523" s="10" t="n">
        <x:f>IF(K3523&gt;0,R3523/K3523,"")</x:f>
        <x:v>0.565625</x:v>
      </x:c>
    </x:row>
    <x:row r="3524">
      <x:c r="A3524" s="7" t="n">
        <x:v>3520</x:v>
      </x:c>
      <x:c r="B3524" s="7" t="str">
        <x:v>Tata</x:v>
      </x:c>
      <x:c r="C3524" s="7" t="str">
        <x:v>Safari</x:v>
      </x:c>
      <x:c r="D3524" s="7" t="str">
        <x:v>Smart</x:v>
      </x:c>
      <x:c r="E3524" s="7" t="str">
        <x:v>Diesel</x:v>
      </x:c>
      <x:c r="F3524" s="7" t="str">
        <x:v>Manual</x:v>
      </x:c>
      <x:c r="G3524" s="7" t="str">
        <x:v>SUV</x:v>
      </x:c>
      <x:c r="H3524" s="7" t="n">
        <x:v>1956</x:v>
      </x:c>
      <x:c r="I3524" s="7" t="n">
        <x:v>168</x:v>
      </x:c>
      <x:c r="J3524" s="9" t="n">
        <x:v>16.3</x:v>
      </x:c>
      <x:c r="K3524" s="9" t="n">
        <x:v>16</x:v>
      </x:c>
      <x:c r="L3524" s="7" t="n">
        <x:v>2026</x:v>
      </x:c>
      <x:c r="M3524" s="11" t="n">
        <x:v>7016</x:v>
      </x:c>
      <x:c r="N3524" s="7" t="n">
        <x:v>1</x:v>
      </x:c>
      <x:c r="O3524" s="7" t="n">
        <x:v>0</x:v>
      </x:c>
      <x:c r="P3524" s="9" t="n">
        <x:v>15.89</x:v>
      </x:c>
      <x:c r="Q3524" s="7" t="n">
        <x:f>'Guide'!$B$5-L3524</x:f>
        <x:v>0</x:v>
      </x:c>
      <x:c r="R3524" s="9" t="n">
        <x:f>K3524-P3524</x:f>
        <x:v>0.10999999999999943</x:v>
      </x:c>
      <x:c r="S3524" s="10" t="n">
        <x:f>IF(K3524&gt;0,R3524/K3524,"")</x:f>
        <x:v>0.0068749999999999645</x:v>
      </x:c>
    </x:row>
    <x:row r="3525">
      <x:c r="A3525" s="7" t="n">
        <x:v>3521</x:v>
      </x:c>
      <x:c r="B3525" s="7" t="str">
        <x:v>Tata</x:v>
      </x:c>
      <x:c r="C3525" s="7" t="str">
        <x:v>Safari</x:v>
      </x:c>
      <x:c r="D3525" s="7" t="str">
        <x:v>Smart</x:v>
      </x:c>
      <x:c r="E3525" s="7" t="str">
        <x:v>Diesel</x:v>
      </x:c>
      <x:c r="F3525" s="7" t="str">
        <x:v>Manual</x:v>
      </x:c>
      <x:c r="G3525" s="7" t="str">
        <x:v>SUV</x:v>
      </x:c>
      <x:c r="H3525" s="7" t="n">
        <x:v>1956</x:v>
      </x:c>
      <x:c r="I3525" s="7" t="n">
        <x:v>168</x:v>
      </x:c>
      <x:c r="J3525" s="9" t="n">
        <x:v>16.3</x:v>
      </x:c>
      <x:c r="K3525" s="9" t="n">
        <x:v>16</x:v>
      </x:c>
      <x:c r="L3525" s="7" t="n">
        <x:v>2020</x:v>
      </x:c>
      <x:c r="M3525" s="11" t="n">
        <x:v>55671</x:v>
      </x:c>
      <x:c r="N3525" s="7" t="n">
        <x:v>2</x:v>
      </x:c>
      <x:c r="O3525" s="7" t="n">
        <x:v>0</x:v>
      </x:c>
      <x:c r="P3525" s="9" t="n">
        <x:v>7.11</x:v>
      </x:c>
      <x:c r="Q3525" s="7" t="n">
        <x:f>'Guide'!$B$5-L3525</x:f>
        <x:v>6</x:v>
      </x:c>
      <x:c r="R3525" s="9" t="n">
        <x:f>K3525-P3525</x:f>
        <x:v>8.89</x:v>
      </x:c>
      <x:c r="S3525" s="10" t="n">
        <x:f>IF(K3525&gt;0,R3525/K3525,"")</x:f>
        <x:v>0.555625</x:v>
      </x:c>
    </x:row>
    <x:row r="3526">
      <x:c r="A3526" s="7" t="n">
        <x:v>3522</x:v>
      </x:c>
      <x:c r="B3526" s="7" t="str">
        <x:v>Tata</x:v>
      </x:c>
      <x:c r="C3526" s="7" t="str">
        <x:v>Safari</x:v>
      </x:c>
      <x:c r="D3526" s="7" t="str">
        <x:v>Smart</x:v>
      </x:c>
      <x:c r="E3526" s="7" t="str">
        <x:v>Diesel</x:v>
      </x:c>
      <x:c r="F3526" s="7" t="str">
        <x:v>Manual</x:v>
      </x:c>
      <x:c r="G3526" s="7" t="str">
        <x:v>SUV</x:v>
      </x:c>
      <x:c r="H3526" s="7" t="n">
        <x:v>1956</x:v>
      </x:c>
      <x:c r="I3526" s="7" t="n">
        <x:v>168</x:v>
      </x:c>
      <x:c r="J3526" s="9" t="n">
        <x:v>16.3</x:v>
      </x:c>
      <x:c r="K3526" s="9" t="n">
        <x:v>16</x:v>
      </x:c>
      <x:c r="L3526" s="7" t="n">
        <x:v>2026</x:v>
      </x:c>
      <x:c r="M3526" s="11" t="n">
        <x:v>9665</x:v>
      </x:c>
      <x:c r="N3526" s="7" t="n">
        <x:v>2</x:v>
      </x:c>
      <x:c r="O3526" s="7" t="n">
        <x:v>0</x:v>
      </x:c>
      <x:c r="P3526" s="9" t="n">
        <x:v>15.47</x:v>
      </x:c>
      <x:c r="Q3526" s="7" t="n">
        <x:f>'Guide'!$B$5-L3526</x:f>
        <x:v>0</x:v>
      </x:c>
      <x:c r="R3526" s="9" t="n">
        <x:f>K3526-P3526</x:f>
        <x:v>0.5299999999999994</x:v>
      </x:c>
      <x:c r="S3526" s="10" t="n">
        <x:f>IF(K3526&gt;0,R3526/K3526,"")</x:f>
        <x:v>0.03312499999999996</x:v>
      </x:c>
    </x:row>
    <x:row r="3527">
      <x:c r="A3527" s="7" t="n">
        <x:v>3523</x:v>
      </x:c>
      <x:c r="B3527" s="7" t="str">
        <x:v>Tata</x:v>
      </x:c>
      <x:c r="C3527" s="7" t="str">
        <x:v>Safari</x:v>
      </x:c>
      <x:c r="D3527" s="7" t="str">
        <x:v>Smart</x:v>
      </x:c>
      <x:c r="E3527" s="7" t="str">
        <x:v>Diesel</x:v>
      </x:c>
      <x:c r="F3527" s="7" t="str">
        <x:v>Manual</x:v>
      </x:c>
      <x:c r="G3527" s="7" t="str">
        <x:v>SUV</x:v>
      </x:c>
      <x:c r="H3527" s="7" t="n">
        <x:v>1956</x:v>
      </x:c>
      <x:c r="I3527" s="7" t="n">
        <x:v>168</x:v>
      </x:c>
      <x:c r="J3527" s="9" t="n">
        <x:v>16.3</x:v>
      </x:c>
      <x:c r="K3527" s="9" t="n">
        <x:v>16</x:v>
      </x:c>
      <x:c r="L3527" s="7" t="n">
        <x:v>2025</x:v>
      </x:c>
      <x:c r="M3527" s="11" t="n">
        <x:v>18627</x:v>
      </x:c>
      <x:c r="N3527" s="7" t="n">
        <x:v>1</x:v>
      </x:c>
      <x:c r="O3527" s="7" t="n">
        <x:v>0</x:v>
      </x:c>
      <x:c r="P3527" s="9" t="n">
        <x:v>14.28</x:v>
      </x:c>
      <x:c r="Q3527" s="7" t="n">
        <x:f>'Guide'!$B$5-L3527</x:f>
        <x:v>1</x:v>
      </x:c>
      <x:c r="R3527" s="9" t="n">
        <x:f>K3527-P3527</x:f>
        <x:v>1.7200000000000006</x:v>
      </x:c>
      <x:c r="S3527" s="10" t="n">
        <x:f>IF(K3527&gt;0,R3527/K3527,"")</x:f>
        <x:v>0.10750000000000004</x:v>
      </x:c>
    </x:row>
    <x:row r="3528">
      <x:c r="A3528" s="7" t="n">
        <x:v>3524</x:v>
      </x:c>
      <x:c r="B3528" s="7" t="str">
        <x:v>Tata</x:v>
      </x:c>
      <x:c r="C3528" s="7" t="str">
        <x:v>Safari</x:v>
      </x:c>
      <x:c r="D3528" s="7" t="str">
        <x:v>Smart</x:v>
      </x:c>
      <x:c r="E3528" s="7" t="str">
        <x:v>Diesel</x:v>
      </x:c>
      <x:c r="F3528" s="7" t="str">
        <x:v>Manual</x:v>
      </x:c>
      <x:c r="G3528" s="7" t="str">
        <x:v>SUV</x:v>
      </x:c>
      <x:c r="H3528" s="7" t="n">
        <x:v>1956</x:v>
      </x:c>
      <x:c r="I3528" s="7" t="n">
        <x:v>168</x:v>
      </x:c>
      <x:c r="J3528" s="9" t="n">
        <x:v>16.3</x:v>
      </x:c>
      <x:c r="K3528" s="9" t="n">
        <x:v>16</x:v>
      </x:c>
      <x:c r="L3528" s="7" t="n">
        <x:v>2026</x:v>
      </x:c>
      <x:c r="M3528" s="11" t="n">
        <x:v>7368</x:v>
      </x:c>
      <x:c r="N3528" s="7" t="n">
        <x:v>2</x:v>
      </x:c>
      <x:c r="O3528" s="7" t="n">
        <x:v>0</x:v>
      </x:c>
      <x:c r="P3528" s="9" t="n">
        <x:v>15.69</x:v>
      </x:c>
      <x:c r="Q3528" s="7" t="n">
        <x:f>'Guide'!$B$5-L3528</x:f>
        <x:v>0</x:v>
      </x:c>
      <x:c r="R3528" s="9" t="n">
        <x:f>K3528-P3528</x:f>
        <x:v>0.3100000000000005</x:v>
      </x:c>
      <x:c r="S3528" s="10" t="n">
        <x:f>IF(K3528&gt;0,R3528/K3528,"")</x:f>
        <x:v>0.01937500000000003</x:v>
      </x:c>
    </x:row>
    <x:row r="3529">
      <x:c r="A3529" s="7" t="n">
        <x:v>3525</x:v>
      </x:c>
      <x:c r="B3529" s="7" t="str">
        <x:v>Tata</x:v>
      </x:c>
      <x:c r="C3529" s="7" t="str">
        <x:v>Safari</x:v>
      </x:c>
      <x:c r="D3529" s="7" t="str">
        <x:v>Smart</x:v>
      </x:c>
      <x:c r="E3529" s="7" t="str">
        <x:v>Diesel</x:v>
      </x:c>
      <x:c r="F3529" s="7" t="str">
        <x:v>Manual</x:v>
      </x:c>
      <x:c r="G3529" s="7" t="str">
        <x:v>SUV</x:v>
      </x:c>
      <x:c r="H3529" s="7" t="n">
        <x:v>1956</x:v>
      </x:c>
      <x:c r="I3529" s="7" t="n">
        <x:v>168</x:v>
      </x:c>
      <x:c r="J3529" s="9" t="n">
        <x:v>16.3</x:v>
      </x:c>
      <x:c r="K3529" s="9" t="n">
        <x:v>16</x:v>
      </x:c>
      <x:c r="L3529" s="7" t="n">
        <x:v>2025</x:v>
      </x:c>
      <x:c r="M3529" s="11" t="n">
        <x:v>19343</x:v>
      </x:c>
      <x:c r="N3529" s="7" t="n">
        <x:v>1</x:v>
      </x:c>
      <x:c r="O3529" s="7" t="n">
        <x:v>1</x:v>
      </x:c>
      <x:c r="P3529" s="9" t="n">
        <x:v>13.71</x:v>
      </x:c>
      <x:c r="Q3529" s="7" t="n">
        <x:f>'Guide'!$B$5-L3529</x:f>
        <x:v>1</x:v>
      </x:c>
      <x:c r="R3529" s="9" t="n">
        <x:f>K3529-P3529</x:f>
        <x:v>2.289999999999999</x:v>
      </x:c>
      <x:c r="S3529" s="10" t="n">
        <x:f>IF(K3529&gt;0,R3529/K3529,"")</x:f>
        <x:v>0.14312499999999995</x:v>
      </x:c>
    </x:row>
    <x:row r="3530">
      <x:c r="A3530" s="7" t="n">
        <x:v>3526</x:v>
      </x:c>
      <x:c r="B3530" s="7" t="str">
        <x:v>Tata</x:v>
      </x:c>
      <x:c r="C3530" s="7" t="str">
        <x:v>Safari</x:v>
      </x:c>
      <x:c r="D3530" s="7" t="str">
        <x:v>Smart</x:v>
      </x:c>
      <x:c r="E3530" s="7" t="str">
        <x:v>Diesel</x:v>
      </x:c>
      <x:c r="F3530" s="7" t="str">
        <x:v>Manual</x:v>
      </x:c>
      <x:c r="G3530" s="7" t="str">
        <x:v>SUV</x:v>
      </x:c>
      <x:c r="H3530" s="7" t="n">
        <x:v>1956</x:v>
      </x:c>
      <x:c r="I3530" s="7" t="n">
        <x:v>168</x:v>
      </x:c>
      <x:c r="J3530" s="9" t="n">
        <x:v>16.3</x:v>
      </x:c>
      <x:c r="K3530" s="9" t="n">
        <x:v>16</x:v>
      </x:c>
      <x:c r="L3530" s="7" t="n">
        <x:v>2021</x:v>
      </x:c>
      <x:c r="M3530" s="11" t="n">
        <x:v>49108</x:v>
      </x:c>
      <x:c r="N3530" s="7" t="n">
        <x:v>1</x:v>
      </x:c>
      <x:c r="O3530" s="7" t="n">
        <x:v>0</x:v>
      </x:c>
      <x:c r="P3530" s="9" t="n">
        <x:v>8.96</x:v>
      </x:c>
      <x:c r="Q3530" s="7" t="n">
        <x:f>'Guide'!$B$5-L3530</x:f>
        <x:v>5</x:v>
      </x:c>
      <x:c r="R3530" s="9" t="n">
        <x:f>K3530-P3530</x:f>
        <x:v>7.039999999999999</x:v>
      </x:c>
      <x:c r="S3530" s="10" t="n">
        <x:f>IF(K3530&gt;0,R3530/K3530,"")</x:f>
        <x:v>0.43999999999999995</x:v>
      </x:c>
    </x:row>
    <x:row r="3531">
      <x:c r="A3531" s="7" t="n">
        <x:v>3527</x:v>
      </x:c>
      <x:c r="B3531" s="7" t="str">
        <x:v>Tata</x:v>
      </x:c>
      <x:c r="C3531" s="7" t="str">
        <x:v>Safari</x:v>
      </x:c>
      <x:c r="D3531" s="7" t="str">
        <x:v>Smart</x:v>
      </x:c>
      <x:c r="E3531" s="7" t="str">
        <x:v>Diesel</x:v>
      </x:c>
      <x:c r="F3531" s="7" t="str">
        <x:v>Manual</x:v>
      </x:c>
      <x:c r="G3531" s="7" t="str">
        <x:v>SUV</x:v>
      </x:c>
      <x:c r="H3531" s="7" t="n">
        <x:v>1956</x:v>
      </x:c>
      <x:c r="I3531" s="7" t="n">
        <x:v>168</x:v>
      </x:c>
      <x:c r="J3531" s="9" t="n">
        <x:v>16.3</x:v>
      </x:c>
      <x:c r="K3531" s="9" t="n">
        <x:v>16</x:v>
      </x:c>
      <x:c r="L3531" s="7" t="n">
        <x:v>2026</x:v>
      </x:c>
      <x:c r="M3531" s="11" t="n">
        <x:v>6878</x:v>
      </x:c>
      <x:c r="N3531" s="7" t="n">
        <x:v>1</x:v>
      </x:c>
      <x:c r="O3531" s="7" t="n">
        <x:v>0</x:v>
      </x:c>
      <x:c r="P3531" s="9" t="n">
        <x:v>16.22</x:v>
      </x:c>
      <x:c r="Q3531" s="7" t="n">
        <x:f>'Guide'!$B$5-L3531</x:f>
        <x:v>0</x:v>
      </x:c>
      <x:c r="R3531" s="9" t="n">
        <x:f>K3531-P3531</x:f>
        <x:v>-0.21999999999999886</x:v>
      </x:c>
      <x:c r="S3531" s="10" t="n">
        <x:f>IF(K3531&gt;0,R3531/K3531,"")</x:f>
        <x:v>-0.013749999999999929</x:v>
      </x:c>
    </x:row>
    <x:row r="3532">
      <x:c r="A3532" s="7" t="n">
        <x:v>3528</x:v>
      </x:c>
      <x:c r="B3532" s="7" t="str">
        <x:v>Tata</x:v>
      </x:c>
      <x:c r="C3532" s="7" t="str">
        <x:v>Safari</x:v>
      </x:c>
      <x:c r="D3532" s="7" t="str">
        <x:v>Smart</x:v>
      </x:c>
      <x:c r="E3532" s="7" t="str">
        <x:v>Diesel</x:v>
      </x:c>
      <x:c r="F3532" s="7" t="str">
        <x:v>Manual</x:v>
      </x:c>
      <x:c r="G3532" s="7" t="str">
        <x:v>SUV</x:v>
      </x:c>
      <x:c r="H3532" s="7" t="n">
        <x:v>1956</x:v>
      </x:c>
      <x:c r="I3532" s="7" t="n">
        <x:v>168</x:v>
      </x:c>
      <x:c r="J3532" s="9" t="n">
        <x:v>16.3</x:v>
      </x:c>
      <x:c r="K3532" s="9" t="n">
        <x:v>16</x:v>
      </x:c>
      <x:c r="L3532" s="7" t="n">
        <x:v>2021</x:v>
      </x:c>
      <x:c r="M3532" s="11" t="n">
        <x:v>81992</x:v>
      </x:c>
      <x:c r="N3532" s="7" t="n">
        <x:v>2</x:v>
      </x:c>
      <x:c r="O3532" s="7" t="n">
        <x:v>0</x:v>
      </x:c>
      <x:c r="P3532" s="9" t="n">
        <x:v>8.01</x:v>
      </x:c>
      <x:c r="Q3532" s="7" t="n">
        <x:f>'Guide'!$B$5-L3532</x:f>
        <x:v>5</x:v>
      </x:c>
      <x:c r="R3532" s="9" t="n">
        <x:f>K3532-P3532</x:f>
        <x:v>7.99</x:v>
      </x:c>
      <x:c r="S3532" s="10" t="n">
        <x:f>IF(K3532&gt;0,R3532/K3532,"")</x:f>
        <x:v>0.499375</x:v>
      </x:c>
    </x:row>
    <x:row r="3533">
      <x:c r="A3533" s="7" t="n">
        <x:v>3529</x:v>
      </x:c>
      <x:c r="B3533" s="7" t="str">
        <x:v>Tata</x:v>
      </x:c>
      <x:c r="C3533" s="7" t="str">
        <x:v>Safari</x:v>
      </x:c>
      <x:c r="D3533" s="7" t="str">
        <x:v>Smart</x:v>
      </x:c>
      <x:c r="E3533" s="7" t="str">
        <x:v>Diesel</x:v>
      </x:c>
      <x:c r="F3533" s="7" t="str">
        <x:v>Manual</x:v>
      </x:c>
      <x:c r="G3533" s="7" t="str">
        <x:v>SUV</x:v>
      </x:c>
      <x:c r="H3533" s="7" t="n">
        <x:v>1956</x:v>
      </x:c>
      <x:c r="I3533" s="7" t="n">
        <x:v>168</x:v>
      </x:c>
      <x:c r="J3533" s="9" t="n">
        <x:v>16.3</x:v>
      </x:c>
      <x:c r="K3533" s="9" t="n">
        <x:v>16</x:v>
      </x:c>
      <x:c r="L3533" s="7" t="n">
        <x:v>2020</x:v>
      </x:c>
      <x:c r="M3533" s="11" t="n">
        <x:v>81349</x:v>
      </x:c>
      <x:c r="N3533" s="7" t="n">
        <x:v>1</x:v>
      </x:c>
      <x:c r="O3533" s="7" t="n">
        <x:v>0</x:v>
      </x:c>
      <x:c r="P3533" s="9" t="n">
        <x:v>6.87</x:v>
      </x:c>
      <x:c r="Q3533" s="7" t="n">
        <x:f>'Guide'!$B$5-L3533</x:f>
        <x:v>6</x:v>
      </x:c>
      <x:c r="R3533" s="9" t="n">
        <x:f>K3533-P3533</x:f>
        <x:v>9.129999999999999</x:v>
      </x:c>
      <x:c r="S3533" s="10" t="n">
        <x:f>IF(K3533&gt;0,R3533/K3533,"")</x:f>
        <x:v>0.5706249999999999</x:v>
      </x:c>
    </x:row>
    <x:row r="3534">
      <x:c r="A3534" s="7" t="n">
        <x:v>3530</x:v>
      </x:c>
      <x:c r="B3534" s="7" t="str">
        <x:v>Tata</x:v>
      </x:c>
      <x:c r="C3534" s="7" t="str">
        <x:v>Safari</x:v>
      </x:c>
      <x:c r="D3534" s="7" t="str">
        <x:v>Smart</x:v>
      </x:c>
      <x:c r="E3534" s="7" t="str">
        <x:v>Diesel</x:v>
      </x:c>
      <x:c r="F3534" s="7" t="str">
        <x:v>Manual</x:v>
      </x:c>
      <x:c r="G3534" s="7" t="str">
        <x:v>SUV</x:v>
      </x:c>
      <x:c r="H3534" s="7" t="n">
        <x:v>1956</x:v>
      </x:c>
      <x:c r="I3534" s="7" t="n">
        <x:v>168</x:v>
      </x:c>
      <x:c r="J3534" s="9" t="n">
        <x:v>16.3</x:v>
      </x:c>
      <x:c r="K3534" s="9" t="n">
        <x:v>16</x:v>
      </x:c>
      <x:c r="L3534" s="7" t="n">
        <x:v>2022</x:v>
      </x:c>
      <x:c r="M3534" s="11" t="n">
        <x:v>62321</x:v>
      </x:c>
      <x:c r="N3534" s="7" t="n">
        <x:v>1</x:v>
      </x:c>
      <x:c r="O3534" s="7" t="n">
        <x:v>1</x:v>
      </x:c>
      <x:c r="P3534" s="9" t="n">
        <x:v>8.87</x:v>
      </x:c>
      <x:c r="Q3534" s="7" t="n">
        <x:f>'Guide'!$B$5-L3534</x:f>
        <x:v>4</x:v>
      </x:c>
      <x:c r="R3534" s="9" t="n">
        <x:f>K3534-P3534</x:f>
        <x:v>7.130000000000001</x:v>
      </x:c>
      <x:c r="S3534" s="10" t="n">
        <x:f>IF(K3534&gt;0,R3534/K3534,"")</x:f>
        <x:v>0.44562500000000005</x:v>
      </x:c>
    </x:row>
    <x:row r="3535">
      <x:c r="A3535" s="7" t="n">
        <x:v>3531</x:v>
      </x:c>
      <x:c r="B3535" s="7" t="str">
        <x:v>Tata</x:v>
      </x:c>
      <x:c r="C3535" s="7" t="str">
        <x:v>Safari</x:v>
      </x:c>
      <x:c r="D3535" s="7" t="str">
        <x:v>Smart</x:v>
      </x:c>
      <x:c r="E3535" s="7" t="str">
        <x:v>Diesel</x:v>
      </x:c>
      <x:c r="F3535" s="7" t="str">
        <x:v>Manual</x:v>
      </x:c>
      <x:c r="G3535" s="7" t="str">
        <x:v>SUV</x:v>
      </x:c>
      <x:c r="H3535" s="7" t="n">
        <x:v>1956</x:v>
      </x:c>
      <x:c r="I3535" s="7" t="n">
        <x:v>168</x:v>
      </x:c>
      <x:c r="J3535" s="9" t="n">
        <x:v>16.3</x:v>
      </x:c>
      <x:c r="K3535" s="9" t="n">
        <x:v>16</x:v>
      </x:c>
      <x:c r="L3535" s="7" t="n">
        <x:v>2023</x:v>
      </x:c>
      <x:c r="M3535" s="11" t="n">
        <x:v>44281</x:v>
      </x:c>
      <x:c r="N3535" s="7" t="n">
        <x:v>1</x:v>
      </x:c>
      <x:c r="O3535" s="7" t="n">
        <x:v>1</x:v>
      </x:c>
      <x:c r="P3535" s="9" t="n">
        <x:v>10.73</x:v>
      </x:c>
      <x:c r="Q3535" s="7" t="n">
        <x:f>'Guide'!$B$5-L3535</x:f>
        <x:v>3</x:v>
      </x:c>
      <x:c r="R3535" s="9" t="n">
        <x:f>K3535-P3535</x:f>
        <x:v>5.27</x:v>
      </x:c>
      <x:c r="S3535" s="10" t="n">
        <x:f>IF(K3535&gt;0,R3535/K3535,"")</x:f>
        <x:v>0.329375</x:v>
      </x:c>
    </x:row>
    <x:row r="3536">
      <x:c r="A3536" s="7" t="n">
        <x:v>3532</x:v>
      </x:c>
      <x:c r="B3536" s="7" t="str">
        <x:v>Tata</x:v>
      </x:c>
      <x:c r="C3536" s="7" t="str">
        <x:v>Safari</x:v>
      </x:c>
      <x:c r="D3536" s="7" t="str">
        <x:v>Smart</x:v>
      </x:c>
      <x:c r="E3536" s="7" t="str">
        <x:v>Diesel</x:v>
      </x:c>
      <x:c r="F3536" s="7" t="str">
        <x:v>Manual</x:v>
      </x:c>
      <x:c r="G3536" s="7" t="str">
        <x:v>SUV</x:v>
      </x:c>
      <x:c r="H3536" s="7" t="n">
        <x:v>1956</x:v>
      </x:c>
      <x:c r="I3536" s="7" t="n">
        <x:v>168</x:v>
      </x:c>
      <x:c r="J3536" s="9" t="n">
        <x:v>16.3</x:v>
      </x:c>
      <x:c r="K3536" s="9" t="n">
        <x:v>16</x:v>
      </x:c>
      <x:c r="L3536" s="7" t="n">
        <x:v>2022</x:v>
      </x:c>
      <x:c r="M3536" s="11" t="n">
        <x:v>59775</x:v>
      </x:c>
      <x:c r="N3536" s="7" t="n">
        <x:v>1</x:v>
      </x:c>
      <x:c r="O3536" s="7" t="n">
        <x:v>0</x:v>
      </x:c>
      <x:c r="P3536" s="9" t="n">
        <x:v>9.82</x:v>
      </x:c>
      <x:c r="Q3536" s="7" t="n">
        <x:f>'Guide'!$B$5-L3536</x:f>
        <x:v>4</x:v>
      </x:c>
      <x:c r="R3536" s="9" t="n">
        <x:f>K3536-P3536</x:f>
        <x:v>6.18</x:v>
      </x:c>
      <x:c r="S3536" s="10" t="n">
        <x:f>IF(K3536&gt;0,R3536/K3536,"")</x:f>
        <x:v>0.38625</x:v>
      </x:c>
    </x:row>
    <x:row r="3537">
      <x:c r="A3537" s="7" t="n">
        <x:v>3533</x:v>
      </x:c>
      <x:c r="B3537" s="7" t="str">
        <x:v>Tata</x:v>
      </x:c>
      <x:c r="C3537" s="7" t="str">
        <x:v>Safari</x:v>
      </x:c>
      <x:c r="D3537" s="7" t="str">
        <x:v>Smart</x:v>
      </x:c>
      <x:c r="E3537" s="7" t="str">
        <x:v>Diesel</x:v>
      </x:c>
      <x:c r="F3537" s="7" t="str">
        <x:v>Manual</x:v>
      </x:c>
      <x:c r="G3537" s="7" t="str">
        <x:v>SUV</x:v>
      </x:c>
      <x:c r="H3537" s="7" t="n">
        <x:v>1956</x:v>
      </x:c>
      <x:c r="I3537" s="7" t="n">
        <x:v>168</x:v>
      </x:c>
      <x:c r="J3537" s="9" t="n">
        <x:v>16.3</x:v>
      </x:c>
      <x:c r="K3537" s="9" t="n">
        <x:v>16</x:v>
      </x:c>
      <x:c r="L3537" s="7" t="n">
        <x:v>2024</x:v>
      </x:c>
      <x:c r="M3537" s="11" t="n">
        <x:v>46049</x:v>
      </x:c>
      <x:c r="N3537" s="7" t="n">
        <x:v>2</x:v>
      </x:c>
      <x:c r="O3537" s="7" t="n">
        <x:v>0</x:v>
      </x:c>
      <x:c r="P3537" s="9" t="n">
        <x:v>12.13</x:v>
      </x:c>
      <x:c r="Q3537" s="7" t="n">
        <x:f>'Guide'!$B$5-L3537</x:f>
        <x:v>2</x:v>
      </x:c>
      <x:c r="R3537" s="9" t="n">
        <x:f>K3537-P3537</x:f>
        <x:v>3.869999999999999</x:v>
      </x:c>
      <x:c r="S3537" s="10" t="n">
        <x:f>IF(K3537&gt;0,R3537/K3537,"")</x:f>
        <x:v>0.24187499999999995</x:v>
      </x:c>
    </x:row>
    <x:row r="3538">
      <x:c r="A3538" s="7" t="n">
        <x:v>3534</x:v>
      </x:c>
      <x:c r="B3538" s="7" t="str">
        <x:v>Tata</x:v>
      </x:c>
      <x:c r="C3538" s="7" t="str">
        <x:v>Safari</x:v>
      </x:c>
      <x:c r="D3538" s="7" t="str">
        <x:v>Smart</x:v>
      </x:c>
      <x:c r="E3538" s="7" t="str">
        <x:v>Diesel</x:v>
      </x:c>
      <x:c r="F3538" s="7" t="str">
        <x:v>Manual</x:v>
      </x:c>
      <x:c r="G3538" s="7" t="str">
        <x:v>SUV</x:v>
      </x:c>
      <x:c r="H3538" s="7" t="n">
        <x:v>1956</x:v>
      </x:c>
      <x:c r="I3538" s="7" t="n">
        <x:v>168</x:v>
      </x:c>
      <x:c r="J3538" s="9" t="n">
        <x:v>16.3</x:v>
      </x:c>
      <x:c r="K3538" s="9" t="n">
        <x:v>16</x:v>
      </x:c>
      <x:c r="L3538" s="7" t="n">
        <x:v>2023</x:v>
      </x:c>
      <x:c r="M3538" s="11" t="n">
        <x:v>29260</x:v>
      </x:c>
      <x:c r="N3538" s="7" t="n">
        <x:v>2</x:v>
      </x:c>
      <x:c r="O3538" s="7" t="n">
        <x:v>0</x:v>
      </x:c>
      <x:c r="P3538" s="9" t="n">
        <x:v>11.31</x:v>
      </x:c>
      <x:c r="Q3538" s="7" t="n">
        <x:f>'Guide'!$B$5-L3538</x:f>
        <x:v>3</x:v>
      </x:c>
      <x:c r="R3538" s="9" t="n">
        <x:f>K3538-P3538</x:f>
        <x:v>4.6899999999999995</x:v>
      </x:c>
      <x:c r="S3538" s="10" t="n">
        <x:f>IF(K3538&gt;0,R3538/K3538,"")</x:f>
        <x:v>0.29312499999999997</x:v>
      </x:c>
    </x:row>
    <x:row r="3539">
      <x:c r="A3539" s="7" t="n">
        <x:v>3535</x:v>
      </x:c>
      <x:c r="B3539" s="7" t="str">
        <x:v>Tata</x:v>
      </x:c>
      <x:c r="C3539" s="7" t="str">
        <x:v>Safari</x:v>
      </x:c>
      <x:c r="D3539" s="7" t="str">
        <x:v>Smart</x:v>
      </x:c>
      <x:c r="E3539" s="7" t="str">
        <x:v>Diesel</x:v>
      </x:c>
      <x:c r="F3539" s="7" t="str">
        <x:v>Manual</x:v>
      </x:c>
      <x:c r="G3539" s="7" t="str">
        <x:v>SUV</x:v>
      </x:c>
      <x:c r="H3539" s="7" t="n">
        <x:v>1956</x:v>
      </x:c>
      <x:c r="I3539" s="7" t="n">
        <x:v>168</x:v>
      </x:c>
      <x:c r="J3539" s="9" t="n">
        <x:v>16.3</x:v>
      </x:c>
      <x:c r="K3539" s="9" t="n">
        <x:v>16</x:v>
      </x:c>
      <x:c r="L3539" s="7" t="n">
        <x:v>2022</x:v>
      </x:c>
      <x:c r="M3539" s="11" t="n">
        <x:v>37234</x:v>
      </x:c>
      <x:c r="N3539" s="7" t="n">
        <x:v>1</x:v>
      </x:c>
      <x:c r="O3539" s="7" t="n">
        <x:v>0</x:v>
      </x:c>
      <x:c r="P3539" s="9" t="n">
        <x:v>9.93</x:v>
      </x:c>
      <x:c r="Q3539" s="7" t="n">
        <x:f>'Guide'!$B$5-L3539</x:f>
        <x:v>4</x:v>
      </x:c>
      <x:c r="R3539" s="9" t="n">
        <x:f>K3539-P3539</x:f>
        <x:v>6.07</x:v>
      </x:c>
      <x:c r="S3539" s="10" t="n">
        <x:f>IF(K3539&gt;0,R3539/K3539,"")</x:f>
        <x:v>0.379375</x:v>
      </x:c>
    </x:row>
    <x:row r="3540">
      <x:c r="A3540" s="7" t="n">
        <x:v>3536</x:v>
      </x:c>
      <x:c r="B3540" s="7" t="str">
        <x:v>Tata</x:v>
      </x:c>
      <x:c r="C3540" s="7" t="str">
        <x:v>Safari</x:v>
      </x:c>
      <x:c r="D3540" s="7" t="str">
        <x:v>Smart</x:v>
      </x:c>
      <x:c r="E3540" s="7" t="str">
        <x:v>Diesel</x:v>
      </x:c>
      <x:c r="F3540" s="7" t="str">
        <x:v>Manual</x:v>
      </x:c>
      <x:c r="G3540" s="7" t="str">
        <x:v>SUV</x:v>
      </x:c>
      <x:c r="H3540" s="7" t="n">
        <x:v>1956</x:v>
      </x:c>
      <x:c r="I3540" s="7" t="n">
        <x:v>168</x:v>
      </x:c>
      <x:c r="J3540" s="9" t="n">
        <x:v>16.3</x:v>
      </x:c>
      <x:c r="K3540" s="9" t="n">
        <x:v>16</x:v>
      </x:c>
      <x:c r="L3540" s="7" t="n">
        <x:v>2022</x:v>
      </x:c>
      <x:c r="M3540" s="11" t="n">
        <x:v>74504</x:v>
      </x:c>
      <x:c r="N3540" s="7" t="n">
        <x:v>1</x:v>
      </x:c>
      <x:c r="O3540" s="7" t="n">
        <x:v>0</x:v>
      </x:c>
      <x:c r="P3540" s="9" t="n">
        <x:v>9.75</x:v>
      </x:c>
      <x:c r="Q3540" s="7" t="n">
        <x:f>'Guide'!$B$5-L3540</x:f>
        <x:v>4</x:v>
      </x:c>
      <x:c r="R3540" s="9" t="n">
        <x:f>K3540-P3540</x:f>
        <x:v>6.25</x:v>
      </x:c>
      <x:c r="S3540" s="10" t="n">
        <x:f>IF(K3540&gt;0,R3540/K3540,"")</x:f>
        <x:v>0.390625</x:v>
      </x:c>
    </x:row>
    <x:row r="3541">
      <x:c r="A3541" s="7" t="n">
        <x:v>3537</x:v>
      </x:c>
      <x:c r="B3541" s="7" t="str">
        <x:v>Tata</x:v>
      </x:c>
      <x:c r="C3541" s="7" t="str">
        <x:v>Safari</x:v>
      </x:c>
      <x:c r="D3541" s="7" t="str">
        <x:v>Smart</x:v>
      </x:c>
      <x:c r="E3541" s="7" t="str">
        <x:v>Diesel</x:v>
      </x:c>
      <x:c r="F3541" s="7" t="str">
        <x:v>Manual</x:v>
      </x:c>
      <x:c r="G3541" s="7" t="str">
        <x:v>SUV</x:v>
      </x:c>
      <x:c r="H3541" s="7" t="n">
        <x:v>1956</x:v>
      </x:c>
      <x:c r="I3541" s="7" t="n">
        <x:v>168</x:v>
      </x:c>
      <x:c r="J3541" s="9" t="n">
        <x:v>16.3</x:v>
      </x:c>
      <x:c r="K3541" s="9" t="n">
        <x:v>16</x:v>
      </x:c>
      <x:c r="L3541" s="7" t="n">
        <x:v>2020</x:v>
      </x:c>
      <x:c r="M3541" s="11" t="n">
        <x:v>72382</x:v>
      </x:c>
      <x:c r="N3541" s="7" t="n">
        <x:v>1</x:v>
      </x:c>
      <x:c r="O3541" s="7" t="n">
        <x:v>1</x:v>
      </x:c>
      <x:c r="P3541" s="9" t="n">
        <x:v>6.22</x:v>
      </x:c>
      <x:c r="Q3541" s="7" t="n">
        <x:f>'Guide'!$B$5-L3541</x:f>
        <x:v>6</x:v>
      </x:c>
      <x:c r="R3541" s="9" t="n">
        <x:f>K3541-P3541</x:f>
        <x:v>9.780000000000001</x:v>
      </x:c>
      <x:c r="S3541" s="10" t="n">
        <x:f>IF(K3541&gt;0,R3541/K3541,"")</x:f>
        <x:v>0.6112500000000001</x:v>
      </x:c>
    </x:row>
    <x:row r="3542">
      <x:c r="A3542" s="7" t="n">
        <x:v>3538</x:v>
      </x:c>
      <x:c r="B3542" s="7" t="str">
        <x:v>Tata</x:v>
      </x:c>
      <x:c r="C3542" s="7" t="str">
        <x:v>Safari</x:v>
      </x:c>
      <x:c r="D3542" s="7" t="str">
        <x:v>Smart</x:v>
      </x:c>
      <x:c r="E3542" s="7" t="str">
        <x:v>Diesel</x:v>
      </x:c>
      <x:c r="F3542" s="7" t="str">
        <x:v>Manual</x:v>
      </x:c>
      <x:c r="G3542" s="7" t="str">
        <x:v>SUV</x:v>
      </x:c>
      <x:c r="H3542" s="7" t="n">
        <x:v>1956</x:v>
      </x:c>
      <x:c r="I3542" s="7" t="n">
        <x:v>168</x:v>
      </x:c>
      <x:c r="J3542" s="9" t="n">
        <x:v>16.3</x:v>
      </x:c>
      <x:c r="K3542" s="9" t="n">
        <x:v>16</x:v>
      </x:c>
      <x:c r="L3542" s="7" t="n">
        <x:v>2026</x:v>
      </x:c>
      <x:c r="M3542" s="11" t="n">
        <x:v>4919</x:v>
      </x:c>
      <x:c r="N3542" s="7" t="n">
        <x:v>1</x:v>
      </x:c>
      <x:c r="O3542" s="7" t="n">
        <x:v>0</x:v>
      </x:c>
      <x:c r="P3542" s="9" t="n">
        <x:v>15.95</x:v>
      </x:c>
      <x:c r="Q3542" s="7" t="n">
        <x:f>'Guide'!$B$5-L3542</x:f>
        <x:v>0</x:v>
      </x:c>
      <x:c r="R3542" s="9" t="n">
        <x:f>K3542-P3542</x:f>
        <x:v>0.05000000000000071</x:v>
      </x:c>
      <x:c r="S3542" s="10" t="n">
        <x:f>IF(K3542&gt;0,R3542/K3542,"")</x:f>
        <x:v>0.0031250000000000444</x:v>
      </x:c>
    </x:row>
    <x:row r="3543">
      <x:c r="A3543" s="7" t="n">
        <x:v>3539</x:v>
      </x:c>
      <x:c r="B3543" s="7" t="str">
        <x:v>Tata</x:v>
      </x:c>
      <x:c r="C3543" s="7" t="str">
        <x:v>Safari</x:v>
      </x:c>
      <x:c r="D3543" s="7" t="str">
        <x:v>Smart</x:v>
      </x:c>
      <x:c r="E3543" s="7" t="str">
        <x:v>Diesel</x:v>
      </x:c>
      <x:c r="F3543" s="7" t="str">
        <x:v>Manual</x:v>
      </x:c>
      <x:c r="G3543" s="7" t="str">
        <x:v>SUV</x:v>
      </x:c>
      <x:c r="H3543" s="7" t="n">
        <x:v>1956</x:v>
      </x:c>
      <x:c r="I3543" s="7" t="n">
        <x:v>168</x:v>
      </x:c>
      <x:c r="J3543" s="9" t="n">
        <x:v>16.3</x:v>
      </x:c>
      <x:c r="K3543" s="9" t="n">
        <x:v>16</x:v>
      </x:c>
      <x:c r="L3543" s="7" t="n">
        <x:v>2024</x:v>
      </x:c>
      <x:c r="M3543" s="11" t="n">
        <x:v>37655</x:v>
      </x:c>
      <x:c r="N3543" s="7" t="n">
        <x:v>1</x:v>
      </x:c>
      <x:c r="O3543" s="7" t="n">
        <x:v>0</x:v>
      </x:c>
      <x:c r="P3543" s="9" t="n">
        <x:v>12.67</x:v>
      </x:c>
      <x:c r="Q3543" s="7" t="n">
        <x:f>'Guide'!$B$5-L3543</x:f>
        <x:v>2</x:v>
      </x:c>
      <x:c r="R3543" s="9" t="n">
        <x:f>K3543-P3543</x:f>
        <x:v>3.33</x:v>
      </x:c>
      <x:c r="S3543" s="10" t="n">
        <x:f>IF(K3543&gt;0,R3543/K3543,"")</x:f>
        <x:v>0.208125</x:v>
      </x:c>
    </x:row>
    <x:row r="3544">
      <x:c r="A3544" s="7" t="n">
        <x:v>3540</x:v>
      </x:c>
      <x:c r="B3544" s="7" t="str">
        <x:v>Tata</x:v>
      </x:c>
      <x:c r="C3544" s="7" t="str">
        <x:v>Safari</x:v>
      </x:c>
      <x:c r="D3544" s="7" t="str">
        <x:v>Smart</x:v>
      </x:c>
      <x:c r="E3544" s="7" t="str">
        <x:v>Diesel</x:v>
      </x:c>
      <x:c r="F3544" s="7" t="str">
        <x:v>Manual</x:v>
      </x:c>
      <x:c r="G3544" s="7" t="str">
        <x:v>SUV</x:v>
      </x:c>
      <x:c r="H3544" s="7" t="n">
        <x:v>1956</x:v>
      </x:c>
      <x:c r="I3544" s="7" t="n">
        <x:v>168</x:v>
      </x:c>
      <x:c r="J3544" s="9" t="n">
        <x:v>16.3</x:v>
      </x:c>
      <x:c r="K3544" s="9" t="n">
        <x:v>16</x:v>
      </x:c>
      <x:c r="L3544" s="7" t="n">
        <x:v>2025</x:v>
      </x:c>
      <x:c r="M3544" s="11" t="n">
        <x:v>16345</x:v>
      </x:c>
      <x:c r="N3544" s="7" t="n">
        <x:v>3</x:v>
      </x:c>
      <x:c r="O3544" s="7" t="n">
        <x:v>0</x:v>
      </x:c>
      <x:c r="P3544" s="9" t="n">
        <x:v>13.73</x:v>
      </x:c>
      <x:c r="Q3544" s="7" t="n">
        <x:f>'Guide'!$B$5-L3544</x:f>
        <x:v>1</x:v>
      </x:c>
      <x:c r="R3544" s="9" t="n">
        <x:f>K3544-P3544</x:f>
        <x:v>2.2699999999999996</x:v>
      </x:c>
      <x:c r="S3544" s="10" t="n">
        <x:f>IF(K3544&gt;0,R3544/K3544,"")</x:f>
        <x:v>0.14187499999999997</x:v>
      </x:c>
    </x:row>
    <x:row r="3545">
      <x:c r="A3545" s="7" t="n">
        <x:v>3541</x:v>
      </x:c>
      <x:c r="B3545" s="7" t="str">
        <x:v>Tata</x:v>
      </x:c>
      <x:c r="C3545" s="7" t="str">
        <x:v>Safari</x:v>
      </x:c>
      <x:c r="D3545" s="7" t="str">
        <x:v>Smart</x:v>
      </x:c>
      <x:c r="E3545" s="7" t="str">
        <x:v>Diesel</x:v>
      </x:c>
      <x:c r="F3545" s="7" t="str">
        <x:v>Manual</x:v>
      </x:c>
      <x:c r="G3545" s="7" t="str">
        <x:v>SUV</x:v>
      </x:c>
      <x:c r="H3545" s="7" t="n">
        <x:v>1956</x:v>
      </x:c>
      <x:c r="I3545" s="7" t="n">
        <x:v>168</x:v>
      </x:c>
      <x:c r="J3545" s="9" t="n">
        <x:v>16.3</x:v>
      </x:c>
      <x:c r="K3545" s="9" t="n">
        <x:v>16</x:v>
      </x:c>
      <x:c r="L3545" s="7" t="n">
        <x:v>2023</x:v>
      </x:c>
      <x:c r="M3545" s="11" t="n">
        <x:v>36201</x:v>
      </x:c>
      <x:c r="N3545" s="7" t="n">
        <x:v>2</x:v>
      </x:c>
      <x:c r="O3545" s="7" t="n">
        <x:v>0</x:v>
      </x:c>
      <x:c r="P3545" s="9" t="n">
        <x:v>11.15</x:v>
      </x:c>
      <x:c r="Q3545" s="7" t="n">
        <x:f>'Guide'!$B$5-L3545</x:f>
        <x:v>3</x:v>
      </x:c>
      <x:c r="R3545" s="9" t="n">
        <x:f>K3545-P3545</x:f>
        <x:v>4.85</x:v>
      </x:c>
      <x:c r="S3545" s="10" t="n">
        <x:f>IF(K3545&gt;0,R3545/K3545,"")</x:f>
        <x:v>0.303125</x:v>
      </x:c>
    </x:row>
    <x:row r="3546">
      <x:c r="A3546" s="7" t="n">
        <x:v>3542</x:v>
      </x:c>
      <x:c r="B3546" s="7" t="str">
        <x:v>Tata</x:v>
      </x:c>
      <x:c r="C3546" s="7" t="str">
        <x:v>Safari</x:v>
      </x:c>
      <x:c r="D3546" s="7" t="str">
        <x:v>Smart</x:v>
      </x:c>
      <x:c r="E3546" s="7" t="str">
        <x:v>Diesel</x:v>
      </x:c>
      <x:c r="F3546" s="7" t="str">
        <x:v>Manual</x:v>
      </x:c>
      <x:c r="G3546" s="7" t="str">
        <x:v>SUV</x:v>
      </x:c>
      <x:c r="H3546" s="7" t="n">
        <x:v>1956</x:v>
      </x:c>
      <x:c r="I3546" s="7" t="n">
        <x:v>168</x:v>
      </x:c>
      <x:c r="J3546" s="9" t="n">
        <x:v>16.3</x:v>
      </x:c>
      <x:c r="K3546" s="9" t="n">
        <x:v>16</x:v>
      </x:c>
      <x:c r="L3546" s="7" t="n">
        <x:v>2023</x:v>
      </x:c>
      <x:c r="M3546" s="11" t="n">
        <x:v>64733</x:v>
      </x:c>
      <x:c r="N3546" s="7" t="n">
        <x:v>1</x:v>
      </x:c>
      <x:c r="O3546" s="7" t="n">
        <x:v>0</x:v>
      </x:c>
      <x:c r="P3546" s="9" t="n">
        <x:v>10.94</x:v>
      </x:c>
      <x:c r="Q3546" s="7" t="n">
        <x:f>'Guide'!$B$5-L3546</x:f>
        <x:v>3</x:v>
      </x:c>
      <x:c r="R3546" s="9" t="n">
        <x:f>K3546-P3546</x:f>
        <x:v>5.0600000000000005</x:v>
      </x:c>
      <x:c r="S3546" s="10" t="n">
        <x:f>IF(K3546&gt;0,R3546/K3546,"")</x:f>
        <x:v>0.31625000000000003</x:v>
      </x:c>
    </x:row>
    <x:row r="3547">
      <x:c r="A3547" s="7" t="n">
        <x:v>3543</x:v>
      </x:c>
      <x:c r="B3547" s="7" t="str">
        <x:v>Tata</x:v>
      </x:c>
      <x:c r="C3547" s="7" t="str">
        <x:v>Safari</x:v>
      </x:c>
      <x:c r="D3547" s="7" t="str">
        <x:v>Smart</x:v>
      </x:c>
      <x:c r="E3547" s="7" t="str">
        <x:v>Diesel</x:v>
      </x:c>
      <x:c r="F3547" s="7" t="str">
        <x:v>Manual</x:v>
      </x:c>
      <x:c r="G3547" s="7" t="str">
        <x:v>SUV</x:v>
      </x:c>
      <x:c r="H3547" s="7" t="n">
        <x:v>1956</x:v>
      </x:c>
      <x:c r="I3547" s="7" t="n">
        <x:v>168</x:v>
      </x:c>
      <x:c r="J3547" s="9" t="n">
        <x:v>16.3</x:v>
      </x:c>
      <x:c r="K3547" s="9" t="n">
        <x:v>16</x:v>
      </x:c>
      <x:c r="L3547" s="7" t="n">
        <x:v>2025</x:v>
      </x:c>
      <x:c r="M3547" s="11" t="n">
        <x:v>20366</x:v>
      </x:c>
      <x:c r="N3547" s="7" t="n">
        <x:v>1</x:v>
      </x:c>
      <x:c r="O3547" s="7" t="n">
        <x:v>0</x:v>
      </x:c>
      <x:c r="P3547" s="9" t="n">
        <x:v>14.16</x:v>
      </x:c>
      <x:c r="Q3547" s="7" t="n">
        <x:f>'Guide'!$B$5-L3547</x:f>
        <x:v>1</x:v>
      </x:c>
      <x:c r="R3547" s="9" t="n">
        <x:f>K3547-P3547</x:f>
        <x:v>1.8399999999999999</x:v>
      </x:c>
      <x:c r="S3547" s="10" t="n">
        <x:f>IF(K3547&gt;0,R3547/K3547,"")</x:f>
        <x:v>0.11499999999999999</x:v>
      </x:c>
    </x:row>
    <x:row r="3548">
      <x:c r="A3548" s="7" t="n">
        <x:v>3544</x:v>
      </x:c>
      <x:c r="B3548" s="7" t="str">
        <x:v>Tata</x:v>
      </x:c>
      <x:c r="C3548" s="7" t="str">
        <x:v>Safari</x:v>
      </x:c>
      <x:c r="D3548" s="7" t="str">
        <x:v>Smart</x:v>
      </x:c>
      <x:c r="E3548" s="7" t="str">
        <x:v>Diesel</x:v>
      </x:c>
      <x:c r="F3548" s="7" t="str">
        <x:v>Manual</x:v>
      </x:c>
      <x:c r="G3548" s="7" t="str">
        <x:v>SUV</x:v>
      </x:c>
      <x:c r="H3548" s="7" t="n">
        <x:v>1956</x:v>
      </x:c>
      <x:c r="I3548" s="7" t="n">
        <x:v>168</x:v>
      </x:c>
      <x:c r="J3548" s="9" t="n">
        <x:v>16.3</x:v>
      </x:c>
      <x:c r="K3548" s="9" t="n">
        <x:v>16</x:v>
      </x:c>
      <x:c r="L3548" s="7" t="n">
        <x:v>2023</x:v>
      </x:c>
      <x:c r="M3548" s="11" t="n">
        <x:v>68945</x:v>
      </x:c>
      <x:c r="N3548" s="7" t="n">
        <x:v>2</x:v>
      </x:c>
      <x:c r="O3548" s="7" t="n">
        <x:v>0</x:v>
      </x:c>
      <x:c r="P3548" s="9" t="n">
        <x:v>10.13</x:v>
      </x:c>
      <x:c r="Q3548" s="7" t="n">
        <x:f>'Guide'!$B$5-L3548</x:f>
        <x:v>3</x:v>
      </x:c>
      <x:c r="R3548" s="9" t="n">
        <x:f>K3548-P3548</x:f>
        <x:v>5.869999999999999</x:v>
      </x:c>
      <x:c r="S3548" s="10" t="n">
        <x:f>IF(K3548&gt;0,R3548/K3548,"")</x:f>
        <x:v>0.36687499999999995</x:v>
      </x:c>
    </x:row>
    <x:row r="3549">
      <x:c r="A3549" s="7" t="n">
        <x:v>3545</x:v>
      </x:c>
      <x:c r="B3549" s="7" t="str">
        <x:v>Tata</x:v>
      </x:c>
      <x:c r="C3549" s="7" t="str">
        <x:v>Safari</x:v>
      </x:c>
      <x:c r="D3549" s="7" t="str">
        <x:v>Smart</x:v>
      </x:c>
      <x:c r="E3549" s="7" t="str">
        <x:v>Diesel</x:v>
      </x:c>
      <x:c r="F3549" s="7" t="str">
        <x:v>Manual</x:v>
      </x:c>
      <x:c r="G3549" s="7" t="str">
        <x:v>SUV</x:v>
      </x:c>
      <x:c r="H3549" s="7" t="n">
        <x:v>1956</x:v>
      </x:c>
      <x:c r="I3549" s="7" t="n">
        <x:v>168</x:v>
      </x:c>
      <x:c r="J3549" s="9" t="n">
        <x:v>16.3</x:v>
      </x:c>
      <x:c r="K3549" s="9" t="n">
        <x:v>16</x:v>
      </x:c>
      <x:c r="L3549" s="7" t="n">
        <x:v>2020</x:v>
      </x:c>
      <x:c r="M3549" s="11" t="n">
        <x:v>72855</x:v>
      </x:c>
      <x:c r="N3549" s="7" t="n">
        <x:v>1</x:v>
      </x:c>
      <x:c r="O3549" s="7" t="n">
        <x:v>0</x:v>
      </x:c>
      <x:c r="P3549" s="9" t="n">
        <x:v>7.25</x:v>
      </x:c>
      <x:c r="Q3549" s="7" t="n">
        <x:f>'Guide'!$B$5-L3549</x:f>
        <x:v>6</x:v>
      </x:c>
      <x:c r="R3549" s="9" t="n">
        <x:f>K3549-P3549</x:f>
        <x:v>8.75</x:v>
      </x:c>
      <x:c r="S3549" s="10" t="n">
        <x:f>IF(K3549&gt;0,R3549/K3549,"")</x:f>
        <x:v>0.546875</x:v>
      </x:c>
    </x:row>
    <x:row r="3550">
      <x:c r="A3550" s="7" t="n">
        <x:v>3546</x:v>
      </x:c>
      <x:c r="B3550" s="7" t="str">
        <x:v>Tata</x:v>
      </x:c>
      <x:c r="C3550" s="7" t="str">
        <x:v>Safari</x:v>
      </x:c>
      <x:c r="D3550" s="7" t="str">
        <x:v>Smart</x:v>
      </x:c>
      <x:c r="E3550" s="7" t="str">
        <x:v>Diesel</x:v>
      </x:c>
      <x:c r="F3550" s="7" t="str">
        <x:v>Manual</x:v>
      </x:c>
      <x:c r="G3550" s="7" t="str">
        <x:v>SUV</x:v>
      </x:c>
      <x:c r="H3550" s="7" t="n">
        <x:v>1956</x:v>
      </x:c>
      <x:c r="I3550" s="7" t="n">
        <x:v>168</x:v>
      </x:c>
      <x:c r="J3550" s="9" t="n">
        <x:v>16.3</x:v>
      </x:c>
      <x:c r="K3550" s="9" t="n">
        <x:v>16</x:v>
      </x:c>
      <x:c r="L3550" s="7" t="n">
        <x:v>2026</x:v>
      </x:c>
      <x:c r="M3550" s="11" t="n">
        <x:v>8311</x:v>
      </x:c>
      <x:c r="N3550" s="7" t="n">
        <x:v>2</x:v>
      </x:c>
      <x:c r="O3550" s="7" t="n">
        <x:v>0</x:v>
      </x:c>
      <x:c r="P3550" s="9" t="n">
        <x:v>15.31</x:v>
      </x:c>
      <x:c r="Q3550" s="7" t="n">
        <x:f>'Guide'!$B$5-L3550</x:f>
        <x:v>0</x:v>
      </x:c>
      <x:c r="R3550" s="9" t="n">
        <x:f>K3550-P3550</x:f>
        <x:v>0.6899999999999995</x:v>
      </x:c>
      <x:c r="S3550" s="10" t="n">
        <x:f>IF(K3550&gt;0,R3550/K3550,"")</x:f>
        <x:v>0.04312499999999997</x:v>
      </x:c>
    </x:row>
    <x:row r="3551">
      <x:c r="A3551" s="7" t="n">
        <x:v>3547</x:v>
      </x:c>
      <x:c r="B3551" s="7" t="str">
        <x:v>Tata</x:v>
      </x:c>
      <x:c r="C3551" s="7" t="str">
        <x:v>Safari</x:v>
      </x:c>
      <x:c r="D3551" s="7" t="str">
        <x:v>Smart</x:v>
      </x:c>
      <x:c r="E3551" s="7" t="str">
        <x:v>Diesel</x:v>
      </x:c>
      <x:c r="F3551" s="7" t="str">
        <x:v>Manual</x:v>
      </x:c>
      <x:c r="G3551" s="7" t="str">
        <x:v>SUV</x:v>
      </x:c>
      <x:c r="H3551" s="7" t="n">
        <x:v>1956</x:v>
      </x:c>
      <x:c r="I3551" s="7" t="n">
        <x:v>168</x:v>
      </x:c>
      <x:c r="J3551" s="9" t="n">
        <x:v>16.3</x:v>
      </x:c>
      <x:c r="K3551" s="9" t="n">
        <x:v>16</x:v>
      </x:c>
      <x:c r="L3551" s="7" t="n">
        <x:v>2020</x:v>
      </x:c>
      <x:c r="M3551" s="11" t="n">
        <x:v>61824</x:v>
      </x:c>
      <x:c r="N3551" s="7" t="n">
        <x:v>1</x:v>
      </x:c>
      <x:c r="O3551" s="7" t="n">
        <x:v>0</x:v>
      </x:c>
      <x:c r="P3551" s="9" t="n">
        <x:v>7.32</x:v>
      </x:c>
      <x:c r="Q3551" s="7" t="n">
        <x:f>'Guide'!$B$5-L3551</x:f>
        <x:v>6</x:v>
      </x:c>
      <x:c r="R3551" s="9" t="n">
        <x:f>K3551-P3551</x:f>
        <x:v>8.68</x:v>
      </x:c>
      <x:c r="S3551" s="10" t="n">
        <x:f>IF(K3551&gt;0,R3551/K3551,"")</x:f>
        <x:v>0.5425</x:v>
      </x:c>
    </x:row>
    <x:row r="3552">
      <x:c r="A3552" s="7" t="n">
        <x:v>3548</x:v>
      </x:c>
      <x:c r="B3552" s="7" t="str">
        <x:v>Tata</x:v>
      </x:c>
      <x:c r="C3552" s="7" t="str">
        <x:v>Safari</x:v>
      </x:c>
      <x:c r="D3552" s="7" t="str">
        <x:v>Smart</x:v>
      </x:c>
      <x:c r="E3552" s="7" t="str">
        <x:v>Diesel</x:v>
      </x:c>
      <x:c r="F3552" s="7" t="str">
        <x:v>Manual</x:v>
      </x:c>
      <x:c r="G3552" s="7" t="str">
        <x:v>SUV</x:v>
      </x:c>
      <x:c r="H3552" s="7" t="n">
        <x:v>1956</x:v>
      </x:c>
      <x:c r="I3552" s="7" t="n">
        <x:v>168</x:v>
      </x:c>
      <x:c r="J3552" s="9" t="n">
        <x:v>16.3</x:v>
      </x:c>
      <x:c r="K3552" s="9" t="n">
        <x:v>16</x:v>
      </x:c>
      <x:c r="L3552" s="7" t="n">
        <x:v>2023</x:v>
      </x:c>
      <x:c r="M3552" s="11" t="n">
        <x:v>56249</x:v>
      </x:c>
      <x:c r="N3552" s="7" t="n">
        <x:v>1</x:v>
      </x:c>
      <x:c r="O3552" s="7" t="n">
        <x:v>0</x:v>
      </x:c>
      <x:c r="P3552" s="9" t="n">
        <x:v>11.34</x:v>
      </x:c>
      <x:c r="Q3552" s="7" t="n">
        <x:f>'Guide'!$B$5-L3552</x:f>
        <x:v>3</x:v>
      </x:c>
      <x:c r="R3552" s="9" t="n">
        <x:f>K3552-P3552</x:f>
        <x:v>4.66</x:v>
      </x:c>
      <x:c r="S3552" s="10" t="n">
        <x:f>IF(K3552&gt;0,R3552/K3552,"")</x:f>
        <x:v>0.29125</x:v>
      </x:c>
    </x:row>
    <x:row r="3553">
      <x:c r="A3553" s="7" t="n">
        <x:v>3549</x:v>
      </x:c>
      <x:c r="B3553" s="7" t="str">
        <x:v>Tata</x:v>
      </x:c>
      <x:c r="C3553" s="7" t="str">
        <x:v>Safari</x:v>
      </x:c>
      <x:c r="D3553" s="7" t="str">
        <x:v>Smart</x:v>
      </x:c>
      <x:c r="E3553" s="7" t="str">
        <x:v>Diesel</x:v>
      </x:c>
      <x:c r="F3553" s="7" t="str">
        <x:v>Manual</x:v>
      </x:c>
      <x:c r="G3553" s="7" t="str">
        <x:v>SUV</x:v>
      </x:c>
      <x:c r="H3553" s="7" t="n">
        <x:v>1956</x:v>
      </x:c>
      <x:c r="I3553" s="7" t="n">
        <x:v>168</x:v>
      </x:c>
      <x:c r="J3553" s="9" t="n">
        <x:v>16.3</x:v>
      </x:c>
      <x:c r="K3553" s="9" t="n">
        <x:v>16</x:v>
      </x:c>
      <x:c r="L3553" s="7" t="n">
        <x:v>2022</x:v>
      </x:c>
      <x:c r="M3553" s="11" t="n">
        <x:v>58433</x:v>
      </x:c>
      <x:c r="N3553" s="7" t="n">
        <x:v>2</x:v>
      </x:c>
      <x:c r="O3553" s="7" t="n">
        <x:v>0</x:v>
      </x:c>
      <x:c r="P3553" s="9" t="n">
        <x:v>9.03</x:v>
      </x:c>
      <x:c r="Q3553" s="7" t="n">
        <x:f>'Guide'!$B$5-L3553</x:f>
        <x:v>4</x:v>
      </x:c>
      <x:c r="R3553" s="9" t="n">
        <x:f>K3553-P3553</x:f>
        <x:v>6.970000000000001</x:v>
      </x:c>
      <x:c r="S3553" s="10" t="n">
        <x:f>IF(K3553&gt;0,R3553/K3553,"")</x:f>
        <x:v>0.43562500000000004</x:v>
      </x:c>
    </x:row>
    <x:row r="3554">
      <x:c r="A3554" s="7" t="n">
        <x:v>3550</x:v>
      </x:c>
      <x:c r="B3554" s="7" t="str">
        <x:v>Tata</x:v>
      </x:c>
      <x:c r="C3554" s="7" t="str">
        <x:v>Safari</x:v>
      </x:c>
      <x:c r="D3554" s="7" t="str">
        <x:v>Smart</x:v>
      </x:c>
      <x:c r="E3554" s="7" t="str">
        <x:v>Diesel</x:v>
      </x:c>
      <x:c r="F3554" s="7" t="str">
        <x:v>Manual</x:v>
      </x:c>
      <x:c r="G3554" s="7" t="str">
        <x:v>SUV</x:v>
      </x:c>
      <x:c r="H3554" s="7" t="n">
        <x:v>1956</x:v>
      </x:c>
      <x:c r="I3554" s="7" t="n">
        <x:v>168</x:v>
      </x:c>
      <x:c r="J3554" s="9" t="n">
        <x:v>16.3</x:v>
      </x:c>
      <x:c r="K3554" s="9" t="n">
        <x:v>16</x:v>
      </x:c>
      <x:c r="L3554" s="7" t="n">
        <x:v>2026</x:v>
      </x:c>
      <x:c r="M3554" s="11" t="n">
        <x:v>4431</x:v>
      </x:c>
      <x:c r="N3554" s="7" t="n">
        <x:v>1</x:v>
      </x:c>
      <x:c r="O3554" s="7" t="n">
        <x:v>0</x:v>
      </x:c>
      <x:c r="P3554" s="9" t="n">
        <x:v>16.2</x:v>
      </x:c>
      <x:c r="Q3554" s="7" t="n">
        <x:f>'Guide'!$B$5-L3554</x:f>
        <x:v>0</x:v>
      </x:c>
      <x:c r="R3554" s="9" t="n">
        <x:f>K3554-P3554</x:f>
        <x:v>-0.1999999999999993</x:v>
      </x:c>
      <x:c r="S3554" s="10" t="n">
        <x:f>IF(K3554&gt;0,R3554/K3554,"")</x:f>
        <x:v>-0.012499999999999956</x:v>
      </x:c>
    </x:row>
    <x:row r="3555">
      <x:c r="A3555" s="7" t="n">
        <x:v>3551</x:v>
      </x:c>
      <x:c r="B3555" s="7" t="str">
        <x:v>Tata</x:v>
      </x:c>
      <x:c r="C3555" s="7" t="str">
        <x:v>Safari</x:v>
      </x:c>
      <x:c r="D3555" s="7" t="str">
        <x:v>Smart</x:v>
      </x:c>
      <x:c r="E3555" s="7" t="str">
        <x:v>Diesel</x:v>
      </x:c>
      <x:c r="F3555" s="7" t="str">
        <x:v>Manual</x:v>
      </x:c>
      <x:c r="G3555" s="7" t="str">
        <x:v>SUV</x:v>
      </x:c>
      <x:c r="H3555" s="7" t="n">
        <x:v>1956</x:v>
      </x:c>
      <x:c r="I3555" s="7" t="n">
        <x:v>168</x:v>
      </x:c>
      <x:c r="J3555" s="9" t="n">
        <x:v>16.3</x:v>
      </x:c>
      <x:c r="K3555" s="9" t="n">
        <x:v>16</x:v>
      </x:c>
      <x:c r="L3555" s="7" t="n">
        <x:v>2024</x:v>
      </x:c>
      <x:c r="M3555" s="11" t="n">
        <x:v>29334</x:v>
      </x:c>
      <x:c r="N3555" s="7" t="n">
        <x:v>2</x:v>
      </x:c>
      <x:c r="O3555" s="7" t="n">
        <x:v>0</x:v>
      </x:c>
      <x:c r="P3555" s="9" t="n">
        <x:v>12.27</x:v>
      </x:c>
      <x:c r="Q3555" s="7" t="n">
        <x:f>'Guide'!$B$5-L3555</x:f>
        <x:v>2</x:v>
      </x:c>
      <x:c r="R3555" s="9" t="n">
        <x:f>K3555-P3555</x:f>
        <x:v>3.7300000000000004</x:v>
      </x:c>
      <x:c r="S3555" s="10" t="n">
        <x:f>IF(K3555&gt;0,R3555/K3555,"")</x:f>
        <x:v>0.23312500000000003</x:v>
      </x:c>
    </x:row>
    <x:row r="3556">
      <x:c r="A3556" s="7" t="n">
        <x:v>3552</x:v>
      </x:c>
      <x:c r="B3556" s="7" t="str">
        <x:v>Tata</x:v>
      </x:c>
      <x:c r="C3556" s="7" t="str">
        <x:v>Safari</x:v>
      </x:c>
      <x:c r="D3556" s="7" t="str">
        <x:v>Smart</x:v>
      </x:c>
      <x:c r="E3556" s="7" t="str">
        <x:v>Diesel</x:v>
      </x:c>
      <x:c r="F3556" s="7" t="str">
        <x:v>Manual</x:v>
      </x:c>
      <x:c r="G3556" s="7" t="str">
        <x:v>SUV</x:v>
      </x:c>
      <x:c r="H3556" s="7" t="n">
        <x:v>1956</x:v>
      </x:c>
      <x:c r="I3556" s="7" t="n">
        <x:v>168</x:v>
      </x:c>
      <x:c r="J3556" s="9" t="n">
        <x:v>16.3</x:v>
      </x:c>
      <x:c r="K3556" s="9" t="n">
        <x:v>16</x:v>
      </x:c>
      <x:c r="L3556" s="7" t="n">
        <x:v>2022</x:v>
      </x:c>
      <x:c r="M3556" s="11" t="n">
        <x:v>79612</x:v>
      </x:c>
      <x:c r="N3556" s="7" t="n">
        <x:v>3</x:v>
      </x:c>
      <x:c r="O3556" s="7" t="n">
        <x:v>0</x:v>
      </x:c>
      <x:c r="P3556" s="9" t="n">
        <x:v>8.59</x:v>
      </x:c>
      <x:c r="Q3556" s="7" t="n">
        <x:f>'Guide'!$B$5-L3556</x:f>
        <x:v>4</x:v>
      </x:c>
      <x:c r="R3556" s="9" t="n">
        <x:f>K3556-P3556</x:f>
        <x:v>7.41</x:v>
      </x:c>
      <x:c r="S3556" s="10" t="n">
        <x:f>IF(K3556&gt;0,R3556/K3556,"")</x:f>
        <x:v>0.463125</x:v>
      </x:c>
    </x:row>
    <x:row r="3557">
      <x:c r="A3557" s="7" t="n">
        <x:v>3553</x:v>
      </x:c>
      <x:c r="B3557" s="7" t="str">
        <x:v>Tata</x:v>
      </x:c>
      <x:c r="C3557" s="7" t="str">
        <x:v>Safari</x:v>
      </x:c>
      <x:c r="D3557" s="7" t="str">
        <x:v>Smart</x:v>
      </x:c>
      <x:c r="E3557" s="7" t="str">
        <x:v>Diesel</x:v>
      </x:c>
      <x:c r="F3557" s="7" t="str">
        <x:v>Manual</x:v>
      </x:c>
      <x:c r="G3557" s="7" t="str">
        <x:v>SUV</x:v>
      </x:c>
      <x:c r="H3557" s="7" t="n">
        <x:v>1956</x:v>
      </x:c>
      <x:c r="I3557" s="7" t="n">
        <x:v>168</x:v>
      </x:c>
      <x:c r="J3557" s="9" t="n">
        <x:v>16.3</x:v>
      </x:c>
      <x:c r="K3557" s="9" t="n">
        <x:v>16</x:v>
      </x:c>
      <x:c r="L3557" s="7" t="n">
        <x:v>2020</x:v>
      </x:c>
      <x:c r="M3557" s="11" t="n">
        <x:v>125440</x:v>
      </x:c>
      <x:c r="N3557" s="7" t="n">
        <x:v>1</x:v>
      </x:c>
      <x:c r="O3557" s="7" t="n">
        <x:v>0</x:v>
      </x:c>
      <x:c r="P3557" s="9" t="n">
        <x:v>5.66</x:v>
      </x:c>
      <x:c r="Q3557" s="7" t="n">
        <x:f>'Guide'!$B$5-L3557</x:f>
        <x:v>6</x:v>
      </x:c>
      <x:c r="R3557" s="9" t="n">
        <x:f>K3557-P3557</x:f>
        <x:v>10.34</x:v>
      </x:c>
      <x:c r="S3557" s="10" t="n">
        <x:f>IF(K3557&gt;0,R3557/K3557,"")</x:f>
        <x:v>0.64625</x:v>
      </x:c>
    </x:row>
    <x:row r="3558">
      <x:c r="A3558" s="7" t="n">
        <x:v>3554</x:v>
      </x:c>
      <x:c r="B3558" s="7" t="str">
        <x:v>Tata</x:v>
      </x:c>
      <x:c r="C3558" s="7" t="str">
        <x:v>Safari</x:v>
      </x:c>
      <x:c r="D3558" s="7" t="str">
        <x:v>Smart</x:v>
      </x:c>
      <x:c r="E3558" s="7" t="str">
        <x:v>Diesel</x:v>
      </x:c>
      <x:c r="F3558" s="7" t="str">
        <x:v>Manual</x:v>
      </x:c>
      <x:c r="G3558" s="7" t="str">
        <x:v>SUV</x:v>
      </x:c>
      <x:c r="H3558" s="7" t="n">
        <x:v>1956</x:v>
      </x:c>
      <x:c r="I3558" s="7" t="n">
        <x:v>168</x:v>
      </x:c>
      <x:c r="J3558" s="9" t="n">
        <x:v>16.3</x:v>
      </x:c>
      <x:c r="K3558" s="9" t="n">
        <x:v>16</x:v>
      </x:c>
      <x:c r="L3558" s="7" t="n">
        <x:v>2022</x:v>
      </x:c>
      <x:c r="M3558" s="11" t="n">
        <x:v>79194</x:v>
      </x:c>
      <x:c r="N3558" s="7" t="n">
        <x:v>1</x:v>
      </x:c>
      <x:c r="O3558" s="7" t="n">
        <x:v>0</x:v>
      </x:c>
      <x:c r="P3558" s="9" t="n">
        <x:v>9.66</x:v>
      </x:c>
      <x:c r="Q3558" s="7" t="n">
        <x:f>'Guide'!$B$5-L3558</x:f>
        <x:v>4</x:v>
      </x:c>
      <x:c r="R3558" s="9" t="n">
        <x:f>K3558-P3558</x:f>
        <x:v>6.34</x:v>
      </x:c>
      <x:c r="S3558" s="10" t="n">
        <x:f>IF(K3558&gt;0,R3558/K3558,"")</x:f>
        <x:v>0.39625</x:v>
      </x:c>
    </x:row>
    <x:row r="3559">
      <x:c r="A3559" s="7" t="n">
        <x:v>3555</x:v>
      </x:c>
      <x:c r="B3559" s="7" t="str">
        <x:v>Tata</x:v>
      </x:c>
      <x:c r="C3559" s="7" t="str">
        <x:v>Safari</x:v>
      </x:c>
      <x:c r="D3559" s="7" t="str">
        <x:v>Smart</x:v>
      </x:c>
      <x:c r="E3559" s="7" t="str">
        <x:v>Diesel</x:v>
      </x:c>
      <x:c r="F3559" s="7" t="str">
        <x:v>Manual</x:v>
      </x:c>
      <x:c r="G3559" s="7" t="str">
        <x:v>SUV</x:v>
      </x:c>
      <x:c r="H3559" s="7" t="n">
        <x:v>1956</x:v>
      </x:c>
      <x:c r="I3559" s="7" t="n">
        <x:v>168</x:v>
      </x:c>
      <x:c r="J3559" s="9" t="n">
        <x:v>16.3</x:v>
      </x:c>
      <x:c r="K3559" s="9" t="n">
        <x:v>16</x:v>
      </x:c>
      <x:c r="L3559" s="7" t="n">
        <x:v>2022</x:v>
      </x:c>
      <x:c r="M3559" s="11" t="n">
        <x:v>44290</x:v>
      </x:c>
      <x:c r="N3559" s="7" t="n">
        <x:v>1</x:v>
      </x:c>
      <x:c r="O3559" s="7" t="n">
        <x:v>0</x:v>
      </x:c>
      <x:c r="P3559" s="9" t="n">
        <x:v>10.23</x:v>
      </x:c>
      <x:c r="Q3559" s="7" t="n">
        <x:f>'Guide'!$B$5-L3559</x:f>
        <x:v>4</x:v>
      </x:c>
      <x:c r="R3559" s="9" t="n">
        <x:f>K3559-P3559</x:f>
        <x:v>5.77</x:v>
      </x:c>
      <x:c r="S3559" s="10" t="n">
        <x:f>IF(K3559&gt;0,R3559/K3559,"")</x:f>
        <x:v>0.360625</x:v>
      </x:c>
    </x:row>
    <x:row r="3560">
      <x:c r="A3560" s="7" t="n">
        <x:v>3556</x:v>
      </x:c>
      <x:c r="B3560" s="7" t="str">
        <x:v>Tata</x:v>
      </x:c>
      <x:c r="C3560" s="7" t="str">
        <x:v>Safari</x:v>
      </x:c>
      <x:c r="D3560" s="7" t="str">
        <x:v>Smart</x:v>
      </x:c>
      <x:c r="E3560" s="7" t="str">
        <x:v>Diesel</x:v>
      </x:c>
      <x:c r="F3560" s="7" t="str">
        <x:v>Manual</x:v>
      </x:c>
      <x:c r="G3560" s="7" t="str">
        <x:v>SUV</x:v>
      </x:c>
      <x:c r="H3560" s="7" t="n">
        <x:v>1956</x:v>
      </x:c>
      <x:c r="I3560" s="7" t="n">
        <x:v>168</x:v>
      </x:c>
      <x:c r="J3560" s="9" t="n">
        <x:v>16.3</x:v>
      </x:c>
      <x:c r="K3560" s="9" t="n">
        <x:v>16</x:v>
      </x:c>
      <x:c r="L3560" s="7" t="n">
        <x:v>2021</x:v>
      </x:c>
      <x:c r="M3560" s="11" t="n">
        <x:v>105190</x:v>
      </x:c>
      <x:c r="N3560" s="7" t="n">
        <x:v>2</x:v>
      </x:c>
      <x:c r="O3560" s="7" t="n">
        <x:v>1</x:v>
      </x:c>
      <x:c r="P3560" s="9" t="n">
        <x:v>6.27</x:v>
      </x:c>
      <x:c r="Q3560" s="7" t="n">
        <x:f>'Guide'!$B$5-L3560</x:f>
        <x:v>5</x:v>
      </x:c>
      <x:c r="R3560" s="9" t="n">
        <x:f>K3560-P3560</x:f>
        <x:v>9.73</x:v>
      </x:c>
      <x:c r="S3560" s="10" t="n">
        <x:f>IF(K3560&gt;0,R3560/K3560,"")</x:f>
        <x:v>0.608125</x:v>
      </x:c>
    </x:row>
    <x:row r="3561">
      <x:c r="A3561" s="7" t="n">
        <x:v>3557</x:v>
      </x:c>
      <x:c r="B3561" s="7" t="str">
        <x:v>Tata</x:v>
      </x:c>
      <x:c r="C3561" s="7" t="str">
        <x:v>Safari</x:v>
      </x:c>
      <x:c r="D3561" s="7" t="str">
        <x:v>Smart</x:v>
      </x:c>
      <x:c r="E3561" s="7" t="str">
        <x:v>Diesel</x:v>
      </x:c>
      <x:c r="F3561" s="7" t="str">
        <x:v>Manual</x:v>
      </x:c>
      <x:c r="G3561" s="7" t="str">
        <x:v>SUV</x:v>
      </x:c>
      <x:c r="H3561" s="7" t="n">
        <x:v>1956</x:v>
      </x:c>
      <x:c r="I3561" s="7" t="n">
        <x:v>168</x:v>
      </x:c>
      <x:c r="J3561" s="9" t="n">
        <x:v>16.3</x:v>
      </x:c>
      <x:c r="K3561" s="9" t="n">
        <x:v>16</x:v>
      </x:c>
      <x:c r="L3561" s="7" t="n">
        <x:v>2025</x:v>
      </x:c>
      <x:c r="M3561" s="11" t="n">
        <x:v>19106</x:v>
      </x:c>
      <x:c r="N3561" s="7" t="n">
        <x:v>2</x:v>
      </x:c>
      <x:c r="O3561" s="7" t="n">
        <x:v>0</x:v>
      </x:c>
      <x:c r="P3561" s="9" t="n">
        <x:v>14.35</x:v>
      </x:c>
      <x:c r="Q3561" s="7" t="n">
        <x:f>'Guide'!$B$5-L3561</x:f>
        <x:v>1</x:v>
      </x:c>
      <x:c r="R3561" s="9" t="n">
        <x:f>K3561-P3561</x:f>
        <x:v>1.6500000000000004</x:v>
      </x:c>
      <x:c r="S3561" s="10" t="n">
        <x:f>IF(K3561&gt;0,R3561/K3561,"")</x:f>
        <x:v>0.10312500000000002</x:v>
      </x:c>
    </x:row>
    <x:row r="3562">
      <x:c r="A3562" s="7" t="n">
        <x:v>3558</x:v>
      </x:c>
      <x:c r="B3562" s="7" t="str">
        <x:v>Tata</x:v>
      </x:c>
      <x:c r="C3562" s="7" t="str">
        <x:v>Safari</x:v>
      </x:c>
      <x:c r="D3562" s="7" t="str">
        <x:v>Smart</x:v>
      </x:c>
      <x:c r="E3562" s="7" t="str">
        <x:v>Diesel</x:v>
      </x:c>
      <x:c r="F3562" s="7" t="str">
        <x:v>Manual</x:v>
      </x:c>
      <x:c r="G3562" s="7" t="str">
        <x:v>SUV</x:v>
      </x:c>
      <x:c r="H3562" s="7" t="n">
        <x:v>1956</x:v>
      </x:c>
      <x:c r="I3562" s="7" t="n">
        <x:v>168</x:v>
      </x:c>
      <x:c r="J3562" s="9" t="n">
        <x:v>16.3</x:v>
      </x:c>
      <x:c r="K3562" s="9" t="n">
        <x:v>16</x:v>
      </x:c>
      <x:c r="L3562" s="7" t="n">
        <x:v>2021</x:v>
      </x:c>
      <x:c r="M3562" s="11" t="n">
        <x:v>75323</x:v>
      </x:c>
      <x:c r="N3562" s="7" t="n">
        <x:v>1</x:v>
      </x:c>
      <x:c r="O3562" s="7" t="n">
        <x:v>1</x:v>
      </x:c>
      <x:c r="P3562" s="9" t="n">
        <x:v>7.18</x:v>
      </x:c>
      <x:c r="Q3562" s="7" t="n">
        <x:f>'Guide'!$B$5-L3562</x:f>
        <x:v>5</x:v>
      </x:c>
      <x:c r="R3562" s="9" t="n">
        <x:f>K3562-P3562</x:f>
        <x:v>8.82</x:v>
      </x:c>
      <x:c r="S3562" s="10" t="n">
        <x:f>IF(K3562&gt;0,R3562/K3562,"")</x:f>
        <x:v>0.55125</x:v>
      </x:c>
    </x:row>
    <x:row r="3563">
      <x:c r="A3563" s="7" t="n">
        <x:v>3559</x:v>
      </x:c>
      <x:c r="B3563" s="7" t="str">
        <x:v>Tata</x:v>
      </x:c>
      <x:c r="C3563" s="7" t="str">
        <x:v>Safari</x:v>
      </x:c>
      <x:c r="D3563" s="7" t="str">
        <x:v>Smart</x:v>
      </x:c>
      <x:c r="E3563" s="7" t="str">
        <x:v>Diesel</x:v>
      </x:c>
      <x:c r="F3563" s="7" t="str">
        <x:v>Manual</x:v>
      </x:c>
      <x:c r="G3563" s="7" t="str">
        <x:v>SUV</x:v>
      </x:c>
      <x:c r="H3563" s="7" t="n">
        <x:v>1956</x:v>
      </x:c>
      <x:c r="I3563" s="7" t="n">
        <x:v>168</x:v>
      </x:c>
      <x:c r="J3563" s="9" t="n">
        <x:v>16.3</x:v>
      </x:c>
      <x:c r="K3563" s="9" t="n">
        <x:v>16</x:v>
      </x:c>
      <x:c r="L3563" s="7" t="n">
        <x:v>2024</x:v>
      </x:c>
      <x:c r="M3563" s="11" t="n">
        <x:v>33916</x:v>
      </x:c>
      <x:c r="N3563" s="7" t="n">
        <x:v>1</x:v>
      </x:c>
      <x:c r="O3563" s="7" t="n">
        <x:v>0</x:v>
      </x:c>
      <x:c r="P3563" s="9" t="n">
        <x:v>12.8</x:v>
      </x:c>
      <x:c r="Q3563" s="7" t="n">
        <x:f>'Guide'!$B$5-L3563</x:f>
        <x:v>2</x:v>
      </x:c>
      <x:c r="R3563" s="9" t="n">
        <x:f>K3563-P3563</x:f>
        <x:v>3.1999999999999993</x:v>
      </x:c>
      <x:c r="S3563" s="10" t="n">
        <x:f>IF(K3563&gt;0,R3563/K3563,"")</x:f>
        <x:v>0.19999999999999996</x:v>
      </x:c>
    </x:row>
    <x:row r="3564">
      <x:c r="A3564" s="7" t="n">
        <x:v>3560</x:v>
      </x:c>
      <x:c r="B3564" s="7" t="str">
        <x:v>Tata</x:v>
      </x:c>
      <x:c r="C3564" s="7" t="str">
        <x:v>Safari</x:v>
      </x:c>
      <x:c r="D3564" s="7" t="str">
        <x:v>Smart</x:v>
      </x:c>
      <x:c r="E3564" s="7" t="str">
        <x:v>Diesel</x:v>
      </x:c>
      <x:c r="F3564" s="7" t="str">
        <x:v>Manual</x:v>
      </x:c>
      <x:c r="G3564" s="7" t="str">
        <x:v>SUV</x:v>
      </x:c>
      <x:c r="H3564" s="7" t="n">
        <x:v>1956</x:v>
      </x:c>
      <x:c r="I3564" s="7" t="n">
        <x:v>168</x:v>
      </x:c>
      <x:c r="J3564" s="9" t="n">
        <x:v>16.3</x:v>
      </x:c>
      <x:c r="K3564" s="9" t="n">
        <x:v>16</x:v>
      </x:c>
      <x:c r="L3564" s="7" t="n">
        <x:v>2023</x:v>
      </x:c>
      <x:c r="M3564" s="11" t="n">
        <x:v>48000</x:v>
      </x:c>
      <x:c r="N3564" s="7" t="n">
        <x:v>1</x:v>
      </x:c>
      <x:c r="O3564" s="7" t="n">
        <x:v>0</x:v>
      </x:c>
      <x:c r="P3564" s="9" t="n">
        <x:v>11.63</x:v>
      </x:c>
      <x:c r="Q3564" s="7" t="n">
        <x:f>'Guide'!$B$5-L3564</x:f>
        <x:v>3</x:v>
      </x:c>
      <x:c r="R3564" s="9" t="n">
        <x:f>K3564-P3564</x:f>
        <x:v>4.369999999999999</x:v>
      </x:c>
      <x:c r="S3564" s="10" t="n">
        <x:f>IF(K3564&gt;0,R3564/K3564,"")</x:f>
        <x:v>0.27312499999999995</x:v>
      </x:c>
    </x:row>
    <x:row r="3565">
      <x:c r="A3565" s="7" t="n">
        <x:v>3561</x:v>
      </x:c>
      <x:c r="B3565" s="7" t="str">
        <x:v>Tata</x:v>
      </x:c>
      <x:c r="C3565" s="7" t="str">
        <x:v>Safari</x:v>
      </x:c>
      <x:c r="D3565" s="7" t="str">
        <x:v>Smart</x:v>
      </x:c>
      <x:c r="E3565" s="7" t="str">
        <x:v>Diesel</x:v>
      </x:c>
      <x:c r="F3565" s="7" t="str">
        <x:v>Manual</x:v>
      </x:c>
      <x:c r="G3565" s="7" t="str">
        <x:v>SUV</x:v>
      </x:c>
      <x:c r="H3565" s="7" t="n">
        <x:v>1956</x:v>
      </x:c>
      <x:c r="I3565" s="7" t="n">
        <x:v>168</x:v>
      </x:c>
      <x:c r="J3565" s="9" t="n">
        <x:v>16.3</x:v>
      </x:c>
      <x:c r="K3565" s="9" t="n">
        <x:v>16</x:v>
      </x:c>
      <x:c r="L3565" s="7" t="n">
        <x:v>2024</x:v>
      </x:c>
      <x:c r="M3565" s="11" t="n">
        <x:v>23239</x:v>
      </x:c>
      <x:c r="N3565" s="7" t="n">
        <x:v>1</x:v>
      </x:c>
      <x:c r="O3565" s="7" t="n">
        <x:v>0</x:v>
      </x:c>
      <x:c r="P3565" s="9" t="n">
        <x:v>12.89</x:v>
      </x:c>
      <x:c r="Q3565" s="7" t="n">
        <x:f>'Guide'!$B$5-L3565</x:f>
        <x:v>2</x:v>
      </x:c>
      <x:c r="R3565" s="9" t="n">
        <x:f>K3565-P3565</x:f>
        <x:v>3.1099999999999994</x:v>
      </x:c>
      <x:c r="S3565" s="10" t="n">
        <x:f>IF(K3565&gt;0,R3565/K3565,"")</x:f>
        <x:v>0.19437499999999996</x:v>
      </x:c>
    </x:row>
    <x:row r="3566">
      <x:c r="A3566" s="7" t="n">
        <x:v>3562</x:v>
      </x:c>
      <x:c r="B3566" s="7" t="str">
        <x:v>Tata</x:v>
      </x:c>
      <x:c r="C3566" s="7" t="str">
        <x:v>Safari</x:v>
      </x:c>
      <x:c r="D3566" s="7" t="str">
        <x:v>Smart</x:v>
      </x:c>
      <x:c r="E3566" s="7" t="str">
        <x:v>Diesel</x:v>
      </x:c>
      <x:c r="F3566" s="7" t="str">
        <x:v>Manual</x:v>
      </x:c>
      <x:c r="G3566" s="7" t="str">
        <x:v>SUV</x:v>
      </x:c>
      <x:c r="H3566" s="7" t="n">
        <x:v>1956</x:v>
      </x:c>
      <x:c r="I3566" s="7" t="n">
        <x:v>168</x:v>
      </x:c>
      <x:c r="J3566" s="9" t="n">
        <x:v>16.3</x:v>
      </x:c>
      <x:c r="K3566" s="9" t="n">
        <x:v>16</x:v>
      </x:c>
      <x:c r="L3566" s="7" t="n">
        <x:v>2026</x:v>
      </x:c>
      <x:c r="M3566" s="11" t="n">
        <x:v>7871</x:v>
      </x:c>
      <x:c r="N3566" s="7" t="n">
        <x:v>1</x:v>
      </x:c>
      <x:c r="O3566" s="7" t="n">
        <x:v>0</x:v>
      </x:c>
      <x:c r="P3566" s="9" t="n">
        <x:v>15.46</x:v>
      </x:c>
      <x:c r="Q3566" s="7" t="n">
        <x:f>'Guide'!$B$5-L3566</x:f>
        <x:v>0</x:v>
      </x:c>
      <x:c r="R3566" s="9" t="n">
        <x:f>K3566-P3566</x:f>
        <x:v>0.5399999999999991</x:v>
      </x:c>
      <x:c r="S3566" s="10" t="n">
        <x:f>IF(K3566&gt;0,R3566/K3566,"")</x:f>
        <x:v>0.03374999999999995</x:v>
      </x:c>
    </x:row>
    <x:row r="3567">
      <x:c r="A3567" s="7" t="n">
        <x:v>3563</x:v>
      </x:c>
      <x:c r="B3567" s="7" t="str">
        <x:v>Tata</x:v>
      </x:c>
      <x:c r="C3567" s="7" t="str">
        <x:v>Safari</x:v>
      </x:c>
      <x:c r="D3567" s="7" t="str">
        <x:v>Smart</x:v>
      </x:c>
      <x:c r="E3567" s="7" t="str">
        <x:v>Diesel</x:v>
      </x:c>
      <x:c r="F3567" s="7" t="str">
        <x:v>Manual</x:v>
      </x:c>
      <x:c r="G3567" s="7" t="str">
        <x:v>SUV</x:v>
      </x:c>
      <x:c r="H3567" s="7" t="n">
        <x:v>1956</x:v>
      </x:c>
      <x:c r="I3567" s="7" t="n">
        <x:v>168</x:v>
      </x:c>
      <x:c r="J3567" s="9" t="n">
        <x:v>16.3</x:v>
      </x:c>
      <x:c r="K3567" s="9" t="n">
        <x:v>16</x:v>
      </x:c>
      <x:c r="L3567" s="7" t="n">
        <x:v>2026</x:v>
      </x:c>
      <x:c r="M3567" s="11" t="n">
        <x:v>9396</x:v>
      </x:c>
      <x:c r="N3567" s="7" t="n">
        <x:v>1</x:v>
      </x:c>
      <x:c r="O3567" s="7" t="n">
        <x:v>0</x:v>
      </x:c>
      <x:c r="P3567" s="9" t="n">
        <x:v>15.99</x:v>
      </x:c>
      <x:c r="Q3567" s="7" t="n">
        <x:f>'Guide'!$B$5-L3567</x:f>
        <x:v>0</x:v>
      </x:c>
      <x:c r="R3567" s="9" t="n">
        <x:f>K3567-P3567</x:f>
        <x:v>0.009999999999999787</x:v>
      </x:c>
      <x:c r="S3567" s="10" t="n">
        <x:f>IF(K3567&gt;0,R3567/K3567,"")</x:f>
        <x:v>0.0006249999999999867</x:v>
      </x:c>
    </x:row>
    <x:row r="3568">
      <x:c r="A3568" s="7" t="n">
        <x:v>3564</x:v>
      </x:c>
      <x:c r="B3568" s="7" t="str">
        <x:v>Tata</x:v>
      </x:c>
      <x:c r="C3568" s="7" t="str">
        <x:v>Safari</x:v>
      </x:c>
      <x:c r="D3568" s="7" t="str">
        <x:v>Smart</x:v>
      </x:c>
      <x:c r="E3568" s="7" t="str">
        <x:v>Diesel</x:v>
      </x:c>
      <x:c r="F3568" s="7" t="str">
        <x:v>Manual</x:v>
      </x:c>
      <x:c r="G3568" s="7" t="str">
        <x:v>SUV</x:v>
      </x:c>
      <x:c r="H3568" s="7" t="n">
        <x:v>1956</x:v>
      </x:c>
      <x:c r="I3568" s="7" t="n">
        <x:v>168</x:v>
      </x:c>
      <x:c r="J3568" s="9" t="n">
        <x:v>16.3</x:v>
      </x:c>
      <x:c r="K3568" s="9" t="n">
        <x:v>16</x:v>
      </x:c>
      <x:c r="L3568" s="7" t="n">
        <x:v>2021</x:v>
      </x:c>
      <x:c r="M3568" s="11" t="n">
        <x:v>105072</x:v>
      </x:c>
      <x:c r="N3568" s="7" t="n">
        <x:v>1</x:v>
      </x:c>
      <x:c r="O3568" s="7" t="n">
        <x:v>0</x:v>
      </x:c>
      <x:c r="P3568" s="9" t="n">
        <x:v>7.62</x:v>
      </x:c>
      <x:c r="Q3568" s="7" t="n">
        <x:f>'Guide'!$B$5-L3568</x:f>
        <x:v>5</x:v>
      </x:c>
      <x:c r="R3568" s="9" t="n">
        <x:f>K3568-P3568</x:f>
        <x:v>8.379999999999999</x:v>
      </x:c>
      <x:c r="S3568" s="10" t="n">
        <x:f>IF(K3568&gt;0,R3568/K3568,"")</x:f>
        <x:v>0.5237499999999999</x:v>
      </x:c>
    </x:row>
    <x:row r="3569">
      <x:c r="A3569" s="7" t="n">
        <x:v>3565</x:v>
      </x:c>
      <x:c r="B3569" s="7" t="str">
        <x:v>Tata</x:v>
      </x:c>
      <x:c r="C3569" s="7" t="str">
        <x:v>Safari</x:v>
      </x:c>
      <x:c r="D3569" s="7" t="str">
        <x:v>Smart</x:v>
      </x:c>
      <x:c r="E3569" s="7" t="str">
        <x:v>Diesel</x:v>
      </x:c>
      <x:c r="F3569" s="7" t="str">
        <x:v>Manual</x:v>
      </x:c>
      <x:c r="G3569" s="7" t="str">
        <x:v>SUV</x:v>
      </x:c>
      <x:c r="H3569" s="7" t="n">
        <x:v>1956</x:v>
      </x:c>
      <x:c r="I3569" s="7" t="n">
        <x:v>168</x:v>
      </x:c>
      <x:c r="J3569" s="9" t="n">
        <x:v>16.3</x:v>
      </x:c>
      <x:c r="K3569" s="9" t="n">
        <x:v>16</x:v>
      </x:c>
      <x:c r="L3569" s="7" t="n">
        <x:v>2024</x:v>
      </x:c>
      <x:c r="M3569" s="11" t="n">
        <x:v>41970</x:v>
      </x:c>
      <x:c r="N3569" s="7" t="n">
        <x:v>2</x:v>
      </x:c>
      <x:c r="O3569" s="7" t="n">
        <x:v>1</x:v>
      </x:c>
      <x:c r="P3569" s="9" t="n">
        <x:v>11.67</x:v>
      </x:c>
      <x:c r="Q3569" s="7" t="n">
        <x:f>'Guide'!$B$5-L3569</x:f>
        <x:v>2</x:v>
      </x:c>
      <x:c r="R3569" s="9" t="n">
        <x:f>K3569-P3569</x:f>
        <x:v>4.33</x:v>
      </x:c>
      <x:c r="S3569" s="10" t="n">
        <x:f>IF(K3569&gt;0,R3569/K3569,"")</x:f>
        <x:v>0.270625</x:v>
      </x:c>
    </x:row>
    <x:row r="3570">
      <x:c r="A3570" s="7" t="n">
        <x:v>3566</x:v>
      </x:c>
      <x:c r="B3570" s="7" t="str">
        <x:v>Tata</x:v>
      </x:c>
      <x:c r="C3570" s="7" t="str">
        <x:v>Safari</x:v>
      </x:c>
      <x:c r="D3570" s="7" t="str">
        <x:v>Smart</x:v>
      </x:c>
      <x:c r="E3570" s="7" t="str">
        <x:v>Diesel</x:v>
      </x:c>
      <x:c r="F3570" s="7" t="str">
        <x:v>Manual</x:v>
      </x:c>
      <x:c r="G3570" s="7" t="str">
        <x:v>SUV</x:v>
      </x:c>
      <x:c r="H3570" s="7" t="n">
        <x:v>1956</x:v>
      </x:c>
      <x:c r="I3570" s="7" t="n">
        <x:v>168</x:v>
      </x:c>
      <x:c r="J3570" s="9" t="n">
        <x:v>16.3</x:v>
      </x:c>
      <x:c r="K3570" s="9" t="n">
        <x:v>16</x:v>
      </x:c>
      <x:c r="L3570" s="7" t="n">
        <x:v>2024</x:v>
      </x:c>
      <x:c r="M3570" s="11" t="n">
        <x:v>20141</x:v>
      </x:c>
      <x:c r="N3570" s="7" t="n">
        <x:v>1</x:v>
      </x:c>
      <x:c r="O3570" s="7" t="n">
        <x:v>0</x:v>
      </x:c>
      <x:c r="P3570" s="9" t="n">
        <x:v>13.02</x:v>
      </x:c>
      <x:c r="Q3570" s="7" t="n">
        <x:f>'Guide'!$B$5-L3570</x:f>
        <x:v>2</x:v>
      </x:c>
      <x:c r="R3570" s="9" t="n">
        <x:f>K3570-P3570</x:f>
        <x:v>2.9800000000000004</x:v>
      </x:c>
      <x:c r="S3570" s="10" t="n">
        <x:f>IF(K3570&gt;0,R3570/K3570,"")</x:f>
        <x:v>0.18625000000000003</x:v>
      </x:c>
    </x:row>
    <x:row r="3571">
      <x:c r="A3571" s="7" t="n">
        <x:v>3567</x:v>
      </x:c>
      <x:c r="B3571" s="7" t="str">
        <x:v>Tata</x:v>
      </x:c>
      <x:c r="C3571" s="7" t="str">
        <x:v>Safari</x:v>
      </x:c>
      <x:c r="D3571" s="7" t="str">
        <x:v>Smart</x:v>
      </x:c>
      <x:c r="E3571" s="7" t="str">
        <x:v>Diesel</x:v>
      </x:c>
      <x:c r="F3571" s="7" t="str">
        <x:v>Manual</x:v>
      </x:c>
      <x:c r="G3571" s="7" t="str">
        <x:v>SUV</x:v>
      </x:c>
      <x:c r="H3571" s="7" t="n">
        <x:v>1956</x:v>
      </x:c>
      <x:c r="I3571" s="7" t="n">
        <x:v>168</x:v>
      </x:c>
      <x:c r="J3571" s="9" t="n">
        <x:v>16.3</x:v>
      </x:c>
      <x:c r="K3571" s="9" t="n">
        <x:v>16</x:v>
      </x:c>
      <x:c r="L3571" s="7" t="n">
        <x:v>2025</x:v>
      </x:c>
      <x:c r="M3571" s="11" t="n">
        <x:v>27876</x:v>
      </x:c>
      <x:c r="N3571" s="7" t="n">
        <x:v>1</x:v>
      </x:c>
      <x:c r="O3571" s="7" t="n">
        <x:v>0</x:v>
      </x:c>
      <x:c r="P3571" s="9" t="n">
        <x:v>14.36</x:v>
      </x:c>
      <x:c r="Q3571" s="7" t="n">
        <x:f>'Guide'!$B$5-L3571</x:f>
        <x:v>1</x:v>
      </x:c>
      <x:c r="R3571" s="9" t="n">
        <x:f>K3571-P3571</x:f>
        <x:v>1.6400000000000006</x:v>
      </x:c>
      <x:c r="S3571" s="10" t="n">
        <x:f>IF(K3571&gt;0,R3571/K3571,"")</x:f>
        <x:v>0.10250000000000004</x:v>
      </x:c>
    </x:row>
    <x:row r="3572">
      <x:c r="A3572" s="7" t="n">
        <x:v>3568</x:v>
      </x:c>
      <x:c r="B3572" s="7" t="str">
        <x:v>Tata</x:v>
      </x:c>
      <x:c r="C3572" s="7" t="str">
        <x:v>Safari</x:v>
      </x:c>
      <x:c r="D3572" s="7" t="str">
        <x:v>Smart</x:v>
      </x:c>
      <x:c r="E3572" s="7" t="str">
        <x:v>Diesel</x:v>
      </x:c>
      <x:c r="F3572" s="7" t="str">
        <x:v>Manual</x:v>
      </x:c>
      <x:c r="G3572" s="7" t="str">
        <x:v>SUV</x:v>
      </x:c>
      <x:c r="H3572" s="7" t="n">
        <x:v>1956</x:v>
      </x:c>
      <x:c r="I3572" s="7" t="n">
        <x:v>168</x:v>
      </x:c>
      <x:c r="J3572" s="9" t="n">
        <x:v>16.3</x:v>
      </x:c>
      <x:c r="K3572" s="9" t="n">
        <x:v>16</x:v>
      </x:c>
      <x:c r="L3572" s="7" t="n">
        <x:v>2025</x:v>
      </x:c>
      <x:c r="M3572" s="11" t="n">
        <x:v>29940</x:v>
      </x:c>
      <x:c r="N3572" s="7" t="n">
        <x:v>2</x:v>
      </x:c>
      <x:c r="O3572" s="7" t="n">
        <x:v>0</x:v>
      </x:c>
      <x:c r="P3572" s="9" t="n">
        <x:v>13.94</x:v>
      </x:c>
      <x:c r="Q3572" s="7" t="n">
        <x:f>'Guide'!$B$5-L3572</x:f>
        <x:v>1</x:v>
      </x:c>
      <x:c r="R3572" s="9" t="n">
        <x:f>K3572-P3572</x:f>
        <x:v>2.0600000000000005</x:v>
      </x:c>
      <x:c r="S3572" s="10" t="n">
        <x:f>IF(K3572&gt;0,R3572/K3572,"")</x:f>
        <x:v>0.12875000000000003</x:v>
      </x:c>
    </x:row>
    <x:row r="3573">
      <x:c r="A3573" s="7" t="n">
        <x:v>3569</x:v>
      </x:c>
      <x:c r="B3573" s="7" t="str">
        <x:v>Tata</x:v>
      </x:c>
      <x:c r="C3573" s="7" t="str">
        <x:v>Safari</x:v>
      </x:c>
      <x:c r="D3573" s="7" t="str">
        <x:v>Smart</x:v>
      </x:c>
      <x:c r="E3573" s="7" t="str">
        <x:v>Diesel</x:v>
      </x:c>
      <x:c r="F3573" s="7" t="str">
        <x:v>Manual</x:v>
      </x:c>
      <x:c r="G3573" s="7" t="str">
        <x:v>SUV</x:v>
      </x:c>
      <x:c r="H3573" s="7" t="n">
        <x:v>1956</x:v>
      </x:c>
      <x:c r="I3573" s="7" t="n">
        <x:v>168</x:v>
      </x:c>
      <x:c r="J3573" s="9" t="n">
        <x:v>16.3</x:v>
      </x:c>
      <x:c r="K3573" s="9" t="n">
        <x:v>16</x:v>
      </x:c>
      <x:c r="L3573" s="7" t="n">
        <x:v>2020</x:v>
      </x:c>
      <x:c r="M3573" s="11" t="n">
        <x:v>55841</x:v>
      </x:c>
      <x:c r="N3573" s="7" t="n">
        <x:v>1</x:v>
      </x:c>
      <x:c r="O3573" s="7" t="n">
        <x:v>0</x:v>
      </x:c>
      <x:c r="P3573" s="9" t="n">
        <x:v>6.93</x:v>
      </x:c>
      <x:c r="Q3573" s="7" t="n">
        <x:f>'Guide'!$B$5-L3573</x:f>
        <x:v>6</x:v>
      </x:c>
      <x:c r="R3573" s="9" t="n">
        <x:f>K3573-P3573</x:f>
        <x:v>9.07</x:v>
      </x:c>
      <x:c r="S3573" s="10" t="n">
        <x:f>IF(K3573&gt;0,R3573/K3573,"")</x:f>
        <x:v>0.566875</x:v>
      </x:c>
    </x:row>
    <x:row r="3574">
      <x:c r="A3574" s="7" t="n">
        <x:v>3570</x:v>
      </x:c>
      <x:c r="B3574" s="7" t="str">
        <x:v>Tata</x:v>
      </x:c>
      <x:c r="C3574" s="7" t="str">
        <x:v>Safari</x:v>
      </x:c>
      <x:c r="D3574" s="7" t="str">
        <x:v>Smart</x:v>
      </x:c>
      <x:c r="E3574" s="7" t="str">
        <x:v>Diesel</x:v>
      </x:c>
      <x:c r="F3574" s="7" t="str">
        <x:v>Manual</x:v>
      </x:c>
      <x:c r="G3574" s="7" t="str">
        <x:v>SUV</x:v>
      </x:c>
      <x:c r="H3574" s="7" t="n">
        <x:v>1956</x:v>
      </x:c>
      <x:c r="I3574" s="7" t="n">
        <x:v>168</x:v>
      </x:c>
      <x:c r="J3574" s="9" t="n">
        <x:v>16.3</x:v>
      </x:c>
      <x:c r="K3574" s="9" t="n">
        <x:v>16</x:v>
      </x:c>
      <x:c r="L3574" s="7" t="n">
        <x:v>2024</x:v>
      </x:c>
      <x:c r="M3574" s="11" t="n">
        <x:v>27479</x:v>
      </x:c>
      <x:c r="N3574" s="7" t="n">
        <x:v>1</x:v>
      </x:c>
      <x:c r="O3574" s="7" t="n">
        <x:v>0</x:v>
      </x:c>
      <x:c r="P3574" s="9" t="n">
        <x:v>12.77</x:v>
      </x:c>
      <x:c r="Q3574" s="7" t="n">
        <x:f>'Guide'!$B$5-L3574</x:f>
        <x:v>2</x:v>
      </x:c>
      <x:c r="R3574" s="9" t="n">
        <x:f>K3574-P3574</x:f>
        <x:v>3.2300000000000004</x:v>
      </x:c>
      <x:c r="S3574" s="10" t="n">
        <x:f>IF(K3574&gt;0,R3574/K3574,"")</x:f>
        <x:v>0.20187500000000003</x:v>
      </x:c>
    </x:row>
    <x:row r="3575">
      <x:c r="A3575" s="7" t="n">
        <x:v>3571</x:v>
      </x:c>
      <x:c r="B3575" s="7" t="str">
        <x:v>Tata</x:v>
      </x:c>
      <x:c r="C3575" s="7" t="str">
        <x:v>Safari</x:v>
      </x:c>
      <x:c r="D3575" s="7" t="str">
        <x:v>Smart</x:v>
      </x:c>
      <x:c r="E3575" s="7" t="str">
        <x:v>Diesel</x:v>
      </x:c>
      <x:c r="F3575" s="7" t="str">
        <x:v>Manual</x:v>
      </x:c>
      <x:c r="G3575" s="7" t="str">
        <x:v>SUV</x:v>
      </x:c>
      <x:c r="H3575" s="7" t="n">
        <x:v>1956</x:v>
      </x:c>
      <x:c r="I3575" s="7" t="n">
        <x:v>168</x:v>
      </x:c>
      <x:c r="J3575" s="9" t="n">
        <x:v>16.3</x:v>
      </x:c>
      <x:c r="K3575" s="9" t="n">
        <x:v>16</x:v>
      </x:c>
      <x:c r="L3575" s="7" t="n">
        <x:v>2025</x:v>
      </x:c>
      <x:c r="M3575" s="11" t="n">
        <x:v>22770</x:v>
      </x:c>
      <x:c r="N3575" s="7" t="n">
        <x:v>2</x:v>
      </x:c>
      <x:c r="O3575" s="7" t="n">
        <x:v>0</x:v>
      </x:c>
      <x:c r="P3575" s="9" t="n">
        <x:v>13.98</x:v>
      </x:c>
      <x:c r="Q3575" s="7" t="n">
        <x:f>'Guide'!$B$5-L3575</x:f>
        <x:v>1</x:v>
      </x:c>
      <x:c r="R3575" s="9" t="n">
        <x:f>K3575-P3575</x:f>
        <x:v>2.0199999999999996</x:v>
      </x:c>
      <x:c r="S3575" s="10" t="n">
        <x:f>IF(K3575&gt;0,R3575/K3575,"")</x:f>
        <x:v>0.12624999999999997</x:v>
      </x:c>
    </x:row>
    <x:row r="3576">
      <x:c r="A3576" s="7" t="n">
        <x:v>3572</x:v>
      </x:c>
      <x:c r="B3576" s="7" t="str">
        <x:v>Tata</x:v>
      </x:c>
      <x:c r="C3576" s="7" t="str">
        <x:v>Safari</x:v>
      </x:c>
      <x:c r="D3576" s="7" t="str">
        <x:v>Smart</x:v>
      </x:c>
      <x:c r="E3576" s="7" t="str">
        <x:v>Diesel</x:v>
      </x:c>
      <x:c r="F3576" s="7" t="str">
        <x:v>Manual</x:v>
      </x:c>
      <x:c r="G3576" s="7" t="str">
        <x:v>SUV</x:v>
      </x:c>
      <x:c r="H3576" s="7" t="n">
        <x:v>1956</x:v>
      </x:c>
      <x:c r="I3576" s="7" t="n">
        <x:v>168</x:v>
      </x:c>
      <x:c r="J3576" s="9" t="n">
        <x:v>16.3</x:v>
      </x:c>
      <x:c r="K3576" s="9" t="n">
        <x:v>16</x:v>
      </x:c>
      <x:c r="L3576" s="7" t="n">
        <x:v>2023</x:v>
      </x:c>
      <x:c r="M3576" s="11" t="n">
        <x:v>69101</x:v>
      </x:c>
      <x:c r="N3576" s="7" t="n">
        <x:v>1</x:v>
      </x:c>
      <x:c r="O3576" s="7" t="n">
        <x:v>0</x:v>
      </x:c>
      <x:c r="P3576" s="9" t="n">
        <x:v>10.62</x:v>
      </x:c>
      <x:c r="Q3576" s="7" t="n">
        <x:f>'Guide'!$B$5-L3576</x:f>
        <x:v>3</x:v>
      </x:c>
      <x:c r="R3576" s="9" t="n">
        <x:f>K3576-P3576</x:f>
        <x:v>5.380000000000001</x:v>
      </x:c>
      <x:c r="S3576" s="10" t="n">
        <x:f>IF(K3576&gt;0,R3576/K3576,"")</x:f>
        <x:v>0.33625000000000005</x:v>
      </x:c>
    </x:row>
    <x:row r="3577">
      <x:c r="A3577" s="7" t="n">
        <x:v>3573</x:v>
      </x:c>
      <x:c r="B3577" s="7" t="str">
        <x:v>Tata</x:v>
      </x:c>
      <x:c r="C3577" s="7" t="str">
        <x:v>Safari</x:v>
      </x:c>
      <x:c r="D3577" s="7" t="str">
        <x:v>Smart</x:v>
      </x:c>
      <x:c r="E3577" s="7" t="str">
        <x:v>Diesel</x:v>
      </x:c>
      <x:c r="F3577" s="7" t="str">
        <x:v>Manual</x:v>
      </x:c>
      <x:c r="G3577" s="7" t="str">
        <x:v>SUV</x:v>
      </x:c>
      <x:c r="H3577" s="7" t="n">
        <x:v>1956</x:v>
      </x:c>
      <x:c r="I3577" s="7" t="n">
        <x:v>168</x:v>
      </x:c>
      <x:c r="J3577" s="9" t="n">
        <x:v>16.3</x:v>
      </x:c>
      <x:c r="K3577" s="9" t="n">
        <x:v>16</x:v>
      </x:c>
      <x:c r="L3577" s="7" t="n">
        <x:v>2022</x:v>
      </x:c>
      <x:c r="M3577" s="11" t="n">
        <x:v>64834</x:v>
      </x:c>
      <x:c r="N3577" s="7" t="n">
        <x:v>2</x:v>
      </x:c>
      <x:c r="O3577" s="7" t="n">
        <x:v>0</x:v>
      </x:c>
      <x:c r="P3577" s="9" t="n">
        <x:v>9.62</x:v>
      </x:c>
      <x:c r="Q3577" s="7" t="n">
        <x:f>'Guide'!$B$5-L3577</x:f>
        <x:v>4</x:v>
      </x:c>
      <x:c r="R3577" s="9" t="n">
        <x:f>K3577-P3577</x:f>
        <x:v>6.380000000000001</x:v>
      </x:c>
      <x:c r="S3577" s="10" t="n">
        <x:f>IF(K3577&gt;0,R3577/K3577,"")</x:f>
        <x:v>0.39875000000000005</x:v>
      </x:c>
    </x:row>
    <x:row r="3578">
      <x:c r="A3578" s="7" t="n">
        <x:v>3574</x:v>
      </x:c>
      <x:c r="B3578" s="7" t="str">
        <x:v>Tata</x:v>
      </x:c>
      <x:c r="C3578" s="7" t="str">
        <x:v>Safari</x:v>
      </x:c>
      <x:c r="D3578" s="7" t="str">
        <x:v>Smart</x:v>
      </x:c>
      <x:c r="E3578" s="7" t="str">
        <x:v>Diesel</x:v>
      </x:c>
      <x:c r="F3578" s="7" t="str">
        <x:v>Manual</x:v>
      </x:c>
      <x:c r="G3578" s="7" t="str">
        <x:v>SUV</x:v>
      </x:c>
      <x:c r="H3578" s="7" t="n">
        <x:v>1956</x:v>
      </x:c>
      <x:c r="I3578" s="7" t="n">
        <x:v>168</x:v>
      </x:c>
      <x:c r="J3578" s="9" t="n">
        <x:v>16.3</x:v>
      </x:c>
      <x:c r="K3578" s="9" t="n">
        <x:v>16</x:v>
      </x:c>
      <x:c r="L3578" s="7" t="n">
        <x:v>2026</x:v>
      </x:c>
      <x:c r="M3578" s="11" t="n">
        <x:v>5754</x:v>
      </x:c>
      <x:c r="N3578" s="7" t="n">
        <x:v>1</x:v>
      </x:c>
      <x:c r="O3578" s="7" t="n">
        <x:v>1</x:v>
      </x:c>
      <x:c r="P3578" s="9" t="n">
        <x:v>14.7</x:v>
      </x:c>
      <x:c r="Q3578" s="7" t="n">
        <x:f>'Guide'!$B$5-L3578</x:f>
        <x:v>0</x:v>
      </x:c>
      <x:c r="R3578" s="9" t="n">
        <x:f>K3578-P3578</x:f>
        <x:v>1.3000000000000007</x:v>
      </x:c>
      <x:c r="S3578" s="10" t="n">
        <x:f>IF(K3578&gt;0,R3578/K3578,"")</x:f>
        <x:v>0.08125000000000004</x:v>
      </x:c>
    </x:row>
    <x:row r="3579">
      <x:c r="A3579" s="7" t="n">
        <x:v>3575</x:v>
      </x:c>
      <x:c r="B3579" s="7" t="str">
        <x:v>Tata</x:v>
      </x:c>
      <x:c r="C3579" s="7" t="str">
        <x:v>Safari</x:v>
      </x:c>
      <x:c r="D3579" s="7" t="str">
        <x:v>Smart</x:v>
      </x:c>
      <x:c r="E3579" s="7" t="str">
        <x:v>Diesel</x:v>
      </x:c>
      <x:c r="F3579" s="7" t="str">
        <x:v>Manual</x:v>
      </x:c>
      <x:c r="G3579" s="7" t="str">
        <x:v>SUV</x:v>
      </x:c>
      <x:c r="H3579" s="7" t="n">
        <x:v>1956</x:v>
      </x:c>
      <x:c r="I3579" s="7" t="n">
        <x:v>168</x:v>
      </x:c>
      <x:c r="J3579" s="9" t="n">
        <x:v>16.3</x:v>
      </x:c>
      <x:c r="K3579" s="9" t="n">
        <x:v>16</x:v>
      </x:c>
      <x:c r="L3579" s="7" t="n">
        <x:v>2025</x:v>
      </x:c>
      <x:c r="M3579" s="11" t="n">
        <x:v>29574</x:v>
      </x:c>
      <x:c r="N3579" s="7" t="n">
        <x:v>1</x:v>
      </x:c>
      <x:c r="O3579" s="7" t="n">
        <x:v>0</x:v>
      </x:c>
      <x:c r="P3579" s="9" t="n">
        <x:v>13.83</x:v>
      </x:c>
      <x:c r="Q3579" s="7" t="n">
        <x:f>'Guide'!$B$5-L3579</x:f>
        <x:v>1</x:v>
      </x:c>
      <x:c r="R3579" s="9" t="n">
        <x:f>K3579-P3579</x:f>
        <x:v>2.17</x:v>
      </x:c>
      <x:c r="S3579" s="10" t="n">
        <x:f>IF(K3579&gt;0,R3579/K3579,"")</x:f>
        <x:v>0.135625</x:v>
      </x:c>
    </x:row>
    <x:row r="3580">
      <x:c r="A3580" s="7" t="n">
        <x:v>3576</x:v>
      </x:c>
      <x:c r="B3580" s="7" t="str">
        <x:v>Tata</x:v>
      </x:c>
      <x:c r="C3580" s="7" t="str">
        <x:v>Safari</x:v>
      </x:c>
      <x:c r="D3580" s="7" t="str">
        <x:v>Smart</x:v>
      </x:c>
      <x:c r="E3580" s="7" t="str">
        <x:v>Diesel</x:v>
      </x:c>
      <x:c r="F3580" s="7" t="str">
        <x:v>Manual</x:v>
      </x:c>
      <x:c r="G3580" s="7" t="str">
        <x:v>SUV</x:v>
      </x:c>
      <x:c r="H3580" s="7" t="n">
        <x:v>1956</x:v>
      </x:c>
      <x:c r="I3580" s="7" t="n">
        <x:v>168</x:v>
      </x:c>
      <x:c r="J3580" s="9" t="n">
        <x:v>16.3</x:v>
      </x:c>
      <x:c r="K3580" s="9" t="n">
        <x:v>16</x:v>
      </x:c>
      <x:c r="L3580" s="7" t="n">
        <x:v>2020</x:v>
      </x:c>
      <x:c r="M3580" s="11" t="n">
        <x:v>109092</x:v>
      </x:c>
      <x:c r="N3580" s="7" t="n">
        <x:v>1</x:v>
      </x:c>
      <x:c r="O3580" s="7" t="n">
        <x:v>0</x:v>
      </x:c>
      <x:c r="P3580" s="9" t="n">
        <x:v>6.47</x:v>
      </x:c>
      <x:c r="Q3580" s="7" t="n">
        <x:f>'Guide'!$B$5-L3580</x:f>
        <x:v>6</x:v>
      </x:c>
      <x:c r="R3580" s="9" t="n">
        <x:f>K3580-P3580</x:f>
        <x:v>9.530000000000001</x:v>
      </x:c>
      <x:c r="S3580" s="10" t="n">
        <x:f>IF(K3580&gt;0,R3580/K3580,"")</x:f>
        <x:v>0.5956250000000001</x:v>
      </x:c>
    </x:row>
    <x:row r="3581">
      <x:c r="A3581" s="7" t="n">
        <x:v>3577</x:v>
      </x:c>
      <x:c r="B3581" s="7" t="str">
        <x:v>Tata</x:v>
      </x:c>
      <x:c r="C3581" s="7" t="str">
        <x:v>Safari</x:v>
      </x:c>
      <x:c r="D3581" s="7" t="str">
        <x:v>Smart</x:v>
      </x:c>
      <x:c r="E3581" s="7" t="str">
        <x:v>Diesel</x:v>
      </x:c>
      <x:c r="F3581" s="7" t="str">
        <x:v>Manual</x:v>
      </x:c>
      <x:c r="G3581" s="7" t="str">
        <x:v>SUV</x:v>
      </x:c>
      <x:c r="H3581" s="7" t="n">
        <x:v>1956</x:v>
      </x:c>
      <x:c r="I3581" s="7" t="n">
        <x:v>168</x:v>
      </x:c>
      <x:c r="J3581" s="9" t="n">
        <x:v>16.3</x:v>
      </x:c>
      <x:c r="K3581" s="9" t="n">
        <x:v>16</x:v>
      </x:c>
      <x:c r="L3581" s="7" t="n">
        <x:v>2026</x:v>
      </x:c>
      <x:c r="M3581" s="11" t="n">
        <x:v>9205</x:v>
      </x:c>
      <x:c r="N3581" s="7" t="n">
        <x:v>1</x:v>
      </x:c>
      <x:c r="O3581" s="7" t="n">
        <x:v>0</x:v>
      </x:c>
      <x:c r="P3581" s="9" t="n">
        <x:v>15.64</x:v>
      </x:c>
      <x:c r="Q3581" s="7" t="n">
        <x:f>'Guide'!$B$5-L3581</x:f>
        <x:v>0</x:v>
      </x:c>
      <x:c r="R3581" s="9" t="n">
        <x:f>K3581-P3581</x:f>
        <x:v>0.35999999999999943</x:v>
      </x:c>
      <x:c r="S3581" s="10" t="n">
        <x:f>IF(K3581&gt;0,R3581/K3581,"")</x:f>
        <x:v>0.022499999999999964</x:v>
      </x:c>
    </x:row>
    <x:row r="3582">
      <x:c r="A3582" s="7" t="n">
        <x:v>3578</x:v>
      </x:c>
      <x:c r="B3582" s="7" t="str">
        <x:v>Tata</x:v>
      </x:c>
      <x:c r="C3582" s="7" t="str">
        <x:v>Safari</x:v>
      </x:c>
      <x:c r="D3582" s="7" t="str">
        <x:v>Smart</x:v>
      </x:c>
      <x:c r="E3582" s="7" t="str">
        <x:v>Diesel</x:v>
      </x:c>
      <x:c r="F3582" s="7" t="str">
        <x:v>Manual</x:v>
      </x:c>
      <x:c r="G3582" s="7" t="str">
        <x:v>SUV</x:v>
      </x:c>
      <x:c r="H3582" s="7" t="n">
        <x:v>1956</x:v>
      </x:c>
      <x:c r="I3582" s="7" t="n">
        <x:v>168</x:v>
      </x:c>
      <x:c r="J3582" s="9" t="n">
        <x:v>16.3</x:v>
      </x:c>
      <x:c r="K3582" s="9" t="n">
        <x:v>16</x:v>
      </x:c>
      <x:c r="L3582" s="7" t="n">
        <x:v>2021</x:v>
      </x:c>
      <x:c r="M3582" s="11" t="n">
        <x:v>67358</x:v>
      </x:c>
      <x:c r="N3582" s="7" t="n">
        <x:v>1</x:v>
      </x:c>
      <x:c r="O3582" s="7" t="n">
        <x:v>0</x:v>
      </x:c>
      <x:c r="P3582" s="9" t="n">
        <x:v>8.35</x:v>
      </x:c>
      <x:c r="Q3582" s="7" t="n">
        <x:f>'Guide'!$B$5-L3582</x:f>
        <x:v>5</x:v>
      </x:c>
      <x:c r="R3582" s="9" t="n">
        <x:f>K3582-P3582</x:f>
        <x:v>7.65</x:v>
      </x:c>
      <x:c r="S3582" s="10" t="n">
        <x:f>IF(K3582&gt;0,R3582/K3582,"")</x:f>
        <x:v>0.478125</x:v>
      </x:c>
    </x:row>
    <x:row r="3583">
      <x:c r="A3583" s="7" t="n">
        <x:v>3579</x:v>
      </x:c>
      <x:c r="B3583" s="7" t="str">
        <x:v>Tata</x:v>
      </x:c>
      <x:c r="C3583" s="7" t="str">
        <x:v>Safari</x:v>
      </x:c>
      <x:c r="D3583" s="7" t="str">
        <x:v>Smart</x:v>
      </x:c>
      <x:c r="E3583" s="7" t="str">
        <x:v>Diesel</x:v>
      </x:c>
      <x:c r="F3583" s="7" t="str">
        <x:v>Manual</x:v>
      </x:c>
      <x:c r="G3583" s="7" t="str">
        <x:v>SUV</x:v>
      </x:c>
      <x:c r="H3583" s="7" t="n">
        <x:v>1956</x:v>
      </x:c>
      <x:c r="I3583" s="7" t="n">
        <x:v>168</x:v>
      </x:c>
      <x:c r="J3583" s="9" t="n">
        <x:v>16.3</x:v>
      </x:c>
      <x:c r="K3583" s="9" t="n">
        <x:v>16</x:v>
      </x:c>
      <x:c r="L3583" s="7" t="n">
        <x:v>2022</x:v>
      </x:c>
      <x:c r="M3583" s="11" t="n">
        <x:v>37698</x:v>
      </x:c>
      <x:c r="N3583" s="7" t="n">
        <x:v>1</x:v>
      </x:c>
      <x:c r="O3583" s="7" t="n">
        <x:v>0</x:v>
      </x:c>
      <x:c r="P3583" s="9" t="n">
        <x:v>10.11</x:v>
      </x:c>
      <x:c r="Q3583" s="7" t="n">
        <x:f>'Guide'!$B$5-L3583</x:f>
        <x:v>4</x:v>
      </x:c>
      <x:c r="R3583" s="9" t="n">
        <x:f>K3583-P3583</x:f>
        <x:v>5.890000000000001</x:v>
      </x:c>
      <x:c r="S3583" s="10" t="n">
        <x:f>IF(K3583&gt;0,R3583/K3583,"")</x:f>
        <x:v>0.36812500000000004</x:v>
      </x:c>
    </x:row>
    <x:row r="3584">
      <x:c r="A3584" s="7" t="n">
        <x:v>3580</x:v>
      </x:c>
      <x:c r="B3584" s="7" t="str">
        <x:v>Tata</x:v>
      </x:c>
      <x:c r="C3584" s="7" t="str">
        <x:v>Safari</x:v>
      </x:c>
      <x:c r="D3584" s="7" t="str">
        <x:v>Smart</x:v>
      </x:c>
      <x:c r="E3584" s="7" t="str">
        <x:v>Diesel</x:v>
      </x:c>
      <x:c r="F3584" s="7" t="str">
        <x:v>Manual</x:v>
      </x:c>
      <x:c r="G3584" s="7" t="str">
        <x:v>SUV</x:v>
      </x:c>
      <x:c r="H3584" s="7" t="n">
        <x:v>1956</x:v>
      </x:c>
      <x:c r="I3584" s="7" t="n">
        <x:v>168</x:v>
      </x:c>
      <x:c r="J3584" s="9" t="n">
        <x:v>16.3</x:v>
      </x:c>
      <x:c r="K3584" s="9" t="n">
        <x:v>16</x:v>
      </x:c>
      <x:c r="L3584" s="7" t="n">
        <x:v>2023</x:v>
      </x:c>
      <x:c r="M3584" s="11" t="n">
        <x:v>38877</x:v>
      </x:c>
      <x:c r="N3584" s="7" t="n">
        <x:v>1</x:v>
      </x:c>
      <x:c r="O3584" s="7" t="n">
        <x:v>0</x:v>
      </x:c>
      <x:c r="P3584" s="9" t="n">
        <x:v>11.18</x:v>
      </x:c>
      <x:c r="Q3584" s="7" t="n">
        <x:f>'Guide'!$B$5-L3584</x:f>
        <x:v>3</x:v>
      </x:c>
      <x:c r="R3584" s="9" t="n">
        <x:f>K3584-P3584</x:f>
        <x:v>4.82</x:v>
      </x:c>
      <x:c r="S3584" s="10" t="n">
        <x:f>IF(K3584&gt;0,R3584/K3584,"")</x:f>
        <x:v>0.30125</x:v>
      </x:c>
    </x:row>
    <x:row r="3585">
      <x:c r="A3585" s="7" t="n">
        <x:v>3581</x:v>
      </x:c>
      <x:c r="B3585" s="7" t="str">
        <x:v>Tata</x:v>
      </x:c>
      <x:c r="C3585" s="7" t="str">
        <x:v>Safari</x:v>
      </x:c>
      <x:c r="D3585" s="7" t="str">
        <x:v>Smart</x:v>
      </x:c>
      <x:c r="E3585" s="7" t="str">
        <x:v>Diesel</x:v>
      </x:c>
      <x:c r="F3585" s="7" t="str">
        <x:v>Manual</x:v>
      </x:c>
      <x:c r="G3585" s="7" t="str">
        <x:v>SUV</x:v>
      </x:c>
      <x:c r="H3585" s="7" t="n">
        <x:v>1956</x:v>
      </x:c>
      <x:c r="I3585" s="7" t="n">
        <x:v>168</x:v>
      </x:c>
      <x:c r="J3585" s="9" t="n">
        <x:v>16.3</x:v>
      </x:c>
      <x:c r="K3585" s="9" t="n">
        <x:v>16</x:v>
      </x:c>
      <x:c r="L3585" s="7" t="n">
        <x:v>2025</x:v>
      </x:c>
      <x:c r="M3585" s="11" t="n">
        <x:v>24917</x:v>
      </x:c>
      <x:c r="N3585" s="7" t="n">
        <x:v>1</x:v>
      </x:c>
      <x:c r="O3585" s="7" t="n">
        <x:v>0</x:v>
      </x:c>
      <x:c r="P3585" s="9" t="n">
        <x:v>14.25</x:v>
      </x:c>
      <x:c r="Q3585" s="7" t="n">
        <x:f>'Guide'!$B$5-L3585</x:f>
        <x:v>1</x:v>
      </x:c>
      <x:c r="R3585" s="9" t="n">
        <x:f>K3585-P3585</x:f>
        <x:v>1.75</x:v>
      </x:c>
      <x:c r="S3585" s="10" t="n">
        <x:f>IF(K3585&gt;0,R3585/K3585,"")</x:f>
        <x:v>0.109375</x:v>
      </x:c>
    </x:row>
    <x:row r="3586">
      <x:c r="A3586" s="7" t="n">
        <x:v>3582</x:v>
      </x:c>
      <x:c r="B3586" s="7" t="str">
        <x:v>Tata</x:v>
      </x:c>
      <x:c r="C3586" s="7" t="str">
        <x:v>Safari</x:v>
      </x:c>
      <x:c r="D3586" s="7" t="str">
        <x:v>Smart</x:v>
      </x:c>
      <x:c r="E3586" s="7" t="str">
        <x:v>Diesel</x:v>
      </x:c>
      <x:c r="F3586" s="7" t="str">
        <x:v>Manual</x:v>
      </x:c>
      <x:c r="G3586" s="7" t="str">
        <x:v>SUV</x:v>
      </x:c>
      <x:c r="H3586" s="7" t="n">
        <x:v>1956</x:v>
      </x:c>
      <x:c r="I3586" s="7" t="n">
        <x:v>168</x:v>
      </x:c>
      <x:c r="J3586" s="9" t="n">
        <x:v>16.3</x:v>
      </x:c>
      <x:c r="K3586" s="9" t="n">
        <x:v>16</x:v>
      </x:c>
      <x:c r="L3586" s="7" t="n">
        <x:v>2022</x:v>
      </x:c>
      <x:c r="M3586" s="11" t="n">
        <x:v>74406</x:v>
      </x:c>
      <x:c r="N3586" s="7" t="n">
        <x:v>2</x:v>
      </x:c>
      <x:c r="O3586" s="7" t="n">
        <x:v>0</x:v>
      </x:c>
      <x:c r="P3586" s="9" t="n">
        <x:v>9.22</x:v>
      </x:c>
      <x:c r="Q3586" s="7" t="n">
        <x:f>'Guide'!$B$5-L3586</x:f>
        <x:v>4</x:v>
      </x:c>
      <x:c r="R3586" s="9" t="n">
        <x:f>K3586-P3586</x:f>
        <x:v>6.779999999999999</x:v>
      </x:c>
      <x:c r="S3586" s="10" t="n">
        <x:f>IF(K3586&gt;0,R3586/K3586,"")</x:f>
        <x:v>0.42374999999999996</x:v>
      </x:c>
    </x:row>
    <x:row r="3587">
      <x:c r="A3587" s="7" t="n">
        <x:v>3583</x:v>
      </x:c>
      <x:c r="B3587" s="7" t="str">
        <x:v>Tata</x:v>
      </x:c>
      <x:c r="C3587" s="7" t="str">
        <x:v>Safari</x:v>
      </x:c>
      <x:c r="D3587" s="7" t="str">
        <x:v>Smart</x:v>
      </x:c>
      <x:c r="E3587" s="7" t="str">
        <x:v>Diesel</x:v>
      </x:c>
      <x:c r="F3587" s="7" t="str">
        <x:v>Manual</x:v>
      </x:c>
      <x:c r="G3587" s="7" t="str">
        <x:v>SUV</x:v>
      </x:c>
      <x:c r="H3587" s="7" t="n">
        <x:v>1956</x:v>
      </x:c>
      <x:c r="I3587" s="7" t="n">
        <x:v>168</x:v>
      </x:c>
      <x:c r="J3587" s="9" t="n">
        <x:v>16.3</x:v>
      </x:c>
      <x:c r="K3587" s="9" t="n">
        <x:v>16</x:v>
      </x:c>
      <x:c r="L3587" s="7" t="n">
        <x:v>2022</x:v>
      </x:c>
      <x:c r="M3587" s="11" t="n">
        <x:v>74904</x:v>
      </x:c>
      <x:c r="N3587" s="7" t="n">
        <x:v>3</x:v>
      </x:c>
      <x:c r="O3587" s="7" t="n">
        <x:v>0</x:v>
      </x:c>
      <x:c r="P3587" s="9" t="n">
        <x:v>8.98</x:v>
      </x:c>
      <x:c r="Q3587" s="7" t="n">
        <x:f>'Guide'!$B$5-L3587</x:f>
        <x:v>4</x:v>
      </x:c>
      <x:c r="R3587" s="9" t="n">
        <x:f>K3587-P3587</x:f>
        <x:v>7.02</x:v>
      </x:c>
      <x:c r="S3587" s="10" t="n">
        <x:f>IF(K3587&gt;0,R3587/K3587,"")</x:f>
        <x:v>0.43875</x:v>
      </x:c>
    </x:row>
    <x:row r="3588">
      <x:c r="A3588" s="7" t="n">
        <x:v>3584</x:v>
      </x:c>
      <x:c r="B3588" s="7" t="str">
        <x:v>Tata</x:v>
      </x:c>
      <x:c r="C3588" s="7" t="str">
        <x:v>Safari</x:v>
      </x:c>
      <x:c r="D3588" s="7" t="str">
        <x:v>Smart</x:v>
      </x:c>
      <x:c r="E3588" s="7" t="str">
        <x:v>Diesel</x:v>
      </x:c>
      <x:c r="F3588" s="7" t="str">
        <x:v>Manual</x:v>
      </x:c>
      <x:c r="G3588" s="7" t="str">
        <x:v>SUV</x:v>
      </x:c>
      <x:c r="H3588" s="7" t="n">
        <x:v>1956</x:v>
      </x:c>
      <x:c r="I3588" s="7" t="n">
        <x:v>168</x:v>
      </x:c>
      <x:c r="J3588" s="9" t="n">
        <x:v>16.3</x:v>
      </x:c>
      <x:c r="K3588" s="9" t="n">
        <x:v>16</x:v>
      </x:c>
      <x:c r="L3588" s="7" t="n">
        <x:v>2024</x:v>
      </x:c>
      <x:c r="M3588" s="11" t="n">
        <x:v>21045</x:v>
      </x:c>
      <x:c r="N3588" s="7" t="n">
        <x:v>1</x:v>
      </x:c>
      <x:c r="O3588" s="7" t="n">
        <x:v>0</x:v>
      </x:c>
      <x:c r="P3588" s="9" t="n">
        <x:v>13.29</x:v>
      </x:c>
      <x:c r="Q3588" s="7" t="n">
        <x:f>'Guide'!$B$5-L3588</x:f>
        <x:v>2</x:v>
      </x:c>
      <x:c r="R3588" s="9" t="n">
        <x:f>K3588-P3588</x:f>
        <x:v>2.710000000000001</x:v>
      </x:c>
      <x:c r="S3588" s="10" t="n">
        <x:f>IF(K3588&gt;0,R3588/K3588,"")</x:f>
        <x:v>0.16937500000000005</x:v>
      </x:c>
    </x:row>
    <x:row r="3589">
      <x:c r="A3589" s="7" t="n">
        <x:v>3585</x:v>
      </x:c>
      <x:c r="B3589" s="7" t="str">
        <x:v>Tata</x:v>
      </x:c>
      <x:c r="C3589" s="7" t="str">
        <x:v>Safari</x:v>
      </x:c>
      <x:c r="D3589" s="7" t="str">
        <x:v>Smart</x:v>
      </x:c>
      <x:c r="E3589" s="7" t="str">
        <x:v>Diesel</x:v>
      </x:c>
      <x:c r="F3589" s="7" t="str">
        <x:v>Manual</x:v>
      </x:c>
      <x:c r="G3589" s="7" t="str">
        <x:v>SUV</x:v>
      </x:c>
      <x:c r="H3589" s="7" t="n">
        <x:v>1956</x:v>
      </x:c>
      <x:c r="I3589" s="7" t="n">
        <x:v>168</x:v>
      </x:c>
      <x:c r="J3589" s="9" t="n">
        <x:v>16.3</x:v>
      </x:c>
      <x:c r="K3589" s="9" t="n">
        <x:v>16</x:v>
      </x:c>
      <x:c r="L3589" s="7" t="n">
        <x:v>2026</x:v>
      </x:c>
      <x:c r="M3589" s="11" t="n">
        <x:v>4742</x:v>
      </x:c>
      <x:c r="N3589" s="7" t="n">
        <x:v>1</x:v>
      </x:c>
      <x:c r="O3589" s="7" t="n">
        <x:v>1</x:v>
      </x:c>
      <x:c r="P3589" s="9" t="n">
        <x:v>14.88</x:v>
      </x:c>
      <x:c r="Q3589" s="7" t="n">
        <x:f>'Guide'!$B$5-L3589</x:f>
        <x:v>0</x:v>
      </x:c>
      <x:c r="R3589" s="9" t="n">
        <x:f>K3589-P3589</x:f>
        <x:v>1.1199999999999992</x:v>
      </x:c>
      <x:c r="S3589" s="10" t="n">
        <x:f>IF(K3589&gt;0,R3589/K3589,"")</x:f>
        <x:v>0.06999999999999995</x:v>
      </x:c>
    </x:row>
    <x:row r="3590">
      <x:c r="A3590" s="7" t="n">
        <x:v>3586</x:v>
      </x:c>
      <x:c r="B3590" s="7" t="str">
        <x:v>Tata</x:v>
      </x:c>
      <x:c r="C3590" s="7" t="str">
        <x:v>Safari</x:v>
      </x:c>
      <x:c r="D3590" s="7" t="str">
        <x:v>Smart</x:v>
      </x:c>
      <x:c r="E3590" s="7" t="str">
        <x:v>Diesel</x:v>
      </x:c>
      <x:c r="F3590" s="7" t="str">
        <x:v>Manual</x:v>
      </x:c>
      <x:c r="G3590" s="7" t="str">
        <x:v>SUV</x:v>
      </x:c>
      <x:c r="H3590" s="7" t="n">
        <x:v>1956</x:v>
      </x:c>
      <x:c r="I3590" s="7" t="n">
        <x:v>168</x:v>
      </x:c>
      <x:c r="J3590" s="9" t="n">
        <x:v>16.3</x:v>
      </x:c>
      <x:c r="K3590" s="9" t="n">
        <x:v>16</x:v>
      </x:c>
      <x:c r="L3590" s="7" t="n">
        <x:v>2023</x:v>
      </x:c>
      <x:c r="M3590" s="11" t="n">
        <x:v>66995</x:v>
      </x:c>
      <x:c r="N3590" s="7" t="n">
        <x:v>2</x:v>
      </x:c>
      <x:c r="O3590" s="7" t="n">
        <x:v>0</x:v>
      </x:c>
      <x:c r="P3590" s="9" t="n">
        <x:v>10.12</x:v>
      </x:c>
      <x:c r="Q3590" s="7" t="n">
        <x:f>'Guide'!$B$5-L3590</x:f>
        <x:v>3</x:v>
      </x:c>
      <x:c r="R3590" s="9" t="n">
        <x:f>K3590-P3590</x:f>
        <x:v>5.880000000000001</x:v>
      </x:c>
      <x:c r="S3590" s="10" t="n">
        <x:f>IF(K3590&gt;0,R3590/K3590,"")</x:f>
        <x:v>0.36750000000000005</x:v>
      </x:c>
    </x:row>
    <x:row r="3591">
      <x:c r="A3591" s="7" t="n">
        <x:v>3587</x:v>
      </x:c>
      <x:c r="B3591" s="7" t="str">
        <x:v>Tata</x:v>
      </x:c>
      <x:c r="C3591" s="7" t="str">
        <x:v>Safari</x:v>
      </x:c>
      <x:c r="D3591" s="7" t="str">
        <x:v>Smart</x:v>
      </x:c>
      <x:c r="E3591" s="7" t="str">
        <x:v>Diesel</x:v>
      </x:c>
      <x:c r="F3591" s="7" t="str">
        <x:v>Manual</x:v>
      </x:c>
      <x:c r="G3591" s="7" t="str">
        <x:v>SUV</x:v>
      </x:c>
      <x:c r="H3591" s="7" t="n">
        <x:v>1956</x:v>
      </x:c>
      <x:c r="I3591" s="7" t="n">
        <x:v>168</x:v>
      </x:c>
      <x:c r="J3591" s="9" t="n">
        <x:v>16.3</x:v>
      </x:c>
      <x:c r="K3591" s="9" t="n">
        <x:v>16</x:v>
      </x:c>
      <x:c r="L3591" s="7" t="n">
        <x:v>2025</x:v>
      </x:c>
      <x:c r="M3591" s="11" t="n">
        <x:v>16824</x:v>
      </x:c>
      <x:c r="N3591" s="7" t="n">
        <x:v>2</x:v>
      </x:c>
      <x:c r="O3591" s="7" t="n">
        <x:v>0</x:v>
      </x:c>
      <x:c r="P3591" s="9" t="n">
        <x:v>14.17</x:v>
      </x:c>
      <x:c r="Q3591" s="7" t="n">
        <x:f>'Guide'!$B$5-L3591</x:f>
        <x:v>1</x:v>
      </x:c>
      <x:c r="R3591" s="9" t="n">
        <x:f>K3591-P3591</x:f>
        <x:v>1.83</x:v>
      </x:c>
      <x:c r="S3591" s="10" t="n">
        <x:f>IF(K3591&gt;0,R3591/K3591,"")</x:f>
        <x:v>0.114375</x:v>
      </x:c>
    </x:row>
    <x:row r="3592">
      <x:c r="A3592" s="7" t="n">
        <x:v>3588</x:v>
      </x:c>
      <x:c r="B3592" s="7" t="str">
        <x:v>Tata</x:v>
      </x:c>
      <x:c r="C3592" s="7" t="str">
        <x:v>Safari</x:v>
      </x:c>
      <x:c r="D3592" s="7" t="str">
        <x:v>Smart</x:v>
      </x:c>
      <x:c r="E3592" s="7" t="str">
        <x:v>Diesel</x:v>
      </x:c>
      <x:c r="F3592" s="7" t="str">
        <x:v>Manual</x:v>
      </x:c>
      <x:c r="G3592" s="7" t="str">
        <x:v>SUV</x:v>
      </x:c>
      <x:c r="H3592" s="7" t="n">
        <x:v>1956</x:v>
      </x:c>
      <x:c r="I3592" s="7" t="n">
        <x:v>168</x:v>
      </x:c>
      <x:c r="J3592" s="9" t="n">
        <x:v>16.3</x:v>
      </x:c>
      <x:c r="K3592" s="9" t="n">
        <x:v>16</x:v>
      </x:c>
      <x:c r="L3592" s="7" t="n">
        <x:v>2021</x:v>
      </x:c>
      <x:c r="M3592" s="11" t="n">
        <x:v>54795</x:v>
      </x:c>
      <x:c r="N3592" s="7" t="n">
        <x:v>1</x:v>
      </x:c>
      <x:c r="O3592" s="7" t="n">
        <x:v>0</x:v>
      </x:c>
      <x:c r="P3592" s="9" t="n">
        <x:v>8.2</x:v>
      </x:c>
      <x:c r="Q3592" s="7" t="n">
        <x:f>'Guide'!$B$5-L3592</x:f>
        <x:v>5</x:v>
      </x:c>
      <x:c r="R3592" s="9" t="n">
        <x:f>K3592-P3592</x:f>
        <x:v>7.800000000000001</x:v>
      </x:c>
      <x:c r="S3592" s="10" t="n">
        <x:f>IF(K3592&gt;0,R3592/K3592,"")</x:f>
        <x:v>0.48750000000000004</x:v>
      </x:c>
    </x:row>
    <x:row r="3593">
      <x:c r="A3593" s="7" t="n">
        <x:v>3589</x:v>
      </x:c>
      <x:c r="B3593" s="7" t="str">
        <x:v>Tata</x:v>
      </x:c>
      <x:c r="C3593" s="7" t="str">
        <x:v>Safari</x:v>
      </x:c>
      <x:c r="D3593" s="7" t="str">
        <x:v>Smart</x:v>
      </x:c>
      <x:c r="E3593" s="7" t="str">
        <x:v>Diesel</x:v>
      </x:c>
      <x:c r="F3593" s="7" t="str">
        <x:v>Manual</x:v>
      </x:c>
      <x:c r="G3593" s="7" t="str">
        <x:v>SUV</x:v>
      </x:c>
      <x:c r="H3593" s="7" t="n">
        <x:v>1956</x:v>
      </x:c>
      <x:c r="I3593" s="7" t="n">
        <x:v>168</x:v>
      </x:c>
      <x:c r="J3593" s="9" t="n">
        <x:v>16.3</x:v>
      </x:c>
      <x:c r="K3593" s="9" t="n">
        <x:v>16</x:v>
      </x:c>
      <x:c r="L3593" s="7" t="n">
        <x:v>2021</x:v>
      </x:c>
      <x:c r="M3593" s="11" t="n">
        <x:v>85379</x:v>
      </x:c>
      <x:c r="N3593" s="7" t="n">
        <x:v>1</x:v>
      </x:c>
      <x:c r="O3593" s="7" t="n">
        <x:v>1</x:v>
      </x:c>
      <x:c r="P3593" s="9" t="n">
        <x:v>7.47</x:v>
      </x:c>
      <x:c r="Q3593" s="7" t="n">
        <x:f>'Guide'!$B$5-L3593</x:f>
        <x:v>5</x:v>
      </x:c>
      <x:c r="R3593" s="9" t="n">
        <x:f>K3593-P3593</x:f>
        <x:v>8.530000000000001</x:v>
      </x:c>
      <x:c r="S3593" s="10" t="n">
        <x:f>IF(K3593&gt;0,R3593/K3593,"")</x:f>
        <x:v>0.5331250000000001</x:v>
      </x:c>
    </x:row>
    <x:row r="3594">
      <x:c r="A3594" s="7" t="n">
        <x:v>3590</x:v>
      </x:c>
      <x:c r="B3594" s="7" t="str">
        <x:v>Tata</x:v>
      </x:c>
      <x:c r="C3594" s="7" t="str">
        <x:v>Safari</x:v>
      </x:c>
      <x:c r="D3594" s="7" t="str">
        <x:v>Smart</x:v>
      </x:c>
      <x:c r="E3594" s="7" t="str">
        <x:v>Diesel</x:v>
      </x:c>
      <x:c r="F3594" s="7" t="str">
        <x:v>Manual</x:v>
      </x:c>
      <x:c r="G3594" s="7" t="str">
        <x:v>SUV</x:v>
      </x:c>
      <x:c r="H3594" s="7" t="n">
        <x:v>1956</x:v>
      </x:c>
      <x:c r="I3594" s="7" t="n">
        <x:v>168</x:v>
      </x:c>
      <x:c r="J3594" s="9" t="n">
        <x:v>16.3</x:v>
      </x:c>
      <x:c r="K3594" s="9" t="n">
        <x:v>16</x:v>
      </x:c>
      <x:c r="L3594" s="7" t="n">
        <x:v>2022</x:v>
      </x:c>
      <x:c r="M3594" s="11" t="n">
        <x:v>60816</x:v>
      </x:c>
      <x:c r="N3594" s="7" t="n">
        <x:v>1</x:v>
      </x:c>
      <x:c r="O3594" s="7" t="n">
        <x:v>0</x:v>
      </x:c>
      <x:c r="P3594" s="9" t="n">
        <x:v>9.78</x:v>
      </x:c>
      <x:c r="Q3594" s="7" t="n">
        <x:f>'Guide'!$B$5-L3594</x:f>
        <x:v>4</x:v>
      </x:c>
      <x:c r="R3594" s="9" t="n">
        <x:f>K3594-P3594</x:f>
        <x:v>6.220000000000001</x:v>
      </x:c>
      <x:c r="S3594" s="10" t="n">
        <x:f>IF(K3594&gt;0,R3594/K3594,"")</x:f>
        <x:v>0.38875000000000004</x:v>
      </x:c>
    </x:row>
    <x:row r="3595">
      <x:c r="A3595" s="7" t="n">
        <x:v>3591</x:v>
      </x:c>
      <x:c r="B3595" s="7" t="str">
        <x:v>Tata</x:v>
      </x:c>
      <x:c r="C3595" s="7" t="str">
        <x:v>Safari</x:v>
      </x:c>
      <x:c r="D3595" s="7" t="str">
        <x:v>Smart</x:v>
      </x:c>
      <x:c r="E3595" s="7" t="str">
        <x:v>Diesel</x:v>
      </x:c>
      <x:c r="F3595" s="7" t="str">
        <x:v>Manual</x:v>
      </x:c>
      <x:c r="G3595" s="7" t="str">
        <x:v>SUV</x:v>
      </x:c>
      <x:c r="H3595" s="7" t="n">
        <x:v>1956</x:v>
      </x:c>
      <x:c r="I3595" s="7" t="n">
        <x:v>168</x:v>
      </x:c>
      <x:c r="J3595" s="9" t="n">
        <x:v>16.3</x:v>
      </x:c>
      <x:c r="K3595" s="9" t="n">
        <x:v>16</x:v>
      </x:c>
      <x:c r="L3595" s="7" t="n">
        <x:v>2025</x:v>
      </x:c>
      <x:c r="M3595" s="11" t="n">
        <x:v>17206</x:v>
      </x:c>
      <x:c r="N3595" s="7" t="n">
        <x:v>1</x:v>
      </x:c>
      <x:c r="O3595" s="7" t="n">
        <x:v>0</x:v>
      </x:c>
      <x:c r="P3595" s="9" t="n">
        <x:v>14.2</x:v>
      </x:c>
      <x:c r="Q3595" s="7" t="n">
        <x:f>'Guide'!$B$5-L3595</x:f>
        <x:v>1</x:v>
      </x:c>
      <x:c r="R3595" s="9" t="n">
        <x:f>K3595-P3595</x:f>
        <x:v>1.8000000000000007</x:v>
      </x:c>
      <x:c r="S3595" s="10" t="n">
        <x:f>IF(K3595&gt;0,R3595/K3595,"")</x:f>
        <x:v>0.11250000000000004</x:v>
      </x:c>
    </x:row>
    <x:row r="3596">
      <x:c r="A3596" s="7" t="n">
        <x:v>3592</x:v>
      </x:c>
      <x:c r="B3596" s="7" t="str">
        <x:v>Tata</x:v>
      </x:c>
      <x:c r="C3596" s="7" t="str">
        <x:v>Safari</x:v>
      </x:c>
      <x:c r="D3596" s="7" t="str">
        <x:v>Smart</x:v>
      </x:c>
      <x:c r="E3596" s="7" t="str">
        <x:v>Diesel</x:v>
      </x:c>
      <x:c r="F3596" s="7" t="str">
        <x:v>Manual</x:v>
      </x:c>
      <x:c r="G3596" s="7" t="str">
        <x:v>SUV</x:v>
      </x:c>
      <x:c r="H3596" s="7" t="n">
        <x:v>1956</x:v>
      </x:c>
      <x:c r="I3596" s="7" t="n">
        <x:v>168</x:v>
      </x:c>
      <x:c r="J3596" s="9" t="n">
        <x:v>16.3</x:v>
      </x:c>
      <x:c r="K3596" s="9" t="n">
        <x:v>16</x:v>
      </x:c>
      <x:c r="L3596" s="7" t="n">
        <x:v>2025</x:v>
      </x:c>
      <x:c r="M3596" s="11" t="n">
        <x:v>26429</x:v>
      </x:c>
      <x:c r="N3596" s="7" t="n">
        <x:v>1</x:v>
      </x:c>
      <x:c r="O3596" s="7" t="n">
        <x:v>0</x:v>
      </x:c>
      <x:c r="P3596" s="9" t="n">
        <x:v>14.24</x:v>
      </x:c>
      <x:c r="Q3596" s="7" t="n">
        <x:f>'Guide'!$B$5-L3596</x:f>
        <x:v>1</x:v>
      </x:c>
      <x:c r="R3596" s="9" t="n">
        <x:f>K3596-P3596</x:f>
        <x:v>1.7599999999999998</x:v>
      </x:c>
      <x:c r="S3596" s="10" t="n">
        <x:f>IF(K3596&gt;0,R3596/K3596,"")</x:f>
        <x:v>0.10999999999999999</x:v>
      </x:c>
    </x:row>
    <x:row r="3597">
      <x:c r="A3597" s="7" t="n">
        <x:v>3593</x:v>
      </x:c>
      <x:c r="B3597" s="7" t="str">
        <x:v>Tata</x:v>
      </x:c>
      <x:c r="C3597" s="7" t="str">
        <x:v>Safari</x:v>
      </x:c>
      <x:c r="D3597" s="7" t="str">
        <x:v>Smart</x:v>
      </x:c>
      <x:c r="E3597" s="7" t="str">
        <x:v>Diesel</x:v>
      </x:c>
      <x:c r="F3597" s="7" t="str">
        <x:v>Manual</x:v>
      </x:c>
      <x:c r="G3597" s="7" t="str">
        <x:v>SUV</x:v>
      </x:c>
      <x:c r="H3597" s="7" t="n">
        <x:v>1956</x:v>
      </x:c>
      <x:c r="I3597" s="7" t="n">
        <x:v>168</x:v>
      </x:c>
      <x:c r="J3597" s="9" t="n">
        <x:v>16.3</x:v>
      </x:c>
      <x:c r="K3597" s="9" t="n">
        <x:v>16</x:v>
      </x:c>
      <x:c r="L3597" s="7" t="n">
        <x:v>2023</x:v>
      </x:c>
      <x:c r="M3597" s="11" t="n">
        <x:v>65844</x:v>
      </x:c>
      <x:c r="N3597" s="7" t="n">
        <x:v>2</x:v>
      </x:c>
      <x:c r="O3597" s="7" t="n">
        <x:v>0</x:v>
      </x:c>
      <x:c r="P3597" s="9" t="n">
        <x:v>10.71</x:v>
      </x:c>
      <x:c r="Q3597" s="7" t="n">
        <x:f>'Guide'!$B$5-L3597</x:f>
        <x:v>3</x:v>
      </x:c>
      <x:c r="R3597" s="9" t="n">
        <x:f>K3597-P3597</x:f>
        <x:v>5.289999999999999</x:v>
      </x:c>
      <x:c r="S3597" s="10" t="n">
        <x:f>IF(K3597&gt;0,R3597/K3597,"")</x:f>
        <x:v>0.33062499999999995</x:v>
      </x:c>
    </x:row>
    <x:row r="3598">
      <x:c r="A3598" s="7" t="n">
        <x:v>3594</x:v>
      </x:c>
      <x:c r="B3598" s="7" t="str">
        <x:v>Tata</x:v>
      </x:c>
      <x:c r="C3598" s="7" t="str">
        <x:v>Safari</x:v>
      </x:c>
      <x:c r="D3598" s="7" t="str">
        <x:v>Smart</x:v>
      </x:c>
      <x:c r="E3598" s="7" t="str">
        <x:v>Diesel</x:v>
      </x:c>
      <x:c r="F3598" s="7" t="str">
        <x:v>Manual</x:v>
      </x:c>
      <x:c r="G3598" s="7" t="str">
        <x:v>SUV</x:v>
      </x:c>
      <x:c r="H3598" s="7" t="n">
        <x:v>1956</x:v>
      </x:c>
      <x:c r="I3598" s="7" t="n">
        <x:v>168</x:v>
      </x:c>
      <x:c r="J3598" s="9" t="n">
        <x:v>16.3</x:v>
      </x:c>
      <x:c r="K3598" s="9" t="n">
        <x:v>16</x:v>
      </x:c>
      <x:c r="L3598" s="7" t="n">
        <x:v>2021</x:v>
      </x:c>
      <x:c r="M3598" s="11" t="n">
        <x:v>109065</x:v>
      </x:c>
      <x:c r="N3598" s="7" t="n">
        <x:v>2</x:v>
      </x:c>
      <x:c r="O3598" s="7" t="n">
        <x:v>1</x:v>
      </x:c>
      <x:c r="P3598" s="9" t="n">
        <x:v>6.7</x:v>
      </x:c>
      <x:c r="Q3598" s="7" t="n">
        <x:f>'Guide'!$B$5-L3598</x:f>
        <x:v>5</x:v>
      </x:c>
      <x:c r="R3598" s="9" t="n">
        <x:f>K3598-P3598</x:f>
        <x:v>9.3</x:v>
      </x:c>
      <x:c r="S3598" s="10" t="n">
        <x:f>IF(K3598&gt;0,R3598/K3598,"")</x:f>
        <x:v>0.58125</x:v>
      </x:c>
    </x:row>
    <x:row r="3599">
      <x:c r="A3599" s="7" t="n">
        <x:v>3595</x:v>
      </x:c>
      <x:c r="B3599" s="7" t="str">
        <x:v>Tata</x:v>
      </x:c>
      <x:c r="C3599" s="7" t="str">
        <x:v>Safari</x:v>
      </x:c>
      <x:c r="D3599" s="7" t="str">
        <x:v>Smart</x:v>
      </x:c>
      <x:c r="E3599" s="7" t="str">
        <x:v>Diesel</x:v>
      </x:c>
      <x:c r="F3599" s="7" t="str">
        <x:v>Manual</x:v>
      </x:c>
      <x:c r="G3599" s="7" t="str">
        <x:v>SUV</x:v>
      </x:c>
      <x:c r="H3599" s="7" t="n">
        <x:v>1956</x:v>
      </x:c>
      <x:c r="I3599" s="7" t="n">
        <x:v>168</x:v>
      </x:c>
      <x:c r="J3599" s="9" t="n">
        <x:v>16.3</x:v>
      </x:c>
      <x:c r="K3599" s="9" t="n">
        <x:v>16</x:v>
      </x:c>
      <x:c r="L3599" s="7" t="n">
        <x:v>2024</x:v>
      </x:c>
      <x:c r="M3599" s="11" t="n">
        <x:v>23734</x:v>
      </x:c>
      <x:c r="N3599" s="7" t="n">
        <x:v>1</x:v>
      </x:c>
      <x:c r="O3599" s="7" t="n">
        <x:v>0</x:v>
      </x:c>
      <x:c r="P3599" s="9" t="n">
        <x:v>12.62</x:v>
      </x:c>
      <x:c r="Q3599" s="7" t="n">
        <x:f>'Guide'!$B$5-L3599</x:f>
        <x:v>2</x:v>
      </x:c>
      <x:c r="R3599" s="9" t="n">
        <x:f>K3599-P3599</x:f>
        <x:v>3.380000000000001</x:v>
      </x:c>
      <x:c r="S3599" s="10" t="n">
        <x:f>IF(K3599&gt;0,R3599/K3599,"")</x:f>
        <x:v>0.21125000000000005</x:v>
      </x:c>
    </x:row>
    <x:row r="3600">
      <x:c r="A3600" s="7" t="n">
        <x:v>3596</x:v>
      </x:c>
      <x:c r="B3600" s="7" t="str">
        <x:v>Tata</x:v>
      </x:c>
      <x:c r="C3600" s="7" t="str">
        <x:v>Safari</x:v>
      </x:c>
      <x:c r="D3600" s="7" t="str">
        <x:v>Smart</x:v>
      </x:c>
      <x:c r="E3600" s="7" t="str">
        <x:v>Diesel</x:v>
      </x:c>
      <x:c r="F3600" s="7" t="str">
        <x:v>Manual</x:v>
      </x:c>
      <x:c r="G3600" s="7" t="str">
        <x:v>SUV</x:v>
      </x:c>
      <x:c r="H3600" s="7" t="n">
        <x:v>1956</x:v>
      </x:c>
      <x:c r="I3600" s="7" t="n">
        <x:v>168</x:v>
      </x:c>
      <x:c r="J3600" s="9" t="n">
        <x:v>16.3</x:v>
      </x:c>
      <x:c r="K3600" s="9" t="n">
        <x:v>16</x:v>
      </x:c>
      <x:c r="L3600" s="7" t="n">
        <x:v>2022</x:v>
      </x:c>
      <x:c r="M3600" s="11" t="n">
        <x:v>64054</x:v>
      </x:c>
      <x:c r="N3600" s="7" t="n">
        <x:v>3</x:v>
      </x:c>
      <x:c r="O3600" s="7" t="n">
        <x:v>0</x:v>
      </x:c>
      <x:c r="P3600" s="9" t="n">
        <x:v>9.13</x:v>
      </x:c>
      <x:c r="Q3600" s="7" t="n">
        <x:f>'Guide'!$B$5-L3600</x:f>
        <x:v>4</x:v>
      </x:c>
      <x:c r="R3600" s="9" t="n">
        <x:f>K3600-P3600</x:f>
        <x:v>6.869999999999999</x:v>
      </x:c>
      <x:c r="S3600" s="10" t="n">
        <x:f>IF(K3600&gt;0,R3600/K3600,"")</x:f>
        <x:v>0.42937499999999995</x:v>
      </x:c>
    </x:row>
    <x:row r="3601">
      <x:c r="A3601" s="7" t="n">
        <x:v>3597</x:v>
      </x:c>
      <x:c r="B3601" s="7" t="str">
        <x:v>Tata</x:v>
      </x:c>
      <x:c r="C3601" s="7" t="str">
        <x:v>Safari</x:v>
      </x:c>
      <x:c r="D3601" s="7" t="str">
        <x:v>Smart</x:v>
      </x:c>
      <x:c r="E3601" s="7" t="str">
        <x:v>Diesel</x:v>
      </x:c>
      <x:c r="F3601" s="7" t="str">
        <x:v>Manual</x:v>
      </x:c>
      <x:c r="G3601" s="7" t="str">
        <x:v>SUV</x:v>
      </x:c>
      <x:c r="H3601" s="7" t="n">
        <x:v>1956</x:v>
      </x:c>
      <x:c r="I3601" s="7" t="n">
        <x:v>168</x:v>
      </x:c>
      <x:c r="J3601" s="9" t="n">
        <x:v>16.3</x:v>
      </x:c>
      <x:c r="K3601" s="9" t="n">
        <x:v>16</x:v>
      </x:c>
      <x:c r="L3601" s="7" t="n">
        <x:v>2020</x:v>
      </x:c>
      <x:c r="M3601" s="11" t="n">
        <x:v>94007</x:v>
      </x:c>
      <x:c r="N3601" s="7" t="n">
        <x:v>2</x:v>
      </x:c>
      <x:c r="O3601" s="7" t="n">
        <x:v>0</x:v>
      </x:c>
      <x:c r="P3601" s="9" t="n">
        <x:v>6.51</x:v>
      </x:c>
      <x:c r="Q3601" s="7" t="n">
        <x:f>'Guide'!$B$5-L3601</x:f>
        <x:v>6</x:v>
      </x:c>
      <x:c r="R3601" s="9" t="n">
        <x:f>K3601-P3601</x:f>
        <x:v>9.49</x:v>
      </x:c>
      <x:c r="S3601" s="10" t="n">
        <x:f>IF(K3601&gt;0,R3601/K3601,"")</x:f>
        <x:v>0.593125</x:v>
      </x:c>
    </x:row>
    <x:row r="3602">
      <x:c r="A3602" s="7" t="n">
        <x:v>3598</x:v>
      </x:c>
      <x:c r="B3602" s="7" t="str">
        <x:v>Tata</x:v>
      </x:c>
      <x:c r="C3602" s="7" t="str">
        <x:v>Safari</x:v>
      </x:c>
      <x:c r="D3602" s="7" t="str">
        <x:v>Smart</x:v>
      </x:c>
      <x:c r="E3602" s="7" t="str">
        <x:v>Diesel</x:v>
      </x:c>
      <x:c r="F3602" s="7" t="str">
        <x:v>Manual</x:v>
      </x:c>
      <x:c r="G3602" s="7" t="str">
        <x:v>SUV</x:v>
      </x:c>
      <x:c r="H3602" s="7" t="n">
        <x:v>1956</x:v>
      </x:c>
      <x:c r="I3602" s="7" t="n">
        <x:v>168</x:v>
      </x:c>
      <x:c r="J3602" s="9" t="n">
        <x:v>16.3</x:v>
      </x:c>
      <x:c r="K3602" s="9" t="n">
        <x:v>16</x:v>
      </x:c>
      <x:c r="L3602" s="7" t="n">
        <x:v>2020</x:v>
      </x:c>
      <x:c r="M3602" s="11" t="n">
        <x:v>81039</x:v>
      </x:c>
      <x:c r="N3602" s="7" t="n">
        <x:v>1</x:v>
      </x:c>
      <x:c r="O3602" s="7" t="n">
        <x:v>0</x:v>
      </x:c>
      <x:c r="P3602" s="9" t="n">
        <x:v>6.84</x:v>
      </x:c>
      <x:c r="Q3602" s="7" t="n">
        <x:f>'Guide'!$B$5-L3602</x:f>
        <x:v>6</x:v>
      </x:c>
      <x:c r="R3602" s="9" t="n">
        <x:f>K3602-P3602</x:f>
        <x:v>9.16</x:v>
      </x:c>
      <x:c r="S3602" s="10" t="n">
        <x:f>IF(K3602&gt;0,R3602/K3602,"")</x:f>
        <x:v>0.5725</x:v>
      </x:c>
    </x:row>
    <x:row r="3603">
      <x:c r="A3603" s="7" t="n">
        <x:v>3599</x:v>
      </x:c>
      <x:c r="B3603" s="7" t="str">
        <x:v>Tata</x:v>
      </x:c>
      <x:c r="C3603" s="7" t="str">
        <x:v>Safari</x:v>
      </x:c>
      <x:c r="D3603" s="7" t="str">
        <x:v>Smart</x:v>
      </x:c>
      <x:c r="E3603" s="7" t="str">
        <x:v>Diesel</x:v>
      </x:c>
      <x:c r="F3603" s="7" t="str">
        <x:v>Manual</x:v>
      </x:c>
      <x:c r="G3603" s="7" t="str">
        <x:v>SUV</x:v>
      </x:c>
      <x:c r="H3603" s="7" t="n">
        <x:v>1956</x:v>
      </x:c>
      <x:c r="I3603" s="7" t="n">
        <x:v>168</x:v>
      </x:c>
      <x:c r="J3603" s="9" t="n">
        <x:v>16.3</x:v>
      </x:c>
      <x:c r="K3603" s="9" t="n">
        <x:v>16</x:v>
      </x:c>
      <x:c r="L3603" s="7" t="n">
        <x:v>2025</x:v>
      </x:c>
      <x:c r="M3603" s="11" t="n">
        <x:v>23272</x:v>
      </x:c>
      <x:c r="N3603" s="7" t="n">
        <x:v>1</x:v>
      </x:c>
      <x:c r="O3603" s="7" t="n">
        <x:v>0</x:v>
      </x:c>
      <x:c r="P3603" s="9" t="n">
        <x:v>14.55</x:v>
      </x:c>
      <x:c r="Q3603" s="7" t="n">
        <x:f>'Guide'!$B$5-L3603</x:f>
        <x:v>1</x:v>
      </x:c>
      <x:c r="R3603" s="9" t="n">
        <x:f>K3603-P3603</x:f>
        <x:v>1.4499999999999993</x:v>
      </x:c>
      <x:c r="S3603" s="10" t="n">
        <x:f>IF(K3603&gt;0,R3603/K3603,"")</x:f>
        <x:v>0.09062499999999996</x:v>
      </x:c>
    </x:row>
    <x:row r="3604">
      <x:c r="A3604" s="7" t="n">
        <x:v>3600</x:v>
      </x:c>
      <x:c r="B3604" s="7" t="str">
        <x:v>Tata</x:v>
      </x:c>
      <x:c r="C3604" s="7" t="str">
        <x:v>Safari</x:v>
      </x:c>
      <x:c r="D3604" s="7" t="str">
        <x:v>Smart</x:v>
      </x:c>
      <x:c r="E3604" s="7" t="str">
        <x:v>Diesel</x:v>
      </x:c>
      <x:c r="F3604" s="7" t="str">
        <x:v>Manual</x:v>
      </x:c>
      <x:c r="G3604" s="7" t="str">
        <x:v>SUV</x:v>
      </x:c>
      <x:c r="H3604" s="7" t="n">
        <x:v>1956</x:v>
      </x:c>
      <x:c r="I3604" s="7" t="n">
        <x:v>168</x:v>
      </x:c>
      <x:c r="J3604" s="9" t="n">
        <x:v>16.3</x:v>
      </x:c>
      <x:c r="K3604" s="9" t="n">
        <x:v>16</x:v>
      </x:c>
      <x:c r="L3604" s="7" t="n">
        <x:v>2025</x:v>
      </x:c>
      <x:c r="M3604" s="11" t="n">
        <x:v>25293</x:v>
      </x:c>
      <x:c r="N3604" s="7" t="n">
        <x:v>1</x:v>
      </x:c>
      <x:c r="O3604" s="7" t="n">
        <x:v>1</x:v>
      </x:c>
      <x:c r="P3604" s="9" t="n">
        <x:v>13.13</x:v>
      </x:c>
      <x:c r="Q3604" s="7" t="n">
        <x:f>'Guide'!$B$5-L3604</x:f>
        <x:v>1</x:v>
      </x:c>
      <x:c r="R3604" s="9" t="n">
        <x:f>K3604-P3604</x:f>
        <x:v>2.869999999999999</x:v>
      </x:c>
      <x:c r="S3604" s="10" t="n">
        <x:f>IF(K3604&gt;0,R3604/K3604,"")</x:f>
        <x:v>0.17937499999999995</x:v>
      </x:c>
    </x:row>
    <x:row r="3605">
      <x:c r="A3605" s="7" t="n">
        <x:v>3601</x:v>
      </x:c>
      <x:c r="B3605" s="7" t="str">
        <x:v>Tata</x:v>
      </x:c>
      <x:c r="C3605" s="7" t="str">
        <x:v>Safari</x:v>
      </x:c>
      <x:c r="D3605" s="7" t="str">
        <x:v>Accomplished AT</x:v>
      </x:c>
      <x:c r="E3605" s="7" t="str">
        <x:v>Diesel</x:v>
      </x:c>
      <x:c r="F3605" s="7" t="str">
        <x:v>Automatic</x:v>
      </x:c>
      <x:c r="G3605" s="7" t="str">
        <x:v>SUV</x:v>
      </x:c>
      <x:c r="H3605" s="7" t="n">
        <x:v>1956</x:v>
      </x:c>
      <x:c r="I3605" s="7" t="n">
        <x:v>168</x:v>
      </x:c>
      <x:c r="J3605" s="9" t="n">
        <x:v>14.5</x:v>
      </x:c>
      <x:c r="K3605" s="9" t="n">
        <x:v>27</x:v>
      </x:c>
      <x:c r="L3605" s="7" t="n">
        <x:v>2024</x:v>
      </x:c>
      <x:c r="M3605" s="11" t="n">
        <x:v>47526</x:v>
      </x:c>
      <x:c r="N3605" s="7" t="n">
        <x:v>1</x:v>
      </x:c>
      <x:c r="O3605" s="7" t="n">
        <x:v>0</x:v>
      </x:c>
      <x:c r="P3605" s="9" t="n">
        <x:v>21.19</x:v>
      </x:c>
      <x:c r="Q3605" s="7" t="n">
        <x:f>'Guide'!$B$5-L3605</x:f>
        <x:v>2</x:v>
      </x:c>
      <x:c r="R3605" s="9" t="n">
        <x:f>K3605-P3605</x:f>
        <x:v>5.809999999999999</x:v>
      </x:c>
      <x:c r="S3605" s="10" t="n">
        <x:f>IF(K3605&gt;0,R3605/K3605,"")</x:f>
        <x:v>0.21518518518518515</x:v>
      </x:c>
    </x:row>
    <x:row r="3606">
      <x:c r="A3606" s="7" t="n">
        <x:v>3602</x:v>
      </x:c>
      <x:c r="B3606" s="7" t="str">
        <x:v>Tata</x:v>
      </x:c>
      <x:c r="C3606" s="7" t="str">
        <x:v>Safari</x:v>
      </x:c>
      <x:c r="D3606" s="7" t="str">
        <x:v>Accomplished AT</x:v>
      </x:c>
      <x:c r="E3606" s="7" t="str">
        <x:v>Diesel</x:v>
      </x:c>
      <x:c r="F3606" s="7" t="str">
        <x:v>Automatic</x:v>
      </x:c>
      <x:c r="G3606" s="7" t="str">
        <x:v>SUV</x:v>
      </x:c>
      <x:c r="H3606" s="7" t="n">
        <x:v>1956</x:v>
      </x:c>
      <x:c r="I3606" s="7" t="n">
        <x:v>168</x:v>
      </x:c>
      <x:c r="J3606" s="9" t="n">
        <x:v>14.5</x:v>
      </x:c>
      <x:c r="K3606" s="9" t="n">
        <x:v>27</x:v>
      </x:c>
      <x:c r="L3606" s="7" t="n">
        <x:v>2020</x:v>
      </x:c>
      <x:c r="M3606" s="11" t="n">
        <x:v>84872</x:v>
      </x:c>
      <x:c r="N3606" s="7" t="n">
        <x:v>1</x:v>
      </x:c>
      <x:c r="O3606" s="7" t="n">
        <x:v>0</x:v>
      </x:c>
      <x:c r="P3606" s="9" t="n">
        <x:v>11.56</x:v>
      </x:c>
      <x:c r="Q3606" s="7" t="n">
        <x:f>'Guide'!$B$5-L3606</x:f>
        <x:v>6</x:v>
      </x:c>
      <x:c r="R3606" s="9" t="n">
        <x:f>K3606-P3606</x:f>
        <x:v>15.44</x:v>
      </x:c>
      <x:c r="S3606" s="10" t="n">
        <x:f>IF(K3606&gt;0,R3606/K3606,"")</x:f>
        <x:v>0.5718518518518518</x:v>
      </x:c>
    </x:row>
    <x:row r="3607">
      <x:c r="A3607" s="7" t="n">
        <x:v>3603</x:v>
      </x:c>
      <x:c r="B3607" s="7" t="str">
        <x:v>Tata</x:v>
      </x:c>
      <x:c r="C3607" s="7" t="str">
        <x:v>Safari</x:v>
      </x:c>
      <x:c r="D3607" s="7" t="str">
        <x:v>Accomplished AT</x:v>
      </x:c>
      <x:c r="E3607" s="7" t="str">
        <x:v>Diesel</x:v>
      </x:c>
      <x:c r="F3607" s="7" t="str">
        <x:v>Automatic</x:v>
      </x:c>
      <x:c r="G3607" s="7" t="str">
        <x:v>SUV</x:v>
      </x:c>
      <x:c r="H3607" s="7" t="n">
        <x:v>1956</x:v>
      </x:c>
      <x:c r="I3607" s="7" t="n">
        <x:v>168</x:v>
      </x:c>
      <x:c r="J3607" s="9" t="n">
        <x:v>14.5</x:v>
      </x:c>
      <x:c r="K3607" s="9" t="n">
        <x:v>27</x:v>
      </x:c>
      <x:c r="L3607" s="7" t="n">
        <x:v>2024</x:v>
      </x:c>
      <x:c r="M3607" s="11" t="n">
        <x:v>46070</x:v>
      </x:c>
      <x:c r="N3607" s="7" t="n">
        <x:v>1</x:v>
      </x:c>
      <x:c r="O3607" s="7" t="n">
        <x:v>0</x:v>
      </x:c>
      <x:c r="P3607" s="9" t="n">
        <x:v>20.86</x:v>
      </x:c>
      <x:c r="Q3607" s="7" t="n">
        <x:f>'Guide'!$B$5-L3607</x:f>
        <x:v>2</x:v>
      </x:c>
      <x:c r="R3607" s="9" t="n">
        <x:f>K3607-P3607</x:f>
        <x:v>6.140000000000001</x:v>
      </x:c>
      <x:c r="S3607" s="10" t="n">
        <x:f>IF(K3607&gt;0,R3607/K3607,"")</x:f>
        <x:v>0.22740740740740742</x:v>
      </x:c>
    </x:row>
    <x:row r="3608">
      <x:c r="A3608" s="7" t="n">
        <x:v>3604</x:v>
      </x:c>
      <x:c r="B3608" s="7" t="str">
        <x:v>Tata</x:v>
      </x:c>
      <x:c r="C3608" s="7" t="str">
        <x:v>Safari</x:v>
      </x:c>
      <x:c r="D3608" s="7" t="str">
        <x:v>Accomplished AT</x:v>
      </x:c>
      <x:c r="E3608" s="7" t="str">
        <x:v>Diesel</x:v>
      </x:c>
      <x:c r="F3608" s="7" t="str">
        <x:v>Automatic</x:v>
      </x:c>
      <x:c r="G3608" s="7" t="str">
        <x:v>SUV</x:v>
      </x:c>
      <x:c r="H3608" s="7" t="n">
        <x:v>1956</x:v>
      </x:c>
      <x:c r="I3608" s="7" t="n">
        <x:v>168</x:v>
      </x:c>
      <x:c r="J3608" s="9" t="n">
        <x:v>14.5</x:v>
      </x:c>
      <x:c r="K3608" s="9" t="n">
        <x:v>27</x:v>
      </x:c>
      <x:c r="L3608" s="7" t="n">
        <x:v>2022</x:v>
      </x:c>
      <x:c r="M3608" s="11" t="n">
        <x:v>65125</x:v>
      </x:c>
      <x:c r="N3608" s="7" t="n">
        <x:v>2</x:v>
      </x:c>
      <x:c r="O3608" s="7" t="n">
        <x:v>0</x:v>
      </x:c>
      <x:c r="P3608" s="9" t="n">
        <x:v>15.73</x:v>
      </x:c>
      <x:c r="Q3608" s="7" t="n">
        <x:f>'Guide'!$B$5-L3608</x:f>
        <x:v>4</x:v>
      </x:c>
      <x:c r="R3608" s="9" t="n">
        <x:f>K3608-P3608</x:f>
        <x:v>11.27</x:v>
      </x:c>
      <x:c r="S3608" s="10" t="n">
        <x:f>IF(K3608&gt;0,R3608/K3608,"")</x:f>
        <x:v>0.4174074074074074</x:v>
      </x:c>
    </x:row>
    <x:row r="3609">
      <x:c r="A3609" s="7" t="n">
        <x:v>3605</x:v>
      </x:c>
      <x:c r="B3609" s="7" t="str">
        <x:v>Tata</x:v>
      </x:c>
      <x:c r="C3609" s="7" t="str">
        <x:v>Safari</x:v>
      </x:c>
      <x:c r="D3609" s="7" t="str">
        <x:v>Accomplished AT</x:v>
      </x:c>
      <x:c r="E3609" s="7" t="str">
        <x:v>Diesel</x:v>
      </x:c>
      <x:c r="F3609" s="7" t="str">
        <x:v>Automatic</x:v>
      </x:c>
      <x:c r="G3609" s="7" t="str">
        <x:v>SUV</x:v>
      </x:c>
      <x:c r="H3609" s="7" t="n">
        <x:v>1956</x:v>
      </x:c>
      <x:c r="I3609" s="7" t="n">
        <x:v>168</x:v>
      </x:c>
      <x:c r="J3609" s="9" t="n">
        <x:v>14.5</x:v>
      </x:c>
      <x:c r="K3609" s="9" t="n">
        <x:v>27</x:v>
      </x:c>
      <x:c r="L3609" s="7" t="n">
        <x:v>2026</x:v>
      </x:c>
      <x:c r="M3609" s="11" t="n">
        <x:v>5502</x:v>
      </x:c>
      <x:c r="N3609" s="7" t="n">
        <x:v>3</x:v>
      </x:c>
      <x:c r="O3609" s="7" t="n">
        <x:v>0</x:v>
      </x:c>
      <x:c r="P3609" s="9" t="n">
        <x:v>26.19</x:v>
      </x:c>
      <x:c r="Q3609" s="7" t="n">
        <x:f>'Guide'!$B$5-L3609</x:f>
        <x:v>0</x:v>
      </x:c>
      <x:c r="R3609" s="9" t="n">
        <x:f>K3609-P3609</x:f>
        <x:v>0.8099999999999987</x:v>
      </x:c>
      <x:c r="S3609" s="10" t="n">
        <x:f>IF(K3609&gt;0,R3609/K3609,"")</x:f>
        <x:v>0.029999999999999954</x:v>
      </x:c>
    </x:row>
    <x:row r="3610">
      <x:c r="A3610" s="7" t="n">
        <x:v>3606</x:v>
      </x:c>
      <x:c r="B3610" s="7" t="str">
        <x:v>Tata</x:v>
      </x:c>
      <x:c r="C3610" s="7" t="str">
        <x:v>Safari</x:v>
      </x:c>
      <x:c r="D3610" s="7" t="str">
        <x:v>Accomplished AT</x:v>
      </x:c>
      <x:c r="E3610" s="7" t="str">
        <x:v>Diesel</x:v>
      </x:c>
      <x:c r="F3610" s="7" t="str">
        <x:v>Automatic</x:v>
      </x:c>
      <x:c r="G3610" s="7" t="str">
        <x:v>SUV</x:v>
      </x:c>
      <x:c r="H3610" s="7" t="n">
        <x:v>1956</x:v>
      </x:c>
      <x:c r="I3610" s="7" t="n">
        <x:v>168</x:v>
      </x:c>
      <x:c r="J3610" s="9" t="n">
        <x:v>14.5</x:v>
      </x:c>
      <x:c r="K3610" s="9" t="n">
        <x:v>27</x:v>
      </x:c>
      <x:c r="L3610" s="7" t="n">
        <x:v>2022</x:v>
      </x:c>
      <x:c r="M3610" s="11" t="n">
        <x:v>51187</x:v>
      </x:c>
      <x:c r="N3610" s="7" t="n">
        <x:v>1</x:v>
      </x:c>
      <x:c r="O3610" s="7" t="n">
        <x:v>0</x:v>
      </x:c>
      <x:c r="P3610" s="9" t="n">
        <x:v>16.63</x:v>
      </x:c>
      <x:c r="Q3610" s="7" t="n">
        <x:f>'Guide'!$B$5-L3610</x:f>
        <x:v>4</x:v>
      </x:c>
      <x:c r="R3610" s="9" t="n">
        <x:f>K3610-P3610</x:f>
        <x:v>10.370000000000001</x:v>
      </x:c>
      <x:c r="S3610" s="10" t="n">
        <x:f>IF(K3610&gt;0,R3610/K3610,"")</x:f>
        <x:v>0.3840740740740741</x:v>
      </x:c>
    </x:row>
    <x:row r="3611">
      <x:c r="A3611" s="7" t="n">
        <x:v>3607</x:v>
      </x:c>
      <x:c r="B3611" s="7" t="str">
        <x:v>Tata</x:v>
      </x:c>
      <x:c r="C3611" s="7" t="str">
        <x:v>Safari</x:v>
      </x:c>
      <x:c r="D3611" s="7" t="str">
        <x:v>Accomplished AT</x:v>
      </x:c>
      <x:c r="E3611" s="7" t="str">
        <x:v>Diesel</x:v>
      </x:c>
      <x:c r="F3611" s="7" t="str">
        <x:v>Automatic</x:v>
      </x:c>
      <x:c r="G3611" s="7" t="str">
        <x:v>SUV</x:v>
      </x:c>
      <x:c r="H3611" s="7" t="n">
        <x:v>1956</x:v>
      </x:c>
      <x:c r="I3611" s="7" t="n">
        <x:v>168</x:v>
      </x:c>
      <x:c r="J3611" s="9" t="n">
        <x:v>14.5</x:v>
      </x:c>
      <x:c r="K3611" s="9" t="n">
        <x:v>27</x:v>
      </x:c>
      <x:c r="L3611" s="7" t="n">
        <x:v>2024</x:v>
      </x:c>
      <x:c r="M3611" s="11" t="n">
        <x:v>27783</x:v>
      </x:c>
      <x:c r="N3611" s="7" t="n">
        <x:v>1</x:v>
      </x:c>
      <x:c r="O3611" s="7" t="n">
        <x:v>0</x:v>
      </x:c>
      <x:c r="P3611" s="9" t="n">
        <x:v>21.87</x:v>
      </x:c>
      <x:c r="Q3611" s="7" t="n">
        <x:f>'Guide'!$B$5-L3611</x:f>
        <x:v>2</x:v>
      </x:c>
      <x:c r="R3611" s="9" t="n">
        <x:f>K3611-P3611</x:f>
        <x:v>5.129999999999999</x:v>
      </x:c>
      <x:c r="S3611" s="10" t="n">
        <x:f>IF(K3611&gt;0,R3611/K3611,"")</x:f>
        <x:v>0.18999999999999997</x:v>
      </x:c>
    </x:row>
    <x:row r="3612">
      <x:c r="A3612" s="7" t="n">
        <x:v>3608</x:v>
      </x:c>
      <x:c r="B3612" s="7" t="str">
        <x:v>Tata</x:v>
      </x:c>
      <x:c r="C3612" s="7" t="str">
        <x:v>Safari</x:v>
      </x:c>
      <x:c r="D3612" s="7" t="str">
        <x:v>Accomplished AT</x:v>
      </x:c>
      <x:c r="E3612" s="7" t="str">
        <x:v>Diesel</x:v>
      </x:c>
      <x:c r="F3612" s="7" t="str">
        <x:v>Automatic</x:v>
      </x:c>
      <x:c r="G3612" s="7" t="str">
        <x:v>SUV</x:v>
      </x:c>
      <x:c r="H3612" s="7" t="n">
        <x:v>1956</x:v>
      </x:c>
      <x:c r="I3612" s="7" t="n">
        <x:v>168</x:v>
      </x:c>
      <x:c r="J3612" s="9" t="n">
        <x:v>14.5</x:v>
      </x:c>
      <x:c r="K3612" s="9" t="n">
        <x:v>27</x:v>
      </x:c>
      <x:c r="L3612" s="7" t="n">
        <x:v>2023</x:v>
      </x:c>
      <x:c r="M3612" s="11" t="n">
        <x:v>36559</x:v>
      </x:c>
      <x:c r="N3612" s="7" t="n">
        <x:v>1</x:v>
      </x:c>
      <x:c r="O3612" s="7" t="n">
        <x:v>0</x:v>
      </x:c>
      <x:c r="P3612" s="9" t="n">
        <x:v>19.19</x:v>
      </x:c>
      <x:c r="Q3612" s="7" t="n">
        <x:f>'Guide'!$B$5-L3612</x:f>
        <x:v>3</x:v>
      </x:c>
      <x:c r="R3612" s="9" t="n">
        <x:f>K3612-P3612</x:f>
        <x:v>7.809999999999999</x:v>
      </x:c>
      <x:c r="S3612" s="10" t="n">
        <x:f>IF(K3612&gt;0,R3612/K3612,"")</x:f>
        <x:v>0.2892592592592592</x:v>
      </x:c>
    </x:row>
    <x:row r="3613">
      <x:c r="A3613" s="7" t="n">
        <x:v>3609</x:v>
      </x:c>
      <x:c r="B3613" s="7" t="str">
        <x:v>Tata</x:v>
      </x:c>
      <x:c r="C3613" s="7" t="str">
        <x:v>Safari</x:v>
      </x:c>
      <x:c r="D3613" s="7" t="str">
        <x:v>Accomplished AT</x:v>
      </x:c>
      <x:c r="E3613" s="7" t="str">
        <x:v>Diesel</x:v>
      </x:c>
      <x:c r="F3613" s="7" t="str">
        <x:v>Automatic</x:v>
      </x:c>
      <x:c r="G3613" s="7" t="str">
        <x:v>SUV</x:v>
      </x:c>
      <x:c r="H3613" s="7" t="n">
        <x:v>1956</x:v>
      </x:c>
      <x:c r="I3613" s="7" t="n">
        <x:v>168</x:v>
      </x:c>
      <x:c r="J3613" s="9" t="n">
        <x:v>14.5</x:v>
      </x:c>
      <x:c r="K3613" s="9" t="n">
        <x:v>27</x:v>
      </x:c>
      <x:c r="L3613" s="7" t="n">
        <x:v>2026</x:v>
      </x:c>
      <x:c r="M3613" s="11" t="n">
        <x:v>6258</x:v>
      </x:c>
      <x:c r="N3613" s="7" t="n">
        <x:v>1</x:v>
      </x:c>
      <x:c r="O3613" s="7" t="n">
        <x:v>0</x:v>
      </x:c>
      <x:c r="P3613" s="9" t="n">
        <x:v>26.97</x:v>
      </x:c>
      <x:c r="Q3613" s="7" t="n">
        <x:f>'Guide'!$B$5-L3613</x:f>
        <x:v>0</x:v>
      </x:c>
      <x:c r="R3613" s="9" t="n">
        <x:f>K3613-P3613</x:f>
        <x:v>0.030000000000001137</x:v>
      </x:c>
      <x:c r="S3613" s="10" t="n">
        <x:f>IF(K3613&gt;0,R3613/K3613,"")</x:f>
        <x:v>0.0011111111111111532</x:v>
      </x:c>
    </x:row>
    <x:row r="3614">
      <x:c r="A3614" s="7" t="n">
        <x:v>3610</x:v>
      </x:c>
      <x:c r="B3614" s="7" t="str">
        <x:v>Tata</x:v>
      </x:c>
      <x:c r="C3614" s="7" t="str">
        <x:v>Safari</x:v>
      </x:c>
      <x:c r="D3614" s="7" t="str">
        <x:v>Accomplished AT</x:v>
      </x:c>
      <x:c r="E3614" s="7" t="str">
        <x:v>Diesel</x:v>
      </x:c>
      <x:c r="F3614" s="7" t="str">
        <x:v>Automatic</x:v>
      </x:c>
      <x:c r="G3614" s="7" t="str">
        <x:v>SUV</x:v>
      </x:c>
      <x:c r="H3614" s="7" t="n">
        <x:v>1956</x:v>
      </x:c>
      <x:c r="I3614" s="7" t="n">
        <x:v>168</x:v>
      </x:c>
      <x:c r="J3614" s="9" t="n">
        <x:v>14.5</x:v>
      </x:c>
      <x:c r="K3614" s="9" t="n">
        <x:v>27</x:v>
      </x:c>
      <x:c r="L3614" s="7" t="n">
        <x:v>2025</x:v>
      </x:c>
      <x:c r="M3614" s="11" t="n">
        <x:v>14666</x:v>
      </x:c>
      <x:c r="N3614" s="7" t="n">
        <x:v>2</x:v>
      </x:c>
      <x:c r="O3614" s="7" t="n">
        <x:v>0</x:v>
      </x:c>
      <x:c r="P3614" s="9" t="n">
        <x:v>23.87</x:v>
      </x:c>
      <x:c r="Q3614" s="7" t="n">
        <x:f>'Guide'!$B$5-L3614</x:f>
        <x:v>1</x:v>
      </x:c>
      <x:c r="R3614" s="9" t="n">
        <x:f>K3614-P3614</x:f>
        <x:v>3.129999999999999</x:v>
      </x:c>
      <x:c r="S3614" s="10" t="n">
        <x:f>IF(K3614&gt;0,R3614/K3614,"")</x:f>
        <x:v>0.11592592592592589</x:v>
      </x:c>
    </x:row>
    <x:row r="3615">
      <x:c r="A3615" s="7" t="n">
        <x:v>3611</x:v>
      </x:c>
      <x:c r="B3615" s="7" t="str">
        <x:v>Tata</x:v>
      </x:c>
      <x:c r="C3615" s="7" t="str">
        <x:v>Safari</x:v>
      </x:c>
      <x:c r="D3615" s="7" t="str">
        <x:v>Accomplished AT</x:v>
      </x:c>
      <x:c r="E3615" s="7" t="str">
        <x:v>Diesel</x:v>
      </x:c>
      <x:c r="F3615" s="7" t="str">
        <x:v>Automatic</x:v>
      </x:c>
      <x:c r="G3615" s="7" t="str">
        <x:v>SUV</x:v>
      </x:c>
      <x:c r="H3615" s="7" t="n">
        <x:v>1956</x:v>
      </x:c>
      <x:c r="I3615" s="7" t="n">
        <x:v>168</x:v>
      </x:c>
      <x:c r="J3615" s="9" t="n">
        <x:v>14.5</x:v>
      </x:c>
      <x:c r="K3615" s="9" t="n">
        <x:v>27</x:v>
      </x:c>
      <x:c r="L3615" s="7" t="n">
        <x:v>2022</x:v>
      </x:c>
      <x:c r="M3615" s="11" t="n">
        <x:v>41055</x:v>
      </x:c>
      <x:c r="N3615" s="7" t="n">
        <x:v>1</x:v>
      </x:c>
      <x:c r="O3615" s="7" t="n">
        <x:v>1</x:v>
      </x:c>
      <x:c r="P3615" s="9" t="n">
        <x:v>15.93</x:v>
      </x:c>
      <x:c r="Q3615" s="7" t="n">
        <x:f>'Guide'!$B$5-L3615</x:f>
        <x:v>4</x:v>
      </x:c>
      <x:c r="R3615" s="9" t="n">
        <x:f>K3615-P3615</x:f>
        <x:v>11.07</x:v>
      </x:c>
      <x:c r="S3615" s="10" t="n">
        <x:f>IF(K3615&gt;0,R3615/K3615,"")</x:f>
        <x:v>0.41000000000000003</x:v>
      </x:c>
    </x:row>
    <x:row r="3616">
      <x:c r="A3616" s="7" t="n">
        <x:v>3612</x:v>
      </x:c>
      <x:c r="B3616" s="7" t="str">
        <x:v>Tata</x:v>
      </x:c>
      <x:c r="C3616" s="7" t="str">
        <x:v>Safari</x:v>
      </x:c>
      <x:c r="D3616" s="7" t="str">
        <x:v>Accomplished AT</x:v>
      </x:c>
      <x:c r="E3616" s="7" t="str">
        <x:v>Diesel</x:v>
      </x:c>
      <x:c r="F3616" s="7" t="str">
        <x:v>Automatic</x:v>
      </x:c>
      <x:c r="G3616" s="7" t="str">
        <x:v>SUV</x:v>
      </x:c>
      <x:c r="H3616" s="7" t="n">
        <x:v>1956</x:v>
      </x:c>
      <x:c r="I3616" s="7" t="n">
        <x:v>168</x:v>
      </x:c>
      <x:c r="J3616" s="9" t="n">
        <x:v>14.5</x:v>
      </x:c>
      <x:c r="K3616" s="9" t="n">
        <x:v>27</x:v>
      </x:c>
      <x:c r="L3616" s="7" t="n">
        <x:v>2020</x:v>
      </x:c>
      <x:c r="M3616" s="11" t="n">
        <x:v>88623</x:v>
      </x:c>
      <x:c r="N3616" s="7" t="n">
        <x:v>1</x:v>
      </x:c>
      <x:c r="O3616" s="7" t="n">
        <x:v>0</x:v>
      </x:c>
      <x:c r="P3616" s="9" t="n">
        <x:v>11.03</x:v>
      </x:c>
      <x:c r="Q3616" s="7" t="n">
        <x:f>'Guide'!$B$5-L3616</x:f>
        <x:v>6</x:v>
      </x:c>
      <x:c r="R3616" s="9" t="n">
        <x:f>K3616-P3616</x:f>
        <x:v>15.97</x:v>
      </x:c>
      <x:c r="S3616" s="10" t="n">
        <x:f>IF(K3616&gt;0,R3616/K3616,"")</x:f>
        <x:v>0.5914814814814815</x:v>
      </x:c>
    </x:row>
    <x:row r="3617">
      <x:c r="A3617" s="7" t="n">
        <x:v>3613</x:v>
      </x:c>
      <x:c r="B3617" s="7" t="str">
        <x:v>Tata</x:v>
      </x:c>
      <x:c r="C3617" s="7" t="str">
        <x:v>Safari</x:v>
      </x:c>
      <x:c r="D3617" s="7" t="str">
        <x:v>Accomplished AT</x:v>
      </x:c>
      <x:c r="E3617" s="7" t="str">
        <x:v>Diesel</x:v>
      </x:c>
      <x:c r="F3617" s="7" t="str">
        <x:v>Automatic</x:v>
      </x:c>
      <x:c r="G3617" s="7" t="str">
        <x:v>SUV</x:v>
      </x:c>
      <x:c r="H3617" s="7" t="n">
        <x:v>1956</x:v>
      </x:c>
      <x:c r="I3617" s="7" t="n">
        <x:v>168</x:v>
      </x:c>
      <x:c r="J3617" s="9" t="n">
        <x:v>14.5</x:v>
      </x:c>
      <x:c r="K3617" s="9" t="n">
        <x:v>27</x:v>
      </x:c>
      <x:c r="L3617" s="7" t="n">
        <x:v>2026</x:v>
      </x:c>
      <x:c r="M3617" s="11" t="n">
        <x:v>8220</x:v>
      </x:c>
      <x:c r="N3617" s="7" t="n">
        <x:v>3</x:v>
      </x:c>
      <x:c r="O3617" s="7" t="n">
        <x:v>0</x:v>
      </x:c>
      <x:c r="P3617" s="9" t="n">
        <x:v>25.78</x:v>
      </x:c>
      <x:c r="Q3617" s="7" t="n">
        <x:f>'Guide'!$B$5-L3617</x:f>
        <x:v>0</x:v>
      </x:c>
      <x:c r="R3617" s="9" t="n">
        <x:f>K3617-P3617</x:f>
        <x:v>1.2199999999999989</x:v>
      </x:c>
      <x:c r="S3617" s="10" t="n">
        <x:f>IF(K3617&gt;0,R3617/K3617,"")</x:f>
        <x:v>0.04518518518518514</x:v>
      </x:c>
    </x:row>
    <x:row r="3618">
      <x:c r="A3618" s="7" t="n">
        <x:v>3614</x:v>
      </x:c>
      <x:c r="B3618" s="7" t="str">
        <x:v>Tata</x:v>
      </x:c>
      <x:c r="C3618" s="7" t="str">
        <x:v>Safari</x:v>
      </x:c>
      <x:c r="D3618" s="7" t="str">
        <x:v>Accomplished AT</x:v>
      </x:c>
      <x:c r="E3618" s="7" t="str">
        <x:v>Diesel</x:v>
      </x:c>
      <x:c r="F3618" s="7" t="str">
        <x:v>Automatic</x:v>
      </x:c>
      <x:c r="G3618" s="7" t="str">
        <x:v>SUV</x:v>
      </x:c>
      <x:c r="H3618" s="7" t="n">
        <x:v>1956</x:v>
      </x:c>
      <x:c r="I3618" s="7" t="n">
        <x:v>168</x:v>
      </x:c>
      <x:c r="J3618" s="9" t="n">
        <x:v>14.5</x:v>
      </x:c>
      <x:c r="K3618" s="9" t="n">
        <x:v>27</x:v>
      </x:c>
      <x:c r="L3618" s="7" t="n">
        <x:v>2021</x:v>
      </x:c>
      <x:c r="M3618" s="11" t="n">
        <x:v>59601</x:v>
      </x:c>
      <x:c r="N3618" s="7" t="n">
        <x:v>1</x:v>
      </x:c>
      <x:c r="O3618" s="7" t="n">
        <x:v>0</x:v>
      </x:c>
      <x:c r="P3618" s="9" t="n">
        <x:v>13.9</x:v>
      </x:c>
      <x:c r="Q3618" s="7" t="n">
        <x:f>'Guide'!$B$5-L3618</x:f>
        <x:v>5</x:v>
      </x:c>
      <x:c r="R3618" s="9" t="n">
        <x:f>K3618-P3618</x:f>
        <x:v>13.1</x:v>
      </x:c>
      <x:c r="S3618" s="10" t="n">
        <x:f>IF(K3618&gt;0,R3618/K3618,"")</x:f>
        <x:v>0.48518518518518516</x:v>
      </x:c>
    </x:row>
    <x:row r="3619">
      <x:c r="A3619" s="7" t="n">
        <x:v>3615</x:v>
      </x:c>
      <x:c r="B3619" s="7" t="str">
        <x:v>Tata</x:v>
      </x:c>
      <x:c r="C3619" s="7" t="str">
        <x:v>Safari</x:v>
      </x:c>
      <x:c r="D3619" s="7" t="str">
        <x:v>Accomplished AT</x:v>
      </x:c>
      <x:c r="E3619" s="7" t="str">
        <x:v>Diesel</x:v>
      </x:c>
      <x:c r="F3619" s="7" t="str">
        <x:v>Automatic</x:v>
      </x:c>
      <x:c r="G3619" s="7" t="str">
        <x:v>SUV</x:v>
      </x:c>
      <x:c r="H3619" s="7" t="n">
        <x:v>1956</x:v>
      </x:c>
      <x:c r="I3619" s="7" t="n">
        <x:v>168</x:v>
      </x:c>
      <x:c r="J3619" s="9" t="n">
        <x:v>14.5</x:v>
      </x:c>
      <x:c r="K3619" s="9" t="n">
        <x:v>27</x:v>
      </x:c>
      <x:c r="L3619" s="7" t="n">
        <x:v>2025</x:v>
      </x:c>
      <x:c r="M3619" s="11" t="n">
        <x:v>25303</x:v>
      </x:c>
      <x:c r="N3619" s="7" t="n">
        <x:v>1</x:v>
      </x:c>
      <x:c r="O3619" s="7" t="n">
        <x:v>0</x:v>
      </x:c>
      <x:c r="P3619" s="9" t="n">
        <x:v>23.93</x:v>
      </x:c>
      <x:c r="Q3619" s="7" t="n">
        <x:f>'Guide'!$B$5-L3619</x:f>
        <x:v>1</x:v>
      </x:c>
      <x:c r="R3619" s="9" t="n">
        <x:f>K3619-P3619</x:f>
        <x:v>3.0700000000000003</x:v>
      </x:c>
      <x:c r="S3619" s="10" t="n">
        <x:f>IF(K3619&gt;0,R3619/K3619,"")</x:f>
        <x:v>0.11370370370370371</x:v>
      </x:c>
    </x:row>
    <x:row r="3620">
      <x:c r="A3620" s="7" t="n">
        <x:v>3616</x:v>
      </x:c>
      <x:c r="B3620" s="7" t="str">
        <x:v>Tata</x:v>
      </x:c>
      <x:c r="C3620" s="7" t="str">
        <x:v>Safari</x:v>
      </x:c>
      <x:c r="D3620" s="7" t="str">
        <x:v>Accomplished AT</x:v>
      </x:c>
      <x:c r="E3620" s="7" t="str">
        <x:v>Diesel</x:v>
      </x:c>
      <x:c r="F3620" s="7" t="str">
        <x:v>Automatic</x:v>
      </x:c>
      <x:c r="G3620" s="7" t="str">
        <x:v>SUV</x:v>
      </x:c>
      <x:c r="H3620" s="7" t="n">
        <x:v>1956</x:v>
      </x:c>
      <x:c r="I3620" s="7" t="n">
        <x:v>168</x:v>
      </x:c>
      <x:c r="J3620" s="9" t="n">
        <x:v>14.5</x:v>
      </x:c>
      <x:c r="K3620" s="9" t="n">
        <x:v>27</x:v>
      </x:c>
      <x:c r="L3620" s="7" t="n">
        <x:v>2023</x:v>
      </x:c>
      <x:c r="M3620" s="11" t="n">
        <x:v>42993</x:v>
      </x:c>
      <x:c r="N3620" s="7" t="n">
        <x:v>1</x:v>
      </x:c>
      <x:c r="O3620" s="7" t="n">
        <x:v>0</x:v>
      </x:c>
      <x:c r="P3620" s="9" t="n">
        <x:v>19.01</x:v>
      </x:c>
      <x:c r="Q3620" s="7" t="n">
        <x:f>'Guide'!$B$5-L3620</x:f>
        <x:v>3</x:v>
      </x:c>
      <x:c r="R3620" s="9" t="n">
        <x:f>K3620-P3620</x:f>
        <x:v>7.989999999999998</x:v>
      </x:c>
      <x:c r="S3620" s="10" t="n">
        <x:f>IF(K3620&gt;0,R3620/K3620,"")</x:f>
        <x:v>0.29592592592592587</x:v>
      </x:c>
    </x:row>
    <x:row r="3621">
      <x:c r="A3621" s="7" t="n">
        <x:v>3617</x:v>
      </x:c>
      <x:c r="B3621" s="7" t="str">
        <x:v>Tata</x:v>
      </x:c>
      <x:c r="C3621" s="7" t="str">
        <x:v>Safari</x:v>
      </x:c>
      <x:c r="D3621" s="7" t="str">
        <x:v>Accomplished AT</x:v>
      </x:c>
      <x:c r="E3621" s="7" t="str">
        <x:v>Diesel</x:v>
      </x:c>
      <x:c r="F3621" s="7" t="str">
        <x:v>Automatic</x:v>
      </x:c>
      <x:c r="G3621" s="7" t="str">
        <x:v>SUV</x:v>
      </x:c>
      <x:c r="H3621" s="7" t="n">
        <x:v>1956</x:v>
      </x:c>
      <x:c r="I3621" s="7" t="n">
        <x:v>168</x:v>
      </x:c>
      <x:c r="J3621" s="9" t="n">
        <x:v>14.5</x:v>
      </x:c>
      <x:c r="K3621" s="9" t="n">
        <x:v>27</x:v>
      </x:c>
      <x:c r="L3621" s="7" t="n">
        <x:v>2022</x:v>
      </x:c>
      <x:c r="M3621" s="11" t="n">
        <x:v>36677</x:v>
      </x:c>
      <x:c r="N3621" s="7" t="n">
        <x:v>1</x:v>
      </x:c>
      <x:c r="O3621" s="7" t="n">
        <x:v>0</x:v>
      </x:c>
      <x:c r="P3621" s="9" t="n">
        <x:v>16.84</x:v>
      </x:c>
      <x:c r="Q3621" s="7" t="n">
        <x:f>'Guide'!$B$5-L3621</x:f>
        <x:v>4</x:v>
      </x:c>
      <x:c r="R3621" s="9" t="n">
        <x:f>K3621-P3621</x:f>
        <x:v>10.16</x:v>
      </x:c>
      <x:c r="S3621" s="10" t="n">
        <x:f>IF(K3621&gt;0,R3621/K3621,"")</x:f>
        <x:v>0.3762962962962963</x:v>
      </x:c>
    </x:row>
    <x:row r="3622">
      <x:c r="A3622" s="7" t="n">
        <x:v>3618</x:v>
      </x:c>
      <x:c r="B3622" s="7" t="str">
        <x:v>Tata</x:v>
      </x:c>
      <x:c r="C3622" s="7" t="str">
        <x:v>Safari</x:v>
      </x:c>
      <x:c r="D3622" s="7" t="str">
        <x:v>Accomplished AT</x:v>
      </x:c>
      <x:c r="E3622" s="7" t="str">
        <x:v>Diesel</x:v>
      </x:c>
      <x:c r="F3622" s="7" t="str">
        <x:v>Automatic</x:v>
      </x:c>
      <x:c r="G3622" s="7" t="str">
        <x:v>SUV</x:v>
      </x:c>
      <x:c r="H3622" s="7" t="n">
        <x:v>1956</x:v>
      </x:c>
      <x:c r="I3622" s="7" t="n">
        <x:v>168</x:v>
      </x:c>
      <x:c r="J3622" s="9" t="n">
        <x:v>14.5</x:v>
      </x:c>
      <x:c r="K3622" s="9" t="n">
        <x:v>27</x:v>
      </x:c>
      <x:c r="L3622" s="7" t="n">
        <x:v>2021</x:v>
      </x:c>
      <x:c r="M3622" s="11" t="n">
        <x:v>109141</x:v>
      </x:c>
      <x:c r="N3622" s="7" t="n">
        <x:v>2</x:v>
      </x:c>
      <x:c r="O3622" s="7" t="n">
        <x:v>0</x:v>
      </x:c>
      <x:c r="P3622" s="9" t="n">
        <x:v>12.25</x:v>
      </x:c>
      <x:c r="Q3622" s="7" t="n">
        <x:f>'Guide'!$B$5-L3622</x:f>
        <x:v>5</x:v>
      </x:c>
      <x:c r="R3622" s="9" t="n">
        <x:f>K3622-P3622</x:f>
        <x:v>14.75</x:v>
      </x:c>
      <x:c r="S3622" s="10" t="n">
        <x:f>IF(K3622&gt;0,R3622/K3622,"")</x:f>
        <x:v>0.5462962962962963</x:v>
      </x:c>
    </x:row>
    <x:row r="3623">
      <x:c r="A3623" s="7" t="n">
        <x:v>3619</x:v>
      </x:c>
      <x:c r="B3623" s="7" t="str">
        <x:v>Tata</x:v>
      </x:c>
      <x:c r="C3623" s="7" t="str">
        <x:v>Safari</x:v>
      </x:c>
      <x:c r="D3623" s="7" t="str">
        <x:v>Accomplished AT</x:v>
      </x:c>
      <x:c r="E3623" s="7" t="str">
        <x:v>Diesel</x:v>
      </x:c>
      <x:c r="F3623" s="7" t="str">
        <x:v>Automatic</x:v>
      </x:c>
      <x:c r="G3623" s="7" t="str">
        <x:v>SUV</x:v>
      </x:c>
      <x:c r="H3623" s="7" t="n">
        <x:v>1956</x:v>
      </x:c>
      <x:c r="I3623" s="7" t="n">
        <x:v>168</x:v>
      </x:c>
      <x:c r="J3623" s="9" t="n">
        <x:v>14.5</x:v>
      </x:c>
      <x:c r="K3623" s="9" t="n">
        <x:v>27</x:v>
      </x:c>
      <x:c r="L3623" s="7" t="n">
        <x:v>2026</x:v>
      </x:c>
      <x:c r="M3623" s="11" t="n">
        <x:v>4012</x:v>
      </x:c>
      <x:c r="N3623" s="7" t="n">
        <x:v>1</x:v>
      </x:c>
      <x:c r="O3623" s="7" t="n">
        <x:v>0</x:v>
      </x:c>
      <x:c r="P3623" s="9" t="n">
        <x:v>27.17</x:v>
      </x:c>
      <x:c r="Q3623" s="7" t="n">
        <x:f>'Guide'!$B$5-L3623</x:f>
        <x:v>0</x:v>
      </x:c>
      <x:c r="R3623" s="9" t="n">
        <x:f>K3623-P3623</x:f>
        <x:v>-0.1700000000000017</x:v>
      </x:c>
      <x:c r="S3623" s="10" t="n">
        <x:f>IF(K3623&gt;0,R3623/K3623,"")</x:f>
        <x:v>-0.00629629629629636</x:v>
      </x:c>
    </x:row>
    <x:row r="3624">
      <x:c r="A3624" s="7" t="n">
        <x:v>3620</x:v>
      </x:c>
      <x:c r="B3624" s="7" t="str">
        <x:v>Tata</x:v>
      </x:c>
      <x:c r="C3624" s="7" t="str">
        <x:v>Safari</x:v>
      </x:c>
      <x:c r="D3624" s="7" t="str">
        <x:v>Accomplished AT</x:v>
      </x:c>
      <x:c r="E3624" s="7" t="str">
        <x:v>Diesel</x:v>
      </x:c>
      <x:c r="F3624" s="7" t="str">
        <x:v>Automatic</x:v>
      </x:c>
      <x:c r="G3624" s="7" t="str">
        <x:v>SUV</x:v>
      </x:c>
      <x:c r="H3624" s="7" t="n">
        <x:v>1956</x:v>
      </x:c>
      <x:c r="I3624" s="7" t="n">
        <x:v>168</x:v>
      </x:c>
      <x:c r="J3624" s="9" t="n">
        <x:v>14.5</x:v>
      </x:c>
      <x:c r="K3624" s="9" t="n">
        <x:v>27</x:v>
      </x:c>
      <x:c r="L3624" s="7" t="n">
        <x:v>2022</x:v>
      </x:c>
      <x:c r="M3624" s="11" t="n">
        <x:v>53372</x:v>
      </x:c>
      <x:c r="N3624" s="7" t="n">
        <x:v>1</x:v>
      </x:c>
      <x:c r="O3624" s="7" t="n">
        <x:v>0</x:v>
      </x:c>
      <x:c r="P3624" s="9" t="n">
        <x:v>16.39</x:v>
      </x:c>
      <x:c r="Q3624" s="7" t="n">
        <x:f>'Guide'!$B$5-L3624</x:f>
        <x:v>4</x:v>
      </x:c>
      <x:c r="R3624" s="9" t="n">
        <x:f>K3624-P3624</x:f>
        <x:v>10.61</x:v>
      </x:c>
      <x:c r="S3624" s="10" t="n">
        <x:f>IF(K3624&gt;0,R3624/K3624,"")</x:f>
        <x:v>0.39296296296296296</x:v>
      </x:c>
    </x:row>
    <x:row r="3625">
      <x:c r="A3625" s="7" t="n">
        <x:v>3621</x:v>
      </x:c>
      <x:c r="B3625" s="7" t="str">
        <x:v>Tata</x:v>
      </x:c>
      <x:c r="C3625" s="7" t="str">
        <x:v>Safari</x:v>
      </x:c>
      <x:c r="D3625" s="7" t="str">
        <x:v>Accomplished AT</x:v>
      </x:c>
      <x:c r="E3625" s="7" t="str">
        <x:v>Diesel</x:v>
      </x:c>
      <x:c r="F3625" s="7" t="str">
        <x:v>Automatic</x:v>
      </x:c>
      <x:c r="G3625" s="7" t="str">
        <x:v>SUV</x:v>
      </x:c>
      <x:c r="H3625" s="7" t="n">
        <x:v>1956</x:v>
      </x:c>
      <x:c r="I3625" s="7" t="n">
        <x:v>168</x:v>
      </x:c>
      <x:c r="J3625" s="9" t="n">
        <x:v>14.5</x:v>
      </x:c>
      <x:c r="K3625" s="9" t="n">
        <x:v>27</x:v>
      </x:c>
      <x:c r="L3625" s="7" t="n">
        <x:v>2024</x:v>
      </x:c>
      <x:c r="M3625" s="11" t="n">
        <x:v>43227</x:v>
      </x:c>
      <x:c r="N3625" s="7" t="n">
        <x:v>1</x:v>
      </x:c>
      <x:c r="O3625" s="7" t="n">
        <x:v>0</x:v>
      </x:c>
      <x:c r="P3625" s="9" t="n">
        <x:v>21.52</x:v>
      </x:c>
      <x:c r="Q3625" s="7" t="n">
        <x:f>'Guide'!$B$5-L3625</x:f>
        <x:v>2</x:v>
      </x:c>
      <x:c r="R3625" s="9" t="n">
        <x:f>K3625-P3625</x:f>
        <x:v>5.48</x:v>
      </x:c>
      <x:c r="S3625" s="10" t="n">
        <x:f>IF(K3625&gt;0,R3625/K3625,"")</x:f>
        <x:v>0.20296296296296298</x:v>
      </x:c>
    </x:row>
    <x:row r="3626">
      <x:c r="A3626" s="7" t="n">
        <x:v>3622</x:v>
      </x:c>
      <x:c r="B3626" s="7" t="str">
        <x:v>Tata</x:v>
      </x:c>
      <x:c r="C3626" s="7" t="str">
        <x:v>Safari</x:v>
      </x:c>
      <x:c r="D3626" s="7" t="str">
        <x:v>Accomplished AT</x:v>
      </x:c>
      <x:c r="E3626" s="7" t="str">
        <x:v>Diesel</x:v>
      </x:c>
      <x:c r="F3626" s="7" t="str">
        <x:v>Automatic</x:v>
      </x:c>
      <x:c r="G3626" s="7" t="str">
        <x:v>SUV</x:v>
      </x:c>
      <x:c r="H3626" s="7" t="n">
        <x:v>1956</x:v>
      </x:c>
      <x:c r="I3626" s="7" t="n">
        <x:v>168</x:v>
      </x:c>
      <x:c r="J3626" s="9" t="n">
        <x:v>14.5</x:v>
      </x:c>
      <x:c r="K3626" s="9" t="n">
        <x:v>27</x:v>
      </x:c>
      <x:c r="L3626" s="7" t="n">
        <x:v>2025</x:v>
      </x:c>
      <x:c r="M3626" s="11" t="n">
        <x:v>18251</x:v>
      </x:c>
      <x:c r="N3626" s="7" t="n">
        <x:v>1</x:v>
      </x:c>
      <x:c r="O3626" s="7" t="n">
        <x:v>0</x:v>
      </x:c>
      <x:c r="P3626" s="9" t="n">
        <x:v>24.04</x:v>
      </x:c>
      <x:c r="Q3626" s="7" t="n">
        <x:f>'Guide'!$B$5-L3626</x:f>
        <x:v>1</x:v>
      </x:c>
      <x:c r="R3626" s="9" t="n">
        <x:f>K3626-P3626</x:f>
        <x:v>2.960000000000001</x:v>
      </x:c>
      <x:c r="S3626" s="10" t="n">
        <x:f>IF(K3626&gt;0,R3626/K3626,"")</x:f>
        <x:v>0.10962962962962966</x:v>
      </x:c>
    </x:row>
    <x:row r="3627">
      <x:c r="A3627" s="7" t="n">
        <x:v>3623</x:v>
      </x:c>
      <x:c r="B3627" s="7" t="str">
        <x:v>Tata</x:v>
      </x:c>
      <x:c r="C3627" s="7" t="str">
        <x:v>Safari</x:v>
      </x:c>
      <x:c r="D3627" s="7" t="str">
        <x:v>Accomplished AT</x:v>
      </x:c>
      <x:c r="E3627" s="7" t="str">
        <x:v>Diesel</x:v>
      </x:c>
      <x:c r="F3627" s="7" t="str">
        <x:v>Automatic</x:v>
      </x:c>
      <x:c r="G3627" s="7" t="str">
        <x:v>SUV</x:v>
      </x:c>
      <x:c r="H3627" s="7" t="n">
        <x:v>1956</x:v>
      </x:c>
      <x:c r="I3627" s="7" t="n">
        <x:v>168</x:v>
      </x:c>
      <x:c r="J3627" s="9" t="n">
        <x:v>14.5</x:v>
      </x:c>
      <x:c r="K3627" s="9" t="n">
        <x:v>27</x:v>
      </x:c>
      <x:c r="L3627" s="7" t="n">
        <x:v>2026</x:v>
      </x:c>
      <x:c r="M3627" s="11" t="n">
        <x:v>8421</x:v>
      </x:c>
      <x:c r="N3627" s="7" t="n">
        <x:v>1</x:v>
      </x:c>
      <x:c r="O3627" s="7" t="n">
        <x:v>0</x:v>
      </x:c>
      <x:c r="P3627" s="9" t="n">
        <x:v>26.74</x:v>
      </x:c>
      <x:c r="Q3627" s="7" t="n">
        <x:f>'Guide'!$B$5-L3627</x:f>
        <x:v>0</x:v>
      </x:c>
      <x:c r="R3627" s="9" t="n">
        <x:f>K3627-P3627</x:f>
        <x:v>0.26000000000000156</x:v>
      </x:c>
      <x:c r="S3627" s="10" t="n">
        <x:f>IF(K3627&gt;0,R3627/K3627,"")</x:f>
        <x:v>0.009629629629629688</x:v>
      </x:c>
    </x:row>
    <x:row r="3628">
      <x:c r="A3628" s="7" t="n">
        <x:v>3624</x:v>
      </x:c>
      <x:c r="B3628" s="7" t="str">
        <x:v>Tata</x:v>
      </x:c>
      <x:c r="C3628" s="7" t="str">
        <x:v>Safari</x:v>
      </x:c>
      <x:c r="D3628" s="7" t="str">
        <x:v>Accomplished AT</x:v>
      </x:c>
      <x:c r="E3628" s="7" t="str">
        <x:v>Diesel</x:v>
      </x:c>
      <x:c r="F3628" s="7" t="str">
        <x:v>Automatic</x:v>
      </x:c>
      <x:c r="G3628" s="7" t="str">
        <x:v>SUV</x:v>
      </x:c>
      <x:c r="H3628" s="7" t="n">
        <x:v>1956</x:v>
      </x:c>
      <x:c r="I3628" s="7" t="n">
        <x:v>168</x:v>
      </x:c>
      <x:c r="J3628" s="9" t="n">
        <x:v>14.5</x:v>
      </x:c>
      <x:c r="K3628" s="9" t="n">
        <x:v>27</x:v>
      </x:c>
      <x:c r="L3628" s="7" t="n">
        <x:v>2022</x:v>
      </x:c>
      <x:c r="M3628" s="11" t="n">
        <x:v>49950</x:v>
      </x:c>
      <x:c r="N3628" s="7" t="n">
        <x:v>2</x:v>
      </x:c>
      <x:c r="O3628" s="7" t="n">
        <x:v>0</x:v>
      </x:c>
      <x:c r="P3628" s="9" t="n">
        <x:v>16.67</x:v>
      </x:c>
      <x:c r="Q3628" s="7" t="n">
        <x:f>'Guide'!$B$5-L3628</x:f>
        <x:v>4</x:v>
      </x:c>
      <x:c r="R3628" s="9" t="n">
        <x:f>K3628-P3628</x:f>
        <x:v>10.329999999999998</x:v>
      </x:c>
      <x:c r="S3628" s="10" t="n">
        <x:f>IF(K3628&gt;0,R3628/K3628,"")</x:f>
        <x:v>0.38259259259259254</x:v>
      </x:c>
    </x:row>
    <x:row r="3629">
      <x:c r="A3629" s="7" t="n">
        <x:v>3625</x:v>
      </x:c>
      <x:c r="B3629" s="7" t="str">
        <x:v>Tata</x:v>
      </x:c>
      <x:c r="C3629" s="7" t="str">
        <x:v>Safari</x:v>
      </x:c>
      <x:c r="D3629" s="7" t="str">
        <x:v>Accomplished AT</x:v>
      </x:c>
      <x:c r="E3629" s="7" t="str">
        <x:v>Diesel</x:v>
      </x:c>
      <x:c r="F3629" s="7" t="str">
        <x:v>Automatic</x:v>
      </x:c>
      <x:c r="G3629" s="7" t="str">
        <x:v>SUV</x:v>
      </x:c>
      <x:c r="H3629" s="7" t="n">
        <x:v>1956</x:v>
      </x:c>
      <x:c r="I3629" s="7" t="n">
        <x:v>168</x:v>
      </x:c>
      <x:c r="J3629" s="9" t="n">
        <x:v>14.5</x:v>
      </x:c>
      <x:c r="K3629" s="9" t="n">
        <x:v>27</x:v>
      </x:c>
      <x:c r="L3629" s="7" t="n">
        <x:v>2022</x:v>
      </x:c>
      <x:c r="M3629" s="11" t="n">
        <x:v>47402</x:v>
      </x:c>
      <x:c r="N3629" s="7" t="n">
        <x:v>2</x:v>
      </x:c>
      <x:c r="O3629" s="7" t="n">
        <x:v>0</x:v>
      </x:c>
      <x:c r="P3629" s="9" t="n">
        <x:v>16.12</x:v>
      </x:c>
      <x:c r="Q3629" s="7" t="n">
        <x:f>'Guide'!$B$5-L3629</x:f>
        <x:v>4</x:v>
      </x:c>
      <x:c r="R3629" s="9" t="n">
        <x:f>K3629-P3629</x:f>
        <x:v>10.879999999999999</x:v>
      </x:c>
      <x:c r="S3629" s="10" t="n">
        <x:f>IF(K3629&gt;0,R3629/K3629,"")</x:f>
        <x:v>0.4029629629629629</x:v>
      </x:c>
    </x:row>
    <x:row r="3630">
      <x:c r="A3630" s="7" t="n">
        <x:v>3626</x:v>
      </x:c>
      <x:c r="B3630" s="7" t="str">
        <x:v>Tata</x:v>
      </x:c>
      <x:c r="C3630" s="7" t="str">
        <x:v>Safari</x:v>
      </x:c>
      <x:c r="D3630" s="7" t="str">
        <x:v>Accomplished AT</x:v>
      </x:c>
      <x:c r="E3630" s="7" t="str">
        <x:v>Diesel</x:v>
      </x:c>
      <x:c r="F3630" s="7" t="str">
        <x:v>Automatic</x:v>
      </x:c>
      <x:c r="G3630" s="7" t="str">
        <x:v>SUV</x:v>
      </x:c>
      <x:c r="H3630" s="7" t="n">
        <x:v>1956</x:v>
      </x:c>
      <x:c r="I3630" s="7" t="n">
        <x:v>168</x:v>
      </x:c>
      <x:c r="J3630" s="9" t="n">
        <x:v>14.5</x:v>
      </x:c>
      <x:c r="K3630" s="9" t="n">
        <x:v>27</x:v>
      </x:c>
      <x:c r="L3630" s="7" t="n">
        <x:v>2026</x:v>
      </x:c>
      <x:c r="M3630" s="11" t="n">
        <x:v>5868</x:v>
      </x:c>
      <x:c r="N3630" s="7" t="n">
        <x:v>1</x:v>
      </x:c>
      <x:c r="O3630" s="7" t="n">
        <x:v>0</x:v>
      </x:c>
      <x:c r="P3630" s="9" t="n">
        <x:v>27.11</x:v>
      </x:c>
      <x:c r="Q3630" s="7" t="n">
        <x:f>'Guide'!$B$5-L3630</x:f>
        <x:v>0</x:v>
      </x:c>
      <x:c r="R3630" s="9" t="n">
        <x:f>K3630-P3630</x:f>
        <x:v>-0.10999999999999943</x:v>
      </x:c>
      <x:c r="S3630" s="10" t="n">
        <x:f>IF(K3630&gt;0,R3630/K3630,"")</x:f>
        <x:v>-0.004074074074074053</x:v>
      </x:c>
    </x:row>
    <x:row r="3631">
      <x:c r="A3631" s="7" t="n">
        <x:v>3627</x:v>
      </x:c>
      <x:c r="B3631" s="7" t="str">
        <x:v>Tata</x:v>
      </x:c>
      <x:c r="C3631" s="7" t="str">
        <x:v>Safari</x:v>
      </x:c>
      <x:c r="D3631" s="7" t="str">
        <x:v>Accomplished AT</x:v>
      </x:c>
      <x:c r="E3631" s="7" t="str">
        <x:v>Diesel</x:v>
      </x:c>
      <x:c r="F3631" s="7" t="str">
        <x:v>Automatic</x:v>
      </x:c>
      <x:c r="G3631" s="7" t="str">
        <x:v>SUV</x:v>
      </x:c>
      <x:c r="H3631" s="7" t="n">
        <x:v>1956</x:v>
      </x:c>
      <x:c r="I3631" s="7" t="n">
        <x:v>168</x:v>
      </x:c>
      <x:c r="J3631" s="9" t="n">
        <x:v>14.5</x:v>
      </x:c>
      <x:c r="K3631" s="9" t="n">
        <x:v>27</x:v>
      </x:c>
      <x:c r="L3631" s="7" t="n">
        <x:v>2026</x:v>
      </x:c>
      <x:c r="M3631" s="11" t="n">
        <x:v>9871</x:v>
      </x:c>
      <x:c r="N3631" s="7" t="n">
        <x:v>1</x:v>
      </x:c>
      <x:c r="O3631" s="7" t="n">
        <x:v>1</x:v>
      </x:c>
      <x:c r="P3631" s="9" t="n">
        <x:v>25.8</x:v>
      </x:c>
      <x:c r="Q3631" s="7" t="n">
        <x:f>'Guide'!$B$5-L3631</x:f>
        <x:v>0</x:v>
      </x:c>
      <x:c r="R3631" s="9" t="n">
        <x:f>K3631-P3631</x:f>
        <x:v>1.1999999999999993</x:v>
      </x:c>
      <x:c r="S3631" s="10" t="n">
        <x:f>IF(K3631&gt;0,R3631/K3631,"")</x:f>
        <x:v>0.04444444444444442</x:v>
      </x:c>
    </x:row>
    <x:row r="3632">
      <x:c r="A3632" s="7" t="n">
        <x:v>3628</x:v>
      </x:c>
      <x:c r="B3632" s="7" t="str">
        <x:v>Tata</x:v>
      </x:c>
      <x:c r="C3632" s="7" t="str">
        <x:v>Safari</x:v>
      </x:c>
      <x:c r="D3632" s="7" t="str">
        <x:v>Accomplished AT</x:v>
      </x:c>
      <x:c r="E3632" s="7" t="str">
        <x:v>Diesel</x:v>
      </x:c>
      <x:c r="F3632" s="7" t="str">
        <x:v>Automatic</x:v>
      </x:c>
      <x:c r="G3632" s="7" t="str">
        <x:v>SUV</x:v>
      </x:c>
      <x:c r="H3632" s="7" t="n">
        <x:v>1956</x:v>
      </x:c>
      <x:c r="I3632" s="7" t="n">
        <x:v>168</x:v>
      </x:c>
      <x:c r="J3632" s="9" t="n">
        <x:v>14.5</x:v>
      </x:c>
      <x:c r="K3632" s="9" t="n">
        <x:v>27</x:v>
      </x:c>
      <x:c r="L3632" s="7" t="n">
        <x:v>2026</x:v>
      </x:c>
      <x:c r="M3632" s="11" t="n">
        <x:v>7652</x:v>
      </x:c>
      <x:c r="N3632" s="7" t="n">
        <x:v>1</x:v>
      </x:c>
      <x:c r="O3632" s="7" t="n">
        <x:v>0</x:v>
      </x:c>
      <x:c r="P3632" s="9" t="n">
        <x:v>26.5</x:v>
      </x:c>
      <x:c r="Q3632" s="7" t="n">
        <x:f>'Guide'!$B$5-L3632</x:f>
        <x:v>0</x:v>
      </x:c>
      <x:c r="R3632" s="9" t="n">
        <x:f>K3632-P3632</x:f>
        <x:v>0.5</x:v>
      </x:c>
      <x:c r="S3632" s="10" t="n">
        <x:f>IF(K3632&gt;0,R3632/K3632,"")</x:f>
        <x:v>0.018518518518518517</x:v>
      </x:c>
    </x:row>
    <x:row r="3633">
      <x:c r="A3633" s="7" t="n">
        <x:v>3629</x:v>
      </x:c>
      <x:c r="B3633" s="7" t="str">
        <x:v>Tata</x:v>
      </x:c>
      <x:c r="C3633" s="7" t="str">
        <x:v>Safari</x:v>
      </x:c>
      <x:c r="D3633" s="7" t="str">
        <x:v>Accomplished AT</x:v>
      </x:c>
      <x:c r="E3633" s="7" t="str">
        <x:v>Diesel</x:v>
      </x:c>
      <x:c r="F3633" s="7" t="str">
        <x:v>Automatic</x:v>
      </x:c>
      <x:c r="G3633" s="7" t="str">
        <x:v>SUV</x:v>
      </x:c>
      <x:c r="H3633" s="7" t="n">
        <x:v>1956</x:v>
      </x:c>
      <x:c r="I3633" s="7" t="n">
        <x:v>168</x:v>
      </x:c>
      <x:c r="J3633" s="9" t="n">
        <x:v>14.5</x:v>
      </x:c>
      <x:c r="K3633" s="9" t="n">
        <x:v>27</x:v>
      </x:c>
      <x:c r="L3633" s="7" t="n">
        <x:v>2024</x:v>
      </x:c>
      <x:c r="M3633" s="11" t="n">
        <x:v>28755</x:v>
      </x:c>
      <x:c r="N3633" s="7" t="n">
        <x:v>1</x:v>
      </x:c>
      <x:c r="O3633" s="7" t="n">
        <x:v>0</x:v>
      </x:c>
      <x:c r="P3633" s="9" t="n">
        <x:v>22.1</x:v>
      </x:c>
      <x:c r="Q3633" s="7" t="n">
        <x:f>'Guide'!$B$5-L3633</x:f>
        <x:v>2</x:v>
      </x:c>
      <x:c r="R3633" s="9" t="n">
        <x:f>K3633-P3633</x:f>
        <x:v>4.899999999999999</x:v>
      </x:c>
      <x:c r="S3633" s="10" t="n">
        <x:f>IF(K3633&gt;0,R3633/K3633,"")</x:f>
        <x:v>0.18148148148148144</x:v>
      </x:c>
    </x:row>
    <x:row r="3634">
      <x:c r="A3634" s="7" t="n">
        <x:v>3630</x:v>
      </x:c>
      <x:c r="B3634" s="7" t="str">
        <x:v>Tata</x:v>
      </x:c>
      <x:c r="C3634" s="7" t="str">
        <x:v>Safari</x:v>
      </x:c>
      <x:c r="D3634" s="7" t="str">
        <x:v>Accomplished AT</x:v>
      </x:c>
      <x:c r="E3634" s="7" t="str">
        <x:v>Diesel</x:v>
      </x:c>
      <x:c r="F3634" s="7" t="str">
        <x:v>Automatic</x:v>
      </x:c>
      <x:c r="G3634" s="7" t="str">
        <x:v>SUV</x:v>
      </x:c>
      <x:c r="H3634" s="7" t="n">
        <x:v>1956</x:v>
      </x:c>
      <x:c r="I3634" s="7" t="n">
        <x:v>168</x:v>
      </x:c>
      <x:c r="J3634" s="9" t="n">
        <x:v>14.5</x:v>
      </x:c>
      <x:c r="K3634" s="9" t="n">
        <x:v>27</x:v>
      </x:c>
      <x:c r="L3634" s="7" t="n">
        <x:v>2026</x:v>
      </x:c>
      <x:c r="M3634" s="11" t="n">
        <x:v>4012</x:v>
      </x:c>
      <x:c r="N3634" s="7" t="n">
        <x:v>1</x:v>
      </x:c>
      <x:c r="O3634" s="7" t="n">
        <x:v>0</x:v>
      </x:c>
      <x:c r="P3634" s="9" t="n">
        <x:v>26.51</x:v>
      </x:c>
      <x:c r="Q3634" s="7" t="n">
        <x:f>'Guide'!$B$5-L3634</x:f>
        <x:v>0</x:v>
      </x:c>
      <x:c r="R3634" s="9" t="n">
        <x:f>K3634-P3634</x:f>
        <x:v>0.48999999999999844</x:v>
      </x:c>
      <x:c r="S3634" s="10" t="n">
        <x:f>IF(K3634&gt;0,R3634/K3634,"")</x:f>
        <x:v>0.01814814814814809</x:v>
      </x:c>
    </x:row>
    <x:row r="3635">
      <x:c r="A3635" s="7" t="n">
        <x:v>3631</x:v>
      </x:c>
      <x:c r="B3635" s="7" t="str">
        <x:v>Tata</x:v>
      </x:c>
      <x:c r="C3635" s="7" t="str">
        <x:v>Safari</x:v>
      </x:c>
      <x:c r="D3635" s="7" t="str">
        <x:v>Accomplished AT</x:v>
      </x:c>
      <x:c r="E3635" s="7" t="str">
        <x:v>Diesel</x:v>
      </x:c>
      <x:c r="F3635" s="7" t="str">
        <x:v>Automatic</x:v>
      </x:c>
      <x:c r="G3635" s="7" t="str">
        <x:v>SUV</x:v>
      </x:c>
      <x:c r="H3635" s="7" t="n">
        <x:v>1956</x:v>
      </x:c>
      <x:c r="I3635" s="7" t="n">
        <x:v>168</x:v>
      </x:c>
      <x:c r="J3635" s="9" t="n">
        <x:v>14.5</x:v>
      </x:c>
      <x:c r="K3635" s="9" t="n">
        <x:v>27</x:v>
      </x:c>
      <x:c r="L3635" s="7" t="n">
        <x:v>2024</x:v>
      </x:c>
      <x:c r="M3635" s="11" t="n">
        <x:v>30514</x:v>
      </x:c>
      <x:c r="N3635" s="7" t="n">
        <x:v>3</x:v>
      </x:c>
      <x:c r="O3635" s="7" t="n">
        <x:v>0</x:v>
      </x:c>
      <x:c r="P3635" s="9" t="n">
        <x:v>21.02</x:v>
      </x:c>
      <x:c r="Q3635" s="7" t="n">
        <x:f>'Guide'!$B$5-L3635</x:f>
        <x:v>2</x:v>
      </x:c>
      <x:c r="R3635" s="9" t="n">
        <x:f>K3635-P3635</x:f>
        <x:v>5.98</x:v>
      </x:c>
      <x:c r="S3635" s="10" t="n">
        <x:f>IF(K3635&gt;0,R3635/K3635,"")</x:f>
        <x:v>0.2214814814814815</x:v>
      </x:c>
    </x:row>
    <x:row r="3636">
      <x:c r="A3636" s="7" t="n">
        <x:v>3632</x:v>
      </x:c>
      <x:c r="B3636" s="7" t="str">
        <x:v>Tata</x:v>
      </x:c>
      <x:c r="C3636" s="7" t="str">
        <x:v>Safari</x:v>
      </x:c>
      <x:c r="D3636" s="7" t="str">
        <x:v>Accomplished AT</x:v>
      </x:c>
      <x:c r="E3636" s="7" t="str">
        <x:v>Diesel</x:v>
      </x:c>
      <x:c r="F3636" s="7" t="str">
        <x:v>Automatic</x:v>
      </x:c>
      <x:c r="G3636" s="7" t="str">
        <x:v>SUV</x:v>
      </x:c>
      <x:c r="H3636" s="7" t="n">
        <x:v>1956</x:v>
      </x:c>
      <x:c r="I3636" s="7" t="n">
        <x:v>168</x:v>
      </x:c>
      <x:c r="J3636" s="9" t="n">
        <x:v>14.5</x:v>
      </x:c>
      <x:c r="K3636" s="9" t="n">
        <x:v>27</x:v>
      </x:c>
      <x:c r="L3636" s="7" t="n">
        <x:v>2022</x:v>
      </x:c>
      <x:c r="M3636" s="11" t="n">
        <x:v>83908</x:v>
      </x:c>
      <x:c r="N3636" s="7" t="n">
        <x:v>1</x:v>
      </x:c>
      <x:c r="O3636" s="7" t="n">
        <x:v>0</x:v>
      </x:c>
      <x:c r="P3636" s="9" t="n">
        <x:v>15.73</x:v>
      </x:c>
      <x:c r="Q3636" s="7" t="n">
        <x:f>'Guide'!$B$5-L3636</x:f>
        <x:v>4</x:v>
      </x:c>
      <x:c r="R3636" s="9" t="n">
        <x:f>K3636-P3636</x:f>
        <x:v>11.27</x:v>
      </x:c>
      <x:c r="S3636" s="10" t="n">
        <x:f>IF(K3636&gt;0,R3636/K3636,"")</x:f>
        <x:v>0.4174074074074074</x:v>
      </x:c>
    </x:row>
    <x:row r="3637">
      <x:c r="A3637" s="7" t="n">
        <x:v>3633</x:v>
      </x:c>
      <x:c r="B3637" s="7" t="str">
        <x:v>Tata</x:v>
      </x:c>
      <x:c r="C3637" s="7" t="str">
        <x:v>Safari</x:v>
      </x:c>
      <x:c r="D3637" s="7" t="str">
        <x:v>Accomplished AT</x:v>
      </x:c>
      <x:c r="E3637" s="7" t="str">
        <x:v>Diesel</x:v>
      </x:c>
      <x:c r="F3637" s="7" t="str">
        <x:v>Automatic</x:v>
      </x:c>
      <x:c r="G3637" s="7" t="str">
        <x:v>SUV</x:v>
      </x:c>
      <x:c r="H3637" s="7" t="n">
        <x:v>1956</x:v>
      </x:c>
      <x:c r="I3637" s="7" t="n">
        <x:v>168</x:v>
      </x:c>
      <x:c r="J3637" s="9" t="n">
        <x:v>14.5</x:v>
      </x:c>
      <x:c r="K3637" s="9" t="n">
        <x:v>27</x:v>
      </x:c>
      <x:c r="L3637" s="7" t="n">
        <x:v>2026</x:v>
      </x:c>
      <x:c r="M3637" s="11" t="n">
        <x:v>6643</x:v>
      </x:c>
      <x:c r="N3637" s="7" t="n">
        <x:v>2</x:v>
      </x:c>
      <x:c r="O3637" s="7" t="n">
        <x:v>0</x:v>
      </x:c>
      <x:c r="P3637" s="9" t="n">
        <x:v>26.74</x:v>
      </x:c>
      <x:c r="Q3637" s="7" t="n">
        <x:f>'Guide'!$B$5-L3637</x:f>
        <x:v>0</x:v>
      </x:c>
      <x:c r="R3637" s="9" t="n">
        <x:f>K3637-P3637</x:f>
        <x:v>0.26000000000000156</x:v>
      </x:c>
      <x:c r="S3637" s="10" t="n">
        <x:f>IF(K3637&gt;0,R3637/K3637,"")</x:f>
        <x:v>0.009629629629629688</x:v>
      </x:c>
    </x:row>
    <x:row r="3638">
      <x:c r="A3638" s="7" t="n">
        <x:v>3634</x:v>
      </x:c>
      <x:c r="B3638" s="7" t="str">
        <x:v>Tata</x:v>
      </x:c>
      <x:c r="C3638" s="7" t="str">
        <x:v>Safari</x:v>
      </x:c>
      <x:c r="D3638" s="7" t="str">
        <x:v>Accomplished AT</x:v>
      </x:c>
      <x:c r="E3638" s="7" t="str">
        <x:v>Diesel</x:v>
      </x:c>
      <x:c r="F3638" s="7" t="str">
        <x:v>Automatic</x:v>
      </x:c>
      <x:c r="G3638" s="7" t="str">
        <x:v>SUV</x:v>
      </x:c>
      <x:c r="H3638" s="7" t="n">
        <x:v>1956</x:v>
      </x:c>
      <x:c r="I3638" s="7" t="n">
        <x:v>168</x:v>
      </x:c>
      <x:c r="J3638" s="9" t="n">
        <x:v>14.5</x:v>
      </x:c>
      <x:c r="K3638" s="9" t="n">
        <x:v>27</x:v>
      </x:c>
      <x:c r="L3638" s="7" t="n">
        <x:v>2021</x:v>
      </x:c>
      <x:c r="M3638" s="11" t="n">
        <x:v>72509</x:v>
      </x:c>
      <x:c r="N3638" s="7" t="n">
        <x:v>2</x:v>
      </x:c>
      <x:c r="O3638" s="7" t="n">
        <x:v>1</x:v>
      </x:c>
      <x:c r="P3638" s="9" t="n">
        <x:v>12.6</x:v>
      </x:c>
      <x:c r="Q3638" s="7" t="n">
        <x:f>'Guide'!$B$5-L3638</x:f>
        <x:v>5</x:v>
      </x:c>
      <x:c r="R3638" s="9" t="n">
        <x:f>K3638-P3638</x:f>
        <x:v>14.4</x:v>
      </x:c>
      <x:c r="S3638" s="10" t="n">
        <x:f>IF(K3638&gt;0,R3638/K3638,"")</x:f>
        <x:v>0.5333333333333333</x:v>
      </x:c>
    </x:row>
    <x:row r="3639">
      <x:c r="A3639" s="7" t="n">
        <x:v>3635</x:v>
      </x:c>
      <x:c r="B3639" s="7" t="str">
        <x:v>Tata</x:v>
      </x:c>
      <x:c r="C3639" s="7" t="str">
        <x:v>Safari</x:v>
      </x:c>
      <x:c r="D3639" s="7" t="str">
        <x:v>Accomplished AT</x:v>
      </x:c>
      <x:c r="E3639" s="7" t="str">
        <x:v>Diesel</x:v>
      </x:c>
      <x:c r="F3639" s="7" t="str">
        <x:v>Automatic</x:v>
      </x:c>
      <x:c r="G3639" s="7" t="str">
        <x:v>SUV</x:v>
      </x:c>
      <x:c r="H3639" s="7" t="n">
        <x:v>1956</x:v>
      </x:c>
      <x:c r="I3639" s="7" t="n">
        <x:v>168</x:v>
      </x:c>
      <x:c r="J3639" s="9" t="n">
        <x:v>14.5</x:v>
      </x:c>
      <x:c r="K3639" s="9" t="n">
        <x:v>27</x:v>
      </x:c>
      <x:c r="L3639" s="7" t="n">
        <x:v>2023</x:v>
      </x:c>
      <x:c r="M3639" s="11" t="n">
        <x:v>49857</x:v>
      </x:c>
      <x:c r="N3639" s="7" t="n">
        <x:v>2</x:v>
      </x:c>
      <x:c r="O3639" s="7" t="n">
        <x:v>0</x:v>
      </x:c>
      <x:c r="P3639" s="9" t="n">
        <x:v>18.86</x:v>
      </x:c>
      <x:c r="Q3639" s="7" t="n">
        <x:f>'Guide'!$B$5-L3639</x:f>
        <x:v>3</x:v>
      </x:c>
      <x:c r="R3639" s="9" t="n">
        <x:f>K3639-P3639</x:f>
        <x:v>8.14</x:v>
      </x:c>
      <x:c r="S3639" s="10" t="n">
        <x:f>IF(K3639&gt;0,R3639/K3639,"")</x:f>
        <x:v>0.3014814814814815</x:v>
      </x:c>
    </x:row>
    <x:row r="3640">
      <x:c r="A3640" s="7" t="n">
        <x:v>3636</x:v>
      </x:c>
      <x:c r="B3640" s="7" t="str">
        <x:v>Tata</x:v>
      </x:c>
      <x:c r="C3640" s="7" t="str">
        <x:v>Safari</x:v>
      </x:c>
      <x:c r="D3640" s="7" t="str">
        <x:v>Accomplished AT</x:v>
      </x:c>
      <x:c r="E3640" s="7" t="str">
        <x:v>Diesel</x:v>
      </x:c>
      <x:c r="F3640" s="7" t="str">
        <x:v>Automatic</x:v>
      </x:c>
      <x:c r="G3640" s="7" t="str">
        <x:v>SUV</x:v>
      </x:c>
      <x:c r="H3640" s="7" t="n">
        <x:v>1956</x:v>
      </x:c>
      <x:c r="I3640" s="7" t="n">
        <x:v>168</x:v>
      </x:c>
      <x:c r="J3640" s="9" t="n">
        <x:v>14.5</x:v>
      </x:c>
      <x:c r="K3640" s="9" t="n">
        <x:v>27</x:v>
      </x:c>
      <x:c r="L3640" s="7" t="n">
        <x:v>2020</x:v>
      </x:c>
      <x:c r="M3640" s="11" t="n">
        <x:v>81696</x:v>
      </x:c>
      <x:c r="N3640" s="7" t="n">
        <x:v>1</x:v>
      </x:c>
      <x:c r="O3640" s="7" t="n">
        <x:v>0</x:v>
      </x:c>
      <x:c r="P3640" s="9" t="n">
        <x:v>11.76</x:v>
      </x:c>
      <x:c r="Q3640" s="7" t="n">
        <x:f>'Guide'!$B$5-L3640</x:f>
        <x:v>6</x:v>
      </x:c>
      <x:c r="R3640" s="9" t="n">
        <x:f>K3640-P3640</x:f>
        <x:v>15.24</x:v>
      </x:c>
      <x:c r="S3640" s="10" t="n">
        <x:f>IF(K3640&gt;0,R3640/K3640,"")</x:f>
        <x:v>0.5644444444444444</x:v>
      </x:c>
    </x:row>
    <x:row r="3641">
      <x:c r="A3641" s="7" t="n">
        <x:v>3637</x:v>
      </x:c>
      <x:c r="B3641" s="7" t="str">
        <x:v>Tata</x:v>
      </x:c>
      <x:c r="C3641" s="7" t="str">
        <x:v>Safari</x:v>
      </x:c>
      <x:c r="D3641" s="7" t="str">
        <x:v>Accomplished AT</x:v>
      </x:c>
      <x:c r="E3641" s="7" t="str">
        <x:v>Diesel</x:v>
      </x:c>
      <x:c r="F3641" s="7" t="str">
        <x:v>Automatic</x:v>
      </x:c>
      <x:c r="G3641" s="7" t="str">
        <x:v>SUV</x:v>
      </x:c>
      <x:c r="H3641" s="7" t="n">
        <x:v>1956</x:v>
      </x:c>
      <x:c r="I3641" s="7" t="n">
        <x:v>168</x:v>
      </x:c>
      <x:c r="J3641" s="9" t="n">
        <x:v>14.5</x:v>
      </x:c>
      <x:c r="K3641" s="9" t="n">
        <x:v>27</x:v>
      </x:c>
      <x:c r="L3641" s="7" t="n">
        <x:v>2021</x:v>
      </x:c>
      <x:c r="M3641" s="11" t="n">
        <x:v>96778</x:v>
      </x:c>
      <x:c r="N3641" s="7" t="n">
        <x:v>2</x:v>
      </x:c>
      <x:c r="O3641" s="7" t="n">
        <x:v>0</x:v>
      </x:c>
      <x:c r="P3641" s="9" t="n">
        <x:v>12.79</x:v>
      </x:c>
      <x:c r="Q3641" s="7" t="n">
        <x:f>'Guide'!$B$5-L3641</x:f>
        <x:v>5</x:v>
      </x:c>
      <x:c r="R3641" s="9" t="n">
        <x:f>K3641-P3641</x:f>
        <x:v>14.21</x:v>
      </x:c>
      <x:c r="S3641" s="10" t="n">
        <x:f>IF(K3641&gt;0,R3641/K3641,"")</x:f>
        <x:v>0.5262962962962964</x:v>
      </x:c>
    </x:row>
    <x:row r="3642">
      <x:c r="A3642" s="7" t="n">
        <x:v>3638</x:v>
      </x:c>
      <x:c r="B3642" s="7" t="str">
        <x:v>Tata</x:v>
      </x:c>
      <x:c r="C3642" s="7" t="str">
        <x:v>Safari</x:v>
      </x:c>
      <x:c r="D3642" s="7" t="str">
        <x:v>Accomplished AT</x:v>
      </x:c>
      <x:c r="E3642" s="7" t="str">
        <x:v>Diesel</x:v>
      </x:c>
      <x:c r="F3642" s="7" t="str">
        <x:v>Automatic</x:v>
      </x:c>
      <x:c r="G3642" s="7" t="str">
        <x:v>SUV</x:v>
      </x:c>
      <x:c r="H3642" s="7" t="n">
        <x:v>1956</x:v>
      </x:c>
      <x:c r="I3642" s="7" t="n">
        <x:v>168</x:v>
      </x:c>
      <x:c r="J3642" s="9" t="n">
        <x:v>14.5</x:v>
      </x:c>
      <x:c r="K3642" s="9" t="n">
        <x:v>27</x:v>
      </x:c>
      <x:c r="L3642" s="7" t="n">
        <x:v>2025</x:v>
      </x:c>
      <x:c r="M3642" s="11" t="n">
        <x:v>15863</x:v>
      </x:c>
      <x:c r="N3642" s="7" t="n">
        <x:v>1</x:v>
      </x:c>
      <x:c r="O3642" s="7" t="n">
        <x:v>0</x:v>
      </x:c>
      <x:c r="P3642" s="9" t="n">
        <x:v>24.33</x:v>
      </x:c>
      <x:c r="Q3642" s="7" t="n">
        <x:f>'Guide'!$B$5-L3642</x:f>
        <x:v>1</x:v>
      </x:c>
      <x:c r="R3642" s="9" t="n">
        <x:f>K3642-P3642</x:f>
        <x:v>2.6700000000000017</x:v>
      </x:c>
      <x:c r="S3642" s="10" t="n">
        <x:f>IF(K3642&gt;0,R3642/K3642,"")</x:f>
        <x:v>0.09888888888888896</x:v>
      </x:c>
    </x:row>
    <x:row r="3643">
      <x:c r="A3643" s="7" t="n">
        <x:v>3639</x:v>
      </x:c>
      <x:c r="B3643" s="7" t="str">
        <x:v>Tata</x:v>
      </x:c>
      <x:c r="C3643" s="7" t="str">
        <x:v>Safari</x:v>
      </x:c>
      <x:c r="D3643" s="7" t="str">
        <x:v>Accomplished AT</x:v>
      </x:c>
      <x:c r="E3643" s="7" t="str">
        <x:v>Diesel</x:v>
      </x:c>
      <x:c r="F3643" s="7" t="str">
        <x:v>Automatic</x:v>
      </x:c>
      <x:c r="G3643" s="7" t="str">
        <x:v>SUV</x:v>
      </x:c>
      <x:c r="H3643" s="7" t="n">
        <x:v>1956</x:v>
      </x:c>
      <x:c r="I3643" s="7" t="n">
        <x:v>168</x:v>
      </x:c>
      <x:c r="J3643" s="9" t="n">
        <x:v>14.5</x:v>
      </x:c>
      <x:c r="K3643" s="9" t="n">
        <x:v>27</x:v>
      </x:c>
      <x:c r="L3643" s="7" t="n">
        <x:v>2026</x:v>
      </x:c>
      <x:c r="M3643" s="11" t="n">
        <x:v>4464</x:v>
      </x:c>
      <x:c r="N3643" s="7" t="n">
        <x:v>1</x:v>
      </x:c>
      <x:c r="O3643" s="7" t="n">
        <x:v>0</x:v>
      </x:c>
      <x:c r="P3643" s="9" t="n">
        <x:v>27.08</x:v>
      </x:c>
      <x:c r="Q3643" s="7" t="n">
        <x:f>'Guide'!$B$5-L3643</x:f>
        <x:v>0</x:v>
      </x:c>
      <x:c r="R3643" s="9" t="n">
        <x:f>K3643-P3643</x:f>
        <x:v>-0.0799999999999983</x:v>
      </x:c>
      <x:c r="S3643" s="10" t="n">
        <x:f>IF(K3643&gt;0,R3643/K3643,"")</x:f>
        <x:v>-0.0029629629629629</x:v>
      </x:c>
    </x:row>
    <x:row r="3644">
      <x:c r="A3644" s="7" t="n">
        <x:v>3640</x:v>
      </x:c>
      <x:c r="B3644" s="7" t="str">
        <x:v>Tata</x:v>
      </x:c>
      <x:c r="C3644" s="7" t="str">
        <x:v>Safari</x:v>
      </x:c>
      <x:c r="D3644" s="7" t="str">
        <x:v>Accomplished AT</x:v>
      </x:c>
      <x:c r="E3644" s="7" t="str">
        <x:v>Diesel</x:v>
      </x:c>
      <x:c r="F3644" s="7" t="str">
        <x:v>Automatic</x:v>
      </x:c>
      <x:c r="G3644" s="7" t="str">
        <x:v>SUV</x:v>
      </x:c>
      <x:c r="H3644" s="7" t="n">
        <x:v>1956</x:v>
      </x:c>
      <x:c r="I3644" s="7" t="n">
        <x:v>168</x:v>
      </x:c>
      <x:c r="J3644" s="9" t="n">
        <x:v>14.5</x:v>
      </x:c>
      <x:c r="K3644" s="9" t="n">
        <x:v>27</x:v>
      </x:c>
      <x:c r="L3644" s="7" t="n">
        <x:v>2021</x:v>
      </x:c>
      <x:c r="M3644" s="11" t="n">
        <x:v>64193</x:v>
      </x:c>
      <x:c r="N3644" s="7" t="n">
        <x:v>1</x:v>
      </x:c>
      <x:c r="O3644" s="7" t="n">
        <x:v>1</x:v>
      </x:c>
      <x:c r="P3644" s="9" t="n">
        <x:v>13.71</x:v>
      </x:c>
      <x:c r="Q3644" s="7" t="n">
        <x:f>'Guide'!$B$5-L3644</x:f>
        <x:v>5</x:v>
      </x:c>
      <x:c r="R3644" s="9" t="n">
        <x:f>K3644-P3644</x:f>
        <x:v>13.29</x:v>
      </x:c>
      <x:c r="S3644" s="10" t="n">
        <x:f>IF(K3644&gt;0,R3644/K3644,"")</x:f>
        <x:v>0.49222222222222217</x:v>
      </x:c>
    </x:row>
    <x:row r="3645">
      <x:c r="A3645" s="7" t="n">
        <x:v>3641</x:v>
      </x:c>
      <x:c r="B3645" s="7" t="str">
        <x:v>Tata</x:v>
      </x:c>
      <x:c r="C3645" s="7" t="str">
        <x:v>Safari</x:v>
      </x:c>
      <x:c r="D3645" s="7" t="str">
        <x:v>Accomplished AT</x:v>
      </x:c>
      <x:c r="E3645" s="7" t="str">
        <x:v>Diesel</x:v>
      </x:c>
      <x:c r="F3645" s="7" t="str">
        <x:v>Automatic</x:v>
      </x:c>
      <x:c r="G3645" s="7" t="str">
        <x:v>SUV</x:v>
      </x:c>
      <x:c r="H3645" s="7" t="n">
        <x:v>1956</x:v>
      </x:c>
      <x:c r="I3645" s="7" t="n">
        <x:v>168</x:v>
      </x:c>
      <x:c r="J3645" s="9" t="n">
        <x:v>14.5</x:v>
      </x:c>
      <x:c r="K3645" s="9" t="n">
        <x:v>27</x:v>
      </x:c>
      <x:c r="L3645" s="7" t="n">
        <x:v>2023</x:v>
      </x:c>
      <x:c r="M3645" s="11" t="n">
        <x:v>68272</x:v>
      </x:c>
      <x:c r="N3645" s="7" t="n">
        <x:v>1</x:v>
      </x:c>
      <x:c r="O3645" s="7" t="n">
        <x:v>0</x:v>
      </x:c>
      <x:c r="P3645" s="9" t="n">
        <x:v>18.25</x:v>
      </x:c>
      <x:c r="Q3645" s="7" t="n">
        <x:f>'Guide'!$B$5-L3645</x:f>
        <x:v>3</x:v>
      </x:c>
      <x:c r="R3645" s="9" t="n">
        <x:f>K3645-P3645</x:f>
        <x:v>8.75</x:v>
      </x:c>
      <x:c r="S3645" s="10" t="n">
        <x:f>IF(K3645&gt;0,R3645/K3645,"")</x:f>
        <x:v>0.32407407407407407</x:v>
      </x:c>
    </x:row>
    <x:row r="3646">
      <x:c r="A3646" s="7" t="n">
        <x:v>3642</x:v>
      </x:c>
      <x:c r="B3646" s="7" t="str">
        <x:v>Tata</x:v>
      </x:c>
      <x:c r="C3646" s="7" t="str">
        <x:v>Safari</x:v>
      </x:c>
      <x:c r="D3646" s="7" t="str">
        <x:v>Accomplished AT</x:v>
      </x:c>
      <x:c r="E3646" s="7" t="str">
        <x:v>Diesel</x:v>
      </x:c>
      <x:c r="F3646" s="7" t="str">
        <x:v>Automatic</x:v>
      </x:c>
      <x:c r="G3646" s="7" t="str">
        <x:v>SUV</x:v>
      </x:c>
      <x:c r="H3646" s="7" t="n">
        <x:v>1956</x:v>
      </x:c>
      <x:c r="I3646" s="7" t="n">
        <x:v>168</x:v>
      </x:c>
      <x:c r="J3646" s="9" t="n">
        <x:v>14.5</x:v>
      </x:c>
      <x:c r="K3646" s="9" t="n">
        <x:v>27</x:v>
      </x:c>
      <x:c r="L3646" s="7" t="n">
        <x:v>2022</x:v>
      </x:c>
      <x:c r="M3646" s="11" t="n">
        <x:v>85052</x:v>
      </x:c>
      <x:c r="N3646" s="7" t="n">
        <x:v>2</x:v>
      </x:c>
      <x:c r="O3646" s="7" t="n">
        <x:v>0</x:v>
      </x:c>
      <x:c r="P3646" s="9" t="n">
        <x:v>14.95</x:v>
      </x:c>
      <x:c r="Q3646" s="7" t="n">
        <x:f>'Guide'!$B$5-L3646</x:f>
        <x:v>4</x:v>
      </x:c>
      <x:c r="R3646" s="9" t="n">
        <x:f>K3646-P3646</x:f>
        <x:v>12.05</x:v>
      </x:c>
      <x:c r="S3646" s="10" t="n">
        <x:f>IF(K3646&gt;0,R3646/K3646,"")</x:f>
        <x:v>0.4462962962962963</x:v>
      </x:c>
    </x:row>
    <x:row r="3647">
      <x:c r="A3647" s="7" t="n">
        <x:v>3643</x:v>
      </x:c>
      <x:c r="B3647" s="7" t="str">
        <x:v>Tata</x:v>
      </x:c>
      <x:c r="C3647" s="7" t="str">
        <x:v>Safari</x:v>
      </x:c>
      <x:c r="D3647" s="7" t="str">
        <x:v>Accomplished AT</x:v>
      </x:c>
      <x:c r="E3647" s="7" t="str">
        <x:v>Diesel</x:v>
      </x:c>
      <x:c r="F3647" s="7" t="str">
        <x:v>Automatic</x:v>
      </x:c>
      <x:c r="G3647" s="7" t="str">
        <x:v>SUV</x:v>
      </x:c>
      <x:c r="H3647" s="7" t="n">
        <x:v>1956</x:v>
      </x:c>
      <x:c r="I3647" s="7" t="n">
        <x:v>168</x:v>
      </x:c>
      <x:c r="J3647" s="9" t="n">
        <x:v>14.5</x:v>
      </x:c>
      <x:c r="K3647" s="9" t="n">
        <x:v>27</x:v>
      </x:c>
      <x:c r="L3647" s="7" t="n">
        <x:v>2020</x:v>
      </x:c>
      <x:c r="M3647" s="11" t="n">
        <x:v>119189</x:v>
      </x:c>
      <x:c r="N3647" s="7" t="n">
        <x:v>1</x:v>
      </x:c>
      <x:c r="O3647" s="7" t="n">
        <x:v>0</x:v>
      </x:c>
      <x:c r="P3647" s="9" t="n">
        <x:v>10.01</x:v>
      </x:c>
      <x:c r="Q3647" s="7" t="n">
        <x:f>'Guide'!$B$5-L3647</x:f>
        <x:v>6</x:v>
      </x:c>
      <x:c r="R3647" s="9" t="n">
        <x:f>K3647-P3647</x:f>
        <x:v>16.990000000000002</x:v>
      </x:c>
      <x:c r="S3647" s="10" t="n">
        <x:f>IF(K3647&gt;0,R3647/K3647,"")</x:f>
        <x:v>0.6292592592592593</x:v>
      </x:c>
    </x:row>
    <x:row r="3648">
      <x:c r="A3648" s="7" t="n">
        <x:v>3644</x:v>
      </x:c>
      <x:c r="B3648" s="7" t="str">
        <x:v>Tata</x:v>
      </x:c>
      <x:c r="C3648" s="7" t="str">
        <x:v>Safari</x:v>
      </x:c>
      <x:c r="D3648" s="7" t="str">
        <x:v>Accomplished AT</x:v>
      </x:c>
      <x:c r="E3648" s="7" t="str">
        <x:v>Diesel</x:v>
      </x:c>
      <x:c r="F3648" s="7" t="str">
        <x:v>Automatic</x:v>
      </x:c>
      <x:c r="G3648" s="7" t="str">
        <x:v>SUV</x:v>
      </x:c>
      <x:c r="H3648" s="7" t="n">
        <x:v>1956</x:v>
      </x:c>
      <x:c r="I3648" s="7" t="n">
        <x:v>168</x:v>
      </x:c>
      <x:c r="J3648" s="9" t="n">
        <x:v>14.5</x:v>
      </x:c>
      <x:c r="K3648" s="9" t="n">
        <x:v>27</x:v>
      </x:c>
      <x:c r="L3648" s="7" t="n">
        <x:v>2022</x:v>
      </x:c>
      <x:c r="M3648" s="11" t="n">
        <x:v>51846</x:v>
      </x:c>
      <x:c r="N3648" s="7" t="n">
        <x:v>1</x:v>
      </x:c>
      <x:c r="O3648" s="7" t="n">
        <x:v>0</x:v>
      </x:c>
      <x:c r="P3648" s="9" t="n">
        <x:v>16.48</x:v>
      </x:c>
      <x:c r="Q3648" s="7" t="n">
        <x:f>'Guide'!$B$5-L3648</x:f>
        <x:v>4</x:v>
      </x:c>
      <x:c r="R3648" s="9" t="n">
        <x:f>K3648-P3648</x:f>
        <x:v>10.52</x:v>
      </x:c>
      <x:c r="S3648" s="10" t="n">
        <x:f>IF(K3648&gt;0,R3648/K3648,"")</x:f>
        <x:v>0.3896296296296296</x:v>
      </x:c>
    </x:row>
    <x:row r="3649">
      <x:c r="A3649" s="7" t="n">
        <x:v>3645</x:v>
      </x:c>
      <x:c r="B3649" s="7" t="str">
        <x:v>Tata</x:v>
      </x:c>
      <x:c r="C3649" s="7" t="str">
        <x:v>Safari</x:v>
      </x:c>
      <x:c r="D3649" s="7" t="str">
        <x:v>Accomplished AT</x:v>
      </x:c>
      <x:c r="E3649" s="7" t="str">
        <x:v>Diesel</x:v>
      </x:c>
      <x:c r="F3649" s="7" t="str">
        <x:v>Automatic</x:v>
      </x:c>
      <x:c r="G3649" s="7" t="str">
        <x:v>SUV</x:v>
      </x:c>
      <x:c r="H3649" s="7" t="n">
        <x:v>1956</x:v>
      </x:c>
      <x:c r="I3649" s="7" t="n">
        <x:v>168</x:v>
      </x:c>
      <x:c r="J3649" s="9" t="n">
        <x:v>14.5</x:v>
      </x:c>
      <x:c r="K3649" s="9" t="n">
        <x:v>27</x:v>
      </x:c>
      <x:c r="L3649" s="7" t="n">
        <x:v>2025</x:v>
      </x:c>
      <x:c r="M3649" s="11" t="n">
        <x:v>29963</x:v>
      </x:c>
      <x:c r="N3649" s="7" t="n">
        <x:v>1</x:v>
      </x:c>
      <x:c r="O3649" s="7" t="n">
        <x:v>0</x:v>
      </x:c>
      <x:c r="P3649" s="9" t="n">
        <x:v>24.02</x:v>
      </x:c>
      <x:c r="Q3649" s="7" t="n">
        <x:f>'Guide'!$B$5-L3649</x:f>
        <x:v>1</x:v>
      </x:c>
      <x:c r="R3649" s="9" t="n">
        <x:f>K3649-P3649</x:f>
        <x:v>2.9800000000000004</x:v>
      </x:c>
      <x:c r="S3649" s="10" t="n">
        <x:f>IF(K3649&gt;0,R3649/K3649,"")</x:f>
        <x:v>0.11037037037037038</x:v>
      </x:c>
    </x:row>
    <x:row r="3650">
      <x:c r="A3650" s="7" t="n">
        <x:v>3646</x:v>
      </x:c>
      <x:c r="B3650" s="7" t="str">
        <x:v>Tata</x:v>
      </x:c>
      <x:c r="C3650" s="7" t="str">
        <x:v>Safari</x:v>
      </x:c>
      <x:c r="D3650" s="7" t="str">
        <x:v>Accomplished AT</x:v>
      </x:c>
      <x:c r="E3650" s="7" t="str">
        <x:v>Diesel</x:v>
      </x:c>
      <x:c r="F3650" s="7" t="str">
        <x:v>Automatic</x:v>
      </x:c>
      <x:c r="G3650" s="7" t="str">
        <x:v>SUV</x:v>
      </x:c>
      <x:c r="H3650" s="7" t="n">
        <x:v>1956</x:v>
      </x:c>
      <x:c r="I3650" s="7" t="n">
        <x:v>168</x:v>
      </x:c>
      <x:c r="J3650" s="9" t="n">
        <x:v>14.5</x:v>
      </x:c>
      <x:c r="K3650" s="9" t="n">
        <x:v>27</x:v>
      </x:c>
      <x:c r="L3650" s="7" t="n">
        <x:v>2021</x:v>
      </x:c>
      <x:c r="M3650" s="11" t="n">
        <x:v>48788</x:v>
      </x:c>
      <x:c r="N3650" s="7" t="n">
        <x:v>1</x:v>
      </x:c>
      <x:c r="O3650" s="7" t="n">
        <x:v>0</x:v>
      </x:c>
      <x:c r="P3650" s="9" t="n">
        <x:v>14.83</x:v>
      </x:c>
      <x:c r="Q3650" s="7" t="n">
        <x:f>'Guide'!$B$5-L3650</x:f>
        <x:v>5</x:v>
      </x:c>
      <x:c r="R3650" s="9" t="n">
        <x:f>K3650-P3650</x:f>
        <x:v>12.17</x:v>
      </x:c>
      <x:c r="S3650" s="10" t="n">
        <x:f>IF(K3650&gt;0,R3650/K3650,"")</x:f>
        <x:v>0.4507407407407407</x:v>
      </x:c>
    </x:row>
    <x:row r="3651">
      <x:c r="A3651" s="7" t="n">
        <x:v>3647</x:v>
      </x:c>
      <x:c r="B3651" s="7" t="str">
        <x:v>Tata</x:v>
      </x:c>
      <x:c r="C3651" s="7" t="str">
        <x:v>Safari</x:v>
      </x:c>
      <x:c r="D3651" s="7" t="str">
        <x:v>Accomplished AT</x:v>
      </x:c>
      <x:c r="E3651" s="7" t="str">
        <x:v>Diesel</x:v>
      </x:c>
      <x:c r="F3651" s="7" t="str">
        <x:v>Automatic</x:v>
      </x:c>
      <x:c r="G3651" s="7" t="str">
        <x:v>SUV</x:v>
      </x:c>
      <x:c r="H3651" s="7" t="n">
        <x:v>1956</x:v>
      </x:c>
      <x:c r="I3651" s="7" t="n">
        <x:v>168</x:v>
      </x:c>
      <x:c r="J3651" s="9" t="n">
        <x:v>14.5</x:v>
      </x:c>
      <x:c r="K3651" s="9" t="n">
        <x:v>27</x:v>
      </x:c>
      <x:c r="L3651" s="7" t="n">
        <x:v>2023</x:v>
      </x:c>
      <x:c r="M3651" s="11" t="n">
        <x:v>42329</x:v>
      </x:c>
      <x:c r="N3651" s="7" t="n">
        <x:v>1</x:v>
      </x:c>
      <x:c r="O3651" s="7" t="n">
        <x:v>0</x:v>
      </x:c>
      <x:c r="P3651" s="9" t="n">
        <x:v>19.12</x:v>
      </x:c>
      <x:c r="Q3651" s="7" t="n">
        <x:f>'Guide'!$B$5-L3651</x:f>
        <x:v>3</x:v>
      </x:c>
      <x:c r="R3651" s="9" t="n">
        <x:f>K3651-P3651</x:f>
        <x:v>7.879999999999999</x:v>
      </x:c>
      <x:c r="S3651" s="10" t="n">
        <x:f>IF(K3651&gt;0,R3651/K3651,"")</x:f>
        <x:v>0.2918518518518518</x:v>
      </x:c>
    </x:row>
    <x:row r="3652">
      <x:c r="A3652" s="7" t="n">
        <x:v>3648</x:v>
      </x:c>
      <x:c r="B3652" s="7" t="str">
        <x:v>Tata</x:v>
      </x:c>
      <x:c r="C3652" s="7" t="str">
        <x:v>Safari</x:v>
      </x:c>
      <x:c r="D3652" s="7" t="str">
        <x:v>Accomplished AT</x:v>
      </x:c>
      <x:c r="E3652" s="7" t="str">
        <x:v>Diesel</x:v>
      </x:c>
      <x:c r="F3652" s="7" t="str">
        <x:v>Automatic</x:v>
      </x:c>
      <x:c r="G3652" s="7" t="str">
        <x:v>SUV</x:v>
      </x:c>
      <x:c r="H3652" s="7" t="n">
        <x:v>1956</x:v>
      </x:c>
      <x:c r="I3652" s="7" t="n">
        <x:v>168</x:v>
      </x:c>
      <x:c r="J3652" s="9" t="n">
        <x:v>14.5</x:v>
      </x:c>
      <x:c r="K3652" s="9" t="n">
        <x:v>27</x:v>
      </x:c>
      <x:c r="L3652" s="7" t="n">
        <x:v>2021</x:v>
      </x:c>
      <x:c r="M3652" s="11" t="n">
        <x:v>55499</x:v>
      </x:c>
      <x:c r="N3652" s="7" t="n">
        <x:v>1</x:v>
      </x:c>
      <x:c r="O3652" s="7" t="n">
        <x:v>0</x:v>
      </x:c>
      <x:c r="P3652" s="9" t="n">
        <x:v>14.37</x:v>
      </x:c>
      <x:c r="Q3652" s="7" t="n">
        <x:f>'Guide'!$B$5-L3652</x:f>
        <x:v>5</x:v>
      </x:c>
      <x:c r="R3652" s="9" t="n">
        <x:f>K3652-P3652</x:f>
        <x:v>12.63</x:v>
      </x:c>
      <x:c r="S3652" s="10" t="n">
        <x:f>IF(K3652&gt;0,R3652/K3652,"")</x:f>
        <x:v>0.4677777777777778</x:v>
      </x:c>
    </x:row>
    <x:row r="3653">
      <x:c r="A3653" s="7" t="n">
        <x:v>3649</x:v>
      </x:c>
      <x:c r="B3653" s="7" t="str">
        <x:v>Tata</x:v>
      </x:c>
      <x:c r="C3653" s="7" t="str">
        <x:v>Safari</x:v>
      </x:c>
      <x:c r="D3653" s="7" t="str">
        <x:v>Accomplished AT</x:v>
      </x:c>
      <x:c r="E3653" s="7" t="str">
        <x:v>Diesel</x:v>
      </x:c>
      <x:c r="F3653" s="7" t="str">
        <x:v>Automatic</x:v>
      </x:c>
      <x:c r="G3653" s="7" t="str">
        <x:v>SUV</x:v>
      </x:c>
      <x:c r="H3653" s="7" t="n">
        <x:v>1956</x:v>
      </x:c>
      <x:c r="I3653" s="7" t="n">
        <x:v>168</x:v>
      </x:c>
      <x:c r="J3653" s="9" t="n">
        <x:v>14.5</x:v>
      </x:c>
      <x:c r="K3653" s="9" t="n">
        <x:v>27</x:v>
      </x:c>
      <x:c r="L3653" s="7" t="n">
        <x:v>2024</x:v>
      </x:c>
      <x:c r="M3653" s="11" t="n">
        <x:v>40374</x:v>
      </x:c>
      <x:c r="N3653" s="7" t="n">
        <x:v>1</x:v>
      </x:c>
      <x:c r="O3653" s="7" t="n">
        <x:v>0</x:v>
      </x:c>
      <x:c r="P3653" s="9" t="n">
        <x:v>21.32</x:v>
      </x:c>
      <x:c r="Q3653" s="7" t="n">
        <x:f>'Guide'!$B$5-L3653</x:f>
        <x:v>2</x:v>
      </x:c>
      <x:c r="R3653" s="9" t="n">
        <x:f>K3653-P3653</x:f>
        <x:v>5.68</x:v>
      </x:c>
      <x:c r="S3653" s="10" t="n">
        <x:f>IF(K3653&gt;0,R3653/K3653,"")</x:f>
        <x:v>0.21037037037037035</x:v>
      </x:c>
    </x:row>
    <x:row r="3654">
      <x:c r="A3654" s="7" t="n">
        <x:v>3650</x:v>
      </x:c>
      <x:c r="B3654" s="7" t="str">
        <x:v>Tata</x:v>
      </x:c>
      <x:c r="C3654" s="7" t="str">
        <x:v>Safari</x:v>
      </x:c>
      <x:c r="D3654" s="7" t="str">
        <x:v>Accomplished AT</x:v>
      </x:c>
      <x:c r="E3654" s="7" t="str">
        <x:v>Diesel</x:v>
      </x:c>
      <x:c r="F3654" s="7" t="str">
        <x:v>Automatic</x:v>
      </x:c>
      <x:c r="G3654" s="7" t="str">
        <x:v>SUV</x:v>
      </x:c>
      <x:c r="H3654" s="7" t="n">
        <x:v>1956</x:v>
      </x:c>
      <x:c r="I3654" s="7" t="n">
        <x:v>168</x:v>
      </x:c>
      <x:c r="J3654" s="9" t="n">
        <x:v>14.5</x:v>
      </x:c>
      <x:c r="K3654" s="9" t="n">
        <x:v>27</x:v>
      </x:c>
      <x:c r="L3654" s="7" t="n">
        <x:v>2022</x:v>
      </x:c>
      <x:c r="M3654" s="11" t="n">
        <x:v>87531</x:v>
      </x:c>
      <x:c r="N3654" s="7" t="n">
        <x:v>1</x:v>
      </x:c>
      <x:c r="O3654" s="7" t="n">
        <x:v>0</x:v>
      </x:c>
      <x:c r="P3654" s="9" t="n">
        <x:v>15.47</x:v>
      </x:c>
      <x:c r="Q3654" s="7" t="n">
        <x:f>'Guide'!$B$5-L3654</x:f>
        <x:v>4</x:v>
      </x:c>
      <x:c r="R3654" s="9" t="n">
        <x:f>K3654-P3654</x:f>
        <x:v>11.53</x:v>
      </x:c>
      <x:c r="S3654" s="10" t="n">
        <x:f>IF(K3654&gt;0,R3654/K3654,"")</x:f>
        <x:v>0.427037037037037</x:v>
      </x:c>
    </x:row>
    <x:row r="3655">
      <x:c r="A3655" s="7" t="n">
        <x:v>3651</x:v>
      </x:c>
      <x:c r="B3655" s="7" t="str">
        <x:v>Tata</x:v>
      </x:c>
      <x:c r="C3655" s="7" t="str">
        <x:v>Safari</x:v>
      </x:c>
      <x:c r="D3655" s="7" t="str">
        <x:v>Accomplished AT</x:v>
      </x:c>
      <x:c r="E3655" s="7" t="str">
        <x:v>Diesel</x:v>
      </x:c>
      <x:c r="F3655" s="7" t="str">
        <x:v>Automatic</x:v>
      </x:c>
      <x:c r="G3655" s="7" t="str">
        <x:v>SUV</x:v>
      </x:c>
      <x:c r="H3655" s="7" t="n">
        <x:v>1956</x:v>
      </x:c>
      <x:c r="I3655" s="7" t="n">
        <x:v>168</x:v>
      </x:c>
      <x:c r="J3655" s="9" t="n">
        <x:v>14.5</x:v>
      </x:c>
      <x:c r="K3655" s="9" t="n">
        <x:v>27</x:v>
      </x:c>
      <x:c r="L3655" s="7" t="n">
        <x:v>2023</x:v>
      </x:c>
      <x:c r="M3655" s="11" t="n">
        <x:v>48897</x:v>
      </x:c>
      <x:c r="N3655" s="7" t="n">
        <x:v>1</x:v>
      </x:c>
      <x:c r="O3655" s="7" t="n">
        <x:v>0</x:v>
      </x:c>
      <x:c r="P3655" s="9" t="n">
        <x:v>19.06</x:v>
      </x:c>
      <x:c r="Q3655" s="7" t="n">
        <x:f>'Guide'!$B$5-L3655</x:f>
        <x:v>3</x:v>
      </x:c>
      <x:c r="R3655" s="9" t="n">
        <x:f>K3655-P3655</x:f>
        <x:v>7.940000000000001</x:v>
      </x:c>
      <x:c r="S3655" s="10" t="n">
        <x:f>IF(K3655&gt;0,R3655/K3655,"")</x:f>
        <x:v>0.2940740740740741</x:v>
      </x:c>
    </x:row>
    <x:row r="3656">
      <x:c r="A3656" s="7" t="n">
        <x:v>3652</x:v>
      </x:c>
      <x:c r="B3656" s="7" t="str">
        <x:v>Tata</x:v>
      </x:c>
      <x:c r="C3656" s="7" t="str">
        <x:v>Safari</x:v>
      </x:c>
      <x:c r="D3656" s="7" t="str">
        <x:v>Accomplished AT</x:v>
      </x:c>
      <x:c r="E3656" s="7" t="str">
        <x:v>Diesel</x:v>
      </x:c>
      <x:c r="F3656" s="7" t="str">
        <x:v>Automatic</x:v>
      </x:c>
      <x:c r="G3656" s="7" t="str">
        <x:v>SUV</x:v>
      </x:c>
      <x:c r="H3656" s="7" t="n">
        <x:v>1956</x:v>
      </x:c>
      <x:c r="I3656" s="7" t="n">
        <x:v>168</x:v>
      </x:c>
      <x:c r="J3656" s="9" t="n">
        <x:v>14.5</x:v>
      </x:c>
      <x:c r="K3656" s="9" t="n">
        <x:v>27</x:v>
      </x:c>
      <x:c r="L3656" s="7" t="n">
        <x:v>2020</x:v>
      </x:c>
      <x:c r="M3656" s="11" t="n">
        <x:v>89557</x:v>
      </x:c>
      <x:c r="N3656" s="7" t="n">
        <x:v>1</x:v>
      </x:c>
      <x:c r="O3656" s="7" t="n">
        <x:v>0</x:v>
      </x:c>
      <x:c r="P3656" s="9" t="n">
        <x:v>11.26</x:v>
      </x:c>
      <x:c r="Q3656" s="7" t="n">
        <x:f>'Guide'!$B$5-L3656</x:f>
        <x:v>6</x:v>
      </x:c>
      <x:c r="R3656" s="9" t="n">
        <x:f>K3656-P3656</x:f>
        <x:v>15.74</x:v>
      </x:c>
      <x:c r="S3656" s="10" t="n">
        <x:f>IF(K3656&gt;0,R3656/K3656,"")</x:f>
        <x:v>0.582962962962963</x:v>
      </x:c>
    </x:row>
    <x:row r="3657">
      <x:c r="A3657" s="7" t="n">
        <x:v>3653</x:v>
      </x:c>
      <x:c r="B3657" s="7" t="str">
        <x:v>Tata</x:v>
      </x:c>
      <x:c r="C3657" s="7" t="str">
        <x:v>Safari</x:v>
      </x:c>
      <x:c r="D3657" s="7" t="str">
        <x:v>Accomplished AT</x:v>
      </x:c>
      <x:c r="E3657" s="7" t="str">
        <x:v>Diesel</x:v>
      </x:c>
      <x:c r="F3657" s="7" t="str">
        <x:v>Automatic</x:v>
      </x:c>
      <x:c r="G3657" s="7" t="str">
        <x:v>SUV</x:v>
      </x:c>
      <x:c r="H3657" s="7" t="n">
        <x:v>1956</x:v>
      </x:c>
      <x:c r="I3657" s="7" t="n">
        <x:v>168</x:v>
      </x:c>
      <x:c r="J3657" s="9" t="n">
        <x:v>14.5</x:v>
      </x:c>
      <x:c r="K3657" s="9" t="n">
        <x:v>27</x:v>
      </x:c>
      <x:c r="L3657" s="7" t="n">
        <x:v>2023</x:v>
      </x:c>
      <x:c r="M3657" s="11" t="n">
        <x:v>36960</x:v>
      </x:c>
      <x:c r="N3657" s="7" t="n">
        <x:v>2</x:v>
      </x:c>
      <x:c r="O3657" s="7" t="n">
        <x:v>0</x:v>
      </x:c>
      <x:c r="P3657" s="9" t="n">
        <x:v>18.83</x:v>
      </x:c>
      <x:c r="Q3657" s="7" t="n">
        <x:f>'Guide'!$B$5-L3657</x:f>
        <x:v>3</x:v>
      </x:c>
      <x:c r="R3657" s="9" t="n">
        <x:f>K3657-P3657</x:f>
        <x:v>8.170000000000002</x:v>
      </x:c>
      <x:c r="S3657" s="10" t="n">
        <x:f>IF(K3657&gt;0,R3657/K3657,"")</x:f>
        <x:v>0.30259259259259264</x:v>
      </x:c>
    </x:row>
    <x:row r="3658">
      <x:c r="A3658" s="7" t="n">
        <x:v>3654</x:v>
      </x:c>
      <x:c r="B3658" s="7" t="str">
        <x:v>Tata</x:v>
      </x:c>
      <x:c r="C3658" s="7" t="str">
        <x:v>Safari</x:v>
      </x:c>
      <x:c r="D3658" s="7" t="str">
        <x:v>Accomplished AT</x:v>
      </x:c>
      <x:c r="E3658" s="7" t="str">
        <x:v>Diesel</x:v>
      </x:c>
      <x:c r="F3658" s="7" t="str">
        <x:v>Automatic</x:v>
      </x:c>
      <x:c r="G3658" s="7" t="str">
        <x:v>SUV</x:v>
      </x:c>
      <x:c r="H3658" s="7" t="n">
        <x:v>1956</x:v>
      </x:c>
      <x:c r="I3658" s="7" t="n">
        <x:v>168</x:v>
      </x:c>
      <x:c r="J3658" s="9" t="n">
        <x:v>14.5</x:v>
      </x:c>
      <x:c r="K3658" s="9" t="n">
        <x:v>27</x:v>
      </x:c>
      <x:c r="L3658" s="7" t="n">
        <x:v>2026</x:v>
      </x:c>
      <x:c r="M3658" s="11" t="n">
        <x:v>5644</x:v>
      </x:c>
      <x:c r="N3658" s="7" t="n">
        <x:v>2</x:v>
      </x:c>
      <x:c r="O3658" s="7" t="n">
        <x:v>0</x:v>
      </x:c>
      <x:c r="P3658" s="9" t="n">
        <x:v>26.82</x:v>
      </x:c>
      <x:c r="Q3658" s="7" t="n">
        <x:f>'Guide'!$B$5-L3658</x:f>
        <x:v>0</x:v>
      </x:c>
      <x:c r="R3658" s="9" t="n">
        <x:f>K3658-P3658</x:f>
        <x:v>0.17999999999999972</x:v>
      </x:c>
      <x:c r="S3658" s="10" t="n">
        <x:f>IF(K3658&gt;0,R3658/K3658,"")</x:f>
        <x:v>0.006666666666666656</x:v>
      </x:c>
    </x:row>
    <x:row r="3659">
      <x:c r="A3659" s="7" t="n">
        <x:v>3655</x:v>
      </x:c>
      <x:c r="B3659" s="7" t="str">
        <x:v>Tata</x:v>
      </x:c>
      <x:c r="C3659" s="7" t="str">
        <x:v>Safari</x:v>
      </x:c>
      <x:c r="D3659" s="7" t="str">
        <x:v>Accomplished AT</x:v>
      </x:c>
      <x:c r="E3659" s="7" t="str">
        <x:v>Diesel</x:v>
      </x:c>
      <x:c r="F3659" s="7" t="str">
        <x:v>Automatic</x:v>
      </x:c>
      <x:c r="G3659" s="7" t="str">
        <x:v>SUV</x:v>
      </x:c>
      <x:c r="H3659" s="7" t="n">
        <x:v>1956</x:v>
      </x:c>
      <x:c r="I3659" s="7" t="n">
        <x:v>168</x:v>
      </x:c>
      <x:c r="J3659" s="9" t="n">
        <x:v>14.5</x:v>
      </x:c>
      <x:c r="K3659" s="9" t="n">
        <x:v>27</x:v>
      </x:c>
      <x:c r="L3659" s="7" t="n">
        <x:v>2022</x:v>
      </x:c>
      <x:c r="M3659" s="11" t="n">
        <x:v>66161</x:v>
      </x:c>
      <x:c r="N3659" s="7" t="n">
        <x:v>3</x:v>
      </x:c>
      <x:c r="O3659" s="7" t="n">
        <x:v>0</x:v>
      </x:c>
      <x:c r="P3659" s="9" t="n">
        <x:v>15.24</x:v>
      </x:c>
      <x:c r="Q3659" s="7" t="n">
        <x:f>'Guide'!$B$5-L3659</x:f>
        <x:v>4</x:v>
      </x:c>
      <x:c r="R3659" s="9" t="n">
        <x:f>K3659-P3659</x:f>
        <x:v>11.76</x:v>
      </x:c>
      <x:c r="S3659" s="10" t="n">
        <x:f>IF(K3659&gt;0,R3659/K3659,"")</x:f>
        <x:v>0.43555555555555553</x:v>
      </x:c>
    </x:row>
    <x:row r="3660">
      <x:c r="A3660" s="7" t="n">
        <x:v>3656</x:v>
      </x:c>
      <x:c r="B3660" s="7" t="str">
        <x:v>Tata</x:v>
      </x:c>
      <x:c r="C3660" s="7" t="str">
        <x:v>Safari</x:v>
      </x:c>
      <x:c r="D3660" s="7" t="str">
        <x:v>Accomplished AT</x:v>
      </x:c>
      <x:c r="E3660" s="7" t="str">
        <x:v>Diesel</x:v>
      </x:c>
      <x:c r="F3660" s="7" t="str">
        <x:v>Automatic</x:v>
      </x:c>
      <x:c r="G3660" s="7" t="str">
        <x:v>SUV</x:v>
      </x:c>
      <x:c r="H3660" s="7" t="n">
        <x:v>1956</x:v>
      </x:c>
      <x:c r="I3660" s="7" t="n">
        <x:v>168</x:v>
      </x:c>
      <x:c r="J3660" s="9" t="n">
        <x:v>14.5</x:v>
      </x:c>
      <x:c r="K3660" s="9" t="n">
        <x:v>27</x:v>
      </x:c>
      <x:c r="L3660" s="7" t="n">
        <x:v>2022</x:v>
      </x:c>
      <x:c r="M3660" s="11" t="n">
        <x:v>55477</x:v>
      </x:c>
      <x:c r="N3660" s="7" t="n">
        <x:v>1</x:v>
      </x:c>
      <x:c r="O3660" s="7" t="n">
        <x:v>0</x:v>
      </x:c>
      <x:c r="P3660" s="9" t="n">
        <x:v>16.72</x:v>
      </x:c>
      <x:c r="Q3660" s="7" t="n">
        <x:f>'Guide'!$B$5-L3660</x:f>
        <x:v>4</x:v>
      </x:c>
      <x:c r="R3660" s="9" t="n">
        <x:f>K3660-P3660</x:f>
        <x:v>10.280000000000001</x:v>
      </x:c>
      <x:c r="S3660" s="10" t="n">
        <x:f>IF(K3660&gt;0,R3660/K3660,"")</x:f>
        <x:v>0.38074074074074077</x:v>
      </x:c>
    </x:row>
    <x:row r="3661">
      <x:c r="A3661" s="7" t="n">
        <x:v>3657</x:v>
      </x:c>
      <x:c r="B3661" s="7" t="str">
        <x:v>Tata</x:v>
      </x:c>
      <x:c r="C3661" s="7" t="str">
        <x:v>Safari</x:v>
      </x:c>
      <x:c r="D3661" s="7" t="str">
        <x:v>Accomplished AT</x:v>
      </x:c>
      <x:c r="E3661" s="7" t="str">
        <x:v>Diesel</x:v>
      </x:c>
      <x:c r="F3661" s="7" t="str">
        <x:v>Automatic</x:v>
      </x:c>
      <x:c r="G3661" s="7" t="str">
        <x:v>SUV</x:v>
      </x:c>
      <x:c r="H3661" s="7" t="n">
        <x:v>1956</x:v>
      </x:c>
      <x:c r="I3661" s="7" t="n">
        <x:v>168</x:v>
      </x:c>
      <x:c r="J3661" s="9" t="n">
        <x:v>14.5</x:v>
      </x:c>
      <x:c r="K3661" s="9" t="n">
        <x:v>27</x:v>
      </x:c>
      <x:c r="L3661" s="7" t="n">
        <x:v>2023</x:v>
      </x:c>
      <x:c r="M3661" s="11" t="n">
        <x:v>32229</x:v>
      </x:c>
      <x:c r="N3661" s="7" t="n">
        <x:v>1</x:v>
      </x:c>
      <x:c r="O3661" s="7" t="n">
        <x:v>0</x:v>
      </x:c>
      <x:c r="P3661" s="9" t="n">
        <x:v>19.33</x:v>
      </x:c>
      <x:c r="Q3661" s="7" t="n">
        <x:f>'Guide'!$B$5-L3661</x:f>
        <x:v>3</x:v>
      </x:c>
      <x:c r="R3661" s="9" t="n">
        <x:f>K3661-P3661</x:f>
        <x:v>7.670000000000002</x:v>
      </x:c>
      <x:c r="S3661" s="10" t="n">
        <x:f>IF(K3661&gt;0,R3661/K3661,"")</x:f>
        <x:v>0.28407407407407415</x:v>
      </x:c>
    </x:row>
    <x:row r="3662">
      <x:c r="A3662" s="7" t="n">
        <x:v>3658</x:v>
      </x:c>
      <x:c r="B3662" s="7" t="str">
        <x:v>Tata</x:v>
      </x:c>
      <x:c r="C3662" s="7" t="str">
        <x:v>Safari</x:v>
      </x:c>
      <x:c r="D3662" s="7" t="str">
        <x:v>Accomplished AT</x:v>
      </x:c>
      <x:c r="E3662" s="7" t="str">
        <x:v>Diesel</x:v>
      </x:c>
      <x:c r="F3662" s="7" t="str">
        <x:v>Automatic</x:v>
      </x:c>
      <x:c r="G3662" s="7" t="str">
        <x:v>SUV</x:v>
      </x:c>
      <x:c r="H3662" s="7" t="n">
        <x:v>1956</x:v>
      </x:c>
      <x:c r="I3662" s="7" t="n">
        <x:v>168</x:v>
      </x:c>
      <x:c r="J3662" s="9" t="n">
        <x:v>14.5</x:v>
      </x:c>
      <x:c r="K3662" s="9" t="n">
        <x:v>27</x:v>
      </x:c>
      <x:c r="L3662" s="7" t="n">
        <x:v>2021</x:v>
      </x:c>
      <x:c r="M3662" s="11" t="n">
        <x:v>108363</x:v>
      </x:c>
      <x:c r="N3662" s="7" t="n">
        <x:v>2</x:v>
      </x:c>
      <x:c r="O3662" s="7" t="n">
        <x:v>0</x:v>
      </x:c>
      <x:c r="P3662" s="9" t="n">
        <x:v>12.09</x:v>
      </x:c>
      <x:c r="Q3662" s="7" t="n">
        <x:f>'Guide'!$B$5-L3662</x:f>
        <x:v>5</x:v>
      </x:c>
      <x:c r="R3662" s="9" t="n">
        <x:f>K3662-P3662</x:f>
        <x:v>14.91</x:v>
      </x:c>
      <x:c r="S3662" s="10" t="n">
        <x:f>IF(K3662&gt;0,R3662/K3662,"")</x:f>
        <x:v>0.5522222222222223</x:v>
      </x:c>
    </x:row>
    <x:row r="3663">
      <x:c r="A3663" s="7" t="n">
        <x:v>3659</x:v>
      </x:c>
      <x:c r="B3663" s="7" t="str">
        <x:v>Tata</x:v>
      </x:c>
      <x:c r="C3663" s="7" t="str">
        <x:v>Safari</x:v>
      </x:c>
      <x:c r="D3663" s="7" t="str">
        <x:v>Accomplished AT</x:v>
      </x:c>
      <x:c r="E3663" s="7" t="str">
        <x:v>Diesel</x:v>
      </x:c>
      <x:c r="F3663" s="7" t="str">
        <x:v>Automatic</x:v>
      </x:c>
      <x:c r="G3663" s="7" t="str">
        <x:v>SUV</x:v>
      </x:c>
      <x:c r="H3663" s="7" t="n">
        <x:v>1956</x:v>
      </x:c>
      <x:c r="I3663" s="7" t="n">
        <x:v>168</x:v>
      </x:c>
      <x:c r="J3663" s="9" t="n">
        <x:v>14.5</x:v>
      </x:c>
      <x:c r="K3663" s="9" t="n">
        <x:v>27</x:v>
      </x:c>
      <x:c r="L3663" s="7" t="n">
        <x:v>2020</x:v>
      </x:c>
      <x:c r="M3663" s="11" t="n">
        <x:v>59108</x:v>
      </x:c>
      <x:c r="N3663" s="7" t="n">
        <x:v>1</x:v>
      </x:c>
      <x:c r="O3663" s="7" t="n">
        <x:v>0</x:v>
      </x:c>
      <x:c r="P3663" s="9" t="n">
        <x:v>11.91</x:v>
      </x:c>
      <x:c r="Q3663" s="7" t="n">
        <x:f>'Guide'!$B$5-L3663</x:f>
        <x:v>6</x:v>
      </x:c>
      <x:c r="R3663" s="9" t="n">
        <x:f>K3663-P3663</x:f>
        <x:v>15.09</x:v>
      </x:c>
      <x:c r="S3663" s="10" t="n">
        <x:f>IF(K3663&gt;0,R3663/K3663,"")</x:f>
        <x:v>0.5588888888888889</x:v>
      </x:c>
    </x:row>
    <x:row r="3664">
      <x:c r="A3664" s="7" t="n">
        <x:v>3660</x:v>
      </x:c>
      <x:c r="B3664" s="7" t="str">
        <x:v>Tata</x:v>
      </x:c>
      <x:c r="C3664" s="7" t="str">
        <x:v>Safari</x:v>
      </x:c>
      <x:c r="D3664" s="7" t="str">
        <x:v>Accomplished AT</x:v>
      </x:c>
      <x:c r="E3664" s="7" t="str">
        <x:v>Diesel</x:v>
      </x:c>
      <x:c r="F3664" s="7" t="str">
        <x:v>Automatic</x:v>
      </x:c>
      <x:c r="G3664" s="7" t="str">
        <x:v>SUV</x:v>
      </x:c>
      <x:c r="H3664" s="7" t="n">
        <x:v>1956</x:v>
      </x:c>
      <x:c r="I3664" s="7" t="n">
        <x:v>168</x:v>
      </x:c>
      <x:c r="J3664" s="9" t="n">
        <x:v>14.5</x:v>
      </x:c>
      <x:c r="K3664" s="9" t="n">
        <x:v>27</x:v>
      </x:c>
      <x:c r="L3664" s="7" t="n">
        <x:v>2025</x:v>
      </x:c>
      <x:c r="M3664" s="11" t="n">
        <x:v>21234</x:v>
      </x:c>
      <x:c r="N3664" s="7" t="n">
        <x:v>2</x:v>
      </x:c>
      <x:c r="O3664" s="7" t="n">
        <x:v>0</x:v>
      </x:c>
      <x:c r="P3664" s="9" t="n">
        <x:v>23.54</x:v>
      </x:c>
      <x:c r="Q3664" s="7" t="n">
        <x:f>'Guide'!$B$5-L3664</x:f>
        <x:v>1</x:v>
      </x:c>
      <x:c r="R3664" s="9" t="n">
        <x:f>K3664-P3664</x:f>
        <x:v>3.460000000000001</x:v>
      </x:c>
      <x:c r="S3664" s="10" t="n">
        <x:f>IF(K3664&gt;0,R3664/K3664,"")</x:f>
        <x:v>0.12814814814814818</x:v>
      </x:c>
    </x:row>
    <x:row r="3665">
      <x:c r="A3665" s="7" t="n">
        <x:v>3661</x:v>
      </x:c>
      <x:c r="B3665" s="7" t="str">
        <x:v>Tata</x:v>
      </x:c>
      <x:c r="C3665" s="7" t="str">
        <x:v>Safari</x:v>
      </x:c>
      <x:c r="D3665" s="7" t="str">
        <x:v>Accomplished AT</x:v>
      </x:c>
      <x:c r="E3665" s="7" t="str">
        <x:v>Diesel</x:v>
      </x:c>
      <x:c r="F3665" s="7" t="str">
        <x:v>Automatic</x:v>
      </x:c>
      <x:c r="G3665" s="7" t="str">
        <x:v>SUV</x:v>
      </x:c>
      <x:c r="H3665" s="7" t="n">
        <x:v>1956</x:v>
      </x:c>
      <x:c r="I3665" s="7" t="n">
        <x:v>168</x:v>
      </x:c>
      <x:c r="J3665" s="9" t="n">
        <x:v>14.5</x:v>
      </x:c>
      <x:c r="K3665" s="9" t="n">
        <x:v>27</x:v>
      </x:c>
      <x:c r="L3665" s="7" t="n">
        <x:v>2022</x:v>
      </x:c>
      <x:c r="M3665" s="11" t="n">
        <x:v>45612</x:v>
      </x:c>
      <x:c r="N3665" s="7" t="n">
        <x:v>2</x:v>
      </x:c>
      <x:c r="O3665" s="7" t="n">
        <x:v>0</x:v>
      </x:c>
      <x:c r="P3665" s="9" t="n">
        <x:v>16.2</x:v>
      </x:c>
      <x:c r="Q3665" s="7" t="n">
        <x:f>'Guide'!$B$5-L3665</x:f>
        <x:v>4</x:v>
      </x:c>
      <x:c r="R3665" s="9" t="n">
        <x:f>K3665-P3665</x:f>
        <x:v>10.8</x:v>
      </x:c>
      <x:c r="S3665" s="10" t="n">
        <x:f>IF(K3665&gt;0,R3665/K3665,"")</x:f>
        <x:v>0.4</x:v>
      </x:c>
    </x:row>
    <x:row r="3666">
      <x:c r="A3666" s="7" t="n">
        <x:v>3662</x:v>
      </x:c>
      <x:c r="B3666" s="7" t="str">
        <x:v>Tata</x:v>
      </x:c>
      <x:c r="C3666" s="7" t="str">
        <x:v>Safari</x:v>
      </x:c>
      <x:c r="D3666" s="7" t="str">
        <x:v>Accomplished AT</x:v>
      </x:c>
      <x:c r="E3666" s="7" t="str">
        <x:v>Diesel</x:v>
      </x:c>
      <x:c r="F3666" s="7" t="str">
        <x:v>Automatic</x:v>
      </x:c>
      <x:c r="G3666" s="7" t="str">
        <x:v>SUV</x:v>
      </x:c>
      <x:c r="H3666" s="7" t="n">
        <x:v>1956</x:v>
      </x:c>
      <x:c r="I3666" s="7" t="n">
        <x:v>168</x:v>
      </x:c>
      <x:c r="J3666" s="9" t="n">
        <x:v>14.5</x:v>
      </x:c>
      <x:c r="K3666" s="9" t="n">
        <x:v>27</x:v>
      </x:c>
      <x:c r="L3666" s="7" t="n">
        <x:v>2021</x:v>
      </x:c>
      <x:c r="M3666" s="11" t="n">
        <x:v>92419</x:v>
      </x:c>
      <x:c r="N3666" s="7" t="n">
        <x:v>2</x:v>
      </x:c>
      <x:c r="O3666" s="7" t="n">
        <x:v>0</x:v>
      </x:c>
      <x:c r="P3666" s="9" t="n">
        <x:v>12.6</x:v>
      </x:c>
      <x:c r="Q3666" s="7" t="n">
        <x:f>'Guide'!$B$5-L3666</x:f>
        <x:v>5</x:v>
      </x:c>
      <x:c r="R3666" s="9" t="n">
        <x:f>K3666-P3666</x:f>
        <x:v>14.4</x:v>
      </x:c>
      <x:c r="S3666" s="10" t="n">
        <x:f>IF(K3666&gt;0,R3666/K3666,"")</x:f>
        <x:v>0.5333333333333333</x:v>
      </x:c>
    </x:row>
    <x:row r="3667">
      <x:c r="A3667" s="7" t="n">
        <x:v>3663</x:v>
      </x:c>
      <x:c r="B3667" s="7" t="str">
        <x:v>Tata</x:v>
      </x:c>
      <x:c r="C3667" s="7" t="str">
        <x:v>Safari</x:v>
      </x:c>
      <x:c r="D3667" s="7" t="str">
        <x:v>Accomplished AT</x:v>
      </x:c>
      <x:c r="E3667" s="7" t="str">
        <x:v>Diesel</x:v>
      </x:c>
      <x:c r="F3667" s="7" t="str">
        <x:v>Automatic</x:v>
      </x:c>
      <x:c r="G3667" s="7" t="str">
        <x:v>SUV</x:v>
      </x:c>
      <x:c r="H3667" s="7" t="n">
        <x:v>1956</x:v>
      </x:c>
      <x:c r="I3667" s="7" t="n">
        <x:v>168</x:v>
      </x:c>
      <x:c r="J3667" s="9" t="n">
        <x:v>14.5</x:v>
      </x:c>
      <x:c r="K3667" s="9" t="n">
        <x:v>27</x:v>
      </x:c>
      <x:c r="L3667" s="7" t="n">
        <x:v>2021</x:v>
      </x:c>
      <x:c r="M3667" s="11" t="n">
        <x:v>94572</x:v>
      </x:c>
      <x:c r="N3667" s="7" t="n">
        <x:v>1</x:v>
      </x:c>
      <x:c r="O3667" s="7" t="n">
        <x:v>0</x:v>
      </x:c>
      <x:c r="P3667" s="9" t="n">
        <x:v>13.45</x:v>
      </x:c>
      <x:c r="Q3667" s="7" t="n">
        <x:f>'Guide'!$B$5-L3667</x:f>
        <x:v>5</x:v>
      </x:c>
      <x:c r="R3667" s="9" t="n">
        <x:f>K3667-P3667</x:f>
        <x:v>13.55</x:v>
      </x:c>
      <x:c r="S3667" s="10" t="n">
        <x:f>IF(K3667&gt;0,R3667/K3667,"")</x:f>
        <x:v>0.5018518518518519</x:v>
      </x:c>
    </x:row>
    <x:row r="3668">
      <x:c r="A3668" s="7" t="n">
        <x:v>3664</x:v>
      </x:c>
      <x:c r="B3668" s="7" t="str">
        <x:v>Tata</x:v>
      </x:c>
      <x:c r="C3668" s="7" t="str">
        <x:v>Safari</x:v>
      </x:c>
      <x:c r="D3668" s="7" t="str">
        <x:v>Accomplished AT</x:v>
      </x:c>
      <x:c r="E3668" s="7" t="str">
        <x:v>Diesel</x:v>
      </x:c>
      <x:c r="F3668" s="7" t="str">
        <x:v>Automatic</x:v>
      </x:c>
      <x:c r="G3668" s="7" t="str">
        <x:v>SUV</x:v>
      </x:c>
      <x:c r="H3668" s="7" t="n">
        <x:v>1956</x:v>
      </x:c>
      <x:c r="I3668" s="7" t="n">
        <x:v>168</x:v>
      </x:c>
      <x:c r="J3668" s="9" t="n">
        <x:v>14.5</x:v>
      </x:c>
      <x:c r="K3668" s="9" t="n">
        <x:v>27</x:v>
      </x:c>
      <x:c r="L3668" s="7" t="n">
        <x:v>2021</x:v>
      </x:c>
      <x:c r="M3668" s="11" t="n">
        <x:v>109591</x:v>
      </x:c>
      <x:c r="N3668" s="7" t="n">
        <x:v>2</x:v>
      </x:c>
      <x:c r="O3668" s="7" t="n">
        <x:v>0</x:v>
      </x:c>
      <x:c r="P3668" s="9" t="n">
        <x:v>12.06</x:v>
      </x:c>
      <x:c r="Q3668" s="7" t="n">
        <x:f>'Guide'!$B$5-L3668</x:f>
        <x:v>5</x:v>
      </x:c>
      <x:c r="R3668" s="9" t="n">
        <x:f>K3668-P3668</x:f>
        <x:v>14.94</x:v>
      </x:c>
      <x:c r="S3668" s="10" t="n">
        <x:f>IF(K3668&gt;0,R3668/K3668,"")</x:f>
        <x:v>0.5533333333333333</x:v>
      </x:c>
    </x:row>
    <x:row r="3669">
      <x:c r="A3669" s="7" t="n">
        <x:v>3665</x:v>
      </x:c>
      <x:c r="B3669" s="7" t="str">
        <x:v>Tata</x:v>
      </x:c>
      <x:c r="C3669" s="7" t="str">
        <x:v>Safari</x:v>
      </x:c>
      <x:c r="D3669" s="7" t="str">
        <x:v>Accomplished AT</x:v>
      </x:c>
      <x:c r="E3669" s="7" t="str">
        <x:v>Diesel</x:v>
      </x:c>
      <x:c r="F3669" s="7" t="str">
        <x:v>Automatic</x:v>
      </x:c>
      <x:c r="G3669" s="7" t="str">
        <x:v>SUV</x:v>
      </x:c>
      <x:c r="H3669" s="7" t="n">
        <x:v>1956</x:v>
      </x:c>
      <x:c r="I3669" s="7" t="n">
        <x:v>168</x:v>
      </x:c>
      <x:c r="J3669" s="9" t="n">
        <x:v>14.5</x:v>
      </x:c>
      <x:c r="K3669" s="9" t="n">
        <x:v>27</x:v>
      </x:c>
      <x:c r="L3669" s="7" t="n">
        <x:v>2023</x:v>
      </x:c>
      <x:c r="M3669" s="11" t="n">
        <x:v>64830</x:v>
      </x:c>
      <x:c r="N3669" s="7" t="n">
        <x:v>1</x:v>
      </x:c>
      <x:c r="O3669" s="7" t="n">
        <x:v>0</x:v>
      </x:c>
      <x:c r="P3669" s="9" t="n">
        <x:v>18.14</x:v>
      </x:c>
      <x:c r="Q3669" s="7" t="n">
        <x:f>'Guide'!$B$5-L3669</x:f>
        <x:v>3</x:v>
      </x:c>
      <x:c r="R3669" s="9" t="n">
        <x:f>K3669-P3669</x:f>
        <x:v>8.86</x:v>
      </x:c>
      <x:c r="S3669" s="10" t="n">
        <x:f>IF(K3669&gt;0,R3669/K3669,"")</x:f>
        <x:v>0.32814814814814813</x:v>
      </x:c>
    </x:row>
    <x:row r="3670">
      <x:c r="A3670" s="7" t="n">
        <x:v>3666</x:v>
      </x:c>
      <x:c r="B3670" s="7" t="str">
        <x:v>Tata</x:v>
      </x:c>
      <x:c r="C3670" s="7" t="str">
        <x:v>Safari</x:v>
      </x:c>
      <x:c r="D3670" s="7" t="str">
        <x:v>Accomplished AT</x:v>
      </x:c>
      <x:c r="E3670" s="7" t="str">
        <x:v>Diesel</x:v>
      </x:c>
      <x:c r="F3670" s="7" t="str">
        <x:v>Automatic</x:v>
      </x:c>
      <x:c r="G3670" s="7" t="str">
        <x:v>SUV</x:v>
      </x:c>
      <x:c r="H3670" s="7" t="n">
        <x:v>1956</x:v>
      </x:c>
      <x:c r="I3670" s="7" t="n">
        <x:v>168</x:v>
      </x:c>
      <x:c r="J3670" s="9" t="n">
        <x:v>14.5</x:v>
      </x:c>
      <x:c r="K3670" s="9" t="n">
        <x:v>27</x:v>
      </x:c>
      <x:c r="L3670" s="7" t="n">
        <x:v>2024</x:v>
      </x:c>
      <x:c r="M3670" s="11" t="n">
        <x:v>44342</x:v>
      </x:c>
      <x:c r="N3670" s="7" t="n">
        <x:v>3</x:v>
      </x:c>
      <x:c r="O3670" s="7" t="n">
        <x:v>0</x:v>
      </x:c>
      <x:c r="P3670" s="9" t="n">
        <x:v>20.42</x:v>
      </x:c>
      <x:c r="Q3670" s="7" t="n">
        <x:f>'Guide'!$B$5-L3670</x:f>
        <x:v>2</x:v>
      </x:c>
      <x:c r="R3670" s="9" t="n">
        <x:f>K3670-P3670</x:f>
        <x:v>6.579999999999998</x:v>
      </x:c>
      <x:c r="S3670" s="10" t="n">
        <x:f>IF(K3670&gt;0,R3670/K3670,"")</x:f>
        <x:v>0.24370370370370364</x:v>
      </x:c>
    </x:row>
    <x:row r="3671">
      <x:c r="A3671" s="7" t="n">
        <x:v>3667</x:v>
      </x:c>
      <x:c r="B3671" s="7" t="str">
        <x:v>Tata</x:v>
      </x:c>
      <x:c r="C3671" s="7" t="str">
        <x:v>Safari</x:v>
      </x:c>
      <x:c r="D3671" s="7" t="str">
        <x:v>Accomplished AT</x:v>
      </x:c>
      <x:c r="E3671" s="7" t="str">
        <x:v>Diesel</x:v>
      </x:c>
      <x:c r="F3671" s="7" t="str">
        <x:v>Automatic</x:v>
      </x:c>
      <x:c r="G3671" s="7" t="str">
        <x:v>SUV</x:v>
      </x:c>
      <x:c r="H3671" s="7" t="n">
        <x:v>1956</x:v>
      </x:c>
      <x:c r="I3671" s="7" t="n">
        <x:v>168</x:v>
      </x:c>
      <x:c r="J3671" s="9" t="n">
        <x:v>14.5</x:v>
      </x:c>
      <x:c r="K3671" s="9" t="n">
        <x:v>27</x:v>
      </x:c>
      <x:c r="L3671" s="7" t="n">
        <x:v>2023</x:v>
      </x:c>
      <x:c r="M3671" s="11" t="n">
        <x:v>55274</x:v>
      </x:c>
      <x:c r="N3671" s="7" t="n">
        <x:v>1</x:v>
      </x:c>
      <x:c r="O3671" s="7" t="n">
        <x:v>0</x:v>
      </x:c>
      <x:c r="P3671" s="9" t="n">
        <x:v>18.47</x:v>
      </x:c>
      <x:c r="Q3671" s="7" t="n">
        <x:f>'Guide'!$B$5-L3671</x:f>
        <x:v>3</x:v>
      </x:c>
      <x:c r="R3671" s="9" t="n">
        <x:f>K3671-P3671</x:f>
        <x:v>8.530000000000001</x:v>
      </x:c>
      <x:c r="S3671" s="10" t="n">
        <x:f>IF(K3671&gt;0,R3671/K3671,"")</x:f>
        <x:v>0.31592592592592594</x:v>
      </x:c>
    </x:row>
    <x:row r="3672">
      <x:c r="A3672" s="7" t="n">
        <x:v>3668</x:v>
      </x:c>
      <x:c r="B3672" s="7" t="str">
        <x:v>Tata</x:v>
      </x:c>
      <x:c r="C3672" s="7" t="str">
        <x:v>Safari</x:v>
      </x:c>
      <x:c r="D3672" s="7" t="str">
        <x:v>Accomplished AT</x:v>
      </x:c>
      <x:c r="E3672" s="7" t="str">
        <x:v>Diesel</x:v>
      </x:c>
      <x:c r="F3672" s="7" t="str">
        <x:v>Automatic</x:v>
      </x:c>
      <x:c r="G3672" s="7" t="str">
        <x:v>SUV</x:v>
      </x:c>
      <x:c r="H3672" s="7" t="n">
        <x:v>1956</x:v>
      </x:c>
      <x:c r="I3672" s="7" t="n">
        <x:v>168</x:v>
      </x:c>
      <x:c r="J3672" s="9" t="n">
        <x:v>14.5</x:v>
      </x:c>
      <x:c r="K3672" s="9" t="n">
        <x:v>27</x:v>
      </x:c>
      <x:c r="L3672" s="7" t="n">
        <x:v>2021</x:v>
      </x:c>
      <x:c r="M3672" s="11" t="n">
        <x:v>62753</x:v>
      </x:c>
      <x:c r="N3672" s="7" t="n">
        <x:v>1</x:v>
      </x:c>
      <x:c r="O3672" s="7" t="n">
        <x:v>0</x:v>
      </x:c>
      <x:c r="P3672" s="9" t="n">
        <x:v>14.44</x:v>
      </x:c>
      <x:c r="Q3672" s="7" t="n">
        <x:f>'Guide'!$B$5-L3672</x:f>
        <x:v>5</x:v>
      </x:c>
      <x:c r="R3672" s="9" t="n">
        <x:f>K3672-P3672</x:f>
        <x:v>12.56</x:v>
      </x:c>
      <x:c r="S3672" s="10" t="n">
        <x:f>IF(K3672&gt;0,R3672/K3672,"")</x:f>
        <x:v>0.4651851851851852</x:v>
      </x:c>
    </x:row>
    <x:row r="3673">
      <x:c r="A3673" s="7" t="n">
        <x:v>3669</x:v>
      </x:c>
      <x:c r="B3673" s="7" t="str">
        <x:v>Tata</x:v>
      </x:c>
      <x:c r="C3673" s="7" t="str">
        <x:v>Safari</x:v>
      </x:c>
      <x:c r="D3673" s="7" t="str">
        <x:v>Accomplished AT</x:v>
      </x:c>
      <x:c r="E3673" s="7" t="str">
        <x:v>Diesel</x:v>
      </x:c>
      <x:c r="F3673" s="7" t="str">
        <x:v>Automatic</x:v>
      </x:c>
      <x:c r="G3673" s="7" t="str">
        <x:v>SUV</x:v>
      </x:c>
      <x:c r="H3673" s="7" t="n">
        <x:v>1956</x:v>
      </x:c>
      <x:c r="I3673" s="7" t="n">
        <x:v>168</x:v>
      </x:c>
      <x:c r="J3673" s="9" t="n">
        <x:v>14.5</x:v>
      </x:c>
      <x:c r="K3673" s="9" t="n">
        <x:v>27</x:v>
      </x:c>
      <x:c r="L3673" s="7" t="n">
        <x:v>2020</x:v>
      </x:c>
      <x:c r="M3673" s="11" t="n">
        <x:v>112664</x:v>
      </x:c>
      <x:c r="N3673" s="7" t="n">
        <x:v>1</x:v>
      </x:c>
      <x:c r="O3673" s="7" t="n">
        <x:v>0</x:v>
      </x:c>
      <x:c r="P3673" s="9" t="n">
        <x:v>10.02</x:v>
      </x:c>
      <x:c r="Q3673" s="7" t="n">
        <x:f>'Guide'!$B$5-L3673</x:f>
        <x:v>6</x:v>
      </x:c>
      <x:c r="R3673" s="9" t="n">
        <x:f>K3673-P3673</x:f>
        <x:v>16.98</x:v>
      </x:c>
      <x:c r="S3673" s="10" t="n">
        <x:f>IF(K3673&gt;0,R3673/K3673,"")</x:f>
        <x:v>0.6288888888888889</x:v>
      </x:c>
    </x:row>
    <x:row r="3674">
      <x:c r="A3674" s="7" t="n">
        <x:v>3670</x:v>
      </x:c>
      <x:c r="B3674" s="7" t="str">
        <x:v>Tata</x:v>
      </x:c>
      <x:c r="C3674" s="7" t="str">
        <x:v>Safari</x:v>
      </x:c>
      <x:c r="D3674" s="7" t="str">
        <x:v>Accomplished AT</x:v>
      </x:c>
      <x:c r="E3674" s="7" t="str">
        <x:v>Diesel</x:v>
      </x:c>
      <x:c r="F3674" s="7" t="str">
        <x:v>Automatic</x:v>
      </x:c>
      <x:c r="G3674" s="7" t="str">
        <x:v>SUV</x:v>
      </x:c>
      <x:c r="H3674" s="7" t="n">
        <x:v>1956</x:v>
      </x:c>
      <x:c r="I3674" s="7" t="n">
        <x:v>168</x:v>
      </x:c>
      <x:c r="J3674" s="9" t="n">
        <x:v>14.5</x:v>
      </x:c>
      <x:c r="K3674" s="9" t="n">
        <x:v>27</x:v>
      </x:c>
      <x:c r="L3674" s="7" t="n">
        <x:v>2024</x:v>
      </x:c>
      <x:c r="M3674" s="11" t="n">
        <x:v>47988</x:v>
      </x:c>
      <x:c r="N3674" s="7" t="n">
        <x:v>1</x:v>
      </x:c>
      <x:c r="O3674" s="7" t="n">
        <x:v>0</x:v>
      </x:c>
      <x:c r="P3674" s="9" t="n">
        <x:v>21.42</x:v>
      </x:c>
      <x:c r="Q3674" s="7" t="n">
        <x:f>'Guide'!$B$5-L3674</x:f>
        <x:v>2</x:v>
      </x:c>
      <x:c r="R3674" s="9" t="n">
        <x:f>K3674-P3674</x:f>
        <x:v>5.579999999999998</x:v>
      </x:c>
      <x:c r="S3674" s="10" t="n">
        <x:f>IF(K3674&gt;0,R3674/K3674,"")</x:f>
        <x:v>0.2066666666666666</x:v>
      </x:c>
    </x:row>
    <x:row r="3675">
      <x:c r="A3675" s="7" t="n">
        <x:v>3671</x:v>
      </x:c>
      <x:c r="B3675" s="7" t="str">
        <x:v>Tata</x:v>
      </x:c>
      <x:c r="C3675" s="7" t="str">
        <x:v>Safari</x:v>
      </x:c>
      <x:c r="D3675" s="7" t="str">
        <x:v>Accomplished AT</x:v>
      </x:c>
      <x:c r="E3675" s="7" t="str">
        <x:v>Diesel</x:v>
      </x:c>
      <x:c r="F3675" s="7" t="str">
        <x:v>Automatic</x:v>
      </x:c>
      <x:c r="G3675" s="7" t="str">
        <x:v>SUV</x:v>
      </x:c>
      <x:c r="H3675" s="7" t="n">
        <x:v>1956</x:v>
      </x:c>
      <x:c r="I3675" s="7" t="n">
        <x:v>168</x:v>
      </x:c>
      <x:c r="J3675" s="9" t="n">
        <x:v>14.5</x:v>
      </x:c>
      <x:c r="K3675" s="9" t="n">
        <x:v>27</x:v>
      </x:c>
      <x:c r="L3675" s="7" t="n">
        <x:v>2026</x:v>
      </x:c>
      <x:c r="M3675" s="11" t="n">
        <x:v>5677</x:v>
      </x:c>
      <x:c r="N3675" s="7" t="n">
        <x:v>2</x:v>
      </x:c>
      <x:c r="O3675" s="7" t="n">
        <x:v>0</x:v>
      </x:c>
      <x:c r="P3675" s="9" t="n">
        <x:v>26.33</x:v>
      </x:c>
      <x:c r="Q3675" s="7" t="n">
        <x:f>'Guide'!$B$5-L3675</x:f>
        <x:v>0</x:v>
      </x:c>
      <x:c r="R3675" s="9" t="n">
        <x:f>K3675-P3675</x:f>
        <x:v>0.6700000000000017</x:v>
      </x:c>
      <x:c r="S3675" s="10" t="n">
        <x:f>IF(K3675&gt;0,R3675/K3675,"")</x:f>
        <x:v>0.024814814814814876</x:v>
      </x:c>
    </x:row>
    <x:row r="3676">
      <x:c r="A3676" s="7" t="n">
        <x:v>3672</x:v>
      </x:c>
      <x:c r="B3676" s="7" t="str">
        <x:v>Tata</x:v>
      </x:c>
      <x:c r="C3676" s="7" t="str">
        <x:v>Safari</x:v>
      </x:c>
      <x:c r="D3676" s="7" t="str">
        <x:v>Accomplished AT</x:v>
      </x:c>
      <x:c r="E3676" s="7" t="str">
        <x:v>Diesel</x:v>
      </x:c>
      <x:c r="F3676" s="7" t="str">
        <x:v>Automatic</x:v>
      </x:c>
      <x:c r="G3676" s="7" t="str">
        <x:v>SUV</x:v>
      </x:c>
      <x:c r="H3676" s="7" t="n">
        <x:v>1956</x:v>
      </x:c>
      <x:c r="I3676" s="7" t="n">
        <x:v>168</x:v>
      </x:c>
      <x:c r="J3676" s="9" t="n">
        <x:v>14.5</x:v>
      </x:c>
      <x:c r="K3676" s="9" t="n">
        <x:v>27</x:v>
      </x:c>
      <x:c r="L3676" s="7" t="n">
        <x:v>2026</x:v>
      </x:c>
      <x:c r="M3676" s="11" t="n">
        <x:v>4254</x:v>
      </x:c>
      <x:c r="N3676" s="7" t="n">
        <x:v>1</x:v>
      </x:c>
      <x:c r="O3676" s="7" t="n">
        <x:v>0</x:v>
      </x:c>
      <x:c r="P3676" s="9" t="n">
        <x:v>27.14</x:v>
      </x:c>
      <x:c r="Q3676" s="7" t="n">
        <x:f>'Guide'!$B$5-L3676</x:f>
        <x:v>0</x:v>
      </x:c>
      <x:c r="R3676" s="9" t="n">
        <x:f>K3676-P3676</x:f>
        <x:v>-0.14000000000000057</x:v>
      </x:c>
      <x:c r="S3676" s="10" t="n">
        <x:f>IF(K3676&gt;0,R3676/K3676,"")</x:f>
        <x:v>-0.005185185185185206</x:v>
      </x:c>
    </x:row>
    <x:row r="3677">
      <x:c r="A3677" s="7" t="n">
        <x:v>3673</x:v>
      </x:c>
      <x:c r="B3677" s="7" t="str">
        <x:v>Tata</x:v>
      </x:c>
      <x:c r="C3677" s="7" t="str">
        <x:v>Safari</x:v>
      </x:c>
      <x:c r="D3677" s="7" t="str">
        <x:v>Accomplished AT</x:v>
      </x:c>
      <x:c r="E3677" s="7" t="str">
        <x:v>Diesel</x:v>
      </x:c>
      <x:c r="F3677" s="7" t="str">
        <x:v>Automatic</x:v>
      </x:c>
      <x:c r="G3677" s="7" t="str">
        <x:v>SUV</x:v>
      </x:c>
      <x:c r="H3677" s="7" t="n">
        <x:v>1956</x:v>
      </x:c>
      <x:c r="I3677" s="7" t="n">
        <x:v>168</x:v>
      </x:c>
      <x:c r="J3677" s="9" t="n">
        <x:v>14.5</x:v>
      </x:c>
      <x:c r="K3677" s="9" t="n">
        <x:v>27</x:v>
      </x:c>
      <x:c r="L3677" s="7" t="n">
        <x:v>2023</x:v>
      </x:c>
      <x:c r="M3677" s="11" t="n">
        <x:v>56728</x:v>
      </x:c>
      <x:c r="N3677" s="7" t="n">
        <x:v>1</x:v>
      </x:c>
      <x:c r="O3677" s="7" t="n">
        <x:v>0</x:v>
      </x:c>
      <x:c r="P3677" s="9" t="n">
        <x:v>18.61</x:v>
      </x:c>
      <x:c r="Q3677" s="7" t="n">
        <x:f>'Guide'!$B$5-L3677</x:f>
        <x:v>3</x:v>
      </x:c>
      <x:c r="R3677" s="9" t="n">
        <x:f>K3677-P3677</x:f>
        <x:v>8.39</x:v>
      </x:c>
      <x:c r="S3677" s="10" t="n">
        <x:f>IF(K3677&gt;0,R3677/K3677,"")</x:f>
        <x:v>0.31074074074074076</x:v>
      </x:c>
    </x:row>
    <x:row r="3678">
      <x:c r="A3678" s="7" t="n">
        <x:v>3674</x:v>
      </x:c>
      <x:c r="B3678" s="7" t="str">
        <x:v>Tata</x:v>
      </x:c>
      <x:c r="C3678" s="7" t="str">
        <x:v>Safari</x:v>
      </x:c>
      <x:c r="D3678" s="7" t="str">
        <x:v>Accomplished AT</x:v>
      </x:c>
      <x:c r="E3678" s="7" t="str">
        <x:v>Diesel</x:v>
      </x:c>
      <x:c r="F3678" s="7" t="str">
        <x:v>Automatic</x:v>
      </x:c>
      <x:c r="G3678" s="7" t="str">
        <x:v>SUV</x:v>
      </x:c>
      <x:c r="H3678" s="7" t="n">
        <x:v>1956</x:v>
      </x:c>
      <x:c r="I3678" s="7" t="n">
        <x:v>168</x:v>
      </x:c>
      <x:c r="J3678" s="9" t="n">
        <x:v>14.5</x:v>
      </x:c>
      <x:c r="K3678" s="9" t="n">
        <x:v>27</x:v>
      </x:c>
      <x:c r="L3678" s="7" t="n">
        <x:v>2023</x:v>
      </x:c>
      <x:c r="M3678" s="11" t="n">
        <x:v>62863</x:v>
      </x:c>
      <x:c r="N3678" s="7" t="n">
        <x:v>1</x:v>
      </x:c>
      <x:c r="O3678" s="7" t="n">
        <x:v>0</x:v>
      </x:c>
      <x:c r="P3678" s="9" t="n">
        <x:v>18.74</x:v>
      </x:c>
      <x:c r="Q3678" s="7" t="n">
        <x:f>'Guide'!$B$5-L3678</x:f>
        <x:v>3</x:v>
      </x:c>
      <x:c r="R3678" s="9" t="n">
        <x:f>K3678-P3678</x:f>
        <x:v>8.260000000000002</x:v>
      </x:c>
      <x:c r="S3678" s="10" t="n">
        <x:f>IF(K3678&gt;0,R3678/K3678,"")</x:f>
        <x:v>0.305925925925926</x:v>
      </x:c>
    </x:row>
    <x:row r="3679">
      <x:c r="A3679" s="7" t="n">
        <x:v>3675</x:v>
      </x:c>
      <x:c r="B3679" s="7" t="str">
        <x:v>Tata</x:v>
      </x:c>
      <x:c r="C3679" s="7" t="str">
        <x:v>Safari</x:v>
      </x:c>
      <x:c r="D3679" s="7" t="str">
        <x:v>Accomplished AT</x:v>
      </x:c>
      <x:c r="E3679" s="7" t="str">
        <x:v>Diesel</x:v>
      </x:c>
      <x:c r="F3679" s="7" t="str">
        <x:v>Automatic</x:v>
      </x:c>
      <x:c r="G3679" s="7" t="str">
        <x:v>SUV</x:v>
      </x:c>
      <x:c r="H3679" s="7" t="n">
        <x:v>1956</x:v>
      </x:c>
      <x:c r="I3679" s="7" t="n">
        <x:v>168</x:v>
      </x:c>
      <x:c r="J3679" s="9" t="n">
        <x:v>14.5</x:v>
      </x:c>
      <x:c r="K3679" s="9" t="n">
        <x:v>27</x:v>
      </x:c>
      <x:c r="L3679" s="7" t="n">
        <x:v>2021</x:v>
      </x:c>
      <x:c r="M3679" s="11" t="n">
        <x:v>97637</x:v>
      </x:c>
      <x:c r="N3679" s="7" t="n">
        <x:v>2</x:v>
      </x:c>
      <x:c r="O3679" s="7" t="n">
        <x:v>0</x:v>
      </x:c>
      <x:c r="P3679" s="9" t="n">
        <x:v>12.78</x:v>
      </x:c>
      <x:c r="Q3679" s="7" t="n">
        <x:f>'Guide'!$B$5-L3679</x:f>
        <x:v>5</x:v>
      </x:c>
      <x:c r="R3679" s="9" t="n">
        <x:f>K3679-P3679</x:f>
        <x:v>14.22</x:v>
      </x:c>
      <x:c r="S3679" s="10" t="n">
        <x:f>IF(K3679&gt;0,R3679/K3679,"")</x:f>
        <x:v>0.5266666666666667</x:v>
      </x:c>
    </x:row>
    <x:row r="3680">
      <x:c r="A3680" s="7" t="n">
        <x:v>3676</x:v>
      </x:c>
      <x:c r="B3680" s="7" t="str">
        <x:v>Tata</x:v>
      </x:c>
      <x:c r="C3680" s="7" t="str">
        <x:v>Safari</x:v>
      </x:c>
      <x:c r="D3680" s="7" t="str">
        <x:v>Accomplished AT</x:v>
      </x:c>
      <x:c r="E3680" s="7" t="str">
        <x:v>Diesel</x:v>
      </x:c>
      <x:c r="F3680" s="7" t="str">
        <x:v>Automatic</x:v>
      </x:c>
      <x:c r="G3680" s="7" t="str">
        <x:v>SUV</x:v>
      </x:c>
      <x:c r="H3680" s="7" t="n">
        <x:v>1956</x:v>
      </x:c>
      <x:c r="I3680" s="7" t="n">
        <x:v>168</x:v>
      </x:c>
      <x:c r="J3680" s="9" t="n">
        <x:v>14.5</x:v>
      </x:c>
      <x:c r="K3680" s="9" t="n">
        <x:v>27</x:v>
      </x:c>
      <x:c r="L3680" s="7" t="n">
        <x:v>2024</x:v>
      </x:c>
      <x:c r="M3680" s="11" t="n">
        <x:v>27757</x:v>
      </x:c>
      <x:c r="N3680" s="7" t="n">
        <x:v>1</x:v>
      </x:c>
      <x:c r="O3680" s="7" t="n">
        <x:v>0</x:v>
      </x:c>
      <x:c r="P3680" s="9" t="n">
        <x:v>22.1</x:v>
      </x:c>
      <x:c r="Q3680" s="7" t="n">
        <x:f>'Guide'!$B$5-L3680</x:f>
        <x:v>2</x:v>
      </x:c>
      <x:c r="R3680" s="9" t="n">
        <x:f>K3680-P3680</x:f>
        <x:v>4.899999999999999</x:v>
      </x:c>
      <x:c r="S3680" s="10" t="n">
        <x:f>IF(K3680&gt;0,R3680/K3680,"")</x:f>
        <x:v>0.18148148148148144</x:v>
      </x:c>
    </x:row>
    <x:row r="3681">
      <x:c r="A3681" s="7" t="n">
        <x:v>3677</x:v>
      </x:c>
      <x:c r="B3681" s="7" t="str">
        <x:v>Tata</x:v>
      </x:c>
      <x:c r="C3681" s="7" t="str">
        <x:v>Safari</x:v>
      </x:c>
      <x:c r="D3681" s="7" t="str">
        <x:v>Accomplished AT</x:v>
      </x:c>
      <x:c r="E3681" s="7" t="str">
        <x:v>Diesel</x:v>
      </x:c>
      <x:c r="F3681" s="7" t="str">
        <x:v>Automatic</x:v>
      </x:c>
      <x:c r="G3681" s="7" t="str">
        <x:v>SUV</x:v>
      </x:c>
      <x:c r="H3681" s="7" t="n">
        <x:v>1956</x:v>
      </x:c>
      <x:c r="I3681" s="7" t="n">
        <x:v>168</x:v>
      </x:c>
      <x:c r="J3681" s="9" t="n">
        <x:v>14.5</x:v>
      </x:c>
      <x:c r="K3681" s="9" t="n">
        <x:v>27</x:v>
      </x:c>
      <x:c r="L3681" s="7" t="n">
        <x:v>2025</x:v>
      </x:c>
      <x:c r="M3681" s="11" t="n">
        <x:v>12269</x:v>
      </x:c>
      <x:c r="N3681" s="7" t="n">
        <x:v>1</x:v>
      </x:c>
      <x:c r="O3681" s="7" t="n">
        <x:v>0</x:v>
      </x:c>
      <x:c r="P3681" s="9" t="n">
        <x:v>24.26</x:v>
      </x:c>
      <x:c r="Q3681" s="7" t="n">
        <x:f>'Guide'!$B$5-L3681</x:f>
        <x:v>1</x:v>
      </x:c>
      <x:c r="R3681" s="9" t="n">
        <x:f>K3681-P3681</x:f>
        <x:v>2.7399999999999984</x:v>
      </x:c>
      <x:c r="S3681" s="10" t="n">
        <x:f>IF(K3681&gt;0,R3681/K3681,"")</x:f>
        <x:v>0.10148148148148142</x:v>
      </x:c>
    </x:row>
    <x:row r="3682">
      <x:c r="A3682" s="7" t="n">
        <x:v>3678</x:v>
      </x:c>
      <x:c r="B3682" s="7" t="str">
        <x:v>Tata</x:v>
      </x:c>
      <x:c r="C3682" s="7" t="str">
        <x:v>Safari</x:v>
      </x:c>
      <x:c r="D3682" s="7" t="str">
        <x:v>Accomplished AT</x:v>
      </x:c>
      <x:c r="E3682" s="7" t="str">
        <x:v>Diesel</x:v>
      </x:c>
      <x:c r="F3682" s="7" t="str">
        <x:v>Automatic</x:v>
      </x:c>
      <x:c r="G3682" s="7" t="str">
        <x:v>SUV</x:v>
      </x:c>
      <x:c r="H3682" s="7" t="n">
        <x:v>1956</x:v>
      </x:c>
      <x:c r="I3682" s="7" t="n">
        <x:v>168</x:v>
      </x:c>
      <x:c r="J3682" s="9" t="n">
        <x:v>14.5</x:v>
      </x:c>
      <x:c r="K3682" s="9" t="n">
        <x:v>27</x:v>
      </x:c>
      <x:c r="L3682" s="7" t="n">
        <x:v>2024</x:v>
      </x:c>
      <x:c r="M3682" s="11" t="n">
        <x:v>40631</x:v>
      </x:c>
      <x:c r="N3682" s="7" t="n">
        <x:v>1</x:v>
      </x:c>
      <x:c r="O3682" s="7" t="n">
        <x:v>1</x:v>
      </x:c>
      <x:c r="P3682" s="9" t="n">
        <x:v>20.73</x:v>
      </x:c>
      <x:c r="Q3682" s="7" t="n">
        <x:f>'Guide'!$B$5-L3682</x:f>
        <x:v>2</x:v>
      </x:c>
      <x:c r="R3682" s="9" t="n">
        <x:f>K3682-P3682</x:f>
        <x:v>6.27</x:v>
      </x:c>
      <x:c r="S3682" s="10" t="n">
        <x:f>IF(K3682&gt;0,R3682/K3682,"")</x:f>
        <x:v>0.23222222222222222</x:v>
      </x:c>
    </x:row>
    <x:row r="3683">
      <x:c r="A3683" s="7" t="n">
        <x:v>3679</x:v>
      </x:c>
      <x:c r="B3683" s="7" t="str">
        <x:v>Tata</x:v>
      </x:c>
      <x:c r="C3683" s="7" t="str">
        <x:v>Safari</x:v>
      </x:c>
      <x:c r="D3683" s="7" t="str">
        <x:v>Accomplished AT</x:v>
      </x:c>
      <x:c r="E3683" s="7" t="str">
        <x:v>Diesel</x:v>
      </x:c>
      <x:c r="F3683" s="7" t="str">
        <x:v>Automatic</x:v>
      </x:c>
      <x:c r="G3683" s="7" t="str">
        <x:v>SUV</x:v>
      </x:c>
      <x:c r="H3683" s="7" t="n">
        <x:v>1956</x:v>
      </x:c>
      <x:c r="I3683" s="7" t="n">
        <x:v>168</x:v>
      </x:c>
      <x:c r="J3683" s="9" t="n">
        <x:v>14.5</x:v>
      </x:c>
      <x:c r="K3683" s="9" t="n">
        <x:v>27</x:v>
      </x:c>
      <x:c r="L3683" s="7" t="n">
        <x:v>2025</x:v>
      </x:c>
      <x:c r="M3683" s="11" t="n">
        <x:v>16303</x:v>
      </x:c>
      <x:c r="N3683" s="7" t="n">
        <x:v>2</x:v>
      </x:c>
      <x:c r="O3683" s="7" t="n">
        <x:v>0</x:v>
      </x:c>
      <x:c r="P3683" s="9" t="n">
        <x:v>23.93</x:v>
      </x:c>
      <x:c r="Q3683" s="7" t="n">
        <x:f>'Guide'!$B$5-L3683</x:f>
        <x:v>1</x:v>
      </x:c>
      <x:c r="R3683" s="9" t="n">
        <x:f>K3683-P3683</x:f>
        <x:v>3.0700000000000003</x:v>
      </x:c>
      <x:c r="S3683" s="10" t="n">
        <x:f>IF(K3683&gt;0,R3683/K3683,"")</x:f>
        <x:v>0.11370370370370371</x:v>
      </x:c>
    </x:row>
    <x:row r="3684">
      <x:c r="A3684" s="7" t="n">
        <x:v>3680</x:v>
      </x:c>
      <x:c r="B3684" s="7" t="str">
        <x:v>Tata</x:v>
      </x:c>
      <x:c r="C3684" s="7" t="str">
        <x:v>Safari</x:v>
      </x:c>
      <x:c r="D3684" s="7" t="str">
        <x:v>Accomplished AT</x:v>
      </x:c>
      <x:c r="E3684" s="7" t="str">
        <x:v>Diesel</x:v>
      </x:c>
      <x:c r="F3684" s="7" t="str">
        <x:v>Automatic</x:v>
      </x:c>
      <x:c r="G3684" s="7" t="str">
        <x:v>SUV</x:v>
      </x:c>
      <x:c r="H3684" s="7" t="n">
        <x:v>1956</x:v>
      </x:c>
      <x:c r="I3684" s="7" t="n">
        <x:v>168</x:v>
      </x:c>
      <x:c r="J3684" s="9" t="n">
        <x:v>14.5</x:v>
      </x:c>
      <x:c r="K3684" s="9" t="n">
        <x:v>27</x:v>
      </x:c>
      <x:c r="L3684" s="7" t="n">
        <x:v>2021</x:v>
      </x:c>
      <x:c r="M3684" s="11" t="n">
        <x:v>86205</x:v>
      </x:c>
      <x:c r="N3684" s="7" t="n">
        <x:v>2</x:v>
      </x:c>
      <x:c r="O3684" s="7" t="n">
        <x:v>0</x:v>
      </x:c>
      <x:c r="P3684" s="9" t="n">
        <x:v>12.8</x:v>
      </x:c>
      <x:c r="Q3684" s="7" t="n">
        <x:f>'Guide'!$B$5-L3684</x:f>
        <x:v>5</x:v>
      </x:c>
      <x:c r="R3684" s="9" t="n">
        <x:f>K3684-P3684</x:f>
        <x:v>14.2</x:v>
      </x:c>
      <x:c r="S3684" s="10" t="n">
        <x:f>IF(K3684&gt;0,R3684/K3684,"")</x:f>
        <x:v>0.5259259259259259</x:v>
      </x:c>
    </x:row>
    <x:row r="3685">
      <x:c r="A3685" s="7" t="n">
        <x:v>3681</x:v>
      </x:c>
      <x:c r="B3685" s="7" t="str">
        <x:v>Tata</x:v>
      </x:c>
      <x:c r="C3685" s="7" t="str">
        <x:v>Safari</x:v>
      </x:c>
      <x:c r="D3685" s="7" t="str">
        <x:v>Accomplished AT</x:v>
      </x:c>
      <x:c r="E3685" s="7" t="str">
        <x:v>Diesel</x:v>
      </x:c>
      <x:c r="F3685" s="7" t="str">
        <x:v>Automatic</x:v>
      </x:c>
      <x:c r="G3685" s="7" t="str">
        <x:v>SUV</x:v>
      </x:c>
      <x:c r="H3685" s="7" t="n">
        <x:v>1956</x:v>
      </x:c>
      <x:c r="I3685" s="7" t="n">
        <x:v>168</x:v>
      </x:c>
      <x:c r="J3685" s="9" t="n">
        <x:v>14.5</x:v>
      </x:c>
      <x:c r="K3685" s="9" t="n">
        <x:v>27</x:v>
      </x:c>
      <x:c r="L3685" s="7" t="n">
        <x:v>2022</x:v>
      </x:c>
      <x:c r="M3685" s="11" t="n">
        <x:v>40900</x:v>
      </x:c>
      <x:c r="N3685" s="7" t="n">
        <x:v>1</x:v>
      </x:c>
      <x:c r="O3685" s="7" t="n">
        <x:v>0</x:v>
      </x:c>
      <x:c r="P3685" s="9" t="n">
        <x:v>16.99</x:v>
      </x:c>
      <x:c r="Q3685" s="7" t="n">
        <x:f>'Guide'!$B$5-L3685</x:f>
        <x:v>4</x:v>
      </x:c>
      <x:c r="R3685" s="9" t="n">
        <x:f>K3685-P3685</x:f>
        <x:v>10.010000000000002</x:v>
      </x:c>
      <x:c r="S3685" s="10" t="n">
        <x:f>IF(K3685&gt;0,R3685/K3685,"")</x:f>
        <x:v>0.3707407407407408</x:v>
      </x:c>
    </x:row>
    <x:row r="3686">
      <x:c r="A3686" s="7" t="n">
        <x:v>3682</x:v>
      </x:c>
      <x:c r="B3686" s="7" t="str">
        <x:v>Tata</x:v>
      </x:c>
      <x:c r="C3686" s="7" t="str">
        <x:v>Safari</x:v>
      </x:c>
      <x:c r="D3686" s="7" t="str">
        <x:v>Accomplished AT</x:v>
      </x:c>
      <x:c r="E3686" s="7" t="str">
        <x:v>Diesel</x:v>
      </x:c>
      <x:c r="F3686" s="7" t="str">
        <x:v>Automatic</x:v>
      </x:c>
      <x:c r="G3686" s="7" t="str">
        <x:v>SUV</x:v>
      </x:c>
      <x:c r="H3686" s="7" t="n">
        <x:v>1956</x:v>
      </x:c>
      <x:c r="I3686" s="7" t="n">
        <x:v>168</x:v>
      </x:c>
      <x:c r="J3686" s="9" t="n">
        <x:v>14.5</x:v>
      </x:c>
      <x:c r="K3686" s="9" t="n">
        <x:v>27</x:v>
      </x:c>
      <x:c r="L3686" s="7" t="n">
        <x:v>2021</x:v>
      </x:c>
      <x:c r="M3686" s="11" t="n">
        <x:v>83933</x:v>
      </x:c>
      <x:c r="N3686" s="7" t="n">
        <x:v>1</x:v>
      </x:c>
      <x:c r="O3686" s="7" t="n">
        <x:v>0</x:v>
      </x:c>
      <x:c r="P3686" s="9" t="n">
        <x:v>13.83</x:v>
      </x:c>
      <x:c r="Q3686" s="7" t="n">
        <x:f>'Guide'!$B$5-L3686</x:f>
        <x:v>5</x:v>
      </x:c>
      <x:c r="R3686" s="9" t="n">
        <x:f>K3686-P3686</x:f>
        <x:v>13.17</x:v>
      </x:c>
      <x:c r="S3686" s="10" t="n">
        <x:f>IF(K3686&gt;0,R3686/K3686,"")</x:f>
        <x:v>0.48777777777777775</x:v>
      </x:c>
    </x:row>
    <x:row r="3687">
      <x:c r="A3687" s="7" t="n">
        <x:v>3683</x:v>
      </x:c>
      <x:c r="B3687" s="7" t="str">
        <x:v>Tata</x:v>
      </x:c>
      <x:c r="C3687" s="7" t="str">
        <x:v>Safari</x:v>
      </x:c>
      <x:c r="D3687" s="7" t="str">
        <x:v>Accomplished AT</x:v>
      </x:c>
      <x:c r="E3687" s="7" t="str">
        <x:v>Diesel</x:v>
      </x:c>
      <x:c r="F3687" s="7" t="str">
        <x:v>Automatic</x:v>
      </x:c>
      <x:c r="G3687" s="7" t="str">
        <x:v>SUV</x:v>
      </x:c>
      <x:c r="H3687" s="7" t="n">
        <x:v>1956</x:v>
      </x:c>
      <x:c r="I3687" s="7" t="n">
        <x:v>168</x:v>
      </x:c>
      <x:c r="J3687" s="9" t="n">
        <x:v>14.5</x:v>
      </x:c>
      <x:c r="K3687" s="9" t="n">
        <x:v>27</x:v>
      </x:c>
      <x:c r="L3687" s="7" t="n">
        <x:v>2022</x:v>
      </x:c>
      <x:c r="M3687" s="11" t="n">
        <x:v>42433</x:v>
      </x:c>
      <x:c r="N3687" s="7" t="n">
        <x:v>2</x:v>
      </x:c>
      <x:c r="O3687" s="7" t="n">
        <x:v>0</x:v>
      </x:c>
      <x:c r="P3687" s="9" t="n">
        <x:v>16.34</x:v>
      </x:c>
      <x:c r="Q3687" s="7" t="n">
        <x:f>'Guide'!$B$5-L3687</x:f>
        <x:v>4</x:v>
      </x:c>
      <x:c r="R3687" s="9" t="n">
        <x:f>K3687-P3687</x:f>
        <x:v>10.66</x:v>
      </x:c>
      <x:c r="S3687" s="10" t="n">
        <x:f>IF(K3687&gt;0,R3687/K3687,"")</x:f>
        <x:v>0.39481481481481484</x:v>
      </x:c>
    </x:row>
    <x:row r="3688">
      <x:c r="A3688" s="7" t="n">
        <x:v>3684</x:v>
      </x:c>
      <x:c r="B3688" s="7" t="str">
        <x:v>Tata</x:v>
      </x:c>
      <x:c r="C3688" s="7" t="str">
        <x:v>Safari</x:v>
      </x:c>
      <x:c r="D3688" s="7" t="str">
        <x:v>Accomplished AT</x:v>
      </x:c>
      <x:c r="E3688" s="7" t="str">
        <x:v>Diesel</x:v>
      </x:c>
      <x:c r="F3688" s="7" t="str">
        <x:v>Automatic</x:v>
      </x:c>
      <x:c r="G3688" s="7" t="str">
        <x:v>SUV</x:v>
      </x:c>
      <x:c r="H3688" s="7" t="n">
        <x:v>1956</x:v>
      </x:c>
      <x:c r="I3688" s="7" t="n">
        <x:v>168</x:v>
      </x:c>
      <x:c r="J3688" s="9" t="n">
        <x:v>14.5</x:v>
      </x:c>
      <x:c r="K3688" s="9" t="n">
        <x:v>27</x:v>
      </x:c>
      <x:c r="L3688" s="7" t="n">
        <x:v>2021</x:v>
      </x:c>
      <x:c r="M3688" s="11" t="n">
        <x:v>45766</x:v>
      </x:c>
      <x:c r="N3688" s="7" t="n">
        <x:v>2</x:v>
      </x:c>
      <x:c r="O3688" s="7" t="n">
        <x:v>0</x:v>
      </x:c>
      <x:c r="P3688" s="9" t="n">
        <x:v>14.11</x:v>
      </x:c>
      <x:c r="Q3688" s="7" t="n">
        <x:f>'Guide'!$B$5-L3688</x:f>
        <x:v>5</x:v>
      </x:c>
      <x:c r="R3688" s="9" t="n">
        <x:f>K3688-P3688</x:f>
        <x:v>12.89</x:v>
      </x:c>
      <x:c r="S3688" s="10" t="n">
        <x:f>IF(K3688&gt;0,R3688/K3688,"")</x:f>
        <x:v>0.47740740740740745</x:v>
      </x:c>
    </x:row>
    <x:row r="3689">
      <x:c r="A3689" s="7" t="n">
        <x:v>3685</x:v>
      </x:c>
      <x:c r="B3689" s="7" t="str">
        <x:v>Tata</x:v>
      </x:c>
      <x:c r="C3689" s="7" t="str">
        <x:v>Safari</x:v>
      </x:c>
      <x:c r="D3689" s="7" t="str">
        <x:v>Accomplished AT</x:v>
      </x:c>
      <x:c r="E3689" s="7" t="str">
        <x:v>Diesel</x:v>
      </x:c>
      <x:c r="F3689" s="7" t="str">
        <x:v>Automatic</x:v>
      </x:c>
      <x:c r="G3689" s="7" t="str">
        <x:v>SUV</x:v>
      </x:c>
      <x:c r="H3689" s="7" t="n">
        <x:v>1956</x:v>
      </x:c>
      <x:c r="I3689" s="7" t="n">
        <x:v>168</x:v>
      </x:c>
      <x:c r="J3689" s="9" t="n">
        <x:v>14.5</x:v>
      </x:c>
      <x:c r="K3689" s="9" t="n">
        <x:v>27</x:v>
      </x:c>
      <x:c r="L3689" s="7" t="n">
        <x:v>2024</x:v>
      </x:c>
      <x:c r="M3689" s="11" t="n">
        <x:v>36096</x:v>
      </x:c>
      <x:c r="N3689" s="7" t="n">
        <x:v>2</x:v>
      </x:c>
      <x:c r="O3689" s="7" t="n">
        <x:v>1</x:v>
      </x:c>
      <x:c r="P3689" s="9" t="n">
        <x:v>20.7</x:v>
      </x:c>
      <x:c r="Q3689" s="7" t="n">
        <x:f>'Guide'!$B$5-L3689</x:f>
        <x:v>2</x:v>
      </x:c>
      <x:c r="R3689" s="9" t="n">
        <x:f>K3689-P3689</x:f>
        <x:v>6.300000000000001</x:v>
      </x:c>
      <x:c r="S3689" s="10" t="n">
        <x:f>IF(K3689&gt;0,R3689/K3689,"")</x:f>
        <x:v>0.23333333333333336</x:v>
      </x:c>
    </x:row>
    <x:row r="3690">
      <x:c r="A3690" s="7" t="n">
        <x:v>3686</x:v>
      </x:c>
      <x:c r="B3690" s="7" t="str">
        <x:v>Tata</x:v>
      </x:c>
      <x:c r="C3690" s="7" t="str">
        <x:v>Safari</x:v>
      </x:c>
      <x:c r="D3690" s="7" t="str">
        <x:v>Accomplished AT</x:v>
      </x:c>
      <x:c r="E3690" s="7" t="str">
        <x:v>Diesel</x:v>
      </x:c>
      <x:c r="F3690" s="7" t="str">
        <x:v>Automatic</x:v>
      </x:c>
      <x:c r="G3690" s="7" t="str">
        <x:v>SUV</x:v>
      </x:c>
      <x:c r="H3690" s="7" t="n">
        <x:v>1956</x:v>
      </x:c>
      <x:c r="I3690" s="7" t="n">
        <x:v>168</x:v>
      </x:c>
      <x:c r="J3690" s="9" t="n">
        <x:v>14.5</x:v>
      </x:c>
      <x:c r="K3690" s="9" t="n">
        <x:v>27</x:v>
      </x:c>
      <x:c r="L3690" s="7" t="n">
        <x:v>2023</x:v>
      </x:c>
      <x:c r="M3690" s="11" t="n">
        <x:v>64765</x:v>
      </x:c>
      <x:c r="N3690" s="7" t="n">
        <x:v>1</x:v>
      </x:c>
      <x:c r="O3690" s="7" t="n">
        <x:v>0</x:v>
      </x:c>
      <x:c r="P3690" s="9" t="n">
        <x:v>18.59</x:v>
      </x:c>
      <x:c r="Q3690" s="7" t="n">
        <x:f>'Guide'!$B$5-L3690</x:f>
        <x:v>3</x:v>
      </x:c>
      <x:c r="R3690" s="9" t="n">
        <x:f>K3690-P3690</x:f>
        <x:v>8.41</x:v>
      </x:c>
      <x:c r="S3690" s="10" t="n">
        <x:f>IF(K3690&gt;0,R3690/K3690,"")</x:f>
        <x:v>0.31148148148148147</x:v>
      </x:c>
    </x:row>
    <x:row r="3691">
      <x:c r="A3691" s="7" t="n">
        <x:v>3687</x:v>
      </x:c>
      <x:c r="B3691" s="7" t="str">
        <x:v>Tata</x:v>
      </x:c>
      <x:c r="C3691" s="7" t="str">
        <x:v>Safari</x:v>
      </x:c>
      <x:c r="D3691" s="7" t="str">
        <x:v>Accomplished AT</x:v>
      </x:c>
      <x:c r="E3691" s="7" t="str">
        <x:v>Diesel</x:v>
      </x:c>
      <x:c r="F3691" s="7" t="str">
        <x:v>Automatic</x:v>
      </x:c>
      <x:c r="G3691" s="7" t="str">
        <x:v>SUV</x:v>
      </x:c>
      <x:c r="H3691" s="7" t="n">
        <x:v>1956</x:v>
      </x:c>
      <x:c r="I3691" s="7" t="n">
        <x:v>168</x:v>
      </x:c>
      <x:c r="J3691" s="9" t="n">
        <x:v>14.5</x:v>
      </x:c>
      <x:c r="K3691" s="9" t="n">
        <x:v>27</x:v>
      </x:c>
      <x:c r="L3691" s="7" t="n">
        <x:v>2020</x:v>
      </x:c>
      <x:c r="M3691" s="11" t="n">
        <x:v>93986</x:v>
      </x:c>
      <x:c r="N3691" s="7" t="n">
        <x:v>1</x:v>
      </x:c>
      <x:c r="O3691" s="7" t="n">
        <x:v>0</x:v>
      </x:c>
      <x:c r="P3691" s="9" t="n">
        <x:v>11</x:v>
      </x:c>
      <x:c r="Q3691" s="7" t="n">
        <x:f>'Guide'!$B$5-L3691</x:f>
        <x:v>6</x:v>
      </x:c>
      <x:c r="R3691" s="9" t="n">
        <x:f>K3691-P3691</x:f>
        <x:v>16</x:v>
      </x:c>
      <x:c r="S3691" s="10" t="n">
        <x:f>IF(K3691&gt;0,R3691/K3691,"")</x:f>
        <x:v>0.5925925925925926</x:v>
      </x:c>
    </x:row>
    <x:row r="3692">
      <x:c r="A3692" s="7" t="n">
        <x:v>3688</x:v>
      </x:c>
      <x:c r="B3692" s="7" t="str">
        <x:v>Tata</x:v>
      </x:c>
      <x:c r="C3692" s="7" t="str">
        <x:v>Safari</x:v>
      </x:c>
      <x:c r="D3692" s="7" t="str">
        <x:v>Accomplished AT</x:v>
      </x:c>
      <x:c r="E3692" s="7" t="str">
        <x:v>Diesel</x:v>
      </x:c>
      <x:c r="F3692" s="7" t="str">
        <x:v>Automatic</x:v>
      </x:c>
      <x:c r="G3692" s="7" t="str">
        <x:v>SUV</x:v>
      </x:c>
      <x:c r="H3692" s="7" t="n">
        <x:v>1956</x:v>
      </x:c>
      <x:c r="I3692" s="7" t="n">
        <x:v>168</x:v>
      </x:c>
      <x:c r="J3692" s="9" t="n">
        <x:v>14.5</x:v>
      </x:c>
      <x:c r="K3692" s="9" t="n">
        <x:v>27</x:v>
      </x:c>
      <x:c r="L3692" s="7" t="n">
        <x:v>2021</x:v>
      </x:c>
      <x:c r="M3692" s="11" t="n">
        <x:v>74459</x:v>
      </x:c>
      <x:c r="N3692" s="7" t="n">
        <x:v>1</x:v>
      </x:c>
      <x:c r="O3692" s="7" t="n">
        <x:v>0</x:v>
      </x:c>
      <x:c r="P3692" s="9" t="n">
        <x:v>13.59</x:v>
      </x:c>
      <x:c r="Q3692" s="7" t="n">
        <x:f>'Guide'!$B$5-L3692</x:f>
        <x:v>5</x:v>
      </x:c>
      <x:c r="R3692" s="9" t="n">
        <x:f>K3692-P3692</x:f>
        <x:v>13.41</x:v>
      </x:c>
      <x:c r="S3692" s="10" t="n">
        <x:f>IF(K3692&gt;0,R3692/K3692,"")</x:f>
        <x:v>0.49666666666666665</x:v>
      </x:c>
    </x:row>
    <x:row r="3693">
      <x:c r="A3693" s="7" t="n">
        <x:v>3689</x:v>
      </x:c>
      <x:c r="B3693" s="7" t="str">
        <x:v>Tata</x:v>
      </x:c>
      <x:c r="C3693" s="7" t="str">
        <x:v>Safari</x:v>
      </x:c>
      <x:c r="D3693" s="7" t="str">
        <x:v>Accomplished AT</x:v>
      </x:c>
      <x:c r="E3693" s="7" t="str">
        <x:v>Diesel</x:v>
      </x:c>
      <x:c r="F3693" s="7" t="str">
        <x:v>Automatic</x:v>
      </x:c>
      <x:c r="G3693" s="7" t="str">
        <x:v>SUV</x:v>
      </x:c>
      <x:c r="H3693" s="7" t="n">
        <x:v>1956</x:v>
      </x:c>
      <x:c r="I3693" s="7" t="n">
        <x:v>168</x:v>
      </x:c>
      <x:c r="J3693" s="9" t="n">
        <x:v>14.5</x:v>
      </x:c>
      <x:c r="K3693" s="9" t="n">
        <x:v>27</x:v>
      </x:c>
      <x:c r="L3693" s="7" t="n">
        <x:v>2022</x:v>
      </x:c>
      <x:c r="M3693" s="11" t="n">
        <x:v>52388</x:v>
      </x:c>
      <x:c r="N3693" s="7" t="n">
        <x:v>1</x:v>
      </x:c>
      <x:c r="O3693" s="7" t="n">
        <x:v>0</x:v>
      </x:c>
      <x:c r="P3693" s="9" t="n">
        <x:v>16.62</x:v>
      </x:c>
      <x:c r="Q3693" s="7" t="n">
        <x:f>'Guide'!$B$5-L3693</x:f>
        <x:v>4</x:v>
      </x:c>
      <x:c r="R3693" s="9" t="n">
        <x:f>K3693-P3693</x:f>
        <x:v>10.379999999999999</x:v>
      </x:c>
      <x:c r="S3693" s="10" t="n">
        <x:f>IF(K3693&gt;0,R3693/K3693,"")</x:f>
        <x:v>0.3844444444444444</x:v>
      </x:c>
    </x:row>
    <x:row r="3694">
      <x:c r="A3694" s="7" t="n">
        <x:v>3690</x:v>
      </x:c>
      <x:c r="B3694" s="7" t="str">
        <x:v>Tata</x:v>
      </x:c>
      <x:c r="C3694" s="7" t="str">
        <x:v>Safari</x:v>
      </x:c>
      <x:c r="D3694" s="7" t="str">
        <x:v>Accomplished AT</x:v>
      </x:c>
      <x:c r="E3694" s="7" t="str">
        <x:v>Diesel</x:v>
      </x:c>
      <x:c r="F3694" s="7" t="str">
        <x:v>Automatic</x:v>
      </x:c>
      <x:c r="G3694" s="7" t="str">
        <x:v>SUV</x:v>
      </x:c>
      <x:c r="H3694" s="7" t="n">
        <x:v>1956</x:v>
      </x:c>
      <x:c r="I3694" s="7" t="n">
        <x:v>168</x:v>
      </x:c>
      <x:c r="J3694" s="9" t="n">
        <x:v>14.5</x:v>
      </x:c>
      <x:c r="K3694" s="9" t="n">
        <x:v>27</x:v>
      </x:c>
      <x:c r="L3694" s="7" t="n">
        <x:v>2024</x:v>
      </x:c>
      <x:c r="M3694" s="11" t="n">
        <x:v>34214</x:v>
      </x:c>
      <x:c r="N3694" s="7" t="n">
        <x:v>1</x:v>
      </x:c>
      <x:c r="O3694" s="7" t="n">
        <x:v>0</x:v>
      </x:c>
      <x:c r="P3694" s="9" t="n">
        <x:v>21.55</x:v>
      </x:c>
      <x:c r="Q3694" s="7" t="n">
        <x:f>'Guide'!$B$5-L3694</x:f>
        <x:v>2</x:v>
      </x:c>
      <x:c r="R3694" s="9" t="n">
        <x:f>K3694-P3694</x:f>
        <x:v>5.449999999999999</x:v>
      </x:c>
      <x:c r="S3694" s="10" t="n">
        <x:f>IF(K3694&gt;0,R3694/K3694,"")</x:f>
        <x:v>0.20185185185185184</x:v>
      </x:c>
    </x:row>
    <x:row r="3695">
      <x:c r="A3695" s="7" t="n">
        <x:v>3691</x:v>
      </x:c>
      <x:c r="B3695" s="7" t="str">
        <x:v>Tata</x:v>
      </x:c>
      <x:c r="C3695" s="7" t="str">
        <x:v>Safari</x:v>
      </x:c>
      <x:c r="D3695" s="7" t="str">
        <x:v>Accomplished AT</x:v>
      </x:c>
      <x:c r="E3695" s="7" t="str">
        <x:v>Diesel</x:v>
      </x:c>
      <x:c r="F3695" s="7" t="str">
        <x:v>Automatic</x:v>
      </x:c>
      <x:c r="G3695" s="7" t="str">
        <x:v>SUV</x:v>
      </x:c>
      <x:c r="H3695" s="7" t="n">
        <x:v>1956</x:v>
      </x:c>
      <x:c r="I3695" s="7" t="n">
        <x:v>168</x:v>
      </x:c>
      <x:c r="J3695" s="9" t="n">
        <x:v>14.5</x:v>
      </x:c>
      <x:c r="K3695" s="9" t="n">
        <x:v>27</x:v>
      </x:c>
      <x:c r="L3695" s="7" t="n">
        <x:v>2021</x:v>
      </x:c>
      <x:c r="M3695" s="11" t="n">
        <x:v>70266</x:v>
      </x:c>
      <x:c r="N3695" s="7" t="n">
        <x:v>2</x:v>
      </x:c>
      <x:c r="O3695" s="7" t="n">
        <x:v>0</x:v>
      </x:c>
      <x:c r="P3695" s="9" t="n">
        <x:v>13.23</x:v>
      </x:c>
      <x:c r="Q3695" s="7" t="n">
        <x:f>'Guide'!$B$5-L3695</x:f>
        <x:v>5</x:v>
      </x:c>
      <x:c r="R3695" s="9" t="n">
        <x:f>K3695-P3695</x:f>
        <x:v>13.77</x:v>
      </x:c>
      <x:c r="S3695" s="10" t="n">
        <x:f>IF(K3695&gt;0,R3695/K3695,"")</x:f>
        <x:v>0.51</x:v>
      </x:c>
    </x:row>
    <x:row r="3696">
      <x:c r="A3696" s="7" t="n">
        <x:v>3692</x:v>
      </x:c>
      <x:c r="B3696" s="7" t="str">
        <x:v>Tata</x:v>
      </x:c>
      <x:c r="C3696" s="7" t="str">
        <x:v>Safari</x:v>
      </x:c>
      <x:c r="D3696" s="7" t="str">
        <x:v>Accomplished AT</x:v>
      </x:c>
      <x:c r="E3696" s="7" t="str">
        <x:v>Diesel</x:v>
      </x:c>
      <x:c r="F3696" s="7" t="str">
        <x:v>Automatic</x:v>
      </x:c>
      <x:c r="G3696" s="7" t="str">
        <x:v>SUV</x:v>
      </x:c>
      <x:c r="H3696" s="7" t="n">
        <x:v>1956</x:v>
      </x:c>
      <x:c r="I3696" s="7" t="n">
        <x:v>168</x:v>
      </x:c>
      <x:c r="J3696" s="9" t="n">
        <x:v>14.5</x:v>
      </x:c>
      <x:c r="K3696" s="9" t="n">
        <x:v>27</x:v>
      </x:c>
      <x:c r="L3696" s="7" t="n">
        <x:v>2025</x:v>
      </x:c>
      <x:c r="M3696" s="11" t="n">
        <x:v>25648</x:v>
      </x:c>
      <x:c r="N3696" s="7" t="n">
        <x:v>2</x:v>
      </x:c>
      <x:c r="O3696" s="7" t="n">
        <x:v>0</x:v>
      </x:c>
      <x:c r="P3696" s="9" t="n">
        <x:v>23.64</x:v>
      </x:c>
      <x:c r="Q3696" s="7" t="n">
        <x:f>'Guide'!$B$5-L3696</x:f>
        <x:v>1</x:v>
      </x:c>
      <x:c r="R3696" s="9" t="n">
        <x:f>K3696-P3696</x:f>
        <x:v>3.3599999999999994</x:v>
      </x:c>
      <x:c r="S3696" s="10" t="n">
        <x:f>IF(K3696&gt;0,R3696/K3696,"")</x:f>
        <x:v>0.12444444444444443</x:v>
      </x:c>
    </x:row>
    <x:row r="3697">
      <x:c r="A3697" s="7" t="n">
        <x:v>3693</x:v>
      </x:c>
      <x:c r="B3697" s="7" t="str">
        <x:v>Tata</x:v>
      </x:c>
      <x:c r="C3697" s="7" t="str">
        <x:v>Safari</x:v>
      </x:c>
      <x:c r="D3697" s="7" t="str">
        <x:v>Accomplished AT</x:v>
      </x:c>
      <x:c r="E3697" s="7" t="str">
        <x:v>Diesel</x:v>
      </x:c>
      <x:c r="F3697" s="7" t="str">
        <x:v>Automatic</x:v>
      </x:c>
      <x:c r="G3697" s="7" t="str">
        <x:v>SUV</x:v>
      </x:c>
      <x:c r="H3697" s="7" t="n">
        <x:v>1956</x:v>
      </x:c>
      <x:c r="I3697" s="7" t="n">
        <x:v>168</x:v>
      </x:c>
      <x:c r="J3697" s="9" t="n">
        <x:v>14.5</x:v>
      </x:c>
      <x:c r="K3697" s="9" t="n">
        <x:v>27</x:v>
      </x:c>
      <x:c r="L3697" s="7" t="n">
        <x:v>2025</x:v>
      </x:c>
      <x:c r="M3697" s="11" t="n">
        <x:v>28259</x:v>
      </x:c>
      <x:c r="N3697" s="7" t="n">
        <x:v>1</x:v>
      </x:c>
      <x:c r="O3697" s="7" t="n">
        <x:v>0</x:v>
      </x:c>
      <x:c r="P3697" s="9" t="n">
        <x:v>23.58</x:v>
      </x:c>
      <x:c r="Q3697" s="7" t="n">
        <x:f>'Guide'!$B$5-L3697</x:f>
        <x:v>1</x:v>
      </x:c>
      <x:c r="R3697" s="9" t="n">
        <x:f>K3697-P3697</x:f>
        <x:v>3.4200000000000017</x:v>
      </x:c>
      <x:c r="S3697" s="10" t="n">
        <x:f>IF(K3697&gt;0,R3697/K3697,"")</x:f>
        <x:v>0.12666666666666673</x:v>
      </x:c>
    </x:row>
    <x:row r="3698">
      <x:c r="A3698" s="7" t="n">
        <x:v>3694</x:v>
      </x:c>
      <x:c r="B3698" s="7" t="str">
        <x:v>Tata</x:v>
      </x:c>
      <x:c r="C3698" s="7" t="str">
        <x:v>Safari</x:v>
      </x:c>
      <x:c r="D3698" s="7" t="str">
        <x:v>Accomplished AT</x:v>
      </x:c>
      <x:c r="E3698" s="7" t="str">
        <x:v>Diesel</x:v>
      </x:c>
      <x:c r="F3698" s="7" t="str">
        <x:v>Automatic</x:v>
      </x:c>
      <x:c r="G3698" s="7" t="str">
        <x:v>SUV</x:v>
      </x:c>
      <x:c r="H3698" s="7" t="n">
        <x:v>1956</x:v>
      </x:c>
      <x:c r="I3698" s="7" t="n">
        <x:v>168</x:v>
      </x:c>
      <x:c r="J3698" s="9" t="n">
        <x:v>14.5</x:v>
      </x:c>
      <x:c r="K3698" s="9" t="n">
        <x:v>27</x:v>
      </x:c>
      <x:c r="L3698" s="7" t="n">
        <x:v>2021</x:v>
      </x:c>
      <x:c r="M3698" s="11" t="n">
        <x:v>87652</x:v>
      </x:c>
      <x:c r="N3698" s="7" t="n">
        <x:v>1</x:v>
      </x:c>
      <x:c r="O3698" s="7" t="n">
        <x:v>0</x:v>
      </x:c>
      <x:c r="P3698" s="9" t="n">
        <x:v>13.28</x:v>
      </x:c>
      <x:c r="Q3698" s="7" t="n">
        <x:f>'Guide'!$B$5-L3698</x:f>
        <x:v>5</x:v>
      </x:c>
      <x:c r="R3698" s="9" t="n">
        <x:f>K3698-P3698</x:f>
        <x:v>13.72</x:v>
      </x:c>
      <x:c r="S3698" s="10" t="n">
        <x:f>IF(K3698&gt;0,R3698/K3698,"")</x:f>
        <x:v>0.5081481481481481</x:v>
      </x:c>
    </x:row>
    <x:row r="3699">
      <x:c r="A3699" s="7" t="n">
        <x:v>3695</x:v>
      </x:c>
      <x:c r="B3699" s="7" t="str">
        <x:v>Tata</x:v>
      </x:c>
      <x:c r="C3699" s="7" t="str">
        <x:v>Safari</x:v>
      </x:c>
      <x:c r="D3699" s="7" t="str">
        <x:v>Accomplished AT</x:v>
      </x:c>
      <x:c r="E3699" s="7" t="str">
        <x:v>Diesel</x:v>
      </x:c>
      <x:c r="F3699" s="7" t="str">
        <x:v>Automatic</x:v>
      </x:c>
      <x:c r="G3699" s="7" t="str">
        <x:v>SUV</x:v>
      </x:c>
      <x:c r="H3699" s="7" t="n">
        <x:v>1956</x:v>
      </x:c>
      <x:c r="I3699" s="7" t="n">
        <x:v>168</x:v>
      </x:c>
      <x:c r="J3699" s="9" t="n">
        <x:v>14.5</x:v>
      </x:c>
      <x:c r="K3699" s="9" t="n">
        <x:v>27</x:v>
      </x:c>
      <x:c r="L3699" s="7" t="n">
        <x:v>2024</x:v>
      </x:c>
      <x:c r="M3699" s="11" t="n">
        <x:v>40435</x:v>
      </x:c>
      <x:c r="N3699" s="7" t="n">
        <x:v>2</x:v>
      </x:c>
      <x:c r="O3699" s="7" t="n">
        <x:v>0</x:v>
      </x:c>
      <x:c r="P3699" s="9" t="n">
        <x:v>20.64</x:v>
      </x:c>
      <x:c r="Q3699" s="7" t="n">
        <x:f>'Guide'!$B$5-L3699</x:f>
        <x:v>2</x:v>
      </x:c>
      <x:c r="R3699" s="9" t="n">
        <x:f>K3699-P3699</x:f>
        <x:v>6.359999999999999</x:v>
      </x:c>
      <x:c r="S3699" s="10" t="n">
        <x:f>IF(K3699&gt;0,R3699/K3699,"")</x:f>
        <x:v>0.23555555555555555</x:v>
      </x:c>
    </x:row>
    <x:row r="3700">
      <x:c r="A3700" s="7" t="n">
        <x:v>3696</x:v>
      </x:c>
      <x:c r="B3700" s="7" t="str">
        <x:v>Tata</x:v>
      </x:c>
      <x:c r="C3700" s="7" t="str">
        <x:v>Safari</x:v>
      </x:c>
      <x:c r="D3700" s="7" t="str">
        <x:v>Accomplished AT</x:v>
      </x:c>
      <x:c r="E3700" s="7" t="str">
        <x:v>Diesel</x:v>
      </x:c>
      <x:c r="F3700" s="7" t="str">
        <x:v>Automatic</x:v>
      </x:c>
      <x:c r="G3700" s="7" t="str">
        <x:v>SUV</x:v>
      </x:c>
      <x:c r="H3700" s="7" t="n">
        <x:v>1956</x:v>
      </x:c>
      <x:c r="I3700" s="7" t="n">
        <x:v>168</x:v>
      </x:c>
      <x:c r="J3700" s="9" t="n">
        <x:v>14.5</x:v>
      </x:c>
      <x:c r="K3700" s="9" t="n">
        <x:v>27</x:v>
      </x:c>
      <x:c r="L3700" s="7" t="n">
        <x:v>2021</x:v>
      </x:c>
      <x:c r="M3700" s="11" t="n">
        <x:v>96137</x:v>
      </x:c>
      <x:c r="N3700" s="7" t="n">
        <x:v>1</x:v>
      </x:c>
      <x:c r="O3700" s="7" t="n">
        <x:v>0</x:v>
      </x:c>
      <x:c r="P3700" s="9" t="n">
        <x:v>12.84</x:v>
      </x:c>
      <x:c r="Q3700" s="7" t="n">
        <x:f>'Guide'!$B$5-L3700</x:f>
        <x:v>5</x:v>
      </x:c>
      <x:c r="R3700" s="9" t="n">
        <x:f>K3700-P3700</x:f>
        <x:v>14.16</x:v>
      </x:c>
      <x:c r="S3700" s="10" t="n">
        <x:f>IF(K3700&gt;0,R3700/K3700,"")</x:f>
        <x:v>0.5244444444444445</x:v>
      </x:c>
    </x:row>
    <x:row r="3701">
      <x:c r="A3701" s="7" t="n">
        <x:v>3697</x:v>
      </x:c>
      <x:c r="B3701" s="7" t="str">
        <x:v>Tata</x:v>
      </x:c>
      <x:c r="C3701" s="7" t="str">
        <x:v>Safari</x:v>
      </x:c>
      <x:c r="D3701" s="7" t="str">
        <x:v>Accomplished AT</x:v>
      </x:c>
      <x:c r="E3701" s="7" t="str">
        <x:v>Diesel</x:v>
      </x:c>
      <x:c r="F3701" s="7" t="str">
        <x:v>Automatic</x:v>
      </x:c>
      <x:c r="G3701" s="7" t="str">
        <x:v>SUV</x:v>
      </x:c>
      <x:c r="H3701" s="7" t="n">
        <x:v>1956</x:v>
      </x:c>
      <x:c r="I3701" s="7" t="n">
        <x:v>168</x:v>
      </x:c>
      <x:c r="J3701" s="9" t="n">
        <x:v>14.5</x:v>
      </x:c>
      <x:c r="K3701" s="9" t="n">
        <x:v>27</x:v>
      </x:c>
      <x:c r="L3701" s="7" t="n">
        <x:v>2020</x:v>
      </x:c>
      <x:c r="M3701" s="11" t="n">
        <x:v>84406</x:v>
      </x:c>
      <x:c r="N3701" s="7" t="n">
        <x:v>1</x:v>
      </x:c>
      <x:c r="O3701" s="7" t="n">
        <x:v>0</x:v>
      </x:c>
      <x:c r="P3701" s="9" t="n">
        <x:v>11.45</x:v>
      </x:c>
      <x:c r="Q3701" s="7" t="n">
        <x:f>'Guide'!$B$5-L3701</x:f>
        <x:v>6</x:v>
      </x:c>
      <x:c r="R3701" s="9" t="n">
        <x:f>K3701-P3701</x:f>
        <x:v>15.55</x:v>
      </x:c>
      <x:c r="S3701" s="10" t="n">
        <x:f>IF(K3701&gt;0,R3701/K3701,"")</x:f>
        <x:v>0.575925925925926</x:v>
      </x:c>
    </x:row>
    <x:row r="3702">
      <x:c r="A3702" s="7" t="n">
        <x:v>3698</x:v>
      </x:c>
      <x:c r="B3702" s="7" t="str">
        <x:v>Tata</x:v>
      </x:c>
      <x:c r="C3702" s="7" t="str">
        <x:v>Safari</x:v>
      </x:c>
      <x:c r="D3702" s="7" t="str">
        <x:v>Accomplished AT</x:v>
      </x:c>
      <x:c r="E3702" s="7" t="str">
        <x:v>Diesel</x:v>
      </x:c>
      <x:c r="F3702" s="7" t="str">
        <x:v>Automatic</x:v>
      </x:c>
      <x:c r="G3702" s="7" t="str">
        <x:v>SUV</x:v>
      </x:c>
      <x:c r="H3702" s="7" t="n">
        <x:v>1956</x:v>
      </x:c>
      <x:c r="I3702" s="7" t="n">
        <x:v>168</x:v>
      </x:c>
      <x:c r="J3702" s="9" t="n">
        <x:v>14.5</x:v>
      </x:c>
      <x:c r="K3702" s="9" t="n">
        <x:v>27</x:v>
      </x:c>
      <x:c r="L3702" s="7" t="n">
        <x:v>2020</x:v>
      </x:c>
      <x:c r="M3702" s="11" t="n">
        <x:v>108879</x:v>
      </x:c>
      <x:c r="N3702" s="7" t="n">
        <x:v>1</x:v>
      </x:c>
      <x:c r="O3702" s="7" t="n">
        <x:v>0</x:v>
      </x:c>
      <x:c r="P3702" s="9" t="n">
        <x:v>10.53</x:v>
      </x:c>
      <x:c r="Q3702" s="7" t="n">
        <x:f>'Guide'!$B$5-L3702</x:f>
        <x:v>6</x:v>
      </x:c>
      <x:c r="R3702" s="9" t="n">
        <x:f>K3702-P3702</x:f>
        <x:v>16.47</x:v>
      </x:c>
      <x:c r="S3702" s="10" t="n">
        <x:f>IF(K3702&gt;0,R3702/K3702,"")</x:f>
        <x:v>0.61</x:v>
      </x:c>
    </x:row>
    <x:row r="3703">
      <x:c r="A3703" s="7" t="n">
        <x:v>3699</x:v>
      </x:c>
      <x:c r="B3703" s="7" t="str">
        <x:v>Tata</x:v>
      </x:c>
      <x:c r="C3703" s="7" t="str">
        <x:v>Safari</x:v>
      </x:c>
      <x:c r="D3703" s="7" t="str">
        <x:v>Accomplished AT</x:v>
      </x:c>
      <x:c r="E3703" s="7" t="str">
        <x:v>Diesel</x:v>
      </x:c>
      <x:c r="F3703" s="7" t="str">
        <x:v>Automatic</x:v>
      </x:c>
      <x:c r="G3703" s="7" t="str">
        <x:v>SUV</x:v>
      </x:c>
      <x:c r="H3703" s="7" t="n">
        <x:v>1956</x:v>
      </x:c>
      <x:c r="I3703" s="7" t="n">
        <x:v>168</x:v>
      </x:c>
      <x:c r="J3703" s="9" t="n">
        <x:v>14.5</x:v>
      </x:c>
      <x:c r="K3703" s="9" t="n">
        <x:v>27</x:v>
      </x:c>
      <x:c r="L3703" s="7" t="n">
        <x:v>2022</x:v>
      </x:c>
      <x:c r="M3703" s="11" t="n">
        <x:v>42517</x:v>
      </x:c>
      <x:c r="N3703" s="7" t="n">
        <x:v>2</x:v>
      </x:c>
      <x:c r="O3703" s="7" t="n">
        <x:v>0</x:v>
      </x:c>
      <x:c r="P3703" s="9" t="n">
        <x:v>16.44</x:v>
      </x:c>
      <x:c r="Q3703" s="7" t="n">
        <x:f>'Guide'!$B$5-L3703</x:f>
        <x:v>4</x:v>
      </x:c>
      <x:c r="R3703" s="9" t="n">
        <x:f>K3703-P3703</x:f>
        <x:v>10.559999999999999</x:v>
      </x:c>
      <x:c r="S3703" s="10" t="n">
        <x:f>IF(K3703&gt;0,R3703/K3703,"")</x:f>
        <x:v>0.3911111111111111</x:v>
      </x:c>
    </x:row>
    <x:row r="3704">
      <x:c r="A3704" s="7" t="n">
        <x:v>3700</x:v>
      </x:c>
      <x:c r="B3704" s="7" t="str">
        <x:v>Tata</x:v>
      </x:c>
      <x:c r="C3704" s="7" t="str">
        <x:v>Safari</x:v>
      </x:c>
      <x:c r="D3704" s="7" t="str">
        <x:v>Accomplished AT</x:v>
      </x:c>
      <x:c r="E3704" s="7" t="str">
        <x:v>Diesel</x:v>
      </x:c>
      <x:c r="F3704" s="7" t="str">
        <x:v>Automatic</x:v>
      </x:c>
      <x:c r="G3704" s="7" t="str">
        <x:v>SUV</x:v>
      </x:c>
      <x:c r="H3704" s="7" t="n">
        <x:v>1956</x:v>
      </x:c>
      <x:c r="I3704" s="7" t="n">
        <x:v>168</x:v>
      </x:c>
      <x:c r="J3704" s="9" t="n">
        <x:v>14.5</x:v>
      </x:c>
      <x:c r="K3704" s="9" t="n">
        <x:v>27</x:v>
      </x:c>
      <x:c r="L3704" s="7" t="n">
        <x:v>2024</x:v>
      </x:c>
      <x:c r="M3704" s="11" t="n">
        <x:v>33422</x:v>
      </x:c>
      <x:c r="N3704" s="7" t="n">
        <x:v>1</x:v>
      </x:c>
      <x:c r="O3704" s="7" t="n">
        <x:v>0</x:v>
      </x:c>
      <x:c r="P3704" s="9" t="n">
        <x:v>21.44</x:v>
      </x:c>
      <x:c r="Q3704" s="7" t="n">
        <x:f>'Guide'!$B$5-L3704</x:f>
        <x:v>2</x:v>
      </x:c>
      <x:c r="R3704" s="9" t="n">
        <x:f>K3704-P3704</x:f>
        <x:v>5.559999999999999</x:v>
      </x:c>
      <x:c r="S3704" s="10" t="n">
        <x:f>IF(K3704&gt;0,R3704/K3704,"")</x:f>
        <x:v>0.20592592592592587</x:v>
      </x:c>
    </x:row>
    <x:row r="3705">
      <x:c r="A3705" s="7" t="n">
        <x:v>3701</x:v>
      </x:c>
      <x:c r="B3705" s="7" t="str">
        <x:v>Tata</x:v>
      </x:c>
      <x:c r="C3705" s="7" t="str">
        <x:v>Safari</x:v>
      </x:c>
      <x:c r="D3705" s="7" t="str">
        <x:v>Accomplished AT</x:v>
      </x:c>
      <x:c r="E3705" s="7" t="str">
        <x:v>Diesel</x:v>
      </x:c>
      <x:c r="F3705" s="7" t="str">
        <x:v>Automatic</x:v>
      </x:c>
      <x:c r="G3705" s="7" t="str">
        <x:v>SUV</x:v>
      </x:c>
      <x:c r="H3705" s="7" t="n">
        <x:v>1956</x:v>
      </x:c>
      <x:c r="I3705" s="7" t="n">
        <x:v>168</x:v>
      </x:c>
      <x:c r="J3705" s="9" t="n">
        <x:v>14.5</x:v>
      </x:c>
      <x:c r="K3705" s="9" t="n">
        <x:v>27</x:v>
      </x:c>
      <x:c r="L3705" s="7" t="n">
        <x:v>2023</x:v>
      </x:c>
      <x:c r="M3705" s="11" t="n">
        <x:v>60230</x:v>
      </x:c>
      <x:c r="N3705" s="7" t="n">
        <x:v>1</x:v>
      </x:c>
      <x:c r="O3705" s="7" t="n">
        <x:v>0</x:v>
      </x:c>
      <x:c r="P3705" s="9" t="n">
        <x:v>18.84</x:v>
      </x:c>
      <x:c r="Q3705" s="7" t="n">
        <x:f>'Guide'!$B$5-L3705</x:f>
        <x:v>3</x:v>
      </x:c>
      <x:c r="R3705" s="9" t="n">
        <x:f>K3705-P3705</x:f>
        <x:v>8.16</x:v>
      </x:c>
      <x:c r="S3705" s="10" t="n">
        <x:f>IF(K3705&gt;0,R3705/K3705,"")</x:f>
        <x:v>0.3022222222222222</x:v>
      </x:c>
    </x:row>
    <x:row r="3706">
      <x:c r="A3706" s="7" t="n">
        <x:v>3702</x:v>
      </x:c>
      <x:c r="B3706" s="7" t="str">
        <x:v>Tata</x:v>
      </x:c>
      <x:c r="C3706" s="7" t="str">
        <x:v>Safari</x:v>
      </x:c>
      <x:c r="D3706" s="7" t="str">
        <x:v>Accomplished AT</x:v>
      </x:c>
      <x:c r="E3706" s="7" t="str">
        <x:v>Diesel</x:v>
      </x:c>
      <x:c r="F3706" s="7" t="str">
        <x:v>Automatic</x:v>
      </x:c>
      <x:c r="G3706" s="7" t="str">
        <x:v>SUV</x:v>
      </x:c>
      <x:c r="H3706" s="7" t="n">
        <x:v>1956</x:v>
      </x:c>
      <x:c r="I3706" s="7" t="n">
        <x:v>168</x:v>
      </x:c>
      <x:c r="J3706" s="9" t="n">
        <x:v>14.5</x:v>
      </x:c>
      <x:c r="K3706" s="9" t="n">
        <x:v>27</x:v>
      </x:c>
      <x:c r="L3706" s="7" t="n">
        <x:v>2024</x:v>
      </x:c>
      <x:c r="M3706" s="11" t="n">
        <x:v>33917</x:v>
      </x:c>
      <x:c r="N3706" s="7" t="n">
        <x:v>1</x:v>
      </x:c>
      <x:c r="O3706" s="7" t="n">
        <x:v>0</x:v>
      </x:c>
      <x:c r="P3706" s="9" t="n">
        <x:v>21.4</x:v>
      </x:c>
      <x:c r="Q3706" s="7" t="n">
        <x:f>'Guide'!$B$5-L3706</x:f>
        <x:v>2</x:v>
      </x:c>
      <x:c r="R3706" s="9" t="n">
        <x:f>K3706-P3706</x:f>
        <x:v>5.600000000000001</x:v>
      </x:c>
      <x:c r="S3706" s="10" t="n">
        <x:f>IF(K3706&gt;0,R3706/K3706,"")</x:f>
        <x:v>0.20740740740740746</x:v>
      </x:c>
    </x:row>
    <x:row r="3707">
      <x:c r="A3707" s="7" t="n">
        <x:v>3703</x:v>
      </x:c>
      <x:c r="B3707" s="7" t="str">
        <x:v>Tata</x:v>
      </x:c>
      <x:c r="C3707" s="7" t="str">
        <x:v>Safari</x:v>
      </x:c>
      <x:c r="D3707" s="7" t="str">
        <x:v>Accomplished AT</x:v>
      </x:c>
      <x:c r="E3707" s="7" t="str">
        <x:v>Diesel</x:v>
      </x:c>
      <x:c r="F3707" s="7" t="str">
        <x:v>Automatic</x:v>
      </x:c>
      <x:c r="G3707" s="7" t="str">
        <x:v>SUV</x:v>
      </x:c>
      <x:c r="H3707" s="7" t="n">
        <x:v>1956</x:v>
      </x:c>
      <x:c r="I3707" s="7" t="n">
        <x:v>168</x:v>
      </x:c>
      <x:c r="J3707" s="9" t="n">
        <x:v>14.5</x:v>
      </x:c>
      <x:c r="K3707" s="9" t="n">
        <x:v>27</x:v>
      </x:c>
      <x:c r="L3707" s="7" t="n">
        <x:v>2026</x:v>
      </x:c>
      <x:c r="M3707" s="11" t="n">
        <x:v>6442</x:v>
      </x:c>
      <x:c r="N3707" s="7" t="n">
        <x:v>1</x:v>
      </x:c>
      <x:c r="O3707" s="7" t="n">
        <x:v>0</x:v>
      </x:c>
      <x:c r="P3707" s="9" t="n">
        <x:v>26.95</x:v>
      </x:c>
      <x:c r="Q3707" s="7" t="n">
        <x:f>'Guide'!$B$5-L3707</x:f>
        <x:v>0</x:v>
      </x:c>
      <x:c r="R3707" s="9" t="n">
        <x:f>K3707-P3707</x:f>
        <x:v>0.05000000000000071</x:v>
      </x:c>
      <x:c r="S3707" s="10" t="n">
        <x:f>IF(K3707&gt;0,R3707/K3707,"")</x:f>
        <x:v>0.0018518518518518782</x:v>
      </x:c>
    </x:row>
    <x:row r="3708">
      <x:c r="A3708" s="7" t="n">
        <x:v>3704</x:v>
      </x:c>
      <x:c r="B3708" s="7" t="str">
        <x:v>Tata</x:v>
      </x:c>
      <x:c r="C3708" s="7" t="str">
        <x:v>Safari</x:v>
      </x:c>
      <x:c r="D3708" s="7" t="str">
        <x:v>Accomplished AT</x:v>
      </x:c>
      <x:c r="E3708" s="7" t="str">
        <x:v>Diesel</x:v>
      </x:c>
      <x:c r="F3708" s="7" t="str">
        <x:v>Automatic</x:v>
      </x:c>
      <x:c r="G3708" s="7" t="str">
        <x:v>SUV</x:v>
      </x:c>
      <x:c r="H3708" s="7" t="n">
        <x:v>1956</x:v>
      </x:c>
      <x:c r="I3708" s="7" t="n">
        <x:v>168</x:v>
      </x:c>
      <x:c r="J3708" s="9" t="n">
        <x:v>14.5</x:v>
      </x:c>
      <x:c r="K3708" s="9" t="n">
        <x:v>27</x:v>
      </x:c>
      <x:c r="L3708" s="7" t="n">
        <x:v>2022</x:v>
      </x:c>
      <x:c r="M3708" s="11" t="n">
        <x:v>42372</x:v>
      </x:c>
      <x:c r="N3708" s="7" t="n">
        <x:v>2</x:v>
      </x:c>
      <x:c r="O3708" s="7" t="n">
        <x:v>0</x:v>
      </x:c>
      <x:c r="P3708" s="9" t="n">
        <x:v>16.83</x:v>
      </x:c>
      <x:c r="Q3708" s="7" t="n">
        <x:f>'Guide'!$B$5-L3708</x:f>
        <x:v>4</x:v>
      </x:c>
      <x:c r="R3708" s="9" t="n">
        <x:f>K3708-P3708</x:f>
        <x:v>10.170000000000002</x:v>
      </x:c>
      <x:c r="S3708" s="10" t="n">
        <x:f>IF(K3708&gt;0,R3708/K3708,"")</x:f>
        <x:v>0.3766666666666667</x:v>
      </x:c>
    </x:row>
    <x:row r="3709">
      <x:c r="A3709" s="7" t="n">
        <x:v>3705</x:v>
      </x:c>
      <x:c r="B3709" s="7" t="str">
        <x:v>Tata</x:v>
      </x:c>
      <x:c r="C3709" s="7" t="str">
        <x:v>Safari</x:v>
      </x:c>
      <x:c r="D3709" s="7" t="str">
        <x:v>Accomplished AT</x:v>
      </x:c>
      <x:c r="E3709" s="7" t="str">
        <x:v>Diesel</x:v>
      </x:c>
      <x:c r="F3709" s="7" t="str">
        <x:v>Automatic</x:v>
      </x:c>
      <x:c r="G3709" s="7" t="str">
        <x:v>SUV</x:v>
      </x:c>
      <x:c r="H3709" s="7" t="n">
        <x:v>1956</x:v>
      </x:c>
      <x:c r="I3709" s="7" t="n">
        <x:v>168</x:v>
      </x:c>
      <x:c r="J3709" s="9" t="n">
        <x:v>14.5</x:v>
      </x:c>
      <x:c r="K3709" s="9" t="n">
        <x:v>27</x:v>
      </x:c>
      <x:c r="L3709" s="7" t="n">
        <x:v>2026</x:v>
      </x:c>
      <x:c r="M3709" s="11" t="n">
        <x:v>5509</x:v>
      </x:c>
      <x:c r="N3709" s="7" t="n">
        <x:v>1</x:v>
      </x:c>
      <x:c r="O3709" s="7" t="n">
        <x:v>0</x:v>
      </x:c>
      <x:c r="P3709" s="9" t="n">
        <x:v>27.21</x:v>
      </x:c>
      <x:c r="Q3709" s="7" t="n">
        <x:f>'Guide'!$B$5-L3709</x:f>
        <x:v>0</x:v>
      </x:c>
      <x:c r="R3709" s="9" t="n">
        <x:f>K3709-P3709</x:f>
        <x:v>-0.21000000000000085</x:v>
      </x:c>
      <x:c r="S3709" s="10" t="n">
        <x:f>IF(K3709&gt;0,R3709/K3709,"")</x:f>
        <x:v>-0.00777777777777781</x:v>
      </x:c>
    </x:row>
    <x:row r="3710">
      <x:c r="A3710" s="7" t="n">
        <x:v>3706</x:v>
      </x:c>
      <x:c r="B3710" s="7" t="str">
        <x:v>Tata</x:v>
      </x:c>
      <x:c r="C3710" s="7" t="str">
        <x:v>Safari</x:v>
      </x:c>
      <x:c r="D3710" s="7" t="str">
        <x:v>Accomplished AT</x:v>
      </x:c>
      <x:c r="E3710" s="7" t="str">
        <x:v>Diesel</x:v>
      </x:c>
      <x:c r="F3710" s="7" t="str">
        <x:v>Automatic</x:v>
      </x:c>
      <x:c r="G3710" s="7" t="str">
        <x:v>SUV</x:v>
      </x:c>
      <x:c r="H3710" s="7" t="n">
        <x:v>1956</x:v>
      </x:c>
      <x:c r="I3710" s="7" t="n">
        <x:v>168</x:v>
      </x:c>
      <x:c r="J3710" s="9" t="n">
        <x:v>14.5</x:v>
      </x:c>
      <x:c r="K3710" s="9" t="n">
        <x:v>27</x:v>
      </x:c>
      <x:c r="L3710" s="7" t="n">
        <x:v>2025</x:v>
      </x:c>
      <x:c r="M3710" s="11" t="n">
        <x:v>19042</x:v>
      </x:c>
      <x:c r="N3710" s="7" t="n">
        <x:v>2</x:v>
      </x:c>
      <x:c r="O3710" s="7" t="n">
        <x:v>0</x:v>
      </x:c>
      <x:c r="P3710" s="9" t="n">
        <x:v>23.53</x:v>
      </x:c>
      <x:c r="Q3710" s="7" t="n">
        <x:f>'Guide'!$B$5-L3710</x:f>
        <x:v>1</x:v>
      </x:c>
      <x:c r="R3710" s="9" t="n">
        <x:f>K3710-P3710</x:f>
        <x:v>3.469999999999999</x:v>
      </x:c>
      <x:c r="S3710" s="10" t="n">
        <x:f>IF(K3710&gt;0,R3710/K3710,"")</x:f>
        <x:v>0.12851851851851848</x:v>
      </x:c>
    </x:row>
    <x:row r="3711">
      <x:c r="A3711" s="7" t="n">
        <x:v>3707</x:v>
      </x:c>
      <x:c r="B3711" s="7" t="str">
        <x:v>Tata</x:v>
      </x:c>
      <x:c r="C3711" s="7" t="str">
        <x:v>Safari</x:v>
      </x:c>
      <x:c r="D3711" s="7" t="str">
        <x:v>Accomplished AT</x:v>
      </x:c>
      <x:c r="E3711" s="7" t="str">
        <x:v>Diesel</x:v>
      </x:c>
      <x:c r="F3711" s="7" t="str">
        <x:v>Automatic</x:v>
      </x:c>
      <x:c r="G3711" s="7" t="str">
        <x:v>SUV</x:v>
      </x:c>
      <x:c r="H3711" s="7" t="n">
        <x:v>1956</x:v>
      </x:c>
      <x:c r="I3711" s="7" t="n">
        <x:v>168</x:v>
      </x:c>
      <x:c r="J3711" s="9" t="n">
        <x:v>14.5</x:v>
      </x:c>
      <x:c r="K3711" s="9" t="n">
        <x:v>27</x:v>
      </x:c>
      <x:c r="L3711" s="7" t="n">
        <x:v>2026</x:v>
      </x:c>
      <x:c r="M3711" s="11" t="n">
        <x:v>8745</x:v>
      </x:c>
      <x:c r="N3711" s="7" t="n">
        <x:v>1</x:v>
      </x:c>
      <x:c r="O3711" s="7" t="n">
        <x:v>0</x:v>
      </x:c>
      <x:c r="P3711" s="9" t="n">
        <x:v>27</x:v>
      </x:c>
      <x:c r="Q3711" s="7" t="n">
        <x:f>'Guide'!$B$5-L3711</x:f>
        <x:v>0</x:v>
      </x:c>
      <x:c r="R3711" s="9" t="n">
        <x:f>K3711-P3711</x:f>
        <x:v>0</x:v>
      </x:c>
      <x:c r="S3711" s="10" t="n">
        <x:f>IF(K3711&gt;0,R3711/K3711,"")</x:f>
        <x:v>0</x:v>
      </x:c>
    </x:row>
    <x:row r="3712">
      <x:c r="A3712" s="7" t="n">
        <x:v>3708</x:v>
      </x:c>
      <x:c r="B3712" s="7" t="str">
        <x:v>Tata</x:v>
      </x:c>
      <x:c r="C3712" s="7" t="str">
        <x:v>Safari</x:v>
      </x:c>
      <x:c r="D3712" s="7" t="str">
        <x:v>Accomplished AT</x:v>
      </x:c>
      <x:c r="E3712" s="7" t="str">
        <x:v>Diesel</x:v>
      </x:c>
      <x:c r="F3712" s="7" t="str">
        <x:v>Automatic</x:v>
      </x:c>
      <x:c r="G3712" s="7" t="str">
        <x:v>SUV</x:v>
      </x:c>
      <x:c r="H3712" s="7" t="n">
        <x:v>1956</x:v>
      </x:c>
      <x:c r="I3712" s="7" t="n">
        <x:v>168</x:v>
      </x:c>
      <x:c r="J3712" s="9" t="n">
        <x:v>14.5</x:v>
      </x:c>
      <x:c r="K3712" s="9" t="n">
        <x:v>27</x:v>
      </x:c>
      <x:c r="L3712" s="7" t="n">
        <x:v>2021</x:v>
      </x:c>
      <x:c r="M3712" s="11" t="n">
        <x:v>85035</x:v>
      </x:c>
      <x:c r="N3712" s="7" t="n">
        <x:v>1</x:v>
      </x:c>
      <x:c r="O3712" s="7" t="n">
        <x:v>0</x:v>
      </x:c>
      <x:c r="P3712" s="9" t="n">
        <x:v>13.2</x:v>
      </x:c>
      <x:c r="Q3712" s="7" t="n">
        <x:f>'Guide'!$B$5-L3712</x:f>
        <x:v>5</x:v>
      </x:c>
      <x:c r="R3712" s="9" t="n">
        <x:f>K3712-P3712</x:f>
        <x:v>13.8</x:v>
      </x:c>
      <x:c r="S3712" s="10" t="n">
        <x:f>IF(K3712&gt;0,R3712/K3712,"")</x:f>
        <x:v>0.5111111111111112</x:v>
      </x:c>
    </x:row>
    <x:row r="3713">
      <x:c r="A3713" s="7" t="n">
        <x:v>3709</x:v>
      </x:c>
      <x:c r="B3713" s="7" t="str">
        <x:v>Tata</x:v>
      </x:c>
      <x:c r="C3713" s="7" t="str">
        <x:v>Safari</x:v>
      </x:c>
      <x:c r="D3713" s="7" t="str">
        <x:v>Accomplished AT</x:v>
      </x:c>
      <x:c r="E3713" s="7" t="str">
        <x:v>Diesel</x:v>
      </x:c>
      <x:c r="F3713" s="7" t="str">
        <x:v>Automatic</x:v>
      </x:c>
      <x:c r="G3713" s="7" t="str">
        <x:v>SUV</x:v>
      </x:c>
      <x:c r="H3713" s="7" t="n">
        <x:v>1956</x:v>
      </x:c>
      <x:c r="I3713" s="7" t="n">
        <x:v>168</x:v>
      </x:c>
      <x:c r="J3713" s="9" t="n">
        <x:v>14.5</x:v>
      </x:c>
      <x:c r="K3713" s="9" t="n">
        <x:v>27</x:v>
      </x:c>
      <x:c r="L3713" s="7" t="n">
        <x:v>2021</x:v>
      </x:c>
      <x:c r="M3713" s="11" t="n">
        <x:v>81419</x:v>
      </x:c>
      <x:c r="N3713" s="7" t="n">
        <x:v>1</x:v>
      </x:c>
      <x:c r="O3713" s="7" t="n">
        <x:v>0</x:v>
      </x:c>
      <x:c r="P3713" s="9" t="n">
        <x:v>13.78</x:v>
      </x:c>
      <x:c r="Q3713" s="7" t="n">
        <x:f>'Guide'!$B$5-L3713</x:f>
        <x:v>5</x:v>
      </x:c>
      <x:c r="R3713" s="9" t="n">
        <x:f>K3713-P3713</x:f>
        <x:v>13.22</x:v>
      </x:c>
      <x:c r="S3713" s="10" t="n">
        <x:f>IF(K3713&gt;0,R3713/K3713,"")</x:f>
        <x:v>0.48962962962962964</x:v>
      </x:c>
    </x:row>
    <x:row r="3714">
      <x:c r="A3714" s="7" t="n">
        <x:v>3710</x:v>
      </x:c>
      <x:c r="B3714" s="7" t="str">
        <x:v>Tata</x:v>
      </x:c>
      <x:c r="C3714" s="7" t="str">
        <x:v>Safari</x:v>
      </x:c>
      <x:c r="D3714" s="7" t="str">
        <x:v>Accomplished AT</x:v>
      </x:c>
      <x:c r="E3714" s="7" t="str">
        <x:v>Diesel</x:v>
      </x:c>
      <x:c r="F3714" s="7" t="str">
        <x:v>Automatic</x:v>
      </x:c>
      <x:c r="G3714" s="7" t="str">
        <x:v>SUV</x:v>
      </x:c>
      <x:c r="H3714" s="7" t="n">
        <x:v>1956</x:v>
      </x:c>
      <x:c r="I3714" s="7" t="n">
        <x:v>168</x:v>
      </x:c>
      <x:c r="J3714" s="9" t="n">
        <x:v>14.5</x:v>
      </x:c>
      <x:c r="K3714" s="9" t="n">
        <x:v>27</x:v>
      </x:c>
      <x:c r="L3714" s="7" t="n">
        <x:v>2023</x:v>
      </x:c>
      <x:c r="M3714" s="11" t="n">
        <x:v>53689</x:v>
      </x:c>
      <x:c r="N3714" s="7" t="n">
        <x:v>2</x:v>
      </x:c>
      <x:c r="O3714" s="7" t="n">
        <x:v>0</x:v>
      </x:c>
      <x:c r="P3714" s="9" t="n">
        <x:v>18.12</x:v>
      </x:c>
      <x:c r="Q3714" s="7" t="n">
        <x:f>'Guide'!$B$5-L3714</x:f>
        <x:v>3</x:v>
      </x:c>
      <x:c r="R3714" s="9" t="n">
        <x:f>K3714-P3714</x:f>
        <x:v>8.879999999999999</x:v>
      </x:c>
      <x:c r="S3714" s="10" t="n">
        <x:f>IF(K3714&gt;0,R3714/K3714,"")</x:f>
        <x:v>0.32888888888888884</x:v>
      </x:c>
    </x:row>
    <x:row r="3715">
      <x:c r="A3715" s="7" t="n">
        <x:v>3711</x:v>
      </x:c>
      <x:c r="B3715" s="7" t="str">
        <x:v>Tata</x:v>
      </x:c>
      <x:c r="C3715" s="7" t="str">
        <x:v>Safari</x:v>
      </x:c>
      <x:c r="D3715" s="7" t="str">
        <x:v>Accomplished AT</x:v>
      </x:c>
      <x:c r="E3715" s="7" t="str">
        <x:v>Diesel</x:v>
      </x:c>
      <x:c r="F3715" s="7" t="str">
        <x:v>Automatic</x:v>
      </x:c>
      <x:c r="G3715" s="7" t="str">
        <x:v>SUV</x:v>
      </x:c>
      <x:c r="H3715" s="7" t="n">
        <x:v>1956</x:v>
      </x:c>
      <x:c r="I3715" s="7" t="n">
        <x:v>168</x:v>
      </x:c>
      <x:c r="J3715" s="9" t="n">
        <x:v>14.5</x:v>
      </x:c>
      <x:c r="K3715" s="9" t="n">
        <x:v>27</x:v>
      </x:c>
      <x:c r="L3715" s="7" t="n">
        <x:v>2020</x:v>
      </x:c>
      <x:c r="M3715" s="11" t="n">
        <x:v>55686</x:v>
      </x:c>
      <x:c r="N3715" s="7" t="n">
        <x:v>1</x:v>
      </x:c>
      <x:c r="O3715" s="7" t="n">
        <x:v>0</x:v>
      </x:c>
      <x:c r="P3715" s="9" t="n">
        <x:v>11.85</x:v>
      </x:c>
      <x:c r="Q3715" s="7" t="n">
        <x:f>'Guide'!$B$5-L3715</x:f>
        <x:v>6</x:v>
      </x:c>
      <x:c r="R3715" s="9" t="n">
        <x:f>K3715-P3715</x:f>
        <x:v>15.15</x:v>
      </x:c>
      <x:c r="S3715" s="10" t="n">
        <x:f>IF(K3715&gt;0,R3715/K3715,"")</x:f>
        <x:v>0.5611111111111111</x:v>
      </x:c>
    </x:row>
    <x:row r="3716">
      <x:c r="A3716" s="7" t="n">
        <x:v>3712</x:v>
      </x:c>
      <x:c r="B3716" s="7" t="str">
        <x:v>Tata</x:v>
      </x:c>
      <x:c r="C3716" s="7" t="str">
        <x:v>Safari</x:v>
      </x:c>
      <x:c r="D3716" s="7" t="str">
        <x:v>Accomplished AT</x:v>
      </x:c>
      <x:c r="E3716" s="7" t="str">
        <x:v>Diesel</x:v>
      </x:c>
      <x:c r="F3716" s="7" t="str">
        <x:v>Automatic</x:v>
      </x:c>
      <x:c r="G3716" s="7" t="str">
        <x:v>SUV</x:v>
      </x:c>
      <x:c r="H3716" s="7" t="n">
        <x:v>1956</x:v>
      </x:c>
      <x:c r="I3716" s="7" t="n">
        <x:v>168</x:v>
      </x:c>
      <x:c r="J3716" s="9" t="n">
        <x:v>14.5</x:v>
      </x:c>
      <x:c r="K3716" s="9" t="n">
        <x:v>27</x:v>
      </x:c>
      <x:c r="L3716" s="7" t="n">
        <x:v>2026</x:v>
      </x:c>
      <x:c r="M3716" s="11" t="n">
        <x:v>8953</x:v>
      </x:c>
      <x:c r="N3716" s="7" t="n">
        <x:v>2</x:v>
      </x:c>
      <x:c r="O3716" s="7" t="n">
        <x:v>0</x:v>
      </x:c>
      <x:c r="P3716" s="9" t="n">
        <x:v>25.93</x:v>
      </x:c>
      <x:c r="Q3716" s="7" t="n">
        <x:f>'Guide'!$B$5-L3716</x:f>
        <x:v>0</x:v>
      </x:c>
      <x:c r="R3716" s="9" t="n">
        <x:f>K3716-P3716</x:f>
        <x:v>1.0700000000000003</x:v>
      </x:c>
      <x:c r="S3716" s="10" t="n">
        <x:f>IF(K3716&gt;0,R3716/K3716,"")</x:f>
        <x:v>0.03962962962962964</x:v>
      </x:c>
    </x:row>
    <x:row r="3717">
      <x:c r="A3717" s="7" t="n">
        <x:v>3713</x:v>
      </x:c>
      <x:c r="B3717" s="7" t="str">
        <x:v>Tata</x:v>
      </x:c>
      <x:c r="C3717" s="7" t="str">
        <x:v>Safari</x:v>
      </x:c>
      <x:c r="D3717" s="7" t="str">
        <x:v>Accomplished AT</x:v>
      </x:c>
      <x:c r="E3717" s="7" t="str">
        <x:v>Diesel</x:v>
      </x:c>
      <x:c r="F3717" s="7" t="str">
        <x:v>Automatic</x:v>
      </x:c>
      <x:c r="G3717" s="7" t="str">
        <x:v>SUV</x:v>
      </x:c>
      <x:c r="H3717" s="7" t="n">
        <x:v>1956</x:v>
      </x:c>
      <x:c r="I3717" s="7" t="n">
        <x:v>168</x:v>
      </x:c>
      <x:c r="J3717" s="9" t="n">
        <x:v>14.5</x:v>
      </x:c>
      <x:c r="K3717" s="9" t="n">
        <x:v>27</x:v>
      </x:c>
      <x:c r="L3717" s="7" t="n">
        <x:v>2023</x:v>
      </x:c>
      <x:c r="M3717" s="11" t="n">
        <x:v>43388</x:v>
      </x:c>
      <x:c r="N3717" s="7" t="n">
        <x:v>1</x:v>
      </x:c>
      <x:c r="O3717" s="7" t="n">
        <x:v>0</x:v>
      </x:c>
      <x:c r="P3717" s="9" t="n">
        <x:v>19.36</x:v>
      </x:c>
      <x:c r="Q3717" s="7" t="n">
        <x:f>'Guide'!$B$5-L3717</x:f>
        <x:v>3</x:v>
      </x:c>
      <x:c r="R3717" s="9" t="n">
        <x:f>K3717-P3717</x:f>
        <x:v>7.640000000000001</x:v>
      </x:c>
      <x:c r="S3717" s="10" t="n">
        <x:f>IF(K3717&gt;0,R3717/K3717,"")</x:f>
        <x:v>0.28296296296296297</x:v>
      </x:c>
    </x:row>
    <x:row r="3718">
      <x:c r="A3718" s="7" t="n">
        <x:v>3714</x:v>
      </x:c>
      <x:c r="B3718" s="7" t="str">
        <x:v>Tata</x:v>
      </x:c>
      <x:c r="C3718" s="7" t="str">
        <x:v>Safari</x:v>
      </x:c>
      <x:c r="D3718" s="7" t="str">
        <x:v>Accomplished AT</x:v>
      </x:c>
      <x:c r="E3718" s="7" t="str">
        <x:v>Diesel</x:v>
      </x:c>
      <x:c r="F3718" s="7" t="str">
        <x:v>Automatic</x:v>
      </x:c>
      <x:c r="G3718" s="7" t="str">
        <x:v>SUV</x:v>
      </x:c>
      <x:c r="H3718" s="7" t="n">
        <x:v>1956</x:v>
      </x:c>
      <x:c r="I3718" s="7" t="n">
        <x:v>168</x:v>
      </x:c>
      <x:c r="J3718" s="9" t="n">
        <x:v>14.5</x:v>
      </x:c>
      <x:c r="K3718" s="9" t="n">
        <x:v>27</x:v>
      </x:c>
      <x:c r="L3718" s="7" t="n">
        <x:v>2022</x:v>
      </x:c>
      <x:c r="M3718" s="11" t="n">
        <x:v>56353</x:v>
      </x:c>
      <x:c r="N3718" s="7" t="n">
        <x:v>2</x:v>
      </x:c>
      <x:c r="O3718" s="7" t="n">
        <x:v>0</x:v>
      </x:c>
      <x:c r="P3718" s="9" t="n">
        <x:v>16.04</x:v>
      </x:c>
      <x:c r="Q3718" s="7" t="n">
        <x:f>'Guide'!$B$5-L3718</x:f>
        <x:v>4</x:v>
      </x:c>
      <x:c r="R3718" s="9" t="n">
        <x:f>K3718-P3718</x:f>
        <x:v>10.96</x:v>
      </x:c>
      <x:c r="S3718" s="10" t="n">
        <x:f>IF(K3718&gt;0,R3718/K3718,"")</x:f>
        <x:v>0.40592592592592597</x:v>
      </x:c>
    </x:row>
    <x:row r="3719">
      <x:c r="A3719" s="7" t="n">
        <x:v>3715</x:v>
      </x:c>
      <x:c r="B3719" s="7" t="str">
        <x:v>Tata</x:v>
      </x:c>
      <x:c r="C3719" s="7" t="str">
        <x:v>Safari</x:v>
      </x:c>
      <x:c r="D3719" s="7" t="str">
        <x:v>Accomplished AT</x:v>
      </x:c>
      <x:c r="E3719" s="7" t="str">
        <x:v>Diesel</x:v>
      </x:c>
      <x:c r="F3719" s="7" t="str">
        <x:v>Automatic</x:v>
      </x:c>
      <x:c r="G3719" s="7" t="str">
        <x:v>SUV</x:v>
      </x:c>
      <x:c r="H3719" s="7" t="n">
        <x:v>1956</x:v>
      </x:c>
      <x:c r="I3719" s="7" t="n">
        <x:v>168</x:v>
      </x:c>
      <x:c r="J3719" s="9" t="n">
        <x:v>14.5</x:v>
      </x:c>
      <x:c r="K3719" s="9" t="n">
        <x:v>27</x:v>
      </x:c>
      <x:c r="L3719" s="7" t="n">
        <x:v>2021</x:v>
      </x:c>
      <x:c r="M3719" s="11" t="n">
        <x:v>105416</x:v>
      </x:c>
      <x:c r="N3719" s="7" t="n">
        <x:v>3</x:v>
      </x:c>
      <x:c r="O3719" s="7" t="n">
        <x:v>0</x:v>
      </x:c>
      <x:c r="P3719" s="9" t="n">
        <x:v>11.88</x:v>
      </x:c>
      <x:c r="Q3719" s="7" t="n">
        <x:f>'Guide'!$B$5-L3719</x:f>
        <x:v>5</x:v>
      </x:c>
      <x:c r="R3719" s="9" t="n">
        <x:f>K3719-P3719</x:f>
        <x:v>15.12</x:v>
      </x:c>
      <x:c r="S3719" s="10" t="n">
        <x:f>IF(K3719&gt;0,R3719/K3719,"")</x:f>
        <x:v>0.5599999999999999</x:v>
      </x:c>
    </x:row>
    <x:row r="3720">
      <x:c r="A3720" s="7" t="n">
        <x:v>3716</x:v>
      </x:c>
      <x:c r="B3720" s="7" t="str">
        <x:v>Tata</x:v>
      </x:c>
      <x:c r="C3720" s="7" t="str">
        <x:v>Safari</x:v>
      </x:c>
      <x:c r="D3720" s="7" t="str">
        <x:v>Accomplished AT</x:v>
      </x:c>
      <x:c r="E3720" s="7" t="str">
        <x:v>Diesel</x:v>
      </x:c>
      <x:c r="F3720" s="7" t="str">
        <x:v>Automatic</x:v>
      </x:c>
      <x:c r="G3720" s="7" t="str">
        <x:v>SUV</x:v>
      </x:c>
      <x:c r="H3720" s="7" t="n">
        <x:v>1956</x:v>
      </x:c>
      <x:c r="I3720" s="7" t="n">
        <x:v>168</x:v>
      </x:c>
      <x:c r="J3720" s="9" t="n">
        <x:v>14.5</x:v>
      </x:c>
      <x:c r="K3720" s="9" t="n">
        <x:v>27</x:v>
      </x:c>
      <x:c r="L3720" s="7" t="n">
        <x:v>2024</x:v>
      </x:c>
      <x:c r="M3720" s="11" t="n">
        <x:v>47888</x:v>
      </x:c>
      <x:c r="N3720" s="7" t="n">
        <x:v>1</x:v>
      </x:c>
      <x:c r="O3720" s="7" t="n">
        <x:v>0</x:v>
      </x:c>
      <x:c r="P3720" s="9" t="n">
        <x:v>20.74</x:v>
      </x:c>
      <x:c r="Q3720" s="7" t="n">
        <x:f>'Guide'!$B$5-L3720</x:f>
        <x:v>2</x:v>
      </x:c>
      <x:c r="R3720" s="9" t="n">
        <x:f>K3720-P3720</x:f>
        <x:v>6.260000000000002</x:v>
      </x:c>
      <x:c r="S3720" s="10" t="n">
        <x:f>IF(K3720&gt;0,R3720/K3720,"")</x:f>
        <x:v>0.23185185185185192</x:v>
      </x:c>
    </x:row>
    <x:row r="3721">
      <x:c r="A3721" s="7" t="n">
        <x:v>3717</x:v>
      </x:c>
      <x:c r="B3721" s="7" t="str">
        <x:v>Tata</x:v>
      </x:c>
      <x:c r="C3721" s="7" t="str">
        <x:v>Safari</x:v>
      </x:c>
      <x:c r="D3721" s="7" t="str">
        <x:v>Accomplished AT</x:v>
      </x:c>
      <x:c r="E3721" s="7" t="str">
        <x:v>Diesel</x:v>
      </x:c>
      <x:c r="F3721" s="7" t="str">
        <x:v>Automatic</x:v>
      </x:c>
      <x:c r="G3721" s="7" t="str">
        <x:v>SUV</x:v>
      </x:c>
      <x:c r="H3721" s="7" t="n">
        <x:v>1956</x:v>
      </x:c>
      <x:c r="I3721" s="7" t="n">
        <x:v>168</x:v>
      </x:c>
      <x:c r="J3721" s="9" t="n">
        <x:v>14.5</x:v>
      </x:c>
      <x:c r="K3721" s="9" t="n">
        <x:v>27</x:v>
      </x:c>
      <x:c r="L3721" s="7" t="n">
        <x:v>2024</x:v>
      </x:c>
      <x:c r="M3721" s="11" t="n">
        <x:v>29918</x:v>
      </x:c>
      <x:c r="N3721" s="7" t="n">
        <x:v>2</x:v>
      </x:c>
      <x:c r="O3721" s="7" t="n">
        <x:v>0</x:v>
      </x:c>
      <x:c r="P3721" s="9" t="n">
        <x:v>21.14</x:v>
      </x:c>
      <x:c r="Q3721" s="7" t="n">
        <x:f>'Guide'!$B$5-L3721</x:f>
        <x:v>2</x:v>
      </x:c>
      <x:c r="R3721" s="9" t="n">
        <x:f>K3721-P3721</x:f>
        <x:v>5.859999999999999</x:v>
      </x:c>
      <x:c r="S3721" s="10" t="n">
        <x:f>IF(K3721&gt;0,R3721/K3721,"")</x:f>
        <x:v>0.21703703703703703</x:v>
      </x:c>
    </x:row>
    <x:row r="3722">
      <x:c r="A3722" s="7" t="n">
        <x:v>3718</x:v>
      </x:c>
      <x:c r="B3722" s="7" t="str">
        <x:v>Tata</x:v>
      </x:c>
      <x:c r="C3722" s="7" t="str">
        <x:v>Safari</x:v>
      </x:c>
      <x:c r="D3722" s="7" t="str">
        <x:v>Accomplished AT</x:v>
      </x:c>
      <x:c r="E3722" s="7" t="str">
        <x:v>Diesel</x:v>
      </x:c>
      <x:c r="F3722" s="7" t="str">
        <x:v>Automatic</x:v>
      </x:c>
      <x:c r="G3722" s="7" t="str">
        <x:v>SUV</x:v>
      </x:c>
      <x:c r="H3722" s="7" t="n">
        <x:v>1956</x:v>
      </x:c>
      <x:c r="I3722" s="7" t="n">
        <x:v>168</x:v>
      </x:c>
      <x:c r="J3722" s="9" t="n">
        <x:v>14.5</x:v>
      </x:c>
      <x:c r="K3722" s="9" t="n">
        <x:v>27</x:v>
      </x:c>
      <x:c r="L3722" s="7" t="n">
        <x:v>2024</x:v>
      </x:c>
      <x:c r="M3722" s="11" t="n">
        <x:v>20712</x:v>
      </x:c>
      <x:c r="N3722" s="7" t="n">
        <x:v>1</x:v>
      </x:c>
      <x:c r="O3722" s="7" t="n">
        <x:v>0</x:v>
      </x:c>
      <x:c r="P3722" s="9" t="n">
        <x:v>22.34</x:v>
      </x:c>
      <x:c r="Q3722" s="7" t="n">
        <x:f>'Guide'!$B$5-L3722</x:f>
        <x:v>2</x:v>
      </x:c>
      <x:c r="R3722" s="9" t="n">
        <x:f>K3722-P3722</x:f>
        <x:v>4.66</x:v>
      </x:c>
      <x:c r="S3722" s="10" t="n">
        <x:f>IF(K3722&gt;0,R3722/K3722,"")</x:f>
        <x:v>0.1725925925925926</x:v>
      </x:c>
    </x:row>
    <x:row r="3723">
      <x:c r="A3723" s="7" t="n">
        <x:v>3719</x:v>
      </x:c>
      <x:c r="B3723" s="7" t="str">
        <x:v>Tata</x:v>
      </x:c>
      <x:c r="C3723" s="7" t="str">
        <x:v>Safari</x:v>
      </x:c>
      <x:c r="D3723" s="7" t="str">
        <x:v>Accomplished AT</x:v>
      </x:c>
      <x:c r="E3723" s="7" t="str">
        <x:v>Diesel</x:v>
      </x:c>
      <x:c r="F3723" s="7" t="str">
        <x:v>Automatic</x:v>
      </x:c>
      <x:c r="G3723" s="7" t="str">
        <x:v>SUV</x:v>
      </x:c>
      <x:c r="H3723" s="7" t="n">
        <x:v>1956</x:v>
      </x:c>
      <x:c r="I3723" s="7" t="n">
        <x:v>168</x:v>
      </x:c>
      <x:c r="J3723" s="9" t="n">
        <x:v>14.5</x:v>
      </x:c>
      <x:c r="K3723" s="9" t="n">
        <x:v>27</x:v>
      </x:c>
      <x:c r="L3723" s="7" t="n">
        <x:v>2020</x:v>
      </x:c>
      <x:c r="M3723" s="11" t="n">
        <x:v>117479</x:v>
      </x:c>
      <x:c r="N3723" s="7" t="n">
        <x:v>1</x:v>
      </x:c>
      <x:c r="O3723" s="7" t="n">
        <x:v>0</x:v>
      </x:c>
      <x:c r="P3723" s="9" t="n">
        <x:v>10.23</x:v>
      </x:c>
      <x:c r="Q3723" s="7" t="n">
        <x:f>'Guide'!$B$5-L3723</x:f>
        <x:v>6</x:v>
      </x:c>
      <x:c r="R3723" s="9" t="n">
        <x:f>K3723-P3723</x:f>
        <x:v>16.77</x:v>
      </x:c>
      <x:c r="S3723" s="10" t="n">
        <x:f>IF(K3723&gt;0,R3723/K3723,"")</x:f>
        <x:v>0.6211111111111111</x:v>
      </x:c>
    </x:row>
    <x:row r="3724">
      <x:c r="A3724" s="7" t="n">
        <x:v>3720</x:v>
      </x:c>
      <x:c r="B3724" s="7" t="str">
        <x:v>Tata</x:v>
      </x:c>
      <x:c r="C3724" s="7" t="str">
        <x:v>Safari</x:v>
      </x:c>
      <x:c r="D3724" s="7" t="str">
        <x:v>Accomplished AT</x:v>
      </x:c>
      <x:c r="E3724" s="7" t="str">
        <x:v>Diesel</x:v>
      </x:c>
      <x:c r="F3724" s="7" t="str">
        <x:v>Automatic</x:v>
      </x:c>
      <x:c r="G3724" s="7" t="str">
        <x:v>SUV</x:v>
      </x:c>
      <x:c r="H3724" s="7" t="n">
        <x:v>1956</x:v>
      </x:c>
      <x:c r="I3724" s="7" t="n">
        <x:v>168</x:v>
      </x:c>
      <x:c r="J3724" s="9" t="n">
        <x:v>14.5</x:v>
      </x:c>
      <x:c r="K3724" s="9" t="n">
        <x:v>27</x:v>
      </x:c>
      <x:c r="L3724" s="7" t="n">
        <x:v>2021</x:v>
      </x:c>
      <x:c r="M3724" s="11" t="n">
        <x:v>79087</x:v>
      </x:c>
      <x:c r="N3724" s="7" t="n">
        <x:v>1</x:v>
      </x:c>
      <x:c r="O3724" s="7" t="n">
        <x:v>0</x:v>
      </x:c>
      <x:c r="P3724" s="9" t="n">
        <x:v>13.39</x:v>
      </x:c>
      <x:c r="Q3724" s="7" t="n">
        <x:f>'Guide'!$B$5-L3724</x:f>
        <x:v>5</x:v>
      </x:c>
      <x:c r="R3724" s="9" t="n">
        <x:f>K3724-P3724</x:f>
        <x:v>13.61</x:v>
      </x:c>
      <x:c r="S3724" s="10" t="n">
        <x:f>IF(K3724&gt;0,R3724/K3724,"")</x:f>
        <x:v>0.504074074074074</x:v>
      </x:c>
    </x:row>
    <x:row r="3725">
      <x:c r="A3725" s="7" t="n">
        <x:v>3721</x:v>
      </x:c>
      <x:c r="B3725" s="7" t="str">
        <x:v>Tata</x:v>
      </x:c>
      <x:c r="C3725" s="7" t="str">
        <x:v>Safari</x:v>
      </x:c>
      <x:c r="D3725" s="7" t="str">
        <x:v>Accomplished AT</x:v>
      </x:c>
      <x:c r="E3725" s="7" t="str">
        <x:v>Diesel</x:v>
      </x:c>
      <x:c r="F3725" s="7" t="str">
        <x:v>Automatic</x:v>
      </x:c>
      <x:c r="G3725" s="7" t="str">
        <x:v>SUV</x:v>
      </x:c>
      <x:c r="H3725" s="7" t="n">
        <x:v>1956</x:v>
      </x:c>
      <x:c r="I3725" s="7" t="n">
        <x:v>168</x:v>
      </x:c>
      <x:c r="J3725" s="9" t="n">
        <x:v>14.5</x:v>
      </x:c>
      <x:c r="K3725" s="9" t="n">
        <x:v>27</x:v>
      </x:c>
      <x:c r="L3725" s="7" t="n">
        <x:v>2022</x:v>
      </x:c>
      <x:c r="M3725" s="11" t="n">
        <x:v>48761</x:v>
      </x:c>
      <x:c r="N3725" s="7" t="n">
        <x:v>1</x:v>
      </x:c>
      <x:c r="O3725" s="7" t="n">
        <x:v>0</x:v>
      </x:c>
      <x:c r="P3725" s="9" t="n">
        <x:v>16.68</x:v>
      </x:c>
      <x:c r="Q3725" s="7" t="n">
        <x:f>'Guide'!$B$5-L3725</x:f>
        <x:v>4</x:v>
      </x:c>
      <x:c r="R3725" s="9" t="n">
        <x:f>K3725-P3725</x:f>
        <x:v>10.32</x:v>
      </x:c>
      <x:c r="S3725" s="10" t="n">
        <x:f>IF(K3725&gt;0,R3725/K3725,"")</x:f>
        <x:v>0.38222222222222224</x:v>
      </x:c>
    </x:row>
    <x:row r="3726">
      <x:c r="A3726" s="7" t="n">
        <x:v>3722</x:v>
      </x:c>
      <x:c r="B3726" s="7" t="str">
        <x:v>Tata</x:v>
      </x:c>
      <x:c r="C3726" s="7" t="str">
        <x:v>Safari</x:v>
      </x:c>
      <x:c r="D3726" s="7" t="str">
        <x:v>Accomplished AT</x:v>
      </x:c>
      <x:c r="E3726" s="7" t="str">
        <x:v>Diesel</x:v>
      </x:c>
      <x:c r="F3726" s="7" t="str">
        <x:v>Automatic</x:v>
      </x:c>
      <x:c r="G3726" s="7" t="str">
        <x:v>SUV</x:v>
      </x:c>
      <x:c r="H3726" s="7" t="n">
        <x:v>1956</x:v>
      </x:c>
      <x:c r="I3726" s="7" t="n">
        <x:v>168</x:v>
      </x:c>
      <x:c r="J3726" s="9" t="n">
        <x:v>14.5</x:v>
      </x:c>
      <x:c r="K3726" s="9" t="n">
        <x:v>27</x:v>
      </x:c>
      <x:c r="L3726" s="7" t="n">
        <x:v>2021</x:v>
      </x:c>
      <x:c r="M3726" s="11" t="n">
        <x:v>44757</x:v>
      </x:c>
      <x:c r="N3726" s="7" t="n">
        <x:v>1</x:v>
      </x:c>
      <x:c r="O3726" s="7" t="n">
        <x:v>0</x:v>
      </x:c>
      <x:c r="P3726" s="9" t="n">
        <x:v>14.83</x:v>
      </x:c>
      <x:c r="Q3726" s="7" t="n">
        <x:f>'Guide'!$B$5-L3726</x:f>
        <x:v>5</x:v>
      </x:c>
      <x:c r="R3726" s="9" t="n">
        <x:f>K3726-P3726</x:f>
        <x:v>12.17</x:v>
      </x:c>
      <x:c r="S3726" s="10" t="n">
        <x:f>IF(K3726&gt;0,R3726/K3726,"")</x:f>
        <x:v>0.4507407407407407</x:v>
      </x:c>
    </x:row>
    <x:row r="3727">
      <x:c r="A3727" s="7" t="n">
        <x:v>3723</x:v>
      </x:c>
      <x:c r="B3727" s="7" t="str">
        <x:v>Tata</x:v>
      </x:c>
      <x:c r="C3727" s="7" t="str">
        <x:v>Safari</x:v>
      </x:c>
      <x:c r="D3727" s="7" t="str">
        <x:v>Accomplished AT</x:v>
      </x:c>
      <x:c r="E3727" s="7" t="str">
        <x:v>Diesel</x:v>
      </x:c>
      <x:c r="F3727" s="7" t="str">
        <x:v>Automatic</x:v>
      </x:c>
      <x:c r="G3727" s="7" t="str">
        <x:v>SUV</x:v>
      </x:c>
      <x:c r="H3727" s="7" t="n">
        <x:v>1956</x:v>
      </x:c>
      <x:c r="I3727" s="7" t="n">
        <x:v>168</x:v>
      </x:c>
      <x:c r="J3727" s="9" t="n">
        <x:v>14.5</x:v>
      </x:c>
      <x:c r="K3727" s="9" t="n">
        <x:v>27</x:v>
      </x:c>
      <x:c r="L3727" s="7" t="n">
        <x:v>2020</x:v>
      </x:c>
      <x:c r="M3727" s="11" t="n">
        <x:v>57284</x:v>
      </x:c>
      <x:c r="N3727" s="7" t="n">
        <x:v>1</x:v>
      </x:c>
      <x:c r="O3727" s="7" t="n">
        <x:v>0</x:v>
      </x:c>
      <x:c r="P3727" s="9" t="n">
        <x:v>12.29</x:v>
      </x:c>
      <x:c r="Q3727" s="7" t="n">
        <x:f>'Guide'!$B$5-L3727</x:f>
        <x:v>6</x:v>
      </x:c>
      <x:c r="R3727" s="9" t="n">
        <x:f>K3727-P3727</x:f>
        <x:v>14.71</x:v>
      </x:c>
      <x:c r="S3727" s="10" t="n">
        <x:f>IF(K3727&gt;0,R3727/K3727,"")</x:f>
        <x:v>0.5448148148148149</x:v>
      </x:c>
    </x:row>
    <x:row r="3728">
      <x:c r="A3728" s="7" t="n">
        <x:v>3724</x:v>
      </x:c>
      <x:c r="B3728" s="7" t="str">
        <x:v>Tata</x:v>
      </x:c>
      <x:c r="C3728" s="7" t="str">
        <x:v>Safari</x:v>
      </x:c>
      <x:c r="D3728" s="7" t="str">
        <x:v>Accomplished AT</x:v>
      </x:c>
      <x:c r="E3728" s="7" t="str">
        <x:v>Diesel</x:v>
      </x:c>
      <x:c r="F3728" s="7" t="str">
        <x:v>Automatic</x:v>
      </x:c>
      <x:c r="G3728" s="7" t="str">
        <x:v>SUV</x:v>
      </x:c>
      <x:c r="H3728" s="7" t="n">
        <x:v>1956</x:v>
      </x:c>
      <x:c r="I3728" s="7" t="n">
        <x:v>168</x:v>
      </x:c>
      <x:c r="J3728" s="9" t="n">
        <x:v>14.5</x:v>
      </x:c>
      <x:c r="K3728" s="9" t="n">
        <x:v>27</x:v>
      </x:c>
      <x:c r="L3728" s="7" t="n">
        <x:v>2026</x:v>
      </x:c>
      <x:c r="M3728" s="11" t="n">
        <x:v>8873</x:v>
      </x:c>
      <x:c r="N3728" s="7" t="n">
        <x:v>3</x:v>
      </x:c>
      <x:c r="O3728" s="7" t="n">
        <x:v>0</x:v>
      </x:c>
      <x:c r="P3728" s="9" t="n">
        <x:v>26.23</x:v>
      </x:c>
      <x:c r="Q3728" s="7" t="n">
        <x:f>'Guide'!$B$5-L3728</x:f>
        <x:v>0</x:v>
      </x:c>
      <x:c r="R3728" s="9" t="n">
        <x:f>K3728-P3728</x:f>
        <x:v>0.7699999999999996</x:v>
      </x:c>
      <x:c r="S3728" s="10" t="n">
        <x:f>IF(K3728&gt;0,R3728/K3728,"")</x:f>
        <x:v>0.028518518518518502</x:v>
      </x:c>
    </x:row>
    <x:row r="3729">
      <x:c r="A3729" s="7" t="n">
        <x:v>3725</x:v>
      </x:c>
      <x:c r="B3729" s="7" t="str">
        <x:v>Tata</x:v>
      </x:c>
      <x:c r="C3729" s="7" t="str">
        <x:v>Safari</x:v>
      </x:c>
      <x:c r="D3729" s="7" t="str">
        <x:v>Accomplished AT</x:v>
      </x:c>
      <x:c r="E3729" s="7" t="str">
        <x:v>Diesel</x:v>
      </x:c>
      <x:c r="F3729" s="7" t="str">
        <x:v>Automatic</x:v>
      </x:c>
      <x:c r="G3729" s="7" t="str">
        <x:v>SUV</x:v>
      </x:c>
      <x:c r="H3729" s="7" t="n">
        <x:v>1956</x:v>
      </x:c>
      <x:c r="I3729" s="7" t="n">
        <x:v>168</x:v>
      </x:c>
      <x:c r="J3729" s="9" t="n">
        <x:v>14.5</x:v>
      </x:c>
      <x:c r="K3729" s="9" t="n">
        <x:v>27</x:v>
      </x:c>
      <x:c r="L3729" s="7" t="n">
        <x:v>2026</x:v>
      </x:c>
      <x:c r="M3729" s="11" t="n">
        <x:v>9098</x:v>
      </x:c>
      <x:c r="N3729" s="7" t="n">
        <x:v>1</x:v>
      </x:c>
      <x:c r="O3729" s="7" t="n">
        <x:v>0</x:v>
      </x:c>
      <x:c r="P3729" s="9" t="n">
        <x:v>26.33</x:v>
      </x:c>
      <x:c r="Q3729" s="7" t="n">
        <x:f>'Guide'!$B$5-L3729</x:f>
        <x:v>0</x:v>
      </x:c>
      <x:c r="R3729" s="9" t="n">
        <x:f>K3729-P3729</x:f>
        <x:v>0.6700000000000017</x:v>
      </x:c>
      <x:c r="S3729" s="10" t="n">
        <x:f>IF(K3729&gt;0,R3729/K3729,"")</x:f>
        <x:v>0.024814814814814876</x:v>
      </x:c>
    </x:row>
    <x:row r="3730">
      <x:c r="A3730" s="7" t="n">
        <x:v>3726</x:v>
      </x:c>
      <x:c r="B3730" s="7" t="str">
        <x:v>Tata</x:v>
      </x:c>
      <x:c r="C3730" s="7" t="str">
        <x:v>Safari</x:v>
      </x:c>
      <x:c r="D3730" s="7" t="str">
        <x:v>Accomplished AT</x:v>
      </x:c>
      <x:c r="E3730" s="7" t="str">
        <x:v>Diesel</x:v>
      </x:c>
      <x:c r="F3730" s="7" t="str">
        <x:v>Automatic</x:v>
      </x:c>
      <x:c r="G3730" s="7" t="str">
        <x:v>SUV</x:v>
      </x:c>
      <x:c r="H3730" s="7" t="n">
        <x:v>1956</x:v>
      </x:c>
      <x:c r="I3730" s="7" t="n">
        <x:v>168</x:v>
      </x:c>
      <x:c r="J3730" s="9" t="n">
        <x:v>14.5</x:v>
      </x:c>
      <x:c r="K3730" s="9" t="n">
        <x:v>27</x:v>
      </x:c>
      <x:c r="L3730" s="7" t="n">
        <x:v>2025</x:v>
      </x:c>
      <x:c r="M3730" s="11" t="n">
        <x:v>19099</x:v>
      </x:c>
      <x:c r="N3730" s="7" t="n">
        <x:v>2</x:v>
      </x:c>
      <x:c r="O3730" s="7" t="n">
        <x:v>0</x:v>
      </x:c>
      <x:c r="P3730" s="9" t="n">
        <x:v>23.63</x:v>
      </x:c>
      <x:c r="Q3730" s="7" t="n">
        <x:f>'Guide'!$B$5-L3730</x:f>
        <x:v>1</x:v>
      </x:c>
      <x:c r="R3730" s="9" t="n">
        <x:f>K3730-P3730</x:f>
        <x:v>3.370000000000001</x:v>
      </x:c>
      <x:c r="S3730" s="10" t="n">
        <x:f>IF(K3730&gt;0,R3730/K3730,"")</x:f>
        <x:v>0.12481481481481485</x:v>
      </x:c>
    </x:row>
    <x:row r="3731">
      <x:c r="A3731" s="7" t="n">
        <x:v>3727</x:v>
      </x:c>
      <x:c r="B3731" s="7" t="str">
        <x:v>Tata</x:v>
      </x:c>
      <x:c r="C3731" s="7" t="str">
        <x:v>Safari</x:v>
      </x:c>
      <x:c r="D3731" s="7" t="str">
        <x:v>Accomplished AT</x:v>
      </x:c>
      <x:c r="E3731" s="7" t="str">
        <x:v>Diesel</x:v>
      </x:c>
      <x:c r="F3731" s="7" t="str">
        <x:v>Automatic</x:v>
      </x:c>
      <x:c r="G3731" s="7" t="str">
        <x:v>SUV</x:v>
      </x:c>
      <x:c r="H3731" s="7" t="n">
        <x:v>1956</x:v>
      </x:c>
      <x:c r="I3731" s="7" t="n">
        <x:v>168</x:v>
      </x:c>
      <x:c r="J3731" s="9" t="n">
        <x:v>14.5</x:v>
      </x:c>
      <x:c r="K3731" s="9" t="n">
        <x:v>27</x:v>
      </x:c>
      <x:c r="L3731" s="7" t="n">
        <x:v>2021</x:v>
      </x:c>
      <x:c r="M3731" s="11" t="n">
        <x:v>49511</x:v>
      </x:c>
      <x:c r="N3731" s="7" t="n">
        <x:v>3</x:v>
      </x:c>
      <x:c r="O3731" s="7" t="n">
        <x:v>0</x:v>
      </x:c>
      <x:c r="P3731" s="9" t="n">
        <x:v>13.57</x:v>
      </x:c>
      <x:c r="Q3731" s="7" t="n">
        <x:f>'Guide'!$B$5-L3731</x:f>
        <x:v>5</x:v>
      </x:c>
      <x:c r="R3731" s="9" t="n">
        <x:f>K3731-P3731</x:f>
        <x:v>13.43</x:v>
      </x:c>
      <x:c r="S3731" s="10" t="n">
        <x:f>IF(K3731&gt;0,R3731/K3731,"")</x:f>
        <x:v>0.4974074074074074</x:v>
      </x:c>
    </x:row>
    <x:row r="3732">
      <x:c r="A3732" s="7" t="n">
        <x:v>3728</x:v>
      </x:c>
      <x:c r="B3732" s="7" t="str">
        <x:v>Tata</x:v>
      </x:c>
      <x:c r="C3732" s="7" t="str">
        <x:v>Safari</x:v>
      </x:c>
      <x:c r="D3732" s="7" t="str">
        <x:v>Accomplished AT</x:v>
      </x:c>
      <x:c r="E3732" s="7" t="str">
        <x:v>Diesel</x:v>
      </x:c>
      <x:c r="F3732" s="7" t="str">
        <x:v>Automatic</x:v>
      </x:c>
      <x:c r="G3732" s="7" t="str">
        <x:v>SUV</x:v>
      </x:c>
      <x:c r="H3732" s="7" t="n">
        <x:v>1956</x:v>
      </x:c>
      <x:c r="I3732" s="7" t="n">
        <x:v>168</x:v>
      </x:c>
      <x:c r="J3732" s="9" t="n">
        <x:v>14.5</x:v>
      </x:c>
      <x:c r="K3732" s="9" t="n">
        <x:v>27</x:v>
      </x:c>
      <x:c r="L3732" s="7" t="n">
        <x:v>2025</x:v>
      </x:c>
      <x:c r="M3732" s="11" t="n">
        <x:v>15924</x:v>
      </x:c>
      <x:c r="N3732" s="7" t="n">
        <x:v>1</x:v>
      </x:c>
      <x:c r="O3732" s="7" t="n">
        <x:v>0</x:v>
      </x:c>
      <x:c r="P3732" s="9" t="n">
        <x:v>24.14</x:v>
      </x:c>
      <x:c r="Q3732" s="7" t="n">
        <x:f>'Guide'!$B$5-L3732</x:f>
        <x:v>1</x:v>
      </x:c>
      <x:c r="R3732" s="9" t="n">
        <x:f>K3732-P3732</x:f>
        <x:v>2.8599999999999994</x:v>
      </x:c>
      <x:c r="S3732" s="10" t="n">
        <x:f>IF(K3732&gt;0,R3732/K3732,"")</x:f>
        <x:v>0.10592592592592591</x:v>
      </x:c>
    </x:row>
    <x:row r="3733">
      <x:c r="A3733" s="7" t="n">
        <x:v>3729</x:v>
      </x:c>
      <x:c r="B3733" s="7" t="str">
        <x:v>Tata</x:v>
      </x:c>
      <x:c r="C3733" s="7" t="str">
        <x:v>Safari</x:v>
      </x:c>
      <x:c r="D3733" s="7" t="str">
        <x:v>Accomplished AT</x:v>
      </x:c>
      <x:c r="E3733" s="7" t="str">
        <x:v>Diesel</x:v>
      </x:c>
      <x:c r="F3733" s="7" t="str">
        <x:v>Automatic</x:v>
      </x:c>
      <x:c r="G3733" s="7" t="str">
        <x:v>SUV</x:v>
      </x:c>
      <x:c r="H3733" s="7" t="n">
        <x:v>1956</x:v>
      </x:c>
      <x:c r="I3733" s="7" t="n">
        <x:v>168</x:v>
      </x:c>
      <x:c r="J3733" s="9" t="n">
        <x:v>14.5</x:v>
      </x:c>
      <x:c r="K3733" s="9" t="n">
        <x:v>27</x:v>
      </x:c>
      <x:c r="L3733" s="7" t="n">
        <x:v>2025</x:v>
      </x:c>
      <x:c r="M3733" s="11" t="n">
        <x:v>23617</x:v>
      </x:c>
      <x:c r="N3733" s="7" t="n">
        <x:v>2</x:v>
      </x:c>
      <x:c r="O3733" s="7" t="n">
        <x:v>0</x:v>
      </x:c>
      <x:c r="P3733" s="9" t="n">
        <x:v>23.6</x:v>
      </x:c>
      <x:c r="Q3733" s="7" t="n">
        <x:f>'Guide'!$B$5-L3733</x:f>
        <x:v>1</x:v>
      </x:c>
      <x:c r="R3733" s="9" t="n">
        <x:f>K3733-P3733</x:f>
        <x:v>3.3999999999999986</x:v>
      </x:c>
      <x:c r="S3733" s="10" t="n">
        <x:f>IF(K3733&gt;0,R3733/K3733,"")</x:f>
        <x:v>0.12592592592592589</x:v>
      </x:c>
    </x:row>
    <x:row r="3734">
      <x:c r="A3734" s="7" t="n">
        <x:v>3730</x:v>
      </x:c>
      <x:c r="B3734" s="7" t="str">
        <x:v>Tata</x:v>
      </x:c>
      <x:c r="C3734" s="7" t="str">
        <x:v>Safari</x:v>
      </x:c>
      <x:c r="D3734" s="7" t="str">
        <x:v>Accomplished AT</x:v>
      </x:c>
      <x:c r="E3734" s="7" t="str">
        <x:v>Diesel</x:v>
      </x:c>
      <x:c r="F3734" s="7" t="str">
        <x:v>Automatic</x:v>
      </x:c>
      <x:c r="G3734" s="7" t="str">
        <x:v>SUV</x:v>
      </x:c>
      <x:c r="H3734" s="7" t="n">
        <x:v>1956</x:v>
      </x:c>
      <x:c r="I3734" s="7" t="n">
        <x:v>168</x:v>
      </x:c>
      <x:c r="J3734" s="9" t="n">
        <x:v>14.5</x:v>
      </x:c>
      <x:c r="K3734" s="9" t="n">
        <x:v>27</x:v>
      </x:c>
      <x:c r="L3734" s="7" t="n">
        <x:v>2021</x:v>
      </x:c>
      <x:c r="M3734" s="11" t="n">
        <x:v>45103</x:v>
      </x:c>
      <x:c r="N3734" s="7" t="n">
        <x:v>2</x:v>
      </x:c>
      <x:c r="O3734" s="7" t="n">
        <x:v>1</x:v>
      </x:c>
      <x:c r="P3734" s="9" t="n">
        <x:v>13.27</x:v>
      </x:c>
      <x:c r="Q3734" s="7" t="n">
        <x:f>'Guide'!$B$5-L3734</x:f>
        <x:v>5</x:v>
      </x:c>
      <x:c r="R3734" s="9" t="n">
        <x:f>K3734-P3734</x:f>
        <x:v>13.73</x:v>
      </x:c>
      <x:c r="S3734" s="10" t="n">
        <x:f>IF(K3734&gt;0,R3734/K3734,"")</x:f>
        <x:v>0.5085185185185185</x:v>
      </x:c>
    </x:row>
    <x:row r="3735">
      <x:c r="A3735" s="7" t="n">
        <x:v>3731</x:v>
      </x:c>
      <x:c r="B3735" s="7" t="str">
        <x:v>Tata</x:v>
      </x:c>
      <x:c r="C3735" s="7" t="str">
        <x:v>Safari</x:v>
      </x:c>
      <x:c r="D3735" s="7" t="str">
        <x:v>Accomplished AT</x:v>
      </x:c>
      <x:c r="E3735" s="7" t="str">
        <x:v>Diesel</x:v>
      </x:c>
      <x:c r="F3735" s="7" t="str">
        <x:v>Automatic</x:v>
      </x:c>
      <x:c r="G3735" s="7" t="str">
        <x:v>SUV</x:v>
      </x:c>
      <x:c r="H3735" s="7" t="n">
        <x:v>1956</x:v>
      </x:c>
      <x:c r="I3735" s="7" t="n">
        <x:v>168</x:v>
      </x:c>
      <x:c r="J3735" s="9" t="n">
        <x:v>14.5</x:v>
      </x:c>
      <x:c r="K3735" s="9" t="n">
        <x:v>27</x:v>
      </x:c>
      <x:c r="L3735" s="7" t="n">
        <x:v>2026</x:v>
      </x:c>
      <x:c r="M3735" s="11" t="n">
        <x:v>5792</x:v>
      </x:c>
      <x:c r="N3735" s="7" t="n">
        <x:v>2</x:v>
      </x:c>
      <x:c r="O3735" s="7" t="n">
        <x:v>0</x:v>
      </x:c>
      <x:c r="P3735" s="9" t="n">
        <x:v>26.19</x:v>
      </x:c>
      <x:c r="Q3735" s="7" t="n">
        <x:f>'Guide'!$B$5-L3735</x:f>
        <x:v>0</x:v>
      </x:c>
      <x:c r="R3735" s="9" t="n">
        <x:f>K3735-P3735</x:f>
        <x:v>0.8099999999999987</x:v>
      </x:c>
      <x:c r="S3735" s="10" t="n">
        <x:f>IF(K3735&gt;0,R3735/K3735,"")</x:f>
        <x:v>0.029999999999999954</x:v>
      </x:c>
    </x:row>
    <x:row r="3736">
      <x:c r="A3736" s="7" t="n">
        <x:v>3732</x:v>
      </x:c>
      <x:c r="B3736" s="7" t="str">
        <x:v>Tata</x:v>
      </x:c>
      <x:c r="C3736" s="7" t="str">
        <x:v>Safari</x:v>
      </x:c>
      <x:c r="D3736" s="7" t="str">
        <x:v>Accomplished AT</x:v>
      </x:c>
      <x:c r="E3736" s="7" t="str">
        <x:v>Diesel</x:v>
      </x:c>
      <x:c r="F3736" s="7" t="str">
        <x:v>Automatic</x:v>
      </x:c>
      <x:c r="G3736" s="7" t="str">
        <x:v>SUV</x:v>
      </x:c>
      <x:c r="H3736" s="7" t="n">
        <x:v>1956</x:v>
      </x:c>
      <x:c r="I3736" s="7" t="n">
        <x:v>168</x:v>
      </x:c>
      <x:c r="J3736" s="9" t="n">
        <x:v>14.5</x:v>
      </x:c>
      <x:c r="K3736" s="9" t="n">
        <x:v>27</x:v>
      </x:c>
      <x:c r="L3736" s="7" t="n">
        <x:v>2020</x:v>
      </x:c>
      <x:c r="M3736" s="11" t="n">
        <x:v>92040</x:v>
      </x:c>
      <x:c r="N3736" s="7" t="n">
        <x:v>1</x:v>
      </x:c>
      <x:c r="O3736" s="7" t="n">
        <x:v>0</x:v>
      </x:c>
      <x:c r="P3736" s="9" t="n">
        <x:v>10.92</x:v>
      </x:c>
      <x:c r="Q3736" s="7" t="n">
        <x:f>'Guide'!$B$5-L3736</x:f>
        <x:v>6</x:v>
      </x:c>
      <x:c r="R3736" s="9" t="n">
        <x:f>K3736-P3736</x:f>
        <x:v>16.08</x:v>
      </x:c>
      <x:c r="S3736" s="10" t="n">
        <x:f>IF(K3736&gt;0,R3736/K3736,"")</x:f>
        <x:v>0.5955555555555555</x:v>
      </x:c>
    </x:row>
    <x:row r="3737">
      <x:c r="A3737" s="7" t="n">
        <x:v>3733</x:v>
      </x:c>
      <x:c r="B3737" s="7" t="str">
        <x:v>Tata</x:v>
      </x:c>
      <x:c r="C3737" s="7" t="str">
        <x:v>Safari</x:v>
      </x:c>
      <x:c r="D3737" s="7" t="str">
        <x:v>Accomplished AT</x:v>
      </x:c>
      <x:c r="E3737" s="7" t="str">
        <x:v>Diesel</x:v>
      </x:c>
      <x:c r="F3737" s="7" t="str">
        <x:v>Automatic</x:v>
      </x:c>
      <x:c r="G3737" s="7" t="str">
        <x:v>SUV</x:v>
      </x:c>
      <x:c r="H3737" s="7" t="n">
        <x:v>1956</x:v>
      </x:c>
      <x:c r="I3737" s="7" t="n">
        <x:v>168</x:v>
      </x:c>
      <x:c r="J3737" s="9" t="n">
        <x:v>14.5</x:v>
      </x:c>
      <x:c r="K3737" s="9" t="n">
        <x:v>27</x:v>
      </x:c>
      <x:c r="L3737" s="7" t="n">
        <x:v>2020</x:v>
      </x:c>
      <x:c r="M3737" s="11" t="n">
        <x:v>127623</x:v>
      </x:c>
      <x:c r="N3737" s="7" t="n">
        <x:v>1</x:v>
      </x:c>
      <x:c r="O3737" s="7" t="n">
        <x:v>0</x:v>
      </x:c>
      <x:c r="P3737" s="9" t="n">
        <x:v>9.67</x:v>
      </x:c>
      <x:c r="Q3737" s="7" t="n">
        <x:f>'Guide'!$B$5-L3737</x:f>
        <x:v>6</x:v>
      </x:c>
      <x:c r="R3737" s="9" t="n">
        <x:f>K3737-P3737</x:f>
        <x:v>17.33</x:v>
      </x:c>
      <x:c r="S3737" s="10" t="n">
        <x:f>IF(K3737&gt;0,R3737/K3737,"")</x:f>
        <x:v>0.6418518518518518</x:v>
      </x:c>
    </x:row>
    <x:row r="3738">
      <x:c r="A3738" s="7" t="n">
        <x:v>3734</x:v>
      </x:c>
      <x:c r="B3738" s="7" t="str">
        <x:v>Tata</x:v>
      </x:c>
      <x:c r="C3738" s="7" t="str">
        <x:v>Safari</x:v>
      </x:c>
      <x:c r="D3738" s="7" t="str">
        <x:v>Accomplished AT</x:v>
      </x:c>
      <x:c r="E3738" s="7" t="str">
        <x:v>Diesel</x:v>
      </x:c>
      <x:c r="F3738" s="7" t="str">
        <x:v>Automatic</x:v>
      </x:c>
      <x:c r="G3738" s="7" t="str">
        <x:v>SUV</x:v>
      </x:c>
      <x:c r="H3738" s="7" t="n">
        <x:v>1956</x:v>
      </x:c>
      <x:c r="I3738" s="7" t="n">
        <x:v>168</x:v>
      </x:c>
      <x:c r="J3738" s="9" t="n">
        <x:v>14.5</x:v>
      </x:c>
      <x:c r="K3738" s="9" t="n">
        <x:v>27</x:v>
      </x:c>
      <x:c r="L3738" s="7" t="n">
        <x:v>2025</x:v>
      </x:c>
      <x:c r="M3738" s="11" t="n">
        <x:v>12587</x:v>
      </x:c>
      <x:c r="N3738" s="7" t="n">
        <x:v>1</x:v>
      </x:c>
      <x:c r="O3738" s="7" t="n">
        <x:v>0</x:v>
      </x:c>
      <x:c r="P3738" s="9" t="n">
        <x:v>24.34</x:v>
      </x:c>
      <x:c r="Q3738" s="7" t="n">
        <x:f>'Guide'!$B$5-L3738</x:f>
        <x:v>1</x:v>
      </x:c>
      <x:c r="R3738" s="9" t="n">
        <x:f>K3738-P3738</x:f>
        <x:v>2.66</x:v>
      </x:c>
      <x:c r="S3738" s="10" t="n">
        <x:f>IF(K3738&gt;0,R3738/K3738,"")</x:f>
        <x:v>0.09851851851851852</x:v>
      </x:c>
    </x:row>
    <x:row r="3739">
      <x:c r="A3739" s="7" t="n">
        <x:v>3735</x:v>
      </x:c>
      <x:c r="B3739" s="7" t="str">
        <x:v>Tata</x:v>
      </x:c>
      <x:c r="C3739" s="7" t="str">
        <x:v>Safari</x:v>
      </x:c>
      <x:c r="D3739" s="7" t="str">
        <x:v>Accomplished AT</x:v>
      </x:c>
      <x:c r="E3739" s="7" t="str">
        <x:v>Diesel</x:v>
      </x:c>
      <x:c r="F3739" s="7" t="str">
        <x:v>Automatic</x:v>
      </x:c>
      <x:c r="G3739" s="7" t="str">
        <x:v>SUV</x:v>
      </x:c>
      <x:c r="H3739" s="7" t="n">
        <x:v>1956</x:v>
      </x:c>
      <x:c r="I3739" s="7" t="n">
        <x:v>168</x:v>
      </x:c>
      <x:c r="J3739" s="9" t="n">
        <x:v>14.5</x:v>
      </x:c>
      <x:c r="K3739" s="9" t="n">
        <x:v>27</x:v>
      </x:c>
      <x:c r="L3739" s="7" t="n">
        <x:v>2021</x:v>
      </x:c>
      <x:c r="M3739" s="11" t="n">
        <x:v>67041</x:v>
      </x:c>
      <x:c r="N3739" s="7" t="n">
        <x:v>2</x:v>
      </x:c>
      <x:c r="O3739" s="7" t="n">
        <x:v>0</x:v>
      </x:c>
      <x:c r="P3739" s="9" t="n">
        <x:v>13.58</x:v>
      </x:c>
      <x:c r="Q3739" s="7" t="n">
        <x:f>'Guide'!$B$5-L3739</x:f>
        <x:v>5</x:v>
      </x:c>
      <x:c r="R3739" s="9" t="n">
        <x:f>K3739-P3739</x:f>
        <x:v>13.42</x:v>
      </x:c>
      <x:c r="S3739" s="10" t="n">
        <x:f>IF(K3739&gt;0,R3739/K3739,"")</x:f>
        <x:v>0.49703703703703705</x:v>
      </x:c>
    </x:row>
    <x:row r="3740">
      <x:c r="A3740" s="7" t="n">
        <x:v>3736</x:v>
      </x:c>
      <x:c r="B3740" s="7" t="str">
        <x:v>Tata</x:v>
      </x:c>
      <x:c r="C3740" s="7" t="str">
        <x:v>Safari</x:v>
      </x:c>
      <x:c r="D3740" s="7" t="str">
        <x:v>Accomplished AT</x:v>
      </x:c>
      <x:c r="E3740" s="7" t="str">
        <x:v>Diesel</x:v>
      </x:c>
      <x:c r="F3740" s="7" t="str">
        <x:v>Automatic</x:v>
      </x:c>
      <x:c r="G3740" s="7" t="str">
        <x:v>SUV</x:v>
      </x:c>
      <x:c r="H3740" s="7" t="n">
        <x:v>1956</x:v>
      </x:c>
      <x:c r="I3740" s="7" t="n">
        <x:v>168</x:v>
      </x:c>
      <x:c r="J3740" s="9" t="n">
        <x:v>14.5</x:v>
      </x:c>
      <x:c r="K3740" s="9" t="n">
        <x:v>27</x:v>
      </x:c>
      <x:c r="L3740" s="7" t="n">
        <x:v>2026</x:v>
      </x:c>
      <x:c r="M3740" s="11" t="n">
        <x:v>8775</x:v>
      </x:c>
      <x:c r="N3740" s="7" t="n">
        <x:v>1</x:v>
      </x:c>
      <x:c r="O3740" s="7" t="n">
        <x:v>0</x:v>
      </x:c>
      <x:c r="P3740" s="9" t="n">
        <x:v>27.04</x:v>
      </x:c>
      <x:c r="Q3740" s="7" t="n">
        <x:f>'Guide'!$B$5-L3740</x:f>
        <x:v>0</x:v>
      </x:c>
      <x:c r="R3740" s="9" t="n">
        <x:f>K3740-P3740</x:f>
        <x:v>-0.03999999999999915</x:v>
      </x:c>
      <x:c r="S3740" s="10" t="n">
        <x:f>IF(K3740&gt;0,R3740/K3740,"")</x:f>
        <x:v>-0.00148148148148145</x:v>
      </x:c>
    </x:row>
    <x:row r="3741">
      <x:c r="A3741" s="7" t="n">
        <x:v>3737</x:v>
      </x:c>
      <x:c r="B3741" s="7" t="str">
        <x:v>Tata</x:v>
      </x:c>
      <x:c r="C3741" s="7" t="str">
        <x:v>Safari</x:v>
      </x:c>
      <x:c r="D3741" s="7" t="str">
        <x:v>Accomplished AT</x:v>
      </x:c>
      <x:c r="E3741" s="7" t="str">
        <x:v>Diesel</x:v>
      </x:c>
      <x:c r="F3741" s="7" t="str">
        <x:v>Automatic</x:v>
      </x:c>
      <x:c r="G3741" s="7" t="str">
        <x:v>SUV</x:v>
      </x:c>
      <x:c r="H3741" s="7" t="n">
        <x:v>1956</x:v>
      </x:c>
      <x:c r="I3741" s="7" t="n">
        <x:v>168</x:v>
      </x:c>
      <x:c r="J3741" s="9" t="n">
        <x:v>14.5</x:v>
      </x:c>
      <x:c r="K3741" s="9" t="n">
        <x:v>27</x:v>
      </x:c>
      <x:c r="L3741" s="7" t="n">
        <x:v>2023</x:v>
      </x:c>
      <x:c r="M3741" s="11" t="n">
        <x:v>61949</x:v>
      </x:c>
      <x:c r="N3741" s="7" t="n">
        <x:v>1</x:v>
      </x:c>
      <x:c r="O3741" s="7" t="n">
        <x:v>0</x:v>
      </x:c>
      <x:c r="P3741" s="9" t="n">
        <x:v>18.56</x:v>
      </x:c>
      <x:c r="Q3741" s="7" t="n">
        <x:f>'Guide'!$B$5-L3741</x:f>
        <x:v>3</x:v>
      </x:c>
      <x:c r="R3741" s="9" t="n">
        <x:f>K3741-P3741</x:f>
        <x:v>8.440000000000001</x:v>
      </x:c>
      <x:c r="S3741" s="10" t="n">
        <x:f>IF(K3741&gt;0,R3741/K3741,"")</x:f>
        <x:v>0.31259259259259264</x:v>
      </x:c>
    </x:row>
    <x:row r="3742">
      <x:c r="A3742" s="7" t="n">
        <x:v>3738</x:v>
      </x:c>
      <x:c r="B3742" s="7" t="str">
        <x:v>Tata</x:v>
      </x:c>
      <x:c r="C3742" s="7" t="str">
        <x:v>Safari</x:v>
      </x:c>
      <x:c r="D3742" s="7" t="str">
        <x:v>Accomplished AT</x:v>
      </x:c>
      <x:c r="E3742" s="7" t="str">
        <x:v>Diesel</x:v>
      </x:c>
      <x:c r="F3742" s="7" t="str">
        <x:v>Automatic</x:v>
      </x:c>
      <x:c r="G3742" s="7" t="str">
        <x:v>SUV</x:v>
      </x:c>
      <x:c r="H3742" s="7" t="n">
        <x:v>1956</x:v>
      </x:c>
      <x:c r="I3742" s="7" t="n">
        <x:v>168</x:v>
      </x:c>
      <x:c r="J3742" s="9" t="n">
        <x:v>14.5</x:v>
      </x:c>
      <x:c r="K3742" s="9" t="n">
        <x:v>27</x:v>
      </x:c>
      <x:c r="L3742" s="7" t="n">
        <x:v>2023</x:v>
      </x:c>
      <x:c r="M3742" s="11" t="n">
        <x:v>68267</x:v>
      </x:c>
      <x:c r="N3742" s="7" t="n">
        <x:v>1</x:v>
      </x:c>
      <x:c r="O3742" s="7" t="n">
        <x:v>0</x:v>
      </x:c>
      <x:c r="P3742" s="9" t="n">
        <x:v>18.38</x:v>
      </x:c>
      <x:c r="Q3742" s="7" t="n">
        <x:f>'Guide'!$B$5-L3742</x:f>
        <x:v>3</x:v>
      </x:c>
      <x:c r="R3742" s="9" t="n">
        <x:f>K3742-P3742</x:f>
        <x:v>8.620000000000001</x:v>
      </x:c>
      <x:c r="S3742" s="10" t="n">
        <x:f>IF(K3742&gt;0,R3742/K3742,"")</x:f>
        <x:v>0.3192592592592593</x:v>
      </x:c>
    </x:row>
    <x:row r="3743">
      <x:c r="A3743" s="7" t="n">
        <x:v>3739</x:v>
      </x:c>
      <x:c r="B3743" s="7" t="str">
        <x:v>Tata</x:v>
      </x:c>
      <x:c r="C3743" s="7" t="str">
        <x:v>Safari</x:v>
      </x:c>
      <x:c r="D3743" s="7" t="str">
        <x:v>Accomplished AT</x:v>
      </x:c>
      <x:c r="E3743" s="7" t="str">
        <x:v>Diesel</x:v>
      </x:c>
      <x:c r="F3743" s="7" t="str">
        <x:v>Automatic</x:v>
      </x:c>
      <x:c r="G3743" s="7" t="str">
        <x:v>SUV</x:v>
      </x:c>
      <x:c r="H3743" s="7" t="n">
        <x:v>1956</x:v>
      </x:c>
      <x:c r="I3743" s="7" t="n">
        <x:v>168</x:v>
      </x:c>
      <x:c r="J3743" s="9" t="n">
        <x:v>14.5</x:v>
      </x:c>
      <x:c r="K3743" s="9" t="n">
        <x:v>27</x:v>
      </x:c>
      <x:c r="L3743" s="7" t="n">
        <x:v>2020</x:v>
      </x:c>
      <x:c r="M3743" s="11" t="n">
        <x:v>108407</x:v>
      </x:c>
      <x:c r="N3743" s="7" t="n">
        <x:v>1</x:v>
      </x:c>
      <x:c r="O3743" s="7" t="n">
        <x:v>0</x:v>
      </x:c>
      <x:c r="P3743" s="9" t="n">
        <x:v>10.26</x:v>
      </x:c>
      <x:c r="Q3743" s="7" t="n">
        <x:f>'Guide'!$B$5-L3743</x:f>
        <x:v>6</x:v>
      </x:c>
      <x:c r="R3743" s="9" t="n">
        <x:f>K3743-P3743</x:f>
        <x:v>16.740000000000002</x:v>
      </x:c>
      <x:c r="S3743" s="10" t="n">
        <x:f>IF(K3743&gt;0,R3743/K3743,"")</x:f>
        <x:v>0.6200000000000001</x:v>
      </x:c>
    </x:row>
    <x:row r="3744">
      <x:c r="A3744" s="7" t="n">
        <x:v>3740</x:v>
      </x:c>
      <x:c r="B3744" s="7" t="str">
        <x:v>Tata</x:v>
      </x:c>
      <x:c r="C3744" s="7" t="str">
        <x:v>Safari</x:v>
      </x:c>
      <x:c r="D3744" s="7" t="str">
        <x:v>Accomplished AT</x:v>
      </x:c>
      <x:c r="E3744" s="7" t="str">
        <x:v>Diesel</x:v>
      </x:c>
      <x:c r="F3744" s="7" t="str">
        <x:v>Automatic</x:v>
      </x:c>
      <x:c r="G3744" s="7" t="str">
        <x:v>SUV</x:v>
      </x:c>
      <x:c r="H3744" s="7" t="n">
        <x:v>1956</x:v>
      </x:c>
      <x:c r="I3744" s="7" t="n">
        <x:v>168</x:v>
      </x:c>
      <x:c r="J3744" s="9" t="n">
        <x:v>14.5</x:v>
      </x:c>
      <x:c r="K3744" s="9" t="n">
        <x:v>27</x:v>
      </x:c>
      <x:c r="L3744" s="7" t="n">
        <x:v>2024</x:v>
      </x:c>
      <x:c r="M3744" s="11" t="n">
        <x:v>40054</x:v>
      </x:c>
      <x:c r="N3744" s="7" t="n">
        <x:v>1</x:v>
      </x:c>
      <x:c r="O3744" s="7" t="n">
        <x:v>0</x:v>
      </x:c>
      <x:c r="P3744" s="9" t="n">
        <x:v>21.09</x:v>
      </x:c>
      <x:c r="Q3744" s="7" t="n">
        <x:f>'Guide'!$B$5-L3744</x:f>
        <x:v>2</x:v>
      </x:c>
      <x:c r="R3744" s="9" t="n">
        <x:f>K3744-P3744</x:f>
        <x:v>5.91</x:v>
      </x:c>
      <x:c r="S3744" s="10" t="n">
        <x:f>IF(K3744&gt;0,R3744/K3744,"")</x:f>
        <x:v>0.21888888888888888</x:v>
      </x:c>
    </x:row>
    <x:row r="3745">
      <x:c r="A3745" s="7" t="n">
        <x:v>3741</x:v>
      </x:c>
      <x:c r="B3745" s="7" t="str">
        <x:v>Tata</x:v>
      </x:c>
      <x:c r="C3745" s="7" t="str">
        <x:v>Safari</x:v>
      </x:c>
      <x:c r="D3745" s="7" t="str">
        <x:v>Accomplished AT</x:v>
      </x:c>
      <x:c r="E3745" s="7" t="str">
        <x:v>Diesel</x:v>
      </x:c>
      <x:c r="F3745" s="7" t="str">
        <x:v>Automatic</x:v>
      </x:c>
      <x:c r="G3745" s="7" t="str">
        <x:v>SUV</x:v>
      </x:c>
      <x:c r="H3745" s="7" t="n">
        <x:v>1956</x:v>
      </x:c>
      <x:c r="I3745" s="7" t="n">
        <x:v>168</x:v>
      </x:c>
      <x:c r="J3745" s="9" t="n">
        <x:v>14.5</x:v>
      </x:c>
      <x:c r="K3745" s="9" t="n">
        <x:v>27</x:v>
      </x:c>
      <x:c r="L3745" s="7" t="n">
        <x:v>2020</x:v>
      </x:c>
      <x:c r="M3745" s="11" t="n">
        <x:v>127273</x:v>
      </x:c>
      <x:c r="N3745" s="7" t="n">
        <x:v>1</x:v>
      </x:c>
      <x:c r="O3745" s="7" t="n">
        <x:v>0</x:v>
      </x:c>
      <x:c r="P3745" s="9" t="n">
        <x:v>9.9</x:v>
      </x:c>
      <x:c r="Q3745" s="7" t="n">
        <x:f>'Guide'!$B$5-L3745</x:f>
        <x:v>6</x:v>
      </x:c>
      <x:c r="R3745" s="9" t="n">
        <x:f>K3745-P3745</x:f>
        <x:v>17.1</x:v>
      </x:c>
      <x:c r="S3745" s="10" t="n">
        <x:f>IF(K3745&gt;0,R3745/K3745,"")</x:f>
        <x:v>0.6333333333333334</x:v>
      </x:c>
    </x:row>
    <x:row r="3746">
      <x:c r="A3746" s="7" t="n">
        <x:v>3742</x:v>
      </x:c>
      <x:c r="B3746" s="7" t="str">
        <x:v>Tata</x:v>
      </x:c>
      <x:c r="C3746" s="7" t="str">
        <x:v>Safari</x:v>
      </x:c>
      <x:c r="D3746" s="7" t="str">
        <x:v>Accomplished AT</x:v>
      </x:c>
      <x:c r="E3746" s="7" t="str">
        <x:v>Diesel</x:v>
      </x:c>
      <x:c r="F3746" s="7" t="str">
        <x:v>Automatic</x:v>
      </x:c>
      <x:c r="G3746" s="7" t="str">
        <x:v>SUV</x:v>
      </x:c>
      <x:c r="H3746" s="7" t="n">
        <x:v>1956</x:v>
      </x:c>
      <x:c r="I3746" s="7" t="n">
        <x:v>168</x:v>
      </x:c>
      <x:c r="J3746" s="9" t="n">
        <x:v>14.5</x:v>
      </x:c>
      <x:c r="K3746" s="9" t="n">
        <x:v>27</x:v>
      </x:c>
      <x:c r="L3746" s="7" t="n">
        <x:v>2025</x:v>
      </x:c>
      <x:c r="M3746" s="11" t="n">
        <x:v>19792</x:v>
      </x:c>
      <x:c r="N3746" s="7" t="n">
        <x:v>1</x:v>
      </x:c>
      <x:c r="O3746" s="7" t="n">
        <x:v>0</x:v>
      </x:c>
      <x:c r="P3746" s="9" t="n">
        <x:v>24.42</x:v>
      </x:c>
      <x:c r="Q3746" s="7" t="n">
        <x:f>'Guide'!$B$5-L3746</x:f>
        <x:v>1</x:v>
      </x:c>
      <x:c r="R3746" s="9" t="n">
        <x:f>K3746-P3746</x:f>
        <x:v>2.5799999999999983</x:v>
      </x:c>
      <x:c r="S3746" s="10" t="n">
        <x:f>IF(K3746&gt;0,R3746/K3746,"")</x:f>
        <x:v>0.09555555555555549</x:v>
      </x:c>
    </x:row>
    <x:row r="3747">
      <x:c r="A3747" s="7" t="n">
        <x:v>3743</x:v>
      </x:c>
      <x:c r="B3747" s="7" t="str">
        <x:v>Tata</x:v>
      </x:c>
      <x:c r="C3747" s="7" t="str">
        <x:v>Safari</x:v>
      </x:c>
      <x:c r="D3747" s="7" t="str">
        <x:v>Accomplished AT</x:v>
      </x:c>
      <x:c r="E3747" s="7" t="str">
        <x:v>Diesel</x:v>
      </x:c>
      <x:c r="F3747" s="7" t="str">
        <x:v>Automatic</x:v>
      </x:c>
      <x:c r="G3747" s="7" t="str">
        <x:v>SUV</x:v>
      </x:c>
      <x:c r="H3747" s="7" t="n">
        <x:v>1956</x:v>
      </x:c>
      <x:c r="I3747" s="7" t="n">
        <x:v>168</x:v>
      </x:c>
      <x:c r="J3747" s="9" t="n">
        <x:v>14.5</x:v>
      </x:c>
      <x:c r="K3747" s="9" t="n">
        <x:v>27</x:v>
      </x:c>
      <x:c r="L3747" s="7" t="n">
        <x:v>2024</x:v>
      </x:c>
      <x:c r="M3747" s="11" t="n">
        <x:v>44791</x:v>
      </x:c>
      <x:c r="N3747" s="7" t="n">
        <x:v>2</x:v>
      </x:c>
      <x:c r="O3747" s="7" t="n">
        <x:v>0</x:v>
      </x:c>
      <x:c r="P3747" s="9" t="n">
        <x:v>20.81</x:v>
      </x:c>
      <x:c r="Q3747" s="7" t="n">
        <x:f>'Guide'!$B$5-L3747</x:f>
        <x:v>2</x:v>
      </x:c>
      <x:c r="R3747" s="9" t="n">
        <x:f>K3747-P3747</x:f>
        <x:v>6.190000000000001</x:v>
      </x:c>
      <x:c r="S3747" s="10" t="n">
        <x:f>IF(K3747&gt;0,R3747/K3747,"")</x:f>
        <x:v>0.2292592592592593</x:v>
      </x:c>
    </x:row>
    <x:row r="3748">
      <x:c r="A3748" s="7" t="n">
        <x:v>3744</x:v>
      </x:c>
      <x:c r="B3748" s="7" t="str">
        <x:v>Tata</x:v>
      </x:c>
      <x:c r="C3748" s="7" t="str">
        <x:v>Safari</x:v>
      </x:c>
      <x:c r="D3748" s="7" t="str">
        <x:v>Accomplished AT</x:v>
      </x:c>
      <x:c r="E3748" s="7" t="str">
        <x:v>Diesel</x:v>
      </x:c>
      <x:c r="F3748" s="7" t="str">
        <x:v>Automatic</x:v>
      </x:c>
      <x:c r="G3748" s="7" t="str">
        <x:v>SUV</x:v>
      </x:c>
      <x:c r="H3748" s="7" t="n">
        <x:v>1956</x:v>
      </x:c>
      <x:c r="I3748" s="7" t="n">
        <x:v>168</x:v>
      </x:c>
      <x:c r="J3748" s="9" t="n">
        <x:v>14.5</x:v>
      </x:c>
      <x:c r="K3748" s="9" t="n">
        <x:v>27</x:v>
      </x:c>
      <x:c r="L3748" s="7" t="n">
        <x:v>2020</x:v>
      </x:c>
      <x:c r="M3748" s="11" t="n">
        <x:v>92355</x:v>
      </x:c>
      <x:c r="N3748" s="7" t="n">
        <x:v>1</x:v>
      </x:c>
      <x:c r="O3748" s="7" t="n">
        <x:v>0</x:v>
      </x:c>
      <x:c r="P3748" s="9" t="n">
        <x:v>11</x:v>
      </x:c>
      <x:c r="Q3748" s="7" t="n">
        <x:f>'Guide'!$B$5-L3748</x:f>
        <x:v>6</x:v>
      </x:c>
      <x:c r="R3748" s="9" t="n">
        <x:f>K3748-P3748</x:f>
        <x:v>16</x:v>
      </x:c>
      <x:c r="S3748" s="10" t="n">
        <x:f>IF(K3748&gt;0,R3748/K3748,"")</x:f>
        <x:v>0.5925925925925926</x:v>
      </x:c>
    </x:row>
    <x:row r="3749">
      <x:c r="A3749" s="7" t="n">
        <x:v>3745</x:v>
      </x:c>
      <x:c r="B3749" s="7" t="str">
        <x:v>Tata</x:v>
      </x:c>
      <x:c r="C3749" s="7" t="str">
        <x:v>Safari</x:v>
      </x:c>
      <x:c r="D3749" s="7" t="str">
        <x:v>Accomplished AT</x:v>
      </x:c>
      <x:c r="E3749" s="7" t="str">
        <x:v>Diesel</x:v>
      </x:c>
      <x:c r="F3749" s="7" t="str">
        <x:v>Automatic</x:v>
      </x:c>
      <x:c r="G3749" s="7" t="str">
        <x:v>SUV</x:v>
      </x:c>
      <x:c r="H3749" s="7" t="n">
        <x:v>1956</x:v>
      </x:c>
      <x:c r="I3749" s="7" t="n">
        <x:v>168</x:v>
      </x:c>
      <x:c r="J3749" s="9" t="n">
        <x:v>14.5</x:v>
      </x:c>
      <x:c r="K3749" s="9" t="n">
        <x:v>27</x:v>
      </x:c>
      <x:c r="L3749" s="7" t="n">
        <x:v>2022</x:v>
      </x:c>
      <x:c r="M3749" s="11" t="n">
        <x:v>49136</x:v>
      </x:c>
      <x:c r="N3749" s="7" t="n">
        <x:v>2</x:v>
      </x:c>
      <x:c r="O3749" s="7" t="n">
        <x:v>0</x:v>
      </x:c>
      <x:c r="P3749" s="9" t="n">
        <x:v>16.75</x:v>
      </x:c>
      <x:c r="Q3749" s="7" t="n">
        <x:f>'Guide'!$B$5-L3749</x:f>
        <x:v>4</x:v>
      </x:c>
      <x:c r="R3749" s="9" t="n">
        <x:f>K3749-P3749</x:f>
        <x:v>10.25</x:v>
      </x:c>
      <x:c r="S3749" s="10" t="n">
        <x:f>IF(K3749&gt;0,R3749/K3749,"")</x:f>
        <x:v>0.37962962962962965</x:v>
      </x:c>
    </x:row>
    <x:row r="3750">
      <x:c r="A3750" s="7" t="n">
        <x:v>3746</x:v>
      </x:c>
      <x:c r="B3750" s="7" t="str">
        <x:v>Tata</x:v>
      </x:c>
      <x:c r="C3750" s="7" t="str">
        <x:v>Safari</x:v>
      </x:c>
      <x:c r="D3750" s="7" t="str">
        <x:v>Accomplished AT</x:v>
      </x:c>
      <x:c r="E3750" s="7" t="str">
        <x:v>Diesel</x:v>
      </x:c>
      <x:c r="F3750" s="7" t="str">
        <x:v>Automatic</x:v>
      </x:c>
      <x:c r="G3750" s="7" t="str">
        <x:v>SUV</x:v>
      </x:c>
      <x:c r="H3750" s="7" t="n">
        <x:v>1956</x:v>
      </x:c>
      <x:c r="I3750" s="7" t="n">
        <x:v>168</x:v>
      </x:c>
      <x:c r="J3750" s="9" t="n">
        <x:v>14.5</x:v>
      </x:c>
      <x:c r="K3750" s="9" t="n">
        <x:v>27</x:v>
      </x:c>
      <x:c r="L3750" s="7" t="n">
        <x:v>2022</x:v>
      </x:c>
      <x:c r="M3750" s="11" t="n">
        <x:v>80248</x:v>
      </x:c>
      <x:c r="N3750" s="7" t="n">
        <x:v>1</x:v>
      </x:c>
      <x:c r="O3750" s="7" t="n">
        <x:v>0</x:v>
      </x:c>
      <x:c r="P3750" s="9" t="n">
        <x:v>15.98</x:v>
      </x:c>
      <x:c r="Q3750" s="7" t="n">
        <x:f>'Guide'!$B$5-L3750</x:f>
        <x:v>4</x:v>
      </x:c>
      <x:c r="R3750" s="9" t="n">
        <x:f>K3750-P3750</x:f>
        <x:v>11.02</x:v>
      </x:c>
      <x:c r="S3750" s="10" t="n">
        <x:f>IF(K3750&gt;0,R3750/K3750,"")</x:f>
        <x:v>0.40814814814814815</x:v>
      </x:c>
    </x:row>
    <x:row r="3751">
      <x:c r="A3751" s="7" t="n">
        <x:v>3747</x:v>
      </x:c>
      <x:c r="B3751" s="7" t="str">
        <x:v>Tata</x:v>
      </x:c>
      <x:c r="C3751" s="7" t="str">
        <x:v>Safari</x:v>
      </x:c>
      <x:c r="D3751" s="7" t="str">
        <x:v>Accomplished AT</x:v>
      </x:c>
      <x:c r="E3751" s="7" t="str">
        <x:v>Diesel</x:v>
      </x:c>
      <x:c r="F3751" s="7" t="str">
        <x:v>Automatic</x:v>
      </x:c>
      <x:c r="G3751" s="7" t="str">
        <x:v>SUV</x:v>
      </x:c>
      <x:c r="H3751" s="7" t="n">
        <x:v>1956</x:v>
      </x:c>
      <x:c r="I3751" s="7" t="n">
        <x:v>168</x:v>
      </x:c>
      <x:c r="J3751" s="9" t="n">
        <x:v>14.5</x:v>
      </x:c>
      <x:c r="K3751" s="9" t="n">
        <x:v>27</x:v>
      </x:c>
      <x:c r="L3751" s="7" t="n">
        <x:v>2024</x:v>
      </x:c>
      <x:c r="M3751" s="11" t="n">
        <x:v>25174</x:v>
      </x:c>
      <x:c r="N3751" s="7" t="n">
        <x:v>1</x:v>
      </x:c>
      <x:c r="O3751" s="7" t="n">
        <x:v>0</x:v>
      </x:c>
      <x:c r="P3751" s="9" t="n">
        <x:v>22.18</x:v>
      </x:c>
      <x:c r="Q3751" s="7" t="n">
        <x:f>'Guide'!$B$5-L3751</x:f>
        <x:v>2</x:v>
      </x:c>
      <x:c r="R3751" s="9" t="n">
        <x:f>K3751-P3751</x:f>
        <x:v>4.82</x:v>
      </x:c>
      <x:c r="S3751" s="10" t="n">
        <x:f>IF(K3751&gt;0,R3751/K3751,"")</x:f>
        <x:v>0.17851851851851852</x:v>
      </x:c>
    </x:row>
    <x:row r="3752">
      <x:c r="A3752" s="7" t="n">
        <x:v>3748</x:v>
      </x:c>
      <x:c r="B3752" s="7" t="str">
        <x:v>Tata</x:v>
      </x:c>
      <x:c r="C3752" s="7" t="str">
        <x:v>Safari</x:v>
      </x:c>
      <x:c r="D3752" s="7" t="str">
        <x:v>Accomplished AT</x:v>
      </x:c>
      <x:c r="E3752" s="7" t="str">
        <x:v>Diesel</x:v>
      </x:c>
      <x:c r="F3752" s="7" t="str">
        <x:v>Automatic</x:v>
      </x:c>
      <x:c r="G3752" s="7" t="str">
        <x:v>SUV</x:v>
      </x:c>
      <x:c r="H3752" s="7" t="n">
        <x:v>1956</x:v>
      </x:c>
      <x:c r="I3752" s="7" t="n">
        <x:v>168</x:v>
      </x:c>
      <x:c r="J3752" s="9" t="n">
        <x:v>14.5</x:v>
      </x:c>
      <x:c r="K3752" s="9" t="n">
        <x:v>27</x:v>
      </x:c>
      <x:c r="L3752" s="7" t="n">
        <x:v>2024</x:v>
      </x:c>
      <x:c r="M3752" s="11" t="n">
        <x:v>42510</x:v>
      </x:c>
      <x:c r="N3752" s="7" t="n">
        <x:v>2</x:v>
      </x:c>
      <x:c r="O3752" s="7" t="n">
        <x:v>0</x:v>
      </x:c>
      <x:c r="P3752" s="9" t="n">
        <x:v>20.89</x:v>
      </x:c>
      <x:c r="Q3752" s="7" t="n">
        <x:f>'Guide'!$B$5-L3752</x:f>
        <x:v>2</x:v>
      </x:c>
      <x:c r="R3752" s="9" t="n">
        <x:f>K3752-P3752</x:f>
        <x:v>6.109999999999999</x:v>
      </x:c>
      <x:c r="S3752" s="10" t="n">
        <x:f>IF(K3752&gt;0,R3752/K3752,"")</x:f>
        <x:v>0.22629629629629627</x:v>
      </x:c>
    </x:row>
    <x:row r="3753">
      <x:c r="A3753" s="7" t="n">
        <x:v>3749</x:v>
      </x:c>
      <x:c r="B3753" s="7" t="str">
        <x:v>Tata</x:v>
      </x:c>
      <x:c r="C3753" s="7" t="str">
        <x:v>Safari</x:v>
      </x:c>
      <x:c r="D3753" s="7" t="str">
        <x:v>Accomplished AT</x:v>
      </x:c>
      <x:c r="E3753" s="7" t="str">
        <x:v>Diesel</x:v>
      </x:c>
      <x:c r="F3753" s="7" t="str">
        <x:v>Automatic</x:v>
      </x:c>
      <x:c r="G3753" s="7" t="str">
        <x:v>SUV</x:v>
      </x:c>
      <x:c r="H3753" s="7" t="n">
        <x:v>1956</x:v>
      </x:c>
      <x:c r="I3753" s="7" t="n">
        <x:v>168</x:v>
      </x:c>
      <x:c r="J3753" s="9" t="n">
        <x:v>14.5</x:v>
      </x:c>
      <x:c r="K3753" s="9" t="n">
        <x:v>27</x:v>
      </x:c>
      <x:c r="L3753" s="7" t="n">
        <x:v>2024</x:v>
      </x:c>
      <x:c r="M3753" s="11" t="n">
        <x:v>23781</x:v>
      </x:c>
      <x:c r="N3753" s="7" t="n">
        <x:v>1</x:v>
      </x:c>
      <x:c r="O3753" s="7" t="n">
        <x:v>0</x:v>
      </x:c>
      <x:c r="P3753" s="9" t="n">
        <x:v>22.23</x:v>
      </x:c>
      <x:c r="Q3753" s="7" t="n">
        <x:f>'Guide'!$B$5-L3753</x:f>
        <x:v>2</x:v>
      </x:c>
      <x:c r="R3753" s="9" t="n">
        <x:f>K3753-P3753</x:f>
        <x:v>4.77</x:v>
      </x:c>
      <x:c r="S3753" s="10" t="n">
        <x:f>IF(K3753&gt;0,R3753/K3753,"")</x:f>
        <x:v>0.17666666666666664</x:v>
      </x:c>
    </x:row>
    <x:row r="3754">
      <x:c r="A3754" s="7" t="n">
        <x:v>3750</x:v>
      </x:c>
      <x:c r="B3754" s="7" t="str">
        <x:v>Tata</x:v>
      </x:c>
      <x:c r="C3754" s="7" t="str">
        <x:v>Safari</x:v>
      </x:c>
      <x:c r="D3754" s="7" t="str">
        <x:v>Accomplished AT</x:v>
      </x:c>
      <x:c r="E3754" s="7" t="str">
        <x:v>Diesel</x:v>
      </x:c>
      <x:c r="F3754" s="7" t="str">
        <x:v>Automatic</x:v>
      </x:c>
      <x:c r="G3754" s="7" t="str">
        <x:v>SUV</x:v>
      </x:c>
      <x:c r="H3754" s="7" t="n">
        <x:v>1956</x:v>
      </x:c>
      <x:c r="I3754" s="7" t="n">
        <x:v>168</x:v>
      </x:c>
      <x:c r="J3754" s="9" t="n">
        <x:v>14.5</x:v>
      </x:c>
      <x:c r="K3754" s="9" t="n">
        <x:v>27</x:v>
      </x:c>
      <x:c r="L3754" s="7" t="n">
        <x:v>2026</x:v>
      </x:c>
      <x:c r="M3754" s="11" t="n">
        <x:v>7360</x:v>
      </x:c>
      <x:c r="N3754" s="7" t="n">
        <x:v>1</x:v>
      </x:c>
      <x:c r="O3754" s="7" t="n">
        <x:v>0</x:v>
      </x:c>
      <x:c r="P3754" s="9" t="n">
        <x:v>26.97</x:v>
      </x:c>
      <x:c r="Q3754" s="7" t="n">
        <x:f>'Guide'!$B$5-L3754</x:f>
        <x:v>0</x:v>
      </x:c>
      <x:c r="R3754" s="9" t="n">
        <x:f>K3754-P3754</x:f>
        <x:v>0.030000000000001137</x:v>
      </x:c>
      <x:c r="S3754" s="10" t="n">
        <x:f>IF(K3754&gt;0,R3754/K3754,"")</x:f>
        <x:v>0.0011111111111111532</x:v>
      </x:c>
    </x:row>
    <x:row r="3755">
      <x:c r="A3755" s="7" t="n">
        <x:v>3751</x:v>
      </x:c>
      <x:c r="B3755" s="7" t="str">
        <x:v>Tata</x:v>
      </x:c>
      <x:c r="C3755" s="7" t="str">
        <x:v>Safari</x:v>
      </x:c>
      <x:c r="D3755" s="7" t="str">
        <x:v>Accomplished AT</x:v>
      </x:c>
      <x:c r="E3755" s="7" t="str">
        <x:v>Diesel</x:v>
      </x:c>
      <x:c r="F3755" s="7" t="str">
        <x:v>Automatic</x:v>
      </x:c>
      <x:c r="G3755" s="7" t="str">
        <x:v>SUV</x:v>
      </x:c>
      <x:c r="H3755" s="7" t="n">
        <x:v>1956</x:v>
      </x:c>
      <x:c r="I3755" s="7" t="n">
        <x:v>168</x:v>
      </x:c>
      <x:c r="J3755" s="9" t="n">
        <x:v>14.5</x:v>
      </x:c>
      <x:c r="K3755" s="9" t="n">
        <x:v>27</x:v>
      </x:c>
      <x:c r="L3755" s="7" t="n">
        <x:v>2020</x:v>
      </x:c>
      <x:c r="M3755" s="11" t="n">
        <x:v>121256</x:v>
      </x:c>
      <x:c r="N3755" s="7" t="n">
        <x:v>2</x:v>
      </x:c>
      <x:c r="O3755" s="7" t="n">
        <x:v>0</x:v>
      </x:c>
      <x:c r="P3755" s="9" t="n">
        <x:v>9.76</x:v>
      </x:c>
      <x:c r="Q3755" s="7" t="n">
        <x:f>'Guide'!$B$5-L3755</x:f>
        <x:v>6</x:v>
      </x:c>
      <x:c r="R3755" s="9" t="n">
        <x:f>K3755-P3755</x:f>
        <x:v>17.240000000000002</x:v>
      </x:c>
      <x:c r="S3755" s="10" t="n">
        <x:f>IF(K3755&gt;0,R3755/K3755,"")</x:f>
        <x:v>0.6385185185185186</x:v>
      </x:c>
    </x:row>
    <x:row r="3756">
      <x:c r="A3756" s="7" t="n">
        <x:v>3752</x:v>
      </x:c>
      <x:c r="B3756" s="7" t="str">
        <x:v>Tata</x:v>
      </x:c>
      <x:c r="C3756" s="7" t="str">
        <x:v>Safari</x:v>
      </x:c>
      <x:c r="D3756" s="7" t="str">
        <x:v>Accomplished AT</x:v>
      </x:c>
      <x:c r="E3756" s="7" t="str">
        <x:v>Diesel</x:v>
      </x:c>
      <x:c r="F3756" s="7" t="str">
        <x:v>Automatic</x:v>
      </x:c>
      <x:c r="G3756" s="7" t="str">
        <x:v>SUV</x:v>
      </x:c>
      <x:c r="H3756" s="7" t="n">
        <x:v>1956</x:v>
      </x:c>
      <x:c r="I3756" s="7" t="n">
        <x:v>168</x:v>
      </x:c>
      <x:c r="J3756" s="9" t="n">
        <x:v>14.5</x:v>
      </x:c>
      <x:c r="K3756" s="9" t="n">
        <x:v>27</x:v>
      </x:c>
      <x:c r="L3756" s="7" t="n">
        <x:v>2025</x:v>
      </x:c>
      <x:c r="M3756" s="11" t="n">
        <x:v>24506</x:v>
      </x:c>
      <x:c r="N3756" s="7" t="n">
        <x:v>2</x:v>
      </x:c>
      <x:c r="O3756" s="7" t="n">
        <x:v>0</x:v>
      </x:c>
      <x:c r="P3756" s="9" t="n">
        <x:v>23.55</x:v>
      </x:c>
      <x:c r="Q3756" s="7" t="n">
        <x:f>'Guide'!$B$5-L3756</x:f>
        <x:v>1</x:v>
      </x:c>
      <x:c r="R3756" s="9" t="n">
        <x:f>K3756-P3756</x:f>
        <x:v>3.4499999999999993</x:v>
      </x:c>
      <x:c r="S3756" s="10" t="n">
        <x:f>IF(K3756&gt;0,R3756/K3756,"")</x:f>
        <x:v>0.12777777777777774</x:v>
      </x:c>
    </x:row>
    <x:row r="3757">
      <x:c r="A3757" s="7" t="n">
        <x:v>3753</x:v>
      </x:c>
      <x:c r="B3757" s="7" t="str">
        <x:v>Tata</x:v>
      </x:c>
      <x:c r="C3757" s="7" t="str">
        <x:v>Safari</x:v>
      </x:c>
      <x:c r="D3757" s="7" t="str">
        <x:v>Accomplished AT</x:v>
      </x:c>
      <x:c r="E3757" s="7" t="str">
        <x:v>Diesel</x:v>
      </x:c>
      <x:c r="F3757" s="7" t="str">
        <x:v>Automatic</x:v>
      </x:c>
      <x:c r="G3757" s="7" t="str">
        <x:v>SUV</x:v>
      </x:c>
      <x:c r="H3757" s="7" t="n">
        <x:v>1956</x:v>
      </x:c>
      <x:c r="I3757" s="7" t="n">
        <x:v>168</x:v>
      </x:c>
      <x:c r="J3757" s="9" t="n">
        <x:v>14.5</x:v>
      </x:c>
      <x:c r="K3757" s="9" t="n">
        <x:v>27</x:v>
      </x:c>
      <x:c r="L3757" s="7" t="n">
        <x:v>2024</x:v>
      </x:c>
      <x:c r="M3757" s="11" t="n">
        <x:v>26416</x:v>
      </x:c>
      <x:c r="N3757" s="7" t="n">
        <x:v>1</x:v>
      </x:c>
      <x:c r="O3757" s="7" t="n">
        <x:v>0</x:v>
      </x:c>
      <x:c r="P3757" s="9" t="n">
        <x:v>21.94</x:v>
      </x:c>
      <x:c r="Q3757" s="7" t="n">
        <x:f>'Guide'!$B$5-L3757</x:f>
        <x:v>2</x:v>
      </x:c>
      <x:c r="R3757" s="9" t="n">
        <x:f>K3757-P3757</x:f>
        <x:v>5.059999999999999</x:v>
      </x:c>
      <x:c r="S3757" s="10" t="n">
        <x:f>IF(K3757&gt;0,R3757/K3757,"")</x:f>
        <x:v>0.18740740740740736</x:v>
      </x:c>
    </x:row>
    <x:row r="3758">
      <x:c r="A3758" s="7" t="n">
        <x:v>3754</x:v>
      </x:c>
      <x:c r="B3758" s="7" t="str">
        <x:v>Tata</x:v>
      </x:c>
      <x:c r="C3758" s="7" t="str">
        <x:v>Safari</x:v>
      </x:c>
      <x:c r="D3758" s="7" t="str">
        <x:v>Accomplished AT</x:v>
      </x:c>
      <x:c r="E3758" s="7" t="str">
        <x:v>Diesel</x:v>
      </x:c>
      <x:c r="F3758" s="7" t="str">
        <x:v>Automatic</x:v>
      </x:c>
      <x:c r="G3758" s="7" t="str">
        <x:v>SUV</x:v>
      </x:c>
      <x:c r="H3758" s="7" t="n">
        <x:v>1956</x:v>
      </x:c>
      <x:c r="I3758" s="7" t="n">
        <x:v>168</x:v>
      </x:c>
      <x:c r="J3758" s="9" t="n">
        <x:v>14.5</x:v>
      </x:c>
      <x:c r="K3758" s="9" t="n">
        <x:v>27</x:v>
      </x:c>
      <x:c r="L3758" s="7" t="n">
        <x:v>2025</x:v>
      </x:c>
      <x:c r="M3758" s="11" t="n">
        <x:v>23946</x:v>
      </x:c>
      <x:c r="N3758" s="7" t="n">
        <x:v>1</x:v>
      </x:c>
      <x:c r="O3758" s="7" t="n">
        <x:v>0</x:v>
      </x:c>
      <x:c r="P3758" s="9" t="n">
        <x:v>23.77</x:v>
      </x:c>
      <x:c r="Q3758" s="7" t="n">
        <x:f>'Guide'!$B$5-L3758</x:f>
        <x:v>1</x:v>
      </x:c>
      <x:c r="R3758" s="9" t="n">
        <x:f>K3758-P3758</x:f>
        <x:v>3.2300000000000004</x:v>
      </x:c>
      <x:c r="S3758" s="10" t="n">
        <x:f>IF(K3758&gt;0,R3758/K3758,"")</x:f>
        <x:v>0.11962962962962964</x:v>
      </x:c>
    </x:row>
    <x:row r="3759">
      <x:c r="A3759" s="7" t="n">
        <x:v>3755</x:v>
      </x:c>
      <x:c r="B3759" s="7" t="str">
        <x:v>Tata</x:v>
      </x:c>
      <x:c r="C3759" s="7" t="str">
        <x:v>Safari</x:v>
      </x:c>
      <x:c r="D3759" s="7" t="str">
        <x:v>Accomplished AT</x:v>
      </x:c>
      <x:c r="E3759" s="7" t="str">
        <x:v>Diesel</x:v>
      </x:c>
      <x:c r="F3759" s="7" t="str">
        <x:v>Automatic</x:v>
      </x:c>
      <x:c r="G3759" s="7" t="str">
        <x:v>SUV</x:v>
      </x:c>
      <x:c r="H3759" s="7" t="n">
        <x:v>1956</x:v>
      </x:c>
      <x:c r="I3759" s="7" t="n">
        <x:v>168</x:v>
      </x:c>
      <x:c r="J3759" s="9" t="n">
        <x:v>14.5</x:v>
      </x:c>
      <x:c r="K3759" s="9" t="n">
        <x:v>27</x:v>
      </x:c>
      <x:c r="L3759" s="7" t="n">
        <x:v>2023</x:v>
      </x:c>
      <x:c r="M3759" s="11" t="n">
        <x:v>40881</x:v>
      </x:c>
      <x:c r="N3759" s="7" t="n">
        <x:v>2</x:v>
      </x:c>
      <x:c r="O3759" s="7" t="n">
        <x:v>0</x:v>
      </x:c>
      <x:c r="P3759" s="9" t="n">
        <x:v>18.65</x:v>
      </x:c>
      <x:c r="Q3759" s="7" t="n">
        <x:f>'Guide'!$B$5-L3759</x:f>
        <x:v>3</x:v>
      </x:c>
      <x:c r="R3759" s="9" t="n">
        <x:f>K3759-P3759</x:f>
        <x:v>8.350000000000001</x:v>
      </x:c>
      <x:c r="S3759" s="10" t="n">
        <x:f>IF(K3759&gt;0,R3759/K3759,"")</x:f>
        <x:v>0.3092592592592593</x:v>
      </x:c>
    </x:row>
    <x:row r="3760">
      <x:c r="A3760" s="7" t="n">
        <x:v>3756</x:v>
      </x:c>
      <x:c r="B3760" s="7" t="str">
        <x:v>Tata</x:v>
      </x:c>
      <x:c r="C3760" s="7" t="str">
        <x:v>Safari</x:v>
      </x:c>
      <x:c r="D3760" s="7" t="str">
        <x:v>Accomplished AT</x:v>
      </x:c>
      <x:c r="E3760" s="7" t="str">
        <x:v>Diesel</x:v>
      </x:c>
      <x:c r="F3760" s="7" t="str">
        <x:v>Automatic</x:v>
      </x:c>
      <x:c r="G3760" s="7" t="str">
        <x:v>SUV</x:v>
      </x:c>
      <x:c r="H3760" s="7" t="n">
        <x:v>1956</x:v>
      </x:c>
      <x:c r="I3760" s="7" t="n">
        <x:v>168</x:v>
      </x:c>
      <x:c r="J3760" s="9" t="n">
        <x:v>14.5</x:v>
      </x:c>
      <x:c r="K3760" s="9" t="n">
        <x:v>27</x:v>
      </x:c>
      <x:c r="L3760" s="7" t="n">
        <x:v>2026</x:v>
      </x:c>
      <x:c r="M3760" s="11" t="n">
        <x:v>4426</x:v>
      </x:c>
      <x:c r="N3760" s="7" t="n">
        <x:v>1</x:v>
      </x:c>
      <x:c r="O3760" s="7" t="n">
        <x:v>0</x:v>
      </x:c>
      <x:c r="P3760" s="9" t="n">
        <x:v>27.25</x:v>
      </x:c>
      <x:c r="Q3760" s="7" t="n">
        <x:f>'Guide'!$B$5-L3760</x:f>
        <x:v>0</x:v>
      </x:c>
      <x:c r="R3760" s="9" t="n">
        <x:f>K3760-P3760</x:f>
        <x:v>-0.25</x:v>
      </x:c>
      <x:c r="S3760" s="10" t="n">
        <x:f>IF(K3760&gt;0,R3760/K3760,"")</x:f>
        <x:v>-0.009259259259259259</x:v>
      </x:c>
    </x:row>
    <x:row r="3761">
      <x:c r="A3761" s="7" t="n">
        <x:v>3757</x:v>
      </x:c>
      <x:c r="B3761" s="7" t="str">
        <x:v>Tata</x:v>
      </x:c>
      <x:c r="C3761" s="7" t="str">
        <x:v>Safari</x:v>
      </x:c>
      <x:c r="D3761" s="7" t="str">
        <x:v>Accomplished AT</x:v>
      </x:c>
      <x:c r="E3761" s="7" t="str">
        <x:v>Diesel</x:v>
      </x:c>
      <x:c r="F3761" s="7" t="str">
        <x:v>Automatic</x:v>
      </x:c>
      <x:c r="G3761" s="7" t="str">
        <x:v>SUV</x:v>
      </x:c>
      <x:c r="H3761" s="7" t="n">
        <x:v>1956</x:v>
      </x:c>
      <x:c r="I3761" s="7" t="n">
        <x:v>168</x:v>
      </x:c>
      <x:c r="J3761" s="9" t="n">
        <x:v>14.5</x:v>
      </x:c>
      <x:c r="K3761" s="9" t="n">
        <x:v>27</x:v>
      </x:c>
      <x:c r="L3761" s="7" t="n">
        <x:v>2024</x:v>
      </x:c>
      <x:c r="M3761" s="11" t="n">
        <x:v>30636</x:v>
      </x:c>
      <x:c r="N3761" s="7" t="n">
        <x:v>1</x:v>
      </x:c>
      <x:c r="O3761" s="7" t="n">
        <x:v>0</x:v>
      </x:c>
      <x:c r="P3761" s="9" t="n">
        <x:v>21.89</x:v>
      </x:c>
      <x:c r="Q3761" s="7" t="n">
        <x:f>'Guide'!$B$5-L3761</x:f>
        <x:v>2</x:v>
      </x:c>
      <x:c r="R3761" s="9" t="n">
        <x:f>K3761-P3761</x:f>
        <x:v>5.109999999999999</x:v>
      </x:c>
      <x:c r="S3761" s="10" t="n">
        <x:f>IF(K3761&gt;0,R3761/K3761,"")</x:f>
        <x:v>0.18925925925925924</x:v>
      </x:c>
    </x:row>
    <x:row r="3762">
      <x:c r="A3762" s="7" t="n">
        <x:v>3758</x:v>
      </x:c>
      <x:c r="B3762" s="7" t="str">
        <x:v>Tata</x:v>
      </x:c>
      <x:c r="C3762" s="7" t="str">
        <x:v>Safari</x:v>
      </x:c>
      <x:c r="D3762" s="7" t="str">
        <x:v>Accomplished AT</x:v>
      </x:c>
      <x:c r="E3762" s="7" t="str">
        <x:v>Diesel</x:v>
      </x:c>
      <x:c r="F3762" s="7" t="str">
        <x:v>Automatic</x:v>
      </x:c>
      <x:c r="G3762" s="7" t="str">
        <x:v>SUV</x:v>
      </x:c>
      <x:c r="H3762" s="7" t="n">
        <x:v>1956</x:v>
      </x:c>
      <x:c r="I3762" s="7" t="n">
        <x:v>168</x:v>
      </x:c>
      <x:c r="J3762" s="9" t="n">
        <x:v>14.5</x:v>
      </x:c>
      <x:c r="K3762" s="9" t="n">
        <x:v>27</x:v>
      </x:c>
      <x:c r="L3762" s="7" t="n">
        <x:v>2024</x:v>
      </x:c>
      <x:c r="M3762" s="11" t="n">
        <x:v>21507</x:v>
      </x:c>
      <x:c r="N3762" s="7" t="n">
        <x:v>1</x:v>
      </x:c>
      <x:c r="O3762" s="7" t="n">
        <x:v>1</x:v>
      </x:c>
      <x:c r="P3762" s="9" t="n">
        <x:v>21.34</x:v>
      </x:c>
      <x:c r="Q3762" s="7" t="n">
        <x:f>'Guide'!$B$5-L3762</x:f>
        <x:v>2</x:v>
      </x:c>
      <x:c r="R3762" s="9" t="n">
        <x:f>K3762-P3762</x:f>
        <x:v>5.66</x:v>
      </x:c>
      <x:c r="S3762" s="10" t="n">
        <x:f>IF(K3762&gt;0,R3762/K3762,"")</x:f>
        <x:v>0.20962962962962964</x:v>
      </x:c>
    </x:row>
    <x:row r="3763">
      <x:c r="A3763" s="7" t="n">
        <x:v>3759</x:v>
      </x:c>
      <x:c r="B3763" s="7" t="str">
        <x:v>Tata</x:v>
      </x:c>
      <x:c r="C3763" s="7" t="str">
        <x:v>Safari</x:v>
      </x:c>
      <x:c r="D3763" s="7" t="str">
        <x:v>Accomplished AT</x:v>
      </x:c>
      <x:c r="E3763" s="7" t="str">
        <x:v>Diesel</x:v>
      </x:c>
      <x:c r="F3763" s="7" t="str">
        <x:v>Automatic</x:v>
      </x:c>
      <x:c r="G3763" s="7" t="str">
        <x:v>SUV</x:v>
      </x:c>
      <x:c r="H3763" s="7" t="n">
        <x:v>1956</x:v>
      </x:c>
      <x:c r="I3763" s="7" t="n">
        <x:v>168</x:v>
      </x:c>
      <x:c r="J3763" s="9" t="n">
        <x:v>14.5</x:v>
      </x:c>
      <x:c r="K3763" s="9" t="n">
        <x:v>27</x:v>
      </x:c>
      <x:c r="L3763" s="7" t="n">
        <x:v>2023</x:v>
      </x:c>
      <x:c r="M3763" s="11" t="n">
        <x:v>34393</x:v>
      </x:c>
      <x:c r="N3763" s="7" t="n">
        <x:v>2</x:v>
      </x:c>
      <x:c r="O3763" s="7" t="n">
        <x:v>0</x:v>
      </x:c>
      <x:c r="P3763" s="9" t="n">
        <x:v>18.93</x:v>
      </x:c>
      <x:c r="Q3763" s="7" t="n">
        <x:f>'Guide'!$B$5-L3763</x:f>
        <x:v>3</x:v>
      </x:c>
      <x:c r="R3763" s="9" t="n">
        <x:f>K3763-P3763</x:f>
        <x:v>8.07</x:v>
      </x:c>
      <x:c r="S3763" s="10" t="n">
        <x:f>IF(K3763&gt;0,R3763/K3763,"")</x:f>
        <x:v>0.2988888888888889</x:v>
      </x:c>
    </x:row>
    <x:row r="3764">
      <x:c r="A3764" s="7" t="n">
        <x:v>3760</x:v>
      </x:c>
      <x:c r="B3764" s="7" t="str">
        <x:v>Tata</x:v>
      </x:c>
      <x:c r="C3764" s="7" t="str">
        <x:v>Safari</x:v>
      </x:c>
      <x:c r="D3764" s="7" t="str">
        <x:v>Accomplished AT</x:v>
      </x:c>
      <x:c r="E3764" s="7" t="str">
        <x:v>Diesel</x:v>
      </x:c>
      <x:c r="F3764" s="7" t="str">
        <x:v>Automatic</x:v>
      </x:c>
      <x:c r="G3764" s="7" t="str">
        <x:v>SUV</x:v>
      </x:c>
      <x:c r="H3764" s="7" t="n">
        <x:v>1956</x:v>
      </x:c>
      <x:c r="I3764" s="7" t="n">
        <x:v>168</x:v>
      </x:c>
      <x:c r="J3764" s="9" t="n">
        <x:v>14.5</x:v>
      </x:c>
      <x:c r="K3764" s="9" t="n">
        <x:v>27</x:v>
      </x:c>
      <x:c r="L3764" s="7" t="n">
        <x:v>2023</x:v>
      </x:c>
      <x:c r="M3764" s="11" t="n">
        <x:v>57978</x:v>
      </x:c>
      <x:c r="N3764" s="7" t="n">
        <x:v>2</x:v>
      </x:c>
      <x:c r="O3764" s="7" t="n">
        <x:v>0</x:v>
      </x:c>
      <x:c r="P3764" s="9" t="n">
        <x:v>18.18</x:v>
      </x:c>
      <x:c r="Q3764" s="7" t="n">
        <x:f>'Guide'!$B$5-L3764</x:f>
        <x:v>3</x:v>
      </x:c>
      <x:c r="R3764" s="9" t="n">
        <x:f>K3764-P3764</x:f>
        <x:v>8.82</x:v>
      </x:c>
      <x:c r="S3764" s="10" t="n">
        <x:f>IF(K3764&gt;0,R3764/K3764,"")</x:f>
        <x:v>0.32666666666666666</x:v>
      </x:c>
    </x:row>
    <x:row r="3765">
      <x:c r="A3765" s="7" t="n">
        <x:v>3761</x:v>
      </x:c>
      <x:c r="B3765" s="7" t="str">
        <x:v>Tata</x:v>
      </x:c>
      <x:c r="C3765" s="7" t="str">
        <x:v>Safari</x:v>
      </x:c>
      <x:c r="D3765" s="7" t="str">
        <x:v>Accomplished AT</x:v>
      </x:c>
      <x:c r="E3765" s="7" t="str">
        <x:v>Diesel</x:v>
      </x:c>
      <x:c r="F3765" s="7" t="str">
        <x:v>Automatic</x:v>
      </x:c>
      <x:c r="G3765" s="7" t="str">
        <x:v>SUV</x:v>
      </x:c>
      <x:c r="H3765" s="7" t="n">
        <x:v>1956</x:v>
      </x:c>
      <x:c r="I3765" s="7" t="n">
        <x:v>168</x:v>
      </x:c>
      <x:c r="J3765" s="9" t="n">
        <x:v>14.5</x:v>
      </x:c>
      <x:c r="K3765" s="9" t="n">
        <x:v>27</x:v>
      </x:c>
      <x:c r="L3765" s="7" t="n">
        <x:v>2023</x:v>
      </x:c>
      <x:c r="M3765" s="11" t="n">
        <x:v>51820</x:v>
      </x:c>
      <x:c r="N3765" s="7" t="n">
        <x:v>1</x:v>
      </x:c>
      <x:c r="O3765" s="7" t="n">
        <x:v>0</x:v>
      </x:c>
      <x:c r="P3765" s="9" t="n">
        <x:v>18.56</x:v>
      </x:c>
      <x:c r="Q3765" s="7" t="n">
        <x:f>'Guide'!$B$5-L3765</x:f>
        <x:v>3</x:v>
      </x:c>
      <x:c r="R3765" s="9" t="n">
        <x:f>K3765-P3765</x:f>
        <x:v>8.440000000000001</x:v>
      </x:c>
      <x:c r="S3765" s="10" t="n">
        <x:f>IF(K3765&gt;0,R3765/K3765,"")</x:f>
        <x:v>0.31259259259259264</x:v>
      </x:c>
    </x:row>
    <x:row r="3766">
      <x:c r="A3766" s="7" t="n">
        <x:v>3762</x:v>
      </x:c>
      <x:c r="B3766" s="7" t="str">
        <x:v>Tata</x:v>
      </x:c>
      <x:c r="C3766" s="7" t="str">
        <x:v>Safari</x:v>
      </x:c>
      <x:c r="D3766" s="7" t="str">
        <x:v>Accomplished AT</x:v>
      </x:c>
      <x:c r="E3766" s="7" t="str">
        <x:v>Diesel</x:v>
      </x:c>
      <x:c r="F3766" s="7" t="str">
        <x:v>Automatic</x:v>
      </x:c>
      <x:c r="G3766" s="7" t="str">
        <x:v>SUV</x:v>
      </x:c>
      <x:c r="H3766" s="7" t="n">
        <x:v>1956</x:v>
      </x:c>
      <x:c r="I3766" s="7" t="n">
        <x:v>168</x:v>
      </x:c>
      <x:c r="J3766" s="9" t="n">
        <x:v>14.5</x:v>
      </x:c>
      <x:c r="K3766" s="9" t="n">
        <x:v>27</x:v>
      </x:c>
      <x:c r="L3766" s="7" t="n">
        <x:v>2021</x:v>
      </x:c>
      <x:c r="M3766" s="11" t="n">
        <x:v>59861</x:v>
      </x:c>
      <x:c r="N3766" s="7" t="n">
        <x:v>2</x:v>
      </x:c>
      <x:c r="O3766" s="7" t="n">
        <x:v>0</x:v>
      </x:c>
      <x:c r="P3766" s="9" t="n">
        <x:v>13.61</x:v>
      </x:c>
      <x:c r="Q3766" s="7" t="n">
        <x:f>'Guide'!$B$5-L3766</x:f>
        <x:v>5</x:v>
      </x:c>
      <x:c r="R3766" s="9" t="n">
        <x:f>K3766-P3766</x:f>
        <x:v>13.39</x:v>
      </x:c>
      <x:c r="S3766" s="10" t="n">
        <x:f>IF(K3766&gt;0,R3766/K3766,"")</x:f>
        <x:v>0.49592592592592594</x:v>
      </x:c>
    </x:row>
    <x:row r="3767">
      <x:c r="A3767" s="7" t="n">
        <x:v>3763</x:v>
      </x:c>
      <x:c r="B3767" s="7" t="str">
        <x:v>Tata</x:v>
      </x:c>
      <x:c r="C3767" s="7" t="str">
        <x:v>Safari</x:v>
      </x:c>
      <x:c r="D3767" s="7" t="str">
        <x:v>Accomplished AT</x:v>
      </x:c>
      <x:c r="E3767" s="7" t="str">
        <x:v>Diesel</x:v>
      </x:c>
      <x:c r="F3767" s="7" t="str">
        <x:v>Automatic</x:v>
      </x:c>
      <x:c r="G3767" s="7" t="str">
        <x:v>SUV</x:v>
      </x:c>
      <x:c r="H3767" s="7" t="n">
        <x:v>1956</x:v>
      </x:c>
      <x:c r="I3767" s="7" t="n">
        <x:v>168</x:v>
      </x:c>
      <x:c r="J3767" s="9" t="n">
        <x:v>14.5</x:v>
      </x:c>
      <x:c r="K3767" s="9" t="n">
        <x:v>27</x:v>
      </x:c>
      <x:c r="L3767" s="7" t="n">
        <x:v>2021</x:v>
      </x:c>
      <x:c r="M3767" s="11" t="n">
        <x:v>83109</x:v>
      </x:c>
      <x:c r="N3767" s="7" t="n">
        <x:v>1</x:v>
      </x:c>
      <x:c r="O3767" s="7" t="n">
        <x:v>1</x:v>
      </x:c>
      <x:c r="P3767" s="9" t="n">
        <x:v>12.36</x:v>
      </x:c>
      <x:c r="Q3767" s="7" t="n">
        <x:f>'Guide'!$B$5-L3767</x:f>
        <x:v>5</x:v>
      </x:c>
      <x:c r="R3767" s="9" t="n">
        <x:f>K3767-P3767</x:f>
        <x:v>14.64</x:v>
      </x:c>
      <x:c r="S3767" s="10" t="n">
        <x:f>IF(K3767&gt;0,R3767/K3767,"")</x:f>
        <x:v>0.5422222222222223</x:v>
      </x:c>
    </x:row>
    <x:row r="3768">
      <x:c r="A3768" s="7" t="n">
        <x:v>3764</x:v>
      </x:c>
      <x:c r="B3768" s="7" t="str">
        <x:v>Tata</x:v>
      </x:c>
      <x:c r="C3768" s="7" t="str">
        <x:v>Safari</x:v>
      </x:c>
      <x:c r="D3768" s="7" t="str">
        <x:v>Accomplished AT</x:v>
      </x:c>
      <x:c r="E3768" s="7" t="str">
        <x:v>Diesel</x:v>
      </x:c>
      <x:c r="F3768" s="7" t="str">
        <x:v>Automatic</x:v>
      </x:c>
      <x:c r="G3768" s="7" t="str">
        <x:v>SUV</x:v>
      </x:c>
      <x:c r="H3768" s="7" t="n">
        <x:v>1956</x:v>
      </x:c>
      <x:c r="I3768" s="7" t="n">
        <x:v>168</x:v>
      </x:c>
      <x:c r="J3768" s="9" t="n">
        <x:v>14.5</x:v>
      </x:c>
      <x:c r="K3768" s="9" t="n">
        <x:v>27</x:v>
      </x:c>
      <x:c r="L3768" s="7" t="n">
        <x:v>2026</x:v>
      </x:c>
      <x:c r="M3768" s="11" t="n">
        <x:v>9373</x:v>
      </x:c>
      <x:c r="N3768" s="7" t="n">
        <x:v>1</x:v>
      </x:c>
      <x:c r="O3768" s="7" t="n">
        <x:v>0</x:v>
      </x:c>
      <x:c r="P3768" s="9" t="n">
        <x:v>26.96</x:v>
      </x:c>
      <x:c r="Q3768" s="7" t="n">
        <x:f>'Guide'!$B$5-L3768</x:f>
        <x:v>0</x:v>
      </x:c>
      <x:c r="R3768" s="9" t="n">
        <x:f>K3768-P3768</x:f>
        <x:v>0.03999999999999915</x:v>
      </x:c>
      <x:c r="S3768" s="10" t="n">
        <x:f>IF(K3768&gt;0,R3768/K3768,"")</x:f>
        <x:v>0.00148148148148145</x:v>
      </x:c>
    </x:row>
    <x:row r="3769">
      <x:c r="A3769" s="7" t="n">
        <x:v>3765</x:v>
      </x:c>
      <x:c r="B3769" s="7" t="str">
        <x:v>Tata</x:v>
      </x:c>
      <x:c r="C3769" s="7" t="str">
        <x:v>Safari</x:v>
      </x:c>
      <x:c r="D3769" s="7" t="str">
        <x:v>Accomplished AT</x:v>
      </x:c>
      <x:c r="E3769" s="7" t="str">
        <x:v>Diesel</x:v>
      </x:c>
      <x:c r="F3769" s="7" t="str">
        <x:v>Automatic</x:v>
      </x:c>
      <x:c r="G3769" s="7" t="str">
        <x:v>SUV</x:v>
      </x:c>
      <x:c r="H3769" s="7" t="n">
        <x:v>1956</x:v>
      </x:c>
      <x:c r="I3769" s="7" t="n">
        <x:v>168</x:v>
      </x:c>
      <x:c r="J3769" s="9" t="n">
        <x:v>14.5</x:v>
      </x:c>
      <x:c r="K3769" s="9" t="n">
        <x:v>27</x:v>
      </x:c>
      <x:c r="L3769" s="7" t="n">
        <x:v>2026</x:v>
      </x:c>
      <x:c r="M3769" s="11" t="n">
        <x:v>7894</x:v>
      </x:c>
      <x:c r="N3769" s="7" t="n">
        <x:v>2</x:v>
      </x:c>
      <x:c r="O3769" s="7" t="n">
        <x:v>1</x:v>
      </x:c>
      <x:c r="P3769" s="9" t="n">
        <x:v>25.29</x:v>
      </x:c>
      <x:c r="Q3769" s="7" t="n">
        <x:f>'Guide'!$B$5-L3769</x:f>
        <x:v>0</x:v>
      </x:c>
      <x:c r="R3769" s="9" t="n">
        <x:f>K3769-P3769</x:f>
        <x:v>1.7100000000000009</x:v>
      </x:c>
      <x:c r="S3769" s="10" t="n">
        <x:f>IF(K3769&gt;0,R3769/K3769,"")</x:f>
        <x:v>0.06333333333333337</x:v>
      </x:c>
    </x:row>
    <x:row r="3770">
      <x:c r="A3770" s="7" t="n">
        <x:v>3766</x:v>
      </x:c>
      <x:c r="B3770" s="7" t="str">
        <x:v>Tata</x:v>
      </x:c>
      <x:c r="C3770" s="7" t="str">
        <x:v>Safari</x:v>
      </x:c>
      <x:c r="D3770" s="7" t="str">
        <x:v>Accomplished AT</x:v>
      </x:c>
      <x:c r="E3770" s="7" t="str">
        <x:v>Diesel</x:v>
      </x:c>
      <x:c r="F3770" s="7" t="str">
        <x:v>Automatic</x:v>
      </x:c>
      <x:c r="G3770" s="7" t="str">
        <x:v>SUV</x:v>
      </x:c>
      <x:c r="H3770" s="7" t="n">
        <x:v>1956</x:v>
      </x:c>
      <x:c r="I3770" s="7" t="n">
        <x:v>168</x:v>
      </x:c>
      <x:c r="J3770" s="9" t="n">
        <x:v>14.5</x:v>
      </x:c>
      <x:c r="K3770" s="9" t="n">
        <x:v>27</x:v>
      </x:c>
      <x:c r="L3770" s="7" t="n">
        <x:v>2020</x:v>
      </x:c>
      <x:c r="M3770" s="11" t="n">
        <x:v>100265</x:v>
      </x:c>
      <x:c r="N3770" s="7" t="n">
        <x:v>2</x:v>
      </x:c>
      <x:c r="O3770" s="7" t="n">
        <x:v>1</x:v>
      </x:c>
      <x:c r="P3770" s="9" t="n">
        <x:v>9.57</x:v>
      </x:c>
      <x:c r="Q3770" s="7" t="n">
        <x:f>'Guide'!$B$5-L3770</x:f>
        <x:v>6</x:v>
      </x:c>
      <x:c r="R3770" s="9" t="n">
        <x:f>K3770-P3770</x:f>
        <x:v>17.43</x:v>
      </x:c>
      <x:c r="S3770" s="10" t="n">
        <x:f>IF(K3770&gt;0,R3770/K3770,"")</x:f>
        <x:v>0.6455555555555555</x:v>
      </x:c>
    </x:row>
    <x:row r="3771">
      <x:c r="A3771" s="7" t="n">
        <x:v>3767</x:v>
      </x:c>
      <x:c r="B3771" s="7" t="str">
        <x:v>Tata</x:v>
      </x:c>
      <x:c r="C3771" s="7" t="str">
        <x:v>Safari</x:v>
      </x:c>
      <x:c r="D3771" s="7" t="str">
        <x:v>Accomplished AT</x:v>
      </x:c>
      <x:c r="E3771" s="7" t="str">
        <x:v>Diesel</x:v>
      </x:c>
      <x:c r="F3771" s="7" t="str">
        <x:v>Automatic</x:v>
      </x:c>
      <x:c r="G3771" s="7" t="str">
        <x:v>SUV</x:v>
      </x:c>
      <x:c r="H3771" s="7" t="n">
        <x:v>1956</x:v>
      </x:c>
      <x:c r="I3771" s="7" t="n">
        <x:v>168</x:v>
      </x:c>
      <x:c r="J3771" s="9" t="n">
        <x:v>14.5</x:v>
      </x:c>
      <x:c r="K3771" s="9" t="n">
        <x:v>27</x:v>
      </x:c>
      <x:c r="L3771" s="7" t="n">
        <x:v>2025</x:v>
      </x:c>
      <x:c r="M3771" s="11" t="n">
        <x:v>22377</x:v>
      </x:c>
      <x:c r="N3771" s="7" t="n">
        <x:v>2</x:v>
      </x:c>
      <x:c r="O3771" s="7" t="n">
        <x:v>0</x:v>
      </x:c>
      <x:c r="P3771" s="9" t="n">
        <x:v>23.49</x:v>
      </x:c>
      <x:c r="Q3771" s="7" t="n">
        <x:f>'Guide'!$B$5-L3771</x:f>
        <x:v>1</x:v>
      </x:c>
      <x:c r="R3771" s="9" t="n">
        <x:f>K3771-P3771</x:f>
        <x:v>3.5100000000000016</x:v>
      </x:c>
      <x:c r="S3771" s="10" t="n">
        <x:f>IF(K3771&gt;0,R3771/K3771,"")</x:f>
        <x:v>0.13000000000000006</x:v>
      </x:c>
    </x:row>
    <x:row r="3772">
      <x:c r="A3772" s="7" t="n">
        <x:v>3768</x:v>
      </x:c>
      <x:c r="B3772" s="7" t="str">
        <x:v>Tata</x:v>
      </x:c>
      <x:c r="C3772" s="7" t="str">
        <x:v>Safari</x:v>
      </x:c>
      <x:c r="D3772" s="7" t="str">
        <x:v>Accomplished AT</x:v>
      </x:c>
      <x:c r="E3772" s="7" t="str">
        <x:v>Diesel</x:v>
      </x:c>
      <x:c r="F3772" s="7" t="str">
        <x:v>Automatic</x:v>
      </x:c>
      <x:c r="G3772" s="7" t="str">
        <x:v>SUV</x:v>
      </x:c>
      <x:c r="H3772" s="7" t="n">
        <x:v>1956</x:v>
      </x:c>
      <x:c r="I3772" s="7" t="n">
        <x:v>168</x:v>
      </x:c>
      <x:c r="J3772" s="9" t="n">
        <x:v>14.5</x:v>
      </x:c>
      <x:c r="K3772" s="9" t="n">
        <x:v>27</x:v>
      </x:c>
      <x:c r="L3772" s="7" t="n">
        <x:v>2022</x:v>
      </x:c>
      <x:c r="M3772" s="11" t="n">
        <x:v>45058</x:v>
      </x:c>
      <x:c r="N3772" s="7" t="n">
        <x:v>1</x:v>
      </x:c>
      <x:c r="O3772" s="7" t="n">
        <x:v>0</x:v>
      </x:c>
      <x:c r="P3772" s="9" t="n">
        <x:v>16.75</x:v>
      </x:c>
      <x:c r="Q3772" s="7" t="n">
        <x:f>'Guide'!$B$5-L3772</x:f>
        <x:v>4</x:v>
      </x:c>
      <x:c r="R3772" s="9" t="n">
        <x:f>K3772-P3772</x:f>
        <x:v>10.25</x:v>
      </x:c>
      <x:c r="S3772" s="10" t="n">
        <x:f>IF(K3772&gt;0,R3772/K3772,"")</x:f>
        <x:v>0.37962962962962965</x:v>
      </x:c>
    </x:row>
    <x:row r="3773">
      <x:c r="A3773" s="7" t="n">
        <x:v>3769</x:v>
      </x:c>
      <x:c r="B3773" s="7" t="str">
        <x:v>Tata</x:v>
      </x:c>
      <x:c r="C3773" s="7" t="str">
        <x:v>Safari</x:v>
      </x:c>
      <x:c r="D3773" s="7" t="str">
        <x:v>Accomplished AT</x:v>
      </x:c>
      <x:c r="E3773" s="7" t="str">
        <x:v>Diesel</x:v>
      </x:c>
      <x:c r="F3773" s="7" t="str">
        <x:v>Automatic</x:v>
      </x:c>
      <x:c r="G3773" s="7" t="str">
        <x:v>SUV</x:v>
      </x:c>
      <x:c r="H3773" s="7" t="n">
        <x:v>1956</x:v>
      </x:c>
      <x:c r="I3773" s="7" t="n">
        <x:v>168</x:v>
      </x:c>
      <x:c r="J3773" s="9" t="n">
        <x:v>14.5</x:v>
      </x:c>
      <x:c r="K3773" s="9" t="n">
        <x:v>27</x:v>
      </x:c>
      <x:c r="L3773" s="7" t="n">
        <x:v>2024</x:v>
      </x:c>
      <x:c r="M3773" s="11" t="n">
        <x:v>43432</x:v>
      </x:c>
      <x:c r="N3773" s="7" t="n">
        <x:v>1</x:v>
      </x:c>
      <x:c r="O3773" s="7" t="n">
        <x:v>1</x:v>
      </x:c>
      <x:c r="P3773" s="9" t="n">
        <x:v>20.14</x:v>
      </x:c>
      <x:c r="Q3773" s="7" t="n">
        <x:f>'Guide'!$B$5-L3773</x:f>
        <x:v>2</x:v>
      </x:c>
      <x:c r="R3773" s="9" t="n">
        <x:f>K3773-P3773</x:f>
        <x:v>6.859999999999999</x:v>
      </x:c>
      <x:c r="S3773" s="10" t="n">
        <x:f>IF(K3773&gt;0,R3773/K3773,"")</x:f>
        <x:v>0.25407407407407406</x:v>
      </x:c>
    </x:row>
    <x:row r="3774">
      <x:c r="A3774" s="7" t="n">
        <x:v>3770</x:v>
      </x:c>
      <x:c r="B3774" s="7" t="str">
        <x:v>Tata</x:v>
      </x:c>
      <x:c r="C3774" s="7" t="str">
        <x:v>Safari</x:v>
      </x:c>
      <x:c r="D3774" s="7" t="str">
        <x:v>Accomplished AT</x:v>
      </x:c>
      <x:c r="E3774" s="7" t="str">
        <x:v>Diesel</x:v>
      </x:c>
      <x:c r="F3774" s="7" t="str">
        <x:v>Automatic</x:v>
      </x:c>
      <x:c r="G3774" s="7" t="str">
        <x:v>SUV</x:v>
      </x:c>
      <x:c r="H3774" s="7" t="n">
        <x:v>1956</x:v>
      </x:c>
      <x:c r="I3774" s="7" t="n">
        <x:v>168</x:v>
      </x:c>
      <x:c r="J3774" s="9" t="n">
        <x:v>14.5</x:v>
      </x:c>
      <x:c r="K3774" s="9" t="n">
        <x:v>27</x:v>
      </x:c>
      <x:c r="L3774" s="7" t="n">
        <x:v>2021</x:v>
      </x:c>
      <x:c r="M3774" s="11" t="n">
        <x:v>95030</x:v>
      </x:c>
      <x:c r="N3774" s="7" t="n">
        <x:v>1</x:v>
      </x:c>
      <x:c r="O3774" s="7" t="n">
        <x:v>0</x:v>
      </x:c>
      <x:c r="P3774" s="9" t="n">
        <x:v>13.2</x:v>
      </x:c>
      <x:c r="Q3774" s="7" t="n">
        <x:f>'Guide'!$B$5-L3774</x:f>
        <x:v>5</x:v>
      </x:c>
      <x:c r="R3774" s="9" t="n">
        <x:f>K3774-P3774</x:f>
        <x:v>13.8</x:v>
      </x:c>
      <x:c r="S3774" s="10" t="n">
        <x:f>IF(K3774&gt;0,R3774/K3774,"")</x:f>
        <x:v>0.5111111111111112</x:v>
      </x:c>
    </x:row>
    <x:row r="3775">
      <x:c r="A3775" s="7" t="n">
        <x:v>3771</x:v>
      </x:c>
      <x:c r="B3775" s="7" t="str">
        <x:v>Tata</x:v>
      </x:c>
      <x:c r="C3775" s="7" t="str">
        <x:v>Safari</x:v>
      </x:c>
      <x:c r="D3775" s="7" t="str">
        <x:v>Accomplished AT</x:v>
      </x:c>
      <x:c r="E3775" s="7" t="str">
        <x:v>Diesel</x:v>
      </x:c>
      <x:c r="F3775" s="7" t="str">
        <x:v>Automatic</x:v>
      </x:c>
      <x:c r="G3775" s="7" t="str">
        <x:v>SUV</x:v>
      </x:c>
      <x:c r="H3775" s="7" t="n">
        <x:v>1956</x:v>
      </x:c>
      <x:c r="I3775" s="7" t="n">
        <x:v>168</x:v>
      </x:c>
      <x:c r="J3775" s="9" t="n">
        <x:v>14.5</x:v>
      </x:c>
      <x:c r="K3775" s="9" t="n">
        <x:v>27</x:v>
      </x:c>
      <x:c r="L3775" s="7" t="n">
        <x:v>2025</x:v>
      </x:c>
      <x:c r="M3775" s="11" t="n">
        <x:v>18666</x:v>
      </x:c>
      <x:c r="N3775" s="7" t="n">
        <x:v>1</x:v>
      </x:c>
      <x:c r="O3775" s="7" t="n">
        <x:v>0</x:v>
      </x:c>
      <x:c r="P3775" s="9" t="n">
        <x:v>24.5</x:v>
      </x:c>
      <x:c r="Q3775" s="7" t="n">
        <x:f>'Guide'!$B$5-L3775</x:f>
        <x:v>1</x:v>
      </x:c>
      <x:c r="R3775" s="9" t="n">
        <x:f>K3775-P3775</x:f>
        <x:v>2.5</x:v>
      </x:c>
      <x:c r="S3775" s="10" t="n">
        <x:f>IF(K3775&gt;0,R3775/K3775,"")</x:f>
        <x:v>0.09259259259259259</x:v>
      </x:c>
    </x:row>
    <x:row r="3776">
      <x:c r="A3776" s="7" t="n">
        <x:v>3772</x:v>
      </x:c>
      <x:c r="B3776" s="7" t="str">
        <x:v>Tata</x:v>
      </x:c>
      <x:c r="C3776" s="7" t="str">
        <x:v>Safari</x:v>
      </x:c>
      <x:c r="D3776" s="7" t="str">
        <x:v>Accomplished AT</x:v>
      </x:c>
      <x:c r="E3776" s="7" t="str">
        <x:v>Diesel</x:v>
      </x:c>
      <x:c r="F3776" s="7" t="str">
        <x:v>Automatic</x:v>
      </x:c>
      <x:c r="G3776" s="7" t="str">
        <x:v>SUV</x:v>
      </x:c>
      <x:c r="H3776" s="7" t="n">
        <x:v>1956</x:v>
      </x:c>
      <x:c r="I3776" s="7" t="n">
        <x:v>168</x:v>
      </x:c>
      <x:c r="J3776" s="9" t="n">
        <x:v>14.5</x:v>
      </x:c>
      <x:c r="K3776" s="9" t="n">
        <x:v>27</x:v>
      </x:c>
      <x:c r="L3776" s="7" t="n">
        <x:v>2020</x:v>
      </x:c>
      <x:c r="M3776" s="11" t="n">
        <x:v>106267</x:v>
      </x:c>
      <x:c r="N3776" s="7" t="n">
        <x:v>1</x:v>
      </x:c>
      <x:c r="O3776" s="7" t="n">
        <x:v>0</x:v>
      </x:c>
      <x:c r="P3776" s="9" t="n">
        <x:v>10.78</x:v>
      </x:c>
      <x:c r="Q3776" s="7" t="n">
        <x:f>'Guide'!$B$5-L3776</x:f>
        <x:v>6</x:v>
      </x:c>
      <x:c r="R3776" s="9" t="n">
        <x:f>K3776-P3776</x:f>
        <x:v>16.22</x:v>
      </x:c>
      <x:c r="S3776" s="10" t="n">
        <x:f>IF(K3776&gt;0,R3776/K3776,"")</x:f>
        <x:v>0.6007407407407407</x:v>
      </x:c>
    </x:row>
    <x:row r="3777">
      <x:c r="A3777" s="7" t="n">
        <x:v>3773</x:v>
      </x:c>
      <x:c r="B3777" s="7" t="str">
        <x:v>Tata</x:v>
      </x:c>
      <x:c r="C3777" s="7" t="str">
        <x:v>Safari</x:v>
      </x:c>
      <x:c r="D3777" s="7" t="str">
        <x:v>Accomplished AT</x:v>
      </x:c>
      <x:c r="E3777" s="7" t="str">
        <x:v>Diesel</x:v>
      </x:c>
      <x:c r="F3777" s="7" t="str">
        <x:v>Automatic</x:v>
      </x:c>
      <x:c r="G3777" s="7" t="str">
        <x:v>SUV</x:v>
      </x:c>
      <x:c r="H3777" s="7" t="n">
        <x:v>1956</x:v>
      </x:c>
      <x:c r="I3777" s="7" t="n">
        <x:v>168</x:v>
      </x:c>
      <x:c r="J3777" s="9" t="n">
        <x:v>14.5</x:v>
      </x:c>
      <x:c r="K3777" s="9" t="n">
        <x:v>27</x:v>
      </x:c>
      <x:c r="L3777" s="7" t="n">
        <x:v>2025</x:v>
      </x:c>
      <x:c r="M3777" s="11" t="n">
        <x:v>19918</x:v>
      </x:c>
      <x:c r="N3777" s="7" t="n">
        <x:v>2</x:v>
      </x:c>
      <x:c r="O3777" s="7" t="n">
        <x:v>0</x:v>
      </x:c>
      <x:c r="P3777" s="9" t="n">
        <x:v>23.51</x:v>
      </x:c>
      <x:c r="Q3777" s="7" t="n">
        <x:f>'Guide'!$B$5-L3777</x:f>
        <x:v>1</x:v>
      </x:c>
      <x:c r="R3777" s="9" t="n">
        <x:f>K3777-P3777</x:f>
        <x:v>3.4899999999999984</x:v>
      </x:c>
      <x:c r="S3777" s="10" t="n">
        <x:f>IF(K3777&gt;0,R3777/K3777,"")</x:f>
        <x:v>0.1292592592592592</x:v>
      </x:c>
    </x:row>
    <x:row r="3778">
      <x:c r="A3778" s="7" t="n">
        <x:v>3774</x:v>
      </x:c>
      <x:c r="B3778" s="7" t="str">
        <x:v>Tata</x:v>
      </x:c>
      <x:c r="C3778" s="7" t="str">
        <x:v>Safari</x:v>
      </x:c>
      <x:c r="D3778" s="7" t="str">
        <x:v>Accomplished AT</x:v>
      </x:c>
      <x:c r="E3778" s="7" t="str">
        <x:v>Diesel</x:v>
      </x:c>
      <x:c r="F3778" s="7" t="str">
        <x:v>Automatic</x:v>
      </x:c>
      <x:c r="G3778" s="7" t="str">
        <x:v>SUV</x:v>
      </x:c>
      <x:c r="H3778" s="7" t="n">
        <x:v>1956</x:v>
      </x:c>
      <x:c r="I3778" s="7" t="n">
        <x:v>168</x:v>
      </x:c>
      <x:c r="J3778" s="9" t="n">
        <x:v>14.5</x:v>
      </x:c>
      <x:c r="K3778" s="9" t="n">
        <x:v>27</x:v>
      </x:c>
      <x:c r="L3778" s="7" t="n">
        <x:v>2021</x:v>
      </x:c>
      <x:c r="M3778" s="11" t="n">
        <x:v>60144</x:v>
      </x:c>
      <x:c r="N3778" s="7" t="n">
        <x:v>1</x:v>
      </x:c>
      <x:c r="O3778" s="7" t="n">
        <x:v>0</x:v>
      </x:c>
      <x:c r="P3778" s="9" t="n">
        <x:v>13.92</x:v>
      </x:c>
      <x:c r="Q3778" s="7" t="n">
        <x:f>'Guide'!$B$5-L3778</x:f>
        <x:v>5</x:v>
      </x:c>
      <x:c r="R3778" s="9" t="n">
        <x:f>K3778-P3778</x:f>
        <x:v>13.08</x:v>
      </x:c>
      <x:c r="S3778" s="10" t="n">
        <x:f>IF(K3778&gt;0,R3778/K3778,"")</x:f>
        <x:v>0.48444444444444446</x:v>
      </x:c>
    </x:row>
    <x:row r="3779">
      <x:c r="A3779" s="7" t="n">
        <x:v>3775</x:v>
      </x:c>
      <x:c r="B3779" s="7" t="str">
        <x:v>Tata</x:v>
      </x:c>
      <x:c r="C3779" s="7" t="str">
        <x:v>Safari</x:v>
      </x:c>
      <x:c r="D3779" s="7" t="str">
        <x:v>Accomplished AT</x:v>
      </x:c>
      <x:c r="E3779" s="7" t="str">
        <x:v>Diesel</x:v>
      </x:c>
      <x:c r="F3779" s="7" t="str">
        <x:v>Automatic</x:v>
      </x:c>
      <x:c r="G3779" s="7" t="str">
        <x:v>SUV</x:v>
      </x:c>
      <x:c r="H3779" s="7" t="n">
        <x:v>1956</x:v>
      </x:c>
      <x:c r="I3779" s="7" t="n">
        <x:v>168</x:v>
      </x:c>
      <x:c r="J3779" s="9" t="n">
        <x:v>14.5</x:v>
      </x:c>
      <x:c r="K3779" s="9" t="n">
        <x:v>27</x:v>
      </x:c>
      <x:c r="L3779" s="7" t="n">
        <x:v>2023</x:v>
      </x:c>
      <x:c r="M3779" s="11" t="n">
        <x:v>37697</x:v>
      </x:c>
      <x:c r="N3779" s="7" t="n">
        <x:v>1</x:v>
      </x:c>
      <x:c r="O3779" s="7" t="n">
        <x:v>0</x:v>
      </x:c>
      <x:c r="P3779" s="9" t="n">
        <x:v>19.48</x:v>
      </x:c>
      <x:c r="Q3779" s="7" t="n">
        <x:f>'Guide'!$B$5-L3779</x:f>
        <x:v>3</x:v>
      </x:c>
      <x:c r="R3779" s="9" t="n">
        <x:f>K3779-P3779</x:f>
        <x:v>7.52</x:v>
      </x:c>
      <x:c r="S3779" s="10" t="n">
        <x:f>IF(K3779&gt;0,R3779/K3779,"")</x:f>
        <x:v>0.2785185185185185</x:v>
      </x:c>
    </x:row>
    <x:row r="3780">
      <x:c r="A3780" s="7" t="n">
        <x:v>3776</x:v>
      </x:c>
      <x:c r="B3780" s="7" t="str">
        <x:v>Tata</x:v>
      </x:c>
      <x:c r="C3780" s="7" t="str">
        <x:v>Safari</x:v>
      </x:c>
      <x:c r="D3780" s="7" t="str">
        <x:v>Accomplished AT</x:v>
      </x:c>
      <x:c r="E3780" s="7" t="str">
        <x:v>Diesel</x:v>
      </x:c>
      <x:c r="F3780" s="7" t="str">
        <x:v>Automatic</x:v>
      </x:c>
      <x:c r="G3780" s="7" t="str">
        <x:v>SUV</x:v>
      </x:c>
      <x:c r="H3780" s="7" t="n">
        <x:v>1956</x:v>
      </x:c>
      <x:c r="I3780" s="7" t="n">
        <x:v>168</x:v>
      </x:c>
      <x:c r="J3780" s="9" t="n">
        <x:v>14.5</x:v>
      </x:c>
      <x:c r="K3780" s="9" t="n">
        <x:v>27</x:v>
      </x:c>
      <x:c r="L3780" s="7" t="n">
        <x:v>2026</x:v>
      </x:c>
      <x:c r="M3780" s="11" t="n">
        <x:v>6787</x:v>
      </x:c>
      <x:c r="N3780" s="7" t="n">
        <x:v>1</x:v>
      </x:c>
      <x:c r="O3780" s="7" t="n">
        <x:v>1</x:v>
      </x:c>
      <x:c r="P3780" s="9" t="n">
        <x:v>25.61</x:v>
      </x:c>
      <x:c r="Q3780" s="7" t="n">
        <x:f>'Guide'!$B$5-L3780</x:f>
        <x:v>0</x:v>
      </x:c>
      <x:c r="R3780" s="9" t="n">
        <x:f>K3780-P3780</x:f>
        <x:v>1.3900000000000006</x:v>
      </x:c>
      <x:c r="S3780" s="10" t="n">
        <x:f>IF(K3780&gt;0,R3780/K3780,"")</x:f>
        <x:v>0.0514814814814815</x:v>
      </x:c>
    </x:row>
    <x:row r="3781">
      <x:c r="A3781" s="7" t="n">
        <x:v>3777</x:v>
      </x:c>
      <x:c r="B3781" s="7" t="str">
        <x:v>Tata</x:v>
      </x:c>
      <x:c r="C3781" s="7" t="str">
        <x:v>Safari</x:v>
      </x:c>
      <x:c r="D3781" s="7" t="str">
        <x:v>Accomplished AT</x:v>
      </x:c>
      <x:c r="E3781" s="7" t="str">
        <x:v>Diesel</x:v>
      </x:c>
      <x:c r="F3781" s="7" t="str">
        <x:v>Automatic</x:v>
      </x:c>
      <x:c r="G3781" s="7" t="str">
        <x:v>SUV</x:v>
      </x:c>
      <x:c r="H3781" s="7" t="n">
        <x:v>1956</x:v>
      </x:c>
      <x:c r="I3781" s="7" t="n">
        <x:v>168</x:v>
      </x:c>
      <x:c r="J3781" s="9" t="n">
        <x:v>14.5</x:v>
      </x:c>
      <x:c r="K3781" s="9" t="n">
        <x:v>27</x:v>
      </x:c>
      <x:c r="L3781" s="7" t="n">
        <x:v>2025</x:v>
      </x:c>
      <x:c r="M3781" s="11" t="n">
        <x:v>29082</x:v>
      </x:c>
      <x:c r="N3781" s="7" t="n">
        <x:v>1</x:v>
      </x:c>
      <x:c r="O3781" s="7" t="n">
        <x:v>0</x:v>
      </x:c>
      <x:c r="P3781" s="9" t="n">
        <x:v>23.72</x:v>
      </x:c>
      <x:c r="Q3781" s="7" t="n">
        <x:f>'Guide'!$B$5-L3781</x:f>
        <x:v>1</x:v>
      </x:c>
      <x:c r="R3781" s="9" t="n">
        <x:f>K3781-P3781</x:f>
        <x:v>3.280000000000001</x:v>
      </x:c>
      <x:c r="S3781" s="10" t="n">
        <x:f>IF(K3781&gt;0,R3781/K3781,"")</x:f>
        <x:v>0.12148148148148152</x:v>
      </x:c>
    </x:row>
    <x:row r="3782">
      <x:c r="A3782" s="7" t="n">
        <x:v>3778</x:v>
      </x:c>
      <x:c r="B3782" s="7" t="str">
        <x:v>Tata</x:v>
      </x:c>
      <x:c r="C3782" s="7" t="str">
        <x:v>Safari</x:v>
      </x:c>
      <x:c r="D3782" s="7" t="str">
        <x:v>Accomplished AT</x:v>
      </x:c>
      <x:c r="E3782" s="7" t="str">
        <x:v>Diesel</x:v>
      </x:c>
      <x:c r="F3782" s="7" t="str">
        <x:v>Automatic</x:v>
      </x:c>
      <x:c r="G3782" s="7" t="str">
        <x:v>SUV</x:v>
      </x:c>
      <x:c r="H3782" s="7" t="n">
        <x:v>1956</x:v>
      </x:c>
      <x:c r="I3782" s="7" t="n">
        <x:v>168</x:v>
      </x:c>
      <x:c r="J3782" s="9" t="n">
        <x:v>14.5</x:v>
      </x:c>
      <x:c r="K3782" s="9" t="n">
        <x:v>27</x:v>
      </x:c>
      <x:c r="L3782" s="7" t="n">
        <x:v>2023</x:v>
      </x:c>
      <x:c r="M3782" s="11" t="n">
        <x:v>42024</x:v>
      </x:c>
      <x:c r="N3782" s="7" t="n">
        <x:v>1</x:v>
      </x:c>
      <x:c r="O3782" s="7" t="n">
        <x:v>0</x:v>
      </x:c>
      <x:c r="P3782" s="9" t="n">
        <x:v>19.55</x:v>
      </x:c>
      <x:c r="Q3782" s="7" t="n">
        <x:f>'Guide'!$B$5-L3782</x:f>
        <x:v>3</x:v>
      </x:c>
      <x:c r="R3782" s="9" t="n">
        <x:f>K3782-P3782</x:f>
        <x:v>7.449999999999999</x:v>
      </x:c>
      <x:c r="S3782" s="10" t="n">
        <x:f>IF(K3782&gt;0,R3782/K3782,"")</x:f>
        <x:v>0.2759259259259259</x:v>
      </x:c>
    </x:row>
    <x:row r="3783">
      <x:c r="A3783" s="7" t="n">
        <x:v>3779</x:v>
      </x:c>
      <x:c r="B3783" s="7" t="str">
        <x:v>Tata</x:v>
      </x:c>
      <x:c r="C3783" s="7" t="str">
        <x:v>Safari</x:v>
      </x:c>
      <x:c r="D3783" s="7" t="str">
        <x:v>Accomplished AT</x:v>
      </x:c>
      <x:c r="E3783" s="7" t="str">
        <x:v>Diesel</x:v>
      </x:c>
      <x:c r="F3783" s="7" t="str">
        <x:v>Automatic</x:v>
      </x:c>
      <x:c r="G3783" s="7" t="str">
        <x:v>SUV</x:v>
      </x:c>
      <x:c r="H3783" s="7" t="n">
        <x:v>1956</x:v>
      </x:c>
      <x:c r="I3783" s="7" t="n">
        <x:v>168</x:v>
      </x:c>
      <x:c r="J3783" s="9" t="n">
        <x:v>14.5</x:v>
      </x:c>
      <x:c r="K3783" s="9" t="n">
        <x:v>27</x:v>
      </x:c>
      <x:c r="L3783" s="7" t="n">
        <x:v>2021</x:v>
      </x:c>
      <x:c r="M3783" s="11" t="n">
        <x:v>98342</x:v>
      </x:c>
      <x:c r="N3783" s="7" t="n">
        <x:v>3</x:v>
      </x:c>
      <x:c r="O3783" s="7" t="n">
        <x:v>1</x:v>
      </x:c>
      <x:c r="P3783" s="9" t="n">
        <x:v>11.29</x:v>
      </x:c>
      <x:c r="Q3783" s="7" t="n">
        <x:f>'Guide'!$B$5-L3783</x:f>
        <x:v>5</x:v>
      </x:c>
      <x:c r="R3783" s="9" t="n">
        <x:f>K3783-P3783</x:f>
        <x:v>15.71</x:v>
      </x:c>
      <x:c r="S3783" s="10" t="n">
        <x:f>IF(K3783&gt;0,R3783/K3783,"")</x:f>
        <x:v>0.5818518518518518</x:v>
      </x:c>
    </x:row>
    <x:row r="3784">
      <x:c r="A3784" s="7" t="n">
        <x:v>3780</x:v>
      </x:c>
      <x:c r="B3784" s="7" t="str">
        <x:v>Tata</x:v>
      </x:c>
      <x:c r="C3784" s="7" t="str">
        <x:v>Safari</x:v>
      </x:c>
      <x:c r="D3784" s="7" t="str">
        <x:v>Accomplished AT</x:v>
      </x:c>
      <x:c r="E3784" s="7" t="str">
        <x:v>Diesel</x:v>
      </x:c>
      <x:c r="F3784" s="7" t="str">
        <x:v>Automatic</x:v>
      </x:c>
      <x:c r="G3784" s="7" t="str">
        <x:v>SUV</x:v>
      </x:c>
      <x:c r="H3784" s="7" t="n">
        <x:v>1956</x:v>
      </x:c>
      <x:c r="I3784" s="7" t="n">
        <x:v>168</x:v>
      </x:c>
      <x:c r="J3784" s="9" t="n">
        <x:v>14.5</x:v>
      </x:c>
      <x:c r="K3784" s="9" t="n">
        <x:v>27</x:v>
      </x:c>
      <x:c r="L3784" s="7" t="n">
        <x:v>2024</x:v>
      </x:c>
      <x:c r="M3784" s="11" t="n">
        <x:v>32954</x:v>
      </x:c>
      <x:c r="N3784" s="7" t="n">
        <x:v>1</x:v>
      </x:c>
      <x:c r="O3784" s="7" t="n">
        <x:v>0</x:v>
      </x:c>
      <x:c r="P3784" s="9" t="n">
        <x:v>21.86</x:v>
      </x:c>
      <x:c r="Q3784" s="7" t="n">
        <x:f>'Guide'!$B$5-L3784</x:f>
        <x:v>2</x:v>
      </x:c>
      <x:c r="R3784" s="9" t="n">
        <x:f>K3784-P3784</x:f>
        <x:v>5.140000000000001</x:v>
      </x:c>
      <x:c r="S3784" s="10" t="n">
        <x:f>IF(K3784&gt;0,R3784/K3784,"")</x:f>
        <x:v>0.19037037037037038</x:v>
      </x:c>
    </x:row>
    <x:row r="3785">
      <x:c r="A3785" s="7" t="n">
        <x:v>3781</x:v>
      </x:c>
      <x:c r="B3785" s="7" t="str">
        <x:v>Tata</x:v>
      </x:c>
      <x:c r="C3785" s="7" t="str">
        <x:v>Safari</x:v>
      </x:c>
      <x:c r="D3785" s="7" t="str">
        <x:v>Accomplished AT</x:v>
      </x:c>
      <x:c r="E3785" s="7" t="str">
        <x:v>Diesel</x:v>
      </x:c>
      <x:c r="F3785" s="7" t="str">
        <x:v>Automatic</x:v>
      </x:c>
      <x:c r="G3785" s="7" t="str">
        <x:v>SUV</x:v>
      </x:c>
      <x:c r="H3785" s="7" t="n">
        <x:v>1956</x:v>
      </x:c>
      <x:c r="I3785" s="7" t="n">
        <x:v>168</x:v>
      </x:c>
      <x:c r="J3785" s="9" t="n">
        <x:v>14.5</x:v>
      </x:c>
      <x:c r="K3785" s="9" t="n">
        <x:v>27</x:v>
      </x:c>
      <x:c r="L3785" s="7" t="n">
        <x:v>2025</x:v>
      </x:c>
      <x:c r="M3785" s="11" t="n">
        <x:v>28412</x:v>
      </x:c>
      <x:c r="N3785" s="7" t="n">
        <x:v>1</x:v>
      </x:c>
      <x:c r="O3785" s="7" t="n">
        <x:v>0</x:v>
      </x:c>
      <x:c r="P3785" s="9" t="n">
        <x:v>23.85</x:v>
      </x:c>
      <x:c r="Q3785" s="7" t="n">
        <x:f>'Guide'!$B$5-L3785</x:f>
        <x:v>1</x:v>
      </x:c>
      <x:c r="R3785" s="9" t="n">
        <x:f>K3785-P3785</x:f>
        <x:v>3.1499999999999986</x:v>
      </x:c>
      <x:c r="S3785" s="10" t="n">
        <x:f>IF(K3785&gt;0,R3785/K3785,"")</x:f>
        <x:v>0.11666666666666661</x:v>
      </x:c>
    </x:row>
    <x:row r="3786">
      <x:c r="A3786" s="7" t="n">
        <x:v>3782</x:v>
      </x:c>
      <x:c r="B3786" s="7" t="str">
        <x:v>Tata</x:v>
      </x:c>
      <x:c r="C3786" s="7" t="str">
        <x:v>Safari</x:v>
      </x:c>
      <x:c r="D3786" s="7" t="str">
        <x:v>Accomplished AT</x:v>
      </x:c>
      <x:c r="E3786" s="7" t="str">
        <x:v>Diesel</x:v>
      </x:c>
      <x:c r="F3786" s="7" t="str">
        <x:v>Automatic</x:v>
      </x:c>
      <x:c r="G3786" s="7" t="str">
        <x:v>SUV</x:v>
      </x:c>
      <x:c r="H3786" s="7" t="n">
        <x:v>1956</x:v>
      </x:c>
      <x:c r="I3786" s="7" t="n">
        <x:v>168</x:v>
      </x:c>
      <x:c r="J3786" s="9" t="n">
        <x:v>14.5</x:v>
      </x:c>
      <x:c r="K3786" s="9" t="n">
        <x:v>27</x:v>
      </x:c>
      <x:c r="L3786" s="7" t="n">
        <x:v>2025</x:v>
      </x:c>
      <x:c r="M3786" s="11" t="n">
        <x:v>23206</x:v>
      </x:c>
      <x:c r="N3786" s="7" t="n">
        <x:v>1</x:v>
      </x:c>
      <x:c r="O3786" s="7" t="n">
        <x:v>1</x:v>
      </x:c>
      <x:c r="P3786" s="9" t="n">
        <x:v>23.49</x:v>
      </x:c>
      <x:c r="Q3786" s="7" t="n">
        <x:f>'Guide'!$B$5-L3786</x:f>
        <x:v>1</x:v>
      </x:c>
      <x:c r="R3786" s="9" t="n">
        <x:f>K3786-P3786</x:f>
        <x:v>3.5100000000000016</x:v>
      </x:c>
      <x:c r="S3786" s="10" t="n">
        <x:f>IF(K3786&gt;0,R3786/K3786,"")</x:f>
        <x:v>0.13000000000000006</x:v>
      </x:c>
    </x:row>
    <x:row r="3787">
      <x:c r="A3787" s="7" t="n">
        <x:v>3783</x:v>
      </x:c>
      <x:c r="B3787" s="7" t="str">
        <x:v>Tata</x:v>
      </x:c>
      <x:c r="C3787" s="7" t="str">
        <x:v>Safari</x:v>
      </x:c>
      <x:c r="D3787" s="7" t="str">
        <x:v>Accomplished AT</x:v>
      </x:c>
      <x:c r="E3787" s="7" t="str">
        <x:v>Diesel</x:v>
      </x:c>
      <x:c r="F3787" s="7" t="str">
        <x:v>Automatic</x:v>
      </x:c>
      <x:c r="G3787" s="7" t="str">
        <x:v>SUV</x:v>
      </x:c>
      <x:c r="H3787" s="7" t="n">
        <x:v>1956</x:v>
      </x:c>
      <x:c r="I3787" s="7" t="n">
        <x:v>168</x:v>
      </x:c>
      <x:c r="J3787" s="9" t="n">
        <x:v>14.5</x:v>
      </x:c>
      <x:c r="K3787" s="9" t="n">
        <x:v>27</x:v>
      </x:c>
      <x:c r="L3787" s="7" t="n">
        <x:v>2025</x:v>
      </x:c>
      <x:c r="M3787" s="11" t="n">
        <x:v>27757</x:v>
      </x:c>
      <x:c r="N3787" s="7" t="n">
        <x:v>1</x:v>
      </x:c>
      <x:c r="O3787" s="7" t="n">
        <x:v>0</x:v>
      </x:c>
      <x:c r="P3787" s="9" t="n">
        <x:v>23.85</x:v>
      </x:c>
      <x:c r="Q3787" s="7" t="n">
        <x:f>'Guide'!$B$5-L3787</x:f>
        <x:v>1</x:v>
      </x:c>
      <x:c r="R3787" s="9" t="n">
        <x:f>K3787-P3787</x:f>
        <x:v>3.1499999999999986</x:v>
      </x:c>
      <x:c r="S3787" s="10" t="n">
        <x:f>IF(K3787&gt;0,R3787/K3787,"")</x:f>
        <x:v>0.11666666666666661</x:v>
      </x:c>
    </x:row>
    <x:row r="3788">
      <x:c r="A3788" s="7" t="n">
        <x:v>3784</x:v>
      </x:c>
      <x:c r="B3788" s="7" t="str">
        <x:v>Tata</x:v>
      </x:c>
      <x:c r="C3788" s="7" t="str">
        <x:v>Safari</x:v>
      </x:c>
      <x:c r="D3788" s="7" t="str">
        <x:v>Accomplished AT</x:v>
      </x:c>
      <x:c r="E3788" s="7" t="str">
        <x:v>Diesel</x:v>
      </x:c>
      <x:c r="F3788" s="7" t="str">
        <x:v>Automatic</x:v>
      </x:c>
      <x:c r="G3788" s="7" t="str">
        <x:v>SUV</x:v>
      </x:c>
      <x:c r="H3788" s="7" t="n">
        <x:v>1956</x:v>
      </x:c>
      <x:c r="I3788" s="7" t="n">
        <x:v>168</x:v>
      </x:c>
      <x:c r="J3788" s="9" t="n">
        <x:v>14.5</x:v>
      </x:c>
      <x:c r="K3788" s="9" t="n">
        <x:v>27</x:v>
      </x:c>
      <x:c r="L3788" s="7" t="n">
        <x:v>2024</x:v>
      </x:c>
      <x:c r="M3788" s="11" t="n">
        <x:v>49048</x:v>
      </x:c>
      <x:c r="N3788" s="7" t="n">
        <x:v>2</x:v>
      </x:c>
      <x:c r="O3788" s="7" t="n">
        <x:v>0</x:v>
      </x:c>
      <x:c r="P3788" s="9" t="n">
        <x:v>20.31</x:v>
      </x:c>
      <x:c r="Q3788" s="7" t="n">
        <x:f>'Guide'!$B$5-L3788</x:f>
        <x:v>2</x:v>
      </x:c>
      <x:c r="R3788" s="9" t="n">
        <x:f>K3788-P3788</x:f>
        <x:v>6.690000000000001</x:v>
      </x:c>
      <x:c r="S3788" s="10" t="n">
        <x:f>IF(K3788&gt;0,R3788/K3788,"")</x:f>
        <x:v>0.24777777777777782</x:v>
      </x:c>
    </x:row>
    <x:row r="3789">
      <x:c r="A3789" s="7" t="n">
        <x:v>3785</x:v>
      </x:c>
      <x:c r="B3789" s="7" t="str">
        <x:v>Tata</x:v>
      </x:c>
      <x:c r="C3789" s="7" t="str">
        <x:v>Safari</x:v>
      </x:c>
      <x:c r="D3789" s="7" t="str">
        <x:v>Accomplished AT</x:v>
      </x:c>
      <x:c r="E3789" s="7" t="str">
        <x:v>Diesel</x:v>
      </x:c>
      <x:c r="F3789" s="7" t="str">
        <x:v>Automatic</x:v>
      </x:c>
      <x:c r="G3789" s="7" t="str">
        <x:v>SUV</x:v>
      </x:c>
      <x:c r="H3789" s="7" t="n">
        <x:v>1956</x:v>
      </x:c>
      <x:c r="I3789" s="7" t="n">
        <x:v>168</x:v>
      </x:c>
      <x:c r="J3789" s="9" t="n">
        <x:v>14.5</x:v>
      </x:c>
      <x:c r="K3789" s="9" t="n">
        <x:v>27</x:v>
      </x:c>
      <x:c r="L3789" s="7" t="n">
        <x:v>2024</x:v>
      </x:c>
      <x:c r="M3789" s="11" t="n">
        <x:v>32111</x:v>
      </x:c>
      <x:c r="N3789" s="7" t="n">
        <x:v>2</x:v>
      </x:c>
      <x:c r="O3789" s="7" t="n">
        <x:v>0</x:v>
      </x:c>
      <x:c r="P3789" s="9" t="n">
        <x:v>20.94</x:v>
      </x:c>
      <x:c r="Q3789" s="7" t="n">
        <x:f>'Guide'!$B$5-L3789</x:f>
        <x:v>2</x:v>
      </x:c>
      <x:c r="R3789" s="9" t="n">
        <x:f>K3789-P3789</x:f>
        <x:v>6.059999999999999</x:v>
      </x:c>
      <x:c r="S3789" s="10" t="n">
        <x:f>IF(K3789&gt;0,R3789/K3789,"")</x:f>
        <x:v>0.2244444444444444</x:v>
      </x:c>
    </x:row>
    <x:row r="3790">
      <x:c r="A3790" s="7" t="n">
        <x:v>3786</x:v>
      </x:c>
      <x:c r="B3790" s="7" t="str">
        <x:v>Tata</x:v>
      </x:c>
      <x:c r="C3790" s="7" t="str">
        <x:v>Safari</x:v>
      </x:c>
      <x:c r="D3790" s="7" t="str">
        <x:v>Accomplished AT</x:v>
      </x:c>
      <x:c r="E3790" s="7" t="str">
        <x:v>Diesel</x:v>
      </x:c>
      <x:c r="F3790" s="7" t="str">
        <x:v>Automatic</x:v>
      </x:c>
      <x:c r="G3790" s="7" t="str">
        <x:v>SUV</x:v>
      </x:c>
      <x:c r="H3790" s="7" t="n">
        <x:v>1956</x:v>
      </x:c>
      <x:c r="I3790" s="7" t="n">
        <x:v>168</x:v>
      </x:c>
      <x:c r="J3790" s="9" t="n">
        <x:v>14.5</x:v>
      </x:c>
      <x:c r="K3790" s="9" t="n">
        <x:v>27</x:v>
      </x:c>
      <x:c r="L3790" s="7" t="n">
        <x:v>2023</x:v>
      </x:c>
      <x:c r="M3790" s="11" t="n">
        <x:v>50850</x:v>
      </x:c>
      <x:c r="N3790" s="7" t="n">
        <x:v>1</x:v>
      </x:c>
      <x:c r="O3790" s="7" t="n">
        <x:v>0</x:v>
      </x:c>
      <x:c r="P3790" s="9" t="n">
        <x:v>18.66</x:v>
      </x:c>
      <x:c r="Q3790" s="7" t="n">
        <x:f>'Guide'!$B$5-L3790</x:f>
        <x:v>3</x:v>
      </x:c>
      <x:c r="R3790" s="9" t="n">
        <x:f>K3790-P3790</x:f>
        <x:v>8.34</x:v>
      </x:c>
      <x:c r="S3790" s="10" t="n">
        <x:f>IF(K3790&gt;0,R3790/K3790,"")</x:f>
        <x:v>0.3088888888888889</x:v>
      </x:c>
    </x:row>
    <x:row r="3791">
      <x:c r="A3791" s="7" t="n">
        <x:v>3787</x:v>
      </x:c>
      <x:c r="B3791" s="7" t="str">
        <x:v>Tata</x:v>
      </x:c>
      <x:c r="C3791" s="7" t="str">
        <x:v>Safari</x:v>
      </x:c>
      <x:c r="D3791" s="7" t="str">
        <x:v>Accomplished AT</x:v>
      </x:c>
      <x:c r="E3791" s="7" t="str">
        <x:v>Diesel</x:v>
      </x:c>
      <x:c r="F3791" s="7" t="str">
        <x:v>Automatic</x:v>
      </x:c>
      <x:c r="G3791" s="7" t="str">
        <x:v>SUV</x:v>
      </x:c>
      <x:c r="H3791" s="7" t="n">
        <x:v>1956</x:v>
      </x:c>
      <x:c r="I3791" s="7" t="n">
        <x:v>168</x:v>
      </x:c>
      <x:c r="J3791" s="9" t="n">
        <x:v>14.5</x:v>
      </x:c>
      <x:c r="K3791" s="9" t="n">
        <x:v>27</x:v>
      </x:c>
      <x:c r="L3791" s="7" t="n">
        <x:v>2026</x:v>
      </x:c>
      <x:c r="M3791" s="11" t="n">
        <x:v>6203</x:v>
      </x:c>
      <x:c r="N3791" s="7" t="n">
        <x:v>3</x:v>
      </x:c>
      <x:c r="O3791" s="7" t="n">
        <x:v>0</x:v>
      </x:c>
      <x:c r="P3791" s="9" t="n">
        <x:v>25.72</x:v>
      </x:c>
      <x:c r="Q3791" s="7" t="n">
        <x:f>'Guide'!$B$5-L3791</x:f>
        <x:v>0</x:v>
      </x:c>
      <x:c r="R3791" s="9" t="n">
        <x:f>K3791-P3791</x:f>
        <x:v>1.2800000000000011</x:v>
      </x:c>
      <x:c r="S3791" s="10" t="n">
        <x:f>IF(K3791&gt;0,R3791/K3791,"")</x:f>
        <x:v>0.04740740740740745</x:v>
      </x:c>
    </x:row>
    <x:row r="3792">
      <x:c r="A3792" s="7" t="n">
        <x:v>3788</x:v>
      </x:c>
      <x:c r="B3792" s="7" t="str">
        <x:v>Tata</x:v>
      </x:c>
      <x:c r="C3792" s="7" t="str">
        <x:v>Safari</x:v>
      </x:c>
      <x:c r="D3792" s="7" t="str">
        <x:v>Accomplished AT</x:v>
      </x:c>
      <x:c r="E3792" s="7" t="str">
        <x:v>Diesel</x:v>
      </x:c>
      <x:c r="F3792" s="7" t="str">
        <x:v>Automatic</x:v>
      </x:c>
      <x:c r="G3792" s="7" t="str">
        <x:v>SUV</x:v>
      </x:c>
      <x:c r="H3792" s="7" t="n">
        <x:v>1956</x:v>
      </x:c>
      <x:c r="I3792" s="7" t="n">
        <x:v>168</x:v>
      </x:c>
      <x:c r="J3792" s="9" t="n">
        <x:v>14.5</x:v>
      </x:c>
      <x:c r="K3792" s="9" t="n">
        <x:v>27</x:v>
      </x:c>
      <x:c r="L3792" s="7" t="n">
        <x:v>2026</x:v>
      </x:c>
      <x:c r="M3792" s="11" t="n">
        <x:v>4200</x:v>
      </x:c>
      <x:c r="N3792" s="7" t="n">
        <x:v>1</x:v>
      </x:c>
      <x:c r="O3792" s="7" t="n">
        <x:v>0</x:v>
      </x:c>
      <x:c r="P3792" s="9" t="n">
        <x:v>26.57</x:v>
      </x:c>
      <x:c r="Q3792" s="7" t="n">
        <x:f>'Guide'!$B$5-L3792</x:f>
        <x:v>0</x:v>
      </x:c>
      <x:c r="R3792" s="9" t="n">
        <x:f>K3792-P3792</x:f>
        <x:v>0.4299999999999997</x:v>
      </x:c>
      <x:c r="S3792" s="10" t="n">
        <x:f>IF(K3792&gt;0,R3792/K3792,"")</x:f>
        <x:v>0.015925925925925916</x:v>
      </x:c>
    </x:row>
    <x:row r="3793">
      <x:c r="A3793" s="7" t="n">
        <x:v>3789</x:v>
      </x:c>
      <x:c r="B3793" s="7" t="str">
        <x:v>Tata</x:v>
      </x:c>
      <x:c r="C3793" s="7" t="str">
        <x:v>Safari</x:v>
      </x:c>
      <x:c r="D3793" s="7" t="str">
        <x:v>Accomplished AT</x:v>
      </x:c>
      <x:c r="E3793" s="7" t="str">
        <x:v>Diesel</x:v>
      </x:c>
      <x:c r="F3793" s="7" t="str">
        <x:v>Automatic</x:v>
      </x:c>
      <x:c r="G3793" s="7" t="str">
        <x:v>SUV</x:v>
      </x:c>
      <x:c r="H3793" s="7" t="n">
        <x:v>1956</x:v>
      </x:c>
      <x:c r="I3793" s="7" t="n">
        <x:v>168</x:v>
      </x:c>
      <x:c r="J3793" s="9" t="n">
        <x:v>14.5</x:v>
      </x:c>
      <x:c r="K3793" s="9" t="n">
        <x:v>27</x:v>
      </x:c>
      <x:c r="L3793" s="7" t="n">
        <x:v>2023</x:v>
      </x:c>
      <x:c r="M3793" s="11" t="n">
        <x:v>35918</x:v>
      </x:c>
      <x:c r="N3793" s="7" t="n">
        <x:v>2</x:v>
      </x:c>
      <x:c r="O3793" s="7" t="n">
        <x:v>0</x:v>
      </x:c>
      <x:c r="P3793" s="9" t="n">
        <x:v>18.59</x:v>
      </x:c>
      <x:c r="Q3793" s="7" t="n">
        <x:f>'Guide'!$B$5-L3793</x:f>
        <x:v>3</x:v>
      </x:c>
      <x:c r="R3793" s="9" t="n">
        <x:f>K3793-P3793</x:f>
        <x:v>8.41</x:v>
      </x:c>
      <x:c r="S3793" s="10" t="n">
        <x:f>IF(K3793&gt;0,R3793/K3793,"")</x:f>
        <x:v>0.31148148148148147</x:v>
      </x:c>
    </x:row>
    <x:row r="3794">
      <x:c r="A3794" s="7" t="n">
        <x:v>3790</x:v>
      </x:c>
      <x:c r="B3794" s="7" t="str">
        <x:v>Tata</x:v>
      </x:c>
      <x:c r="C3794" s="7" t="str">
        <x:v>Safari</x:v>
      </x:c>
      <x:c r="D3794" s="7" t="str">
        <x:v>Accomplished AT</x:v>
      </x:c>
      <x:c r="E3794" s="7" t="str">
        <x:v>Diesel</x:v>
      </x:c>
      <x:c r="F3794" s="7" t="str">
        <x:v>Automatic</x:v>
      </x:c>
      <x:c r="G3794" s="7" t="str">
        <x:v>SUV</x:v>
      </x:c>
      <x:c r="H3794" s="7" t="n">
        <x:v>1956</x:v>
      </x:c>
      <x:c r="I3794" s="7" t="n">
        <x:v>168</x:v>
      </x:c>
      <x:c r="J3794" s="9" t="n">
        <x:v>14.5</x:v>
      </x:c>
      <x:c r="K3794" s="9" t="n">
        <x:v>27</x:v>
      </x:c>
      <x:c r="L3794" s="7" t="n">
        <x:v>2024</x:v>
      </x:c>
      <x:c r="M3794" s="11" t="n">
        <x:v>24919</x:v>
      </x:c>
      <x:c r="N3794" s="7" t="n">
        <x:v>1</x:v>
      </x:c>
      <x:c r="O3794" s="7" t="n">
        <x:v>0</x:v>
      </x:c>
      <x:c r="P3794" s="9" t="n">
        <x:v>21.67</x:v>
      </x:c>
      <x:c r="Q3794" s="7" t="n">
        <x:f>'Guide'!$B$5-L3794</x:f>
        <x:v>2</x:v>
      </x:c>
      <x:c r="R3794" s="9" t="n">
        <x:f>K3794-P3794</x:f>
        <x:v>5.329999999999998</x:v>
      </x:c>
      <x:c r="S3794" s="10" t="n">
        <x:f>IF(K3794&gt;0,R3794/K3794,"")</x:f>
        <x:v>0.19740740740740734</x:v>
      </x:c>
    </x:row>
    <x:row r="3795">
      <x:c r="A3795" s="7" t="n">
        <x:v>3791</x:v>
      </x:c>
      <x:c r="B3795" s="7" t="str">
        <x:v>Tata</x:v>
      </x:c>
      <x:c r="C3795" s="7" t="str">
        <x:v>Safari</x:v>
      </x:c>
      <x:c r="D3795" s="7" t="str">
        <x:v>Accomplished AT</x:v>
      </x:c>
      <x:c r="E3795" s="7" t="str">
        <x:v>Diesel</x:v>
      </x:c>
      <x:c r="F3795" s="7" t="str">
        <x:v>Automatic</x:v>
      </x:c>
      <x:c r="G3795" s="7" t="str">
        <x:v>SUV</x:v>
      </x:c>
      <x:c r="H3795" s="7" t="n">
        <x:v>1956</x:v>
      </x:c>
      <x:c r="I3795" s="7" t="n">
        <x:v>168</x:v>
      </x:c>
      <x:c r="J3795" s="9" t="n">
        <x:v>14.5</x:v>
      </x:c>
      <x:c r="K3795" s="9" t="n">
        <x:v>27</x:v>
      </x:c>
      <x:c r="L3795" s="7" t="n">
        <x:v>2024</x:v>
      </x:c>
      <x:c r="M3795" s="11" t="n">
        <x:v>40099</x:v>
      </x:c>
      <x:c r="N3795" s="7" t="n">
        <x:v>2</x:v>
      </x:c>
      <x:c r="O3795" s="7" t="n">
        <x:v>0</x:v>
      </x:c>
      <x:c r="P3795" s="9" t="n">
        <x:v>20.92</x:v>
      </x:c>
      <x:c r="Q3795" s="7" t="n">
        <x:f>'Guide'!$B$5-L3795</x:f>
        <x:v>2</x:v>
      </x:c>
      <x:c r="R3795" s="9" t="n">
        <x:f>K3795-P3795</x:f>
        <x:v>6.079999999999998</x:v>
      </x:c>
      <x:c r="S3795" s="10" t="n">
        <x:f>IF(K3795&gt;0,R3795/K3795,"")</x:f>
        <x:v>0.22518518518518513</x:v>
      </x:c>
    </x:row>
    <x:row r="3796">
      <x:c r="A3796" s="7" t="n">
        <x:v>3792</x:v>
      </x:c>
      <x:c r="B3796" s="7" t="str">
        <x:v>Tata</x:v>
      </x:c>
      <x:c r="C3796" s="7" t="str">
        <x:v>Safari</x:v>
      </x:c>
      <x:c r="D3796" s="7" t="str">
        <x:v>Accomplished AT</x:v>
      </x:c>
      <x:c r="E3796" s="7" t="str">
        <x:v>Diesel</x:v>
      </x:c>
      <x:c r="F3796" s="7" t="str">
        <x:v>Automatic</x:v>
      </x:c>
      <x:c r="G3796" s="7" t="str">
        <x:v>SUV</x:v>
      </x:c>
      <x:c r="H3796" s="7" t="n">
        <x:v>1956</x:v>
      </x:c>
      <x:c r="I3796" s="7" t="n">
        <x:v>168</x:v>
      </x:c>
      <x:c r="J3796" s="9" t="n">
        <x:v>14.5</x:v>
      </x:c>
      <x:c r="K3796" s="9" t="n">
        <x:v>27</x:v>
      </x:c>
      <x:c r="L3796" s="7" t="n">
        <x:v>2020</x:v>
      </x:c>
      <x:c r="M3796" s="11" t="n">
        <x:v>128827</x:v>
      </x:c>
      <x:c r="N3796" s="7" t="n">
        <x:v>1</x:v>
      </x:c>
      <x:c r="O3796" s="7" t="n">
        <x:v>0</x:v>
      </x:c>
      <x:c r="P3796" s="9" t="n">
        <x:v>9.75</x:v>
      </x:c>
      <x:c r="Q3796" s="7" t="n">
        <x:f>'Guide'!$B$5-L3796</x:f>
        <x:v>6</x:v>
      </x:c>
      <x:c r="R3796" s="9" t="n">
        <x:f>K3796-P3796</x:f>
        <x:v>17.25</x:v>
      </x:c>
      <x:c r="S3796" s="10" t="n">
        <x:f>IF(K3796&gt;0,R3796/K3796,"")</x:f>
        <x:v>0.6388888888888888</x:v>
      </x:c>
    </x:row>
    <x:row r="3797">
      <x:c r="A3797" s="7" t="n">
        <x:v>3793</x:v>
      </x:c>
      <x:c r="B3797" s="7" t="str">
        <x:v>Tata</x:v>
      </x:c>
      <x:c r="C3797" s="7" t="str">
        <x:v>Safari</x:v>
      </x:c>
      <x:c r="D3797" s="7" t="str">
        <x:v>Accomplished AT</x:v>
      </x:c>
      <x:c r="E3797" s="7" t="str">
        <x:v>Diesel</x:v>
      </x:c>
      <x:c r="F3797" s="7" t="str">
        <x:v>Automatic</x:v>
      </x:c>
      <x:c r="G3797" s="7" t="str">
        <x:v>SUV</x:v>
      </x:c>
      <x:c r="H3797" s="7" t="n">
        <x:v>1956</x:v>
      </x:c>
      <x:c r="I3797" s="7" t="n">
        <x:v>168</x:v>
      </x:c>
      <x:c r="J3797" s="9" t="n">
        <x:v>14.5</x:v>
      </x:c>
      <x:c r="K3797" s="9" t="n">
        <x:v>27</x:v>
      </x:c>
      <x:c r="L3797" s="7" t="n">
        <x:v>2026</x:v>
      </x:c>
      <x:c r="M3797" s="11" t="n">
        <x:v>7366</x:v>
      </x:c>
      <x:c r="N3797" s="7" t="n">
        <x:v>1</x:v>
      </x:c>
      <x:c r="O3797" s="7" t="n">
        <x:v>0</x:v>
      </x:c>
      <x:c r="P3797" s="9" t="n">
        <x:v>26.73</x:v>
      </x:c>
      <x:c r="Q3797" s="7" t="n">
        <x:f>'Guide'!$B$5-L3797</x:f>
        <x:v>0</x:v>
      </x:c>
      <x:c r="R3797" s="9" t="n">
        <x:f>K3797-P3797</x:f>
        <x:v>0.2699999999999996</x:v>
      </x:c>
      <x:c r="S3797" s="10" t="n">
        <x:f>IF(K3797&gt;0,R3797/K3797,"")</x:f>
        <x:v>0.009999999999999985</x:v>
      </x:c>
    </x:row>
    <x:row r="3798">
      <x:c r="A3798" s="7" t="n">
        <x:v>3794</x:v>
      </x:c>
      <x:c r="B3798" s="7" t="str">
        <x:v>Tata</x:v>
      </x:c>
      <x:c r="C3798" s="7" t="str">
        <x:v>Safari</x:v>
      </x:c>
      <x:c r="D3798" s="7" t="str">
        <x:v>Accomplished AT</x:v>
      </x:c>
      <x:c r="E3798" s="7" t="str">
        <x:v>Diesel</x:v>
      </x:c>
      <x:c r="F3798" s="7" t="str">
        <x:v>Automatic</x:v>
      </x:c>
      <x:c r="G3798" s="7" t="str">
        <x:v>SUV</x:v>
      </x:c>
      <x:c r="H3798" s="7" t="n">
        <x:v>1956</x:v>
      </x:c>
      <x:c r="I3798" s="7" t="n">
        <x:v>168</x:v>
      </x:c>
      <x:c r="J3798" s="9" t="n">
        <x:v>14.5</x:v>
      </x:c>
      <x:c r="K3798" s="9" t="n">
        <x:v>27</x:v>
      </x:c>
      <x:c r="L3798" s="7" t="n">
        <x:v>2023</x:v>
      </x:c>
      <x:c r="M3798" s="11" t="n">
        <x:v>31467</x:v>
      </x:c>
      <x:c r="N3798" s="7" t="n">
        <x:v>1</x:v>
      </x:c>
      <x:c r="O3798" s="7" t="n">
        <x:v>1</x:v>
      </x:c>
      <x:c r="P3798" s="9" t="n">
        <x:v>18.94</x:v>
      </x:c>
      <x:c r="Q3798" s="7" t="n">
        <x:f>'Guide'!$B$5-L3798</x:f>
        <x:v>3</x:v>
      </x:c>
      <x:c r="R3798" s="9" t="n">
        <x:f>K3798-P3798</x:f>
        <x:v>8.059999999999999</x:v>
      </x:c>
      <x:c r="S3798" s="10" t="n">
        <x:f>IF(K3798&gt;0,R3798/K3798,"")</x:f>
        <x:v>0.29851851851851846</x:v>
      </x:c>
    </x:row>
    <x:row r="3799">
      <x:c r="A3799" s="7" t="n">
        <x:v>3795</x:v>
      </x:c>
      <x:c r="B3799" s="7" t="str">
        <x:v>Tata</x:v>
      </x:c>
      <x:c r="C3799" s="7" t="str">
        <x:v>Safari</x:v>
      </x:c>
      <x:c r="D3799" s="7" t="str">
        <x:v>Accomplished AT</x:v>
      </x:c>
      <x:c r="E3799" s="7" t="str">
        <x:v>Diesel</x:v>
      </x:c>
      <x:c r="F3799" s="7" t="str">
        <x:v>Automatic</x:v>
      </x:c>
      <x:c r="G3799" s="7" t="str">
        <x:v>SUV</x:v>
      </x:c>
      <x:c r="H3799" s="7" t="n">
        <x:v>1956</x:v>
      </x:c>
      <x:c r="I3799" s="7" t="n">
        <x:v>168</x:v>
      </x:c>
      <x:c r="J3799" s="9" t="n">
        <x:v>14.5</x:v>
      </x:c>
      <x:c r="K3799" s="9" t="n">
        <x:v>27</x:v>
      </x:c>
      <x:c r="L3799" s="7" t="n">
        <x:v>2023</x:v>
      </x:c>
      <x:c r="M3799" s="11" t="n">
        <x:v>46185</x:v>
      </x:c>
      <x:c r="N3799" s="7" t="n">
        <x:v>1</x:v>
      </x:c>
      <x:c r="O3799" s="7" t="n">
        <x:v>0</x:v>
      </x:c>
      <x:c r="P3799" s="9" t="n">
        <x:v>19.13</x:v>
      </x:c>
      <x:c r="Q3799" s="7" t="n">
        <x:f>'Guide'!$B$5-L3799</x:f>
        <x:v>3</x:v>
      </x:c>
      <x:c r="R3799" s="9" t="n">
        <x:f>K3799-P3799</x:f>
        <x:v>7.870000000000001</x:v>
      </x:c>
      <x:c r="S3799" s="10" t="n">
        <x:f>IF(K3799&gt;0,R3799/K3799,"")</x:f>
        <x:v>0.2914814814814815</x:v>
      </x:c>
    </x:row>
    <x:row r="3800">
      <x:c r="A3800" s="7" t="n">
        <x:v>3796</x:v>
      </x:c>
      <x:c r="B3800" s="7" t="str">
        <x:v>Tata</x:v>
      </x:c>
      <x:c r="C3800" s="7" t="str">
        <x:v>Safari</x:v>
      </x:c>
      <x:c r="D3800" s="7" t="str">
        <x:v>Accomplished AT</x:v>
      </x:c>
      <x:c r="E3800" s="7" t="str">
        <x:v>Diesel</x:v>
      </x:c>
      <x:c r="F3800" s="7" t="str">
        <x:v>Automatic</x:v>
      </x:c>
      <x:c r="G3800" s="7" t="str">
        <x:v>SUV</x:v>
      </x:c>
      <x:c r="H3800" s="7" t="n">
        <x:v>1956</x:v>
      </x:c>
      <x:c r="I3800" s="7" t="n">
        <x:v>168</x:v>
      </x:c>
      <x:c r="J3800" s="9" t="n">
        <x:v>14.5</x:v>
      </x:c>
      <x:c r="K3800" s="9" t="n">
        <x:v>27</x:v>
      </x:c>
      <x:c r="L3800" s="7" t="n">
        <x:v>2025</x:v>
      </x:c>
      <x:c r="M3800" s="11" t="n">
        <x:v>13895</x:v>
      </x:c>
      <x:c r="N3800" s="7" t="n">
        <x:v>1</x:v>
      </x:c>
      <x:c r="O3800" s="7" t="n">
        <x:v>0</x:v>
      </x:c>
      <x:c r="P3800" s="9" t="n">
        <x:v>23.99</x:v>
      </x:c>
      <x:c r="Q3800" s="7" t="n">
        <x:f>'Guide'!$B$5-L3800</x:f>
        <x:v>1</x:v>
      </x:c>
      <x:c r="R3800" s="9" t="n">
        <x:f>K3800-P3800</x:f>
        <x:v>3.0100000000000016</x:v>
      </x:c>
      <x:c r="S3800" s="10" t="n">
        <x:f>IF(K3800&gt;0,R3800/K3800,"")</x:f>
        <x:v>0.11148148148148154</x:v>
      </x:c>
    </x:row>
    <x:row r="3801">
      <x:c r="A3801" s="7" t="n">
        <x:v>3797</x:v>
      </x:c>
      <x:c r="B3801" s="7" t="str">
        <x:v>Tata</x:v>
      </x:c>
      <x:c r="C3801" s="7" t="str">
        <x:v>Safari</x:v>
      </x:c>
      <x:c r="D3801" s="7" t="str">
        <x:v>Accomplished AT</x:v>
      </x:c>
      <x:c r="E3801" s="7" t="str">
        <x:v>Diesel</x:v>
      </x:c>
      <x:c r="F3801" s="7" t="str">
        <x:v>Automatic</x:v>
      </x:c>
      <x:c r="G3801" s="7" t="str">
        <x:v>SUV</x:v>
      </x:c>
      <x:c r="H3801" s="7" t="n">
        <x:v>1956</x:v>
      </x:c>
      <x:c r="I3801" s="7" t="n">
        <x:v>168</x:v>
      </x:c>
      <x:c r="J3801" s="9" t="n">
        <x:v>14.5</x:v>
      </x:c>
      <x:c r="K3801" s="9" t="n">
        <x:v>27</x:v>
      </x:c>
      <x:c r="L3801" s="7" t="n">
        <x:v>2020</x:v>
      </x:c>
      <x:c r="M3801" s="11" t="n">
        <x:v>76772</x:v>
      </x:c>
      <x:c r="N3801" s="7" t="n">
        <x:v>2</x:v>
      </x:c>
      <x:c r="O3801" s="7" t="n">
        <x:v>0</x:v>
      </x:c>
      <x:c r="P3801" s="9" t="n">
        <x:v>11.18</x:v>
      </x:c>
      <x:c r="Q3801" s="7" t="n">
        <x:f>'Guide'!$B$5-L3801</x:f>
        <x:v>6</x:v>
      </x:c>
      <x:c r="R3801" s="9" t="n">
        <x:f>K3801-P3801</x:f>
        <x:v>15.82</x:v>
      </x:c>
      <x:c r="S3801" s="10" t="n">
        <x:f>IF(K3801&gt;0,R3801/K3801,"")</x:f>
        <x:v>0.585925925925926</x:v>
      </x:c>
    </x:row>
    <x:row r="3802">
      <x:c r="A3802" s="7" t="n">
        <x:v>3798</x:v>
      </x:c>
      <x:c r="B3802" s="7" t="str">
        <x:v>Tata</x:v>
      </x:c>
      <x:c r="C3802" s="7" t="str">
        <x:v>Safari</x:v>
      </x:c>
      <x:c r="D3802" s="7" t="str">
        <x:v>Accomplished AT</x:v>
      </x:c>
      <x:c r="E3802" s="7" t="str">
        <x:v>Diesel</x:v>
      </x:c>
      <x:c r="F3802" s="7" t="str">
        <x:v>Automatic</x:v>
      </x:c>
      <x:c r="G3802" s="7" t="str">
        <x:v>SUV</x:v>
      </x:c>
      <x:c r="H3802" s="7" t="n">
        <x:v>1956</x:v>
      </x:c>
      <x:c r="I3802" s="7" t="n">
        <x:v>168</x:v>
      </x:c>
      <x:c r="J3802" s="9" t="n">
        <x:v>14.5</x:v>
      </x:c>
      <x:c r="K3802" s="9" t="n">
        <x:v>27</x:v>
      </x:c>
      <x:c r="L3802" s="7" t="n">
        <x:v>2022</x:v>
      </x:c>
      <x:c r="M3802" s="11" t="n">
        <x:v>69006</x:v>
      </x:c>
      <x:c r="N3802" s="7" t="n">
        <x:v>1</x:v>
      </x:c>
      <x:c r="O3802" s="7" t="n">
        <x:v>0</x:v>
      </x:c>
      <x:c r="P3802" s="9" t="n">
        <x:v>15.78</x:v>
      </x:c>
      <x:c r="Q3802" s="7" t="n">
        <x:f>'Guide'!$B$5-L3802</x:f>
        <x:v>4</x:v>
      </x:c>
      <x:c r="R3802" s="9" t="n">
        <x:f>K3802-P3802</x:f>
        <x:v>11.22</x:v>
      </x:c>
      <x:c r="S3802" s="10" t="n">
        <x:f>IF(K3802&gt;0,R3802/K3802,"")</x:f>
        <x:v>0.41555555555555557</x:v>
      </x:c>
    </x:row>
    <x:row r="3803">
      <x:c r="A3803" s="7" t="n">
        <x:v>3799</x:v>
      </x:c>
      <x:c r="B3803" s="7" t="str">
        <x:v>Tata</x:v>
      </x:c>
      <x:c r="C3803" s="7" t="str">
        <x:v>Safari</x:v>
      </x:c>
      <x:c r="D3803" s="7" t="str">
        <x:v>Accomplished AT</x:v>
      </x:c>
      <x:c r="E3803" s="7" t="str">
        <x:v>Diesel</x:v>
      </x:c>
      <x:c r="F3803" s="7" t="str">
        <x:v>Automatic</x:v>
      </x:c>
      <x:c r="G3803" s="7" t="str">
        <x:v>SUV</x:v>
      </x:c>
      <x:c r="H3803" s="7" t="n">
        <x:v>1956</x:v>
      </x:c>
      <x:c r="I3803" s="7" t="n">
        <x:v>168</x:v>
      </x:c>
      <x:c r="J3803" s="9" t="n">
        <x:v>14.5</x:v>
      </x:c>
      <x:c r="K3803" s="9" t="n">
        <x:v>27</x:v>
      </x:c>
      <x:c r="L3803" s="7" t="n">
        <x:v>2026</x:v>
      </x:c>
      <x:c r="M3803" s="11" t="n">
        <x:v>8956</x:v>
      </x:c>
      <x:c r="N3803" s="7" t="n">
        <x:v>1</x:v>
      </x:c>
      <x:c r="O3803" s="7" t="n">
        <x:v>0</x:v>
      </x:c>
      <x:c r="P3803" s="9" t="n">
        <x:v>26.64</x:v>
      </x:c>
      <x:c r="Q3803" s="7" t="n">
        <x:f>'Guide'!$B$5-L3803</x:f>
        <x:v>0</x:v>
      </x:c>
      <x:c r="R3803" s="9" t="n">
        <x:f>K3803-P3803</x:f>
        <x:v>0.35999999999999943</x:v>
      </x:c>
      <x:c r="S3803" s="10" t="n">
        <x:f>IF(K3803&gt;0,R3803/K3803,"")</x:f>
        <x:v>0.013333333333333312</x:v>
      </x:c>
    </x:row>
    <x:row r="3804">
      <x:c r="A3804" s="7" t="n">
        <x:v>3800</x:v>
      </x:c>
      <x:c r="B3804" s="7" t="str">
        <x:v>Tata</x:v>
      </x:c>
      <x:c r="C3804" s="7" t="str">
        <x:v>Safari</x:v>
      </x:c>
      <x:c r="D3804" s="7" t="str">
        <x:v>Accomplished AT</x:v>
      </x:c>
      <x:c r="E3804" s="7" t="str">
        <x:v>Diesel</x:v>
      </x:c>
      <x:c r="F3804" s="7" t="str">
        <x:v>Automatic</x:v>
      </x:c>
      <x:c r="G3804" s="7" t="str">
        <x:v>SUV</x:v>
      </x:c>
      <x:c r="H3804" s="7" t="n">
        <x:v>1956</x:v>
      </x:c>
      <x:c r="I3804" s="7" t="n">
        <x:v>168</x:v>
      </x:c>
      <x:c r="J3804" s="9" t="n">
        <x:v>14.5</x:v>
      </x:c>
      <x:c r="K3804" s="9" t="n">
        <x:v>27</x:v>
      </x:c>
      <x:c r="L3804" s="7" t="n">
        <x:v>2025</x:v>
      </x:c>
      <x:c r="M3804" s="11" t="n">
        <x:v>14498</x:v>
      </x:c>
      <x:c r="N3804" s="7" t="n">
        <x:v>1</x:v>
      </x:c>
      <x:c r="O3804" s="7" t="n">
        <x:v>0</x:v>
      </x:c>
      <x:c r="P3804" s="9" t="n">
        <x:v>24.24</x:v>
      </x:c>
      <x:c r="Q3804" s="7" t="n">
        <x:f>'Guide'!$B$5-L3804</x:f>
        <x:v>1</x:v>
      </x:c>
      <x:c r="R3804" s="9" t="n">
        <x:f>K3804-P3804</x:f>
        <x:v>2.7600000000000016</x:v>
      </x:c>
      <x:c r="S3804" s="10" t="n">
        <x:f>IF(K3804&gt;0,R3804/K3804,"")</x:f>
        <x:v>0.10222222222222228</x:v>
      </x:c>
    </x:row>
  </x:sheetData>
  <x:conditionalFormatting sqref="S5:S3804">
    <x:cfRule type="colorScale" priority="1">
      <x:colorScale>
        <x:cfvo type="min"/>
        <x:cfvo type="percentile" val="50"/>
        <x:cfvo type="max"/>
        <x:color rgb="FFF1F5F9"/>
        <x:color rgb="FF93B5D0"/>
        <x:color rgb="FF315B7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b9f6ebba80848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2" customHeight="1">
      <x:c r="A1" s="2" t="str">
        <x:v>Guide and definitions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3" t="str">
        <x:v>How to explore the data, maintain the workbook, and interpret the results.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4" customHeight="1">
      <x:c r="A4" s="18" t="str">
        <x:v>Input</x:v>
      </x:c>
      <x:c r="B4" s="18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 t="str">
        <x:v>Reference year</x:v>
      </x:c>
      <x:c r="B5" s="19" t="n">
        <x:v>2026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54" customHeight="1">
      <x:c r="A8" s="21" t="str">
        <x:v>How to use</x:v>
      </x:c>
      <x:c r="B8" s="20" t="str">
        <x:v>Choose fuel type and transmission on Dashboard. Tables and charts update using COUNTIFS and SUMIFS. Use Cars table filters to inspect individual vehicles.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54" customHeight="1">
      <x:c r="A9" s="21" t="str">
        <x:v>Scope</x:v>
      </x:c>
      <x:c r="B9" s="20" t="str">
        <x:v>3,800 Tata vehicle records, 16 original fields. All seven models are shown; comparisons between brands are not possible because brand is constant.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54" customHeight="1">
      <x:c r="A10" s="21" t="str">
        <x:v>Source file</x:v>
      </x:c>
      <x:c r="B10" s="20" t="str">
        <x:v>tata_car_price_prediction_dataset.csv, found alongside the user-provided capstone context. Column names, record count and first five records match the notebook output.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54" customHeight="1">
      <x:c r="A11" s="21" t="str">
        <x:v>Provenance</x:v>
      </x:c>
      <x:c r="B11" s="20" t="str">
        <x:v>The capstone reads a locally uploaded CSV. No verified original publisher, sampling method or source license is supplied. Treat this as an educational dataset, not a representative market survey.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54" customHeight="1">
      <x:c r="A12" s="21" t="str">
        <x:v>Prices</x:v>
      </x:c>
      <x:c r="B12" s="20" t="str">
        <x:v>Resale and ex-showroom price are recorded in lakh. Currency is not explicitly stated in the CSV. Avoid combining these values with other currencies.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54" customHeight="1">
      <x:c r="A13" s="21" t="str">
        <x:v>Price gap</x:v>
      </x:c>
      <x:c r="B13" s="20" t="str">
        <x:v>Ex-showroom price minus resale price. Gap % divides this difference by ex-showroom price. This is a depreciation proxy, not realized historical depreciation or an annualized rate.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54" customHeight="1">
      <x:c r="A14" s="21" t="str">
        <x:v>Vehicle age</x:v>
      </x:c>
      <x:c r="B14" s="20" t="str">
        <x:v>Reference year minus vehicle year. Reference year is editable in B5 and is an analysis assumption, not a verified observation date.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54" customHeight="1">
      <x:c r="A15" s="21" t="str">
        <x:v>Mileage</x:v>
      </x:c>
      <x:c r="B15" s="20" t="str">
        <x:v>mileage_kmpl measures fuel efficiency. kilometers_driven measures distance travelled. These are different variables.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54" customHeight="1">
      <x:c r="A16" s="21" t="str">
        <x:v>Accident flag</x:v>
      </x:c>
      <x:c r="B16" s="20" t="str">
        <x:v>accident_history is preserved as the original 0/1 code; source documentation does not independently establish its meaning.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54" customHeight="1">
      <x:c r="A17" s="21" t="str">
        <x:v>Updating</x:v>
      </x:c>
      <x:c r="B17" s="20" t="str">
        <x:v>Formulas cover the supplied 3,800 rows. For a different file or extra rows, extend Cars formulas and Dashboard ranges and update the category lists. Table filtering does not change Dashboard results; use its dropdowns.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54" customHeight="1">
      <x:c r="A18" s="21" t="str">
        <x:v>Excel techniques</x:v>
      </x:c>
      <x:c r="B18" s="20" t="str">
        <x:v>Typed data, Excel table filters, freeze panes, data validation dropdowns, IF, COUNTIFS, SUMIFS, AVERAGE, formula-driven charts, and conditional formatting.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54" customHeight="1">
      <x:c r="A19" s="21" t="str">
        <x:v>Analysis limits</x:v>
      </x:c>
      <x:c r="B19" s="20" t="str">
        <x:v>Group averages do not control for vehicle age, model, trim, condition, or distance. This workbook describes prices; it does not run the Python predictive model.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54" customHeight="1">
      <x:c r="A20" s="21" t="str">
        <x:v>Skills context</x:v>
      </x:c>
      <x:c r="B20" s="20" t="str">
        <x:v>The accompanying notebook and Python script contain the separate car price prediction capstone. Their code was read as reference, not executed.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</x:sheetData>
  <x:dataValidations count="1">
    <x:dataValidation type="whole" operator="between" sqref="B5">
      <x:formula1>2026</x:formula1>
      <x:formula2>2100</x:formula2>
    </x:dataValidation>
  </x:dataValidations>
  <x:pageMargins left="0.7" right="0.7" top="0.75" bottom="0.75" header="0.3" footer="0.3"/>
</x:worksheet>
</file>